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BER_GENERAL\Ingreso_Egreso\"/>
    </mc:Choice>
  </mc:AlternateContent>
  <xr:revisionPtr revIDLastSave="0" documentId="13_ncr:1_{79AD89A5-FEAE-4765-B813-1D3A71E1301A}" xr6:coauthVersionLast="47" xr6:coauthVersionMax="47" xr10:uidLastSave="{00000000-0000-0000-0000-000000000000}"/>
  <bookViews>
    <workbookView xWindow="-108" yWindow="-108" windowWidth="23256" windowHeight="12456" activeTab="1" xr2:uid="{16F1A6FF-025C-40AA-A5EC-A4A9D1D2D609}"/>
  </bookViews>
  <sheets>
    <sheet name="UBER 2025" sheetId="11" r:id="rId1"/>
    <sheet name="UBER 2026" sheetId="13" r:id="rId2"/>
    <sheet name="Gastos 2025" sheetId="5" r:id="rId3"/>
    <sheet name="Gastos 2026" sheetId="12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'Gastos 2025'!$A$1:$AD$838</definedName>
    <definedName name="_xlnm._FilterDatabase" localSheetId="3" hidden="1">'Gastos 2026'!$A$1:$X$1021</definedName>
    <definedName name="_xlnm._FilterDatabase" localSheetId="0" hidden="1">'UBER 2025'!$A$1:$AD$1354</definedName>
    <definedName name="_xlnm._FilterDatabase" localSheetId="1" hidden="1">'UBER 2026'!$A$1:$AD$869</definedName>
    <definedName name="_xlnm.Print_Area" localSheetId="1">'UBER 2026'!$A$1:$AF$344</definedName>
    <definedName name="SegmentaciónDeDatos_LLAVE_AUTO" localSheetId="2">#REF!</definedName>
    <definedName name="SegmentaciónDeDatos_LLAVE_AU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70" i="13" l="1"/>
  <c r="O869" i="13"/>
  <c r="O868" i="13"/>
  <c r="O867" i="13"/>
  <c r="P866" i="13"/>
  <c r="O866" i="13"/>
  <c r="W865" i="13"/>
  <c r="X865" i="13" s="1"/>
  <c r="O865" i="13"/>
  <c r="O864" i="13"/>
  <c r="W864" i="13" s="1"/>
  <c r="Y864" i="13" s="1"/>
  <c r="AA864" i="13" s="1"/>
  <c r="W863" i="13"/>
  <c r="O863" i="13"/>
  <c r="Y862" i="13"/>
  <c r="AA862" i="13" s="1"/>
  <c r="W862" i="13"/>
  <c r="X862" i="13" s="1"/>
  <c r="AB862" i="13" s="1"/>
  <c r="O862" i="13"/>
  <c r="O861" i="13"/>
  <c r="Q860" i="13"/>
  <c r="O860" i="13"/>
  <c r="Z859" i="13"/>
  <c r="W859" i="13"/>
  <c r="O859" i="13"/>
  <c r="O858" i="13"/>
  <c r="W858" i="13" s="1"/>
  <c r="X858" i="13" s="1"/>
  <c r="Y857" i="13"/>
  <c r="AA857" i="13" s="1"/>
  <c r="W857" i="13"/>
  <c r="X857" i="13" s="1"/>
  <c r="O857" i="13"/>
  <c r="P856" i="13"/>
  <c r="O856" i="13"/>
  <c r="O855" i="13"/>
  <c r="W855" i="13" s="1"/>
  <c r="Y855" i="13" s="1"/>
  <c r="AA855" i="13" s="1"/>
  <c r="Z854" i="13"/>
  <c r="W854" i="13"/>
  <c r="Y854" i="13" s="1"/>
  <c r="AA854" i="13" s="1"/>
  <c r="O854" i="13"/>
  <c r="W853" i="13"/>
  <c r="Y853" i="13" s="1"/>
  <c r="AA853" i="13" s="1"/>
  <c r="O853" i="13"/>
  <c r="W852" i="13"/>
  <c r="X852" i="13" s="1"/>
  <c r="O852" i="13"/>
  <c r="O851" i="13"/>
  <c r="W850" i="13"/>
  <c r="O850" i="13"/>
  <c r="Z849" i="13"/>
  <c r="O849" i="13"/>
  <c r="W849" i="13" s="1"/>
  <c r="O848" i="13"/>
  <c r="W848" i="13" s="1"/>
  <c r="O847" i="13"/>
  <c r="J847" i="13"/>
  <c r="P846" i="13"/>
  <c r="O846" i="13"/>
  <c r="Y845" i="13"/>
  <c r="AA845" i="13" s="1"/>
  <c r="O845" i="13"/>
  <c r="W845" i="13" s="1"/>
  <c r="X845" i="13" s="1"/>
  <c r="AB845" i="13" s="1"/>
  <c r="O844" i="13"/>
  <c r="O843" i="13"/>
  <c r="W843" i="13" s="1"/>
  <c r="O842" i="13"/>
  <c r="X841" i="13"/>
  <c r="W841" i="13"/>
  <c r="Y841" i="13" s="1"/>
  <c r="AA841" i="13" s="1"/>
  <c r="O841" i="13"/>
  <c r="P840" i="13"/>
  <c r="W840" i="13" s="1"/>
  <c r="O840" i="13"/>
  <c r="P839" i="13"/>
  <c r="O839" i="13"/>
  <c r="O838" i="13"/>
  <c r="O837" i="13"/>
  <c r="W837" i="13" s="1"/>
  <c r="Y837" i="13" s="1"/>
  <c r="AA837" i="13" s="1"/>
  <c r="O836" i="13"/>
  <c r="O835" i="13"/>
  <c r="W835" i="13" s="1"/>
  <c r="O834" i="13"/>
  <c r="W833" i="13"/>
  <c r="O833" i="13"/>
  <c r="O832" i="13"/>
  <c r="W832" i="13" s="1"/>
  <c r="X831" i="13"/>
  <c r="W831" i="13"/>
  <c r="Y831" i="13" s="1"/>
  <c r="AA831" i="13" s="1"/>
  <c r="O831" i="13"/>
  <c r="W830" i="13"/>
  <c r="O830" i="13"/>
  <c r="O829" i="13"/>
  <c r="W829" i="13" s="1"/>
  <c r="Y829" i="13" s="1"/>
  <c r="AA829" i="13" s="1"/>
  <c r="O828" i="13"/>
  <c r="O827" i="13"/>
  <c r="O826" i="13"/>
  <c r="AA825" i="13"/>
  <c r="AB825" i="13" s="1"/>
  <c r="Y825" i="13"/>
  <c r="X825" i="13"/>
  <c r="W825" i="13"/>
  <c r="O825" i="13"/>
  <c r="Z824" i="13"/>
  <c r="W824" i="13"/>
  <c r="X824" i="13" s="1"/>
  <c r="O824" i="13"/>
  <c r="P823" i="13"/>
  <c r="O823" i="13"/>
  <c r="Y822" i="13"/>
  <c r="AA822" i="13" s="1"/>
  <c r="W822" i="13"/>
  <c r="X822" i="13" s="1"/>
  <c r="O822" i="13"/>
  <c r="O821" i="13"/>
  <c r="O820" i="13"/>
  <c r="P819" i="13"/>
  <c r="O819" i="13"/>
  <c r="W819" i="13" s="1"/>
  <c r="Y819" i="13" s="1"/>
  <c r="AA819" i="13" s="1"/>
  <c r="P818" i="13"/>
  <c r="O818" i="13"/>
  <c r="O817" i="13"/>
  <c r="W817" i="13" s="1"/>
  <c r="Z816" i="13"/>
  <c r="W816" i="13"/>
  <c r="O816" i="13"/>
  <c r="W815" i="13"/>
  <c r="O815" i="13"/>
  <c r="W814" i="13"/>
  <c r="X814" i="13" s="1"/>
  <c r="P814" i="13"/>
  <c r="O814" i="13"/>
  <c r="P813" i="13"/>
  <c r="O813" i="13"/>
  <c r="P812" i="13"/>
  <c r="O812" i="13"/>
  <c r="W811" i="13"/>
  <c r="Y811" i="13" s="1"/>
  <c r="AA811" i="13" s="1"/>
  <c r="P811" i="13"/>
  <c r="O811" i="13"/>
  <c r="P810" i="13"/>
  <c r="O810" i="13"/>
  <c r="P809" i="13"/>
  <c r="O809" i="13"/>
  <c r="W808" i="13"/>
  <c r="P808" i="13"/>
  <c r="O808" i="13"/>
  <c r="O807" i="13"/>
  <c r="P806" i="13"/>
  <c r="O806" i="13"/>
  <c r="Y805" i="13"/>
  <c r="AA805" i="13" s="1"/>
  <c r="X805" i="13"/>
  <c r="AB805" i="13" s="1"/>
  <c r="W805" i="13"/>
  <c r="P805" i="13"/>
  <c r="O805" i="13"/>
  <c r="Z804" i="13"/>
  <c r="Q804" i="13"/>
  <c r="O804" i="13"/>
  <c r="W803" i="13"/>
  <c r="Y803" i="13" s="1"/>
  <c r="AA803" i="13" s="1"/>
  <c r="O803" i="13"/>
  <c r="O802" i="13"/>
  <c r="Z801" i="13"/>
  <c r="X801" i="13"/>
  <c r="W801" i="13"/>
  <c r="Y801" i="13" s="1"/>
  <c r="AA801" i="13" s="1"/>
  <c r="Q801" i="13"/>
  <c r="O801" i="13"/>
  <c r="O800" i="13"/>
  <c r="M800" i="13"/>
  <c r="O799" i="13"/>
  <c r="W799" i="13" s="1"/>
  <c r="W798" i="13"/>
  <c r="Y798" i="13" s="1"/>
  <c r="AA798" i="13" s="1"/>
  <c r="O798" i="13"/>
  <c r="O797" i="13"/>
  <c r="W797" i="13" s="1"/>
  <c r="O796" i="13"/>
  <c r="W796" i="13" s="1"/>
  <c r="Y795" i="13"/>
  <c r="AA795" i="13" s="1"/>
  <c r="W795" i="13"/>
  <c r="X795" i="13" s="1"/>
  <c r="O795" i="13"/>
  <c r="W794" i="13"/>
  <c r="Y794" i="13" s="1"/>
  <c r="AA794" i="13" s="1"/>
  <c r="O794" i="13"/>
  <c r="O793" i="13"/>
  <c r="W793" i="13" s="1"/>
  <c r="W792" i="13"/>
  <c r="O792" i="13"/>
  <c r="W791" i="13"/>
  <c r="P791" i="13"/>
  <c r="O791" i="13"/>
  <c r="Z790" i="13"/>
  <c r="W790" i="13"/>
  <c r="Q790" i="13"/>
  <c r="O790" i="13"/>
  <c r="Q789" i="13"/>
  <c r="O789" i="13"/>
  <c r="AA788" i="13"/>
  <c r="Y788" i="13"/>
  <c r="W788" i="13"/>
  <c r="X788" i="13" s="1"/>
  <c r="AB788" i="13" s="1"/>
  <c r="O788" i="13"/>
  <c r="Z787" i="13"/>
  <c r="O787" i="13"/>
  <c r="W786" i="13"/>
  <c r="Q786" i="13"/>
  <c r="O786" i="13"/>
  <c r="W785" i="13"/>
  <c r="X785" i="13" s="1"/>
  <c r="O785" i="13"/>
  <c r="J784" i="13"/>
  <c r="O784" i="13" s="1"/>
  <c r="O783" i="13"/>
  <c r="W783" i="13" s="1"/>
  <c r="AA782" i="13"/>
  <c r="W782" i="13"/>
  <c r="Y782" i="13" s="1"/>
  <c r="O782" i="13"/>
  <c r="O781" i="13"/>
  <c r="M781" i="13"/>
  <c r="Y780" i="13"/>
  <c r="AA780" i="13" s="1"/>
  <c r="W780" i="13"/>
  <c r="X780" i="13" s="1"/>
  <c r="AB780" i="13" s="1"/>
  <c r="O780" i="13"/>
  <c r="O779" i="13"/>
  <c r="W779" i="13" s="1"/>
  <c r="W778" i="13"/>
  <c r="Y778" i="13" s="1"/>
  <c r="AA778" i="13" s="1"/>
  <c r="O778" i="13"/>
  <c r="Z777" i="13"/>
  <c r="X777" i="13"/>
  <c r="P777" i="13"/>
  <c r="O777" i="13"/>
  <c r="W777" i="13" s="1"/>
  <c r="Y777" i="13" s="1"/>
  <c r="P776" i="13"/>
  <c r="O776" i="13"/>
  <c r="O775" i="13"/>
  <c r="O774" i="13"/>
  <c r="O773" i="13"/>
  <c r="AA772" i="13"/>
  <c r="X772" i="13"/>
  <c r="W772" i="13"/>
  <c r="Y772" i="13" s="1"/>
  <c r="O772" i="13"/>
  <c r="W771" i="13"/>
  <c r="X771" i="13" s="1"/>
  <c r="O771" i="13"/>
  <c r="X770" i="13"/>
  <c r="O770" i="13"/>
  <c r="W770" i="13" s="1"/>
  <c r="Y770" i="13" s="1"/>
  <c r="AA770" i="13" s="1"/>
  <c r="AB770" i="13" s="1"/>
  <c r="O769" i="13"/>
  <c r="Z768" i="13"/>
  <c r="W768" i="13"/>
  <c r="O768" i="13"/>
  <c r="W767" i="13"/>
  <c r="X767" i="13" s="1"/>
  <c r="O767" i="13"/>
  <c r="O766" i="13"/>
  <c r="AA765" i="13"/>
  <c r="AB765" i="13" s="1"/>
  <c r="Y765" i="13"/>
  <c r="W765" i="13"/>
  <c r="X765" i="13" s="1"/>
  <c r="O765" i="13"/>
  <c r="Y764" i="13"/>
  <c r="AA764" i="13" s="1"/>
  <c r="W764" i="13"/>
  <c r="X764" i="13" s="1"/>
  <c r="AB764" i="13" s="1"/>
  <c r="O764" i="13"/>
  <c r="W763" i="13"/>
  <c r="Y763" i="13" s="1"/>
  <c r="AA763" i="13" s="1"/>
  <c r="O763" i="13"/>
  <c r="Y762" i="13"/>
  <c r="AA762" i="13" s="1"/>
  <c r="W762" i="13"/>
  <c r="X762" i="13" s="1"/>
  <c r="AB762" i="13" s="1"/>
  <c r="O762" i="13"/>
  <c r="AB761" i="13"/>
  <c r="AA761" i="13"/>
  <c r="Y761" i="13"/>
  <c r="W761" i="13"/>
  <c r="X761" i="13" s="1"/>
  <c r="O761" i="13"/>
  <c r="Y760" i="13"/>
  <c r="AA760" i="13" s="1"/>
  <c r="W760" i="13"/>
  <c r="X760" i="13" s="1"/>
  <c r="R760" i="13"/>
  <c r="P760" i="13"/>
  <c r="O760" i="13"/>
  <c r="W759" i="13"/>
  <c r="Y759" i="13" s="1"/>
  <c r="AA759" i="13" s="1"/>
  <c r="O759" i="13"/>
  <c r="Z758" i="13"/>
  <c r="P758" i="13"/>
  <c r="W758" i="13" s="1"/>
  <c r="O758" i="13"/>
  <c r="Q757" i="13"/>
  <c r="W757" i="13" s="1"/>
  <c r="P757" i="13"/>
  <c r="M757" i="13"/>
  <c r="O757" i="13" s="1"/>
  <c r="O756" i="13"/>
  <c r="W756" i="13" s="1"/>
  <c r="O755" i="13"/>
  <c r="Y754" i="13"/>
  <c r="AA754" i="13" s="1"/>
  <c r="W754" i="13"/>
  <c r="X754" i="13" s="1"/>
  <c r="O754" i="13"/>
  <c r="AB754" i="13" s="1"/>
  <c r="X753" i="13"/>
  <c r="O753" i="13"/>
  <c r="W753" i="13" s="1"/>
  <c r="Y753" i="13" s="1"/>
  <c r="AA753" i="13" s="1"/>
  <c r="AB753" i="13" s="1"/>
  <c r="O752" i="13"/>
  <c r="P751" i="13"/>
  <c r="O751" i="13"/>
  <c r="W751" i="13" s="1"/>
  <c r="P750" i="13"/>
  <c r="O750" i="13"/>
  <c r="W750" i="13" s="1"/>
  <c r="P749" i="13"/>
  <c r="O749" i="13"/>
  <c r="P748" i="13"/>
  <c r="O748" i="13"/>
  <c r="W748" i="13" s="1"/>
  <c r="O747" i="13"/>
  <c r="O746" i="13"/>
  <c r="Z745" i="13"/>
  <c r="W745" i="13"/>
  <c r="Q745" i="13"/>
  <c r="O745" i="13"/>
  <c r="W744" i="13"/>
  <c r="O744" i="13"/>
  <c r="Z743" i="13"/>
  <c r="Q743" i="13"/>
  <c r="O743" i="13"/>
  <c r="W743" i="13" s="1"/>
  <c r="Q742" i="13"/>
  <c r="O742" i="13"/>
  <c r="W742" i="13" s="1"/>
  <c r="M742" i="13"/>
  <c r="X741" i="13"/>
  <c r="O741" i="13"/>
  <c r="W741" i="13" s="1"/>
  <c r="Y741" i="13" s="1"/>
  <c r="AA741" i="13" s="1"/>
  <c r="M741" i="13"/>
  <c r="Y740" i="13"/>
  <c r="AA740" i="13" s="1"/>
  <c r="X740" i="13"/>
  <c r="AB740" i="13" s="1"/>
  <c r="W740" i="13"/>
  <c r="O740" i="13"/>
  <c r="P739" i="13"/>
  <c r="O739" i="13"/>
  <c r="O738" i="13"/>
  <c r="Z737" i="13"/>
  <c r="Y737" i="13"/>
  <c r="AA737" i="13" s="1"/>
  <c r="P737" i="13"/>
  <c r="O737" i="13"/>
  <c r="W737" i="13" s="1"/>
  <c r="X737" i="13" s="1"/>
  <c r="O736" i="13"/>
  <c r="Y735" i="13"/>
  <c r="AA735" i="13" s="1"/>
  <c r="AB735" i="13" s="1"/>
  <c r="O735" i="13"/>
  <c r="W735" i="13" s="1"/>
  <c r="X735" i="13" s="1"/>
  <c r="Y734" i="13"/>
  <c r="AA734" i="13" s="1"/>
  <c r="AB734" i="13" s="1"/>
  <c r="O734" i="13"/>
  <c r="W734" i="13" s="1"/>
  <c r="X734" i="13" s="1"/>
  <c r="M734" i="13"/>
  <c r="O733" i="13"/>
  <c r="Y732" i="13"/>
  <c r="AA732" i="13" s="1"/>
  <c r="X732" i="13"/>
  <c r="W732" i="13"/>
  <c r="O732" i="13"/>
  <c r="Z731" i="13"/>
  <c r="Q731" i="13"/>
  <c r="O731" i="13"/>
  <c r="O730" i="13"/>
  <c r="AA729" i="13"/>
  <c r="Y729" i="13"/>
  <c r="W729" i="13"/>
  <c r="X729" i="13" s="1"/>
  <c r="O729" i="13"/>
  <c r="AB728" i="13"/>
  <c r="Y728" i="13"/>
  <c r="AA728" i="13" s="1"/>
  <c r="W728" i="13"/>
  <c r="X728" i="13" s="1"/>
  <c r="O728" i="13"/>
  <c r="Z727" i="13"/>
  <c r="O727" i="13"/>
  <c r="Q726" i="13"/>
  <c r="O726" i="13"/>
  <c r="P725" i="13"/>
  <c r="O725" i="13"/>
  <c r="W725" i="13" s="1"/>
  <c r="O724" i="13"/>
  <c r="X723" i="13"/>
  <c r="W723" i="13"/>
  <c r="Y723" i="13" s="1"/>
  <c r="AA723" i="13" s="1"/>
  <c r="O723" i="13"/>
  <c r="Z722" i="13"/>
  <c r="Q722" i="13"/>
  <c r="O722" i="13"/>
  <c r="W722" i="13" s="1"/>
  <c r="O721" i="13"/>
  <c r="AA720" i="13"/>
  <c r="X720" i="13"/>
  <c r="W720" i="13"/>
  <c r="Y720" i="13" s="1"/>
  <c r="O720" i="13"/>
  <c r="Z719" i="13"/>
  <c r="W719" i="13"/>
  <c r="O719" i="13"/>
  <c r="Q718" i="13"/>
  <c r="O718" i="13"/>
  <c r="W718" i="13" s="1"/>
  <c r="X718" i="13" s="1"/>
  <c r="AA717" i="13"/>
  <c r="Y717" i="13"/>
  <c r="O717" i="13"/>
  <c r="W717" i="13" s="1"/>
  <c r="X717" i="13" s="1"/>
  <c r="AB717" i="13" s="1"/>
  <c r="M717" i="13"/>
  <c r="O716" i="13"/>
  <c r="AB715" i="13"/>
  <c r="AA715" i="13"/>
  <c r="Y715" i="13"/>
  <c r="R715" i="13"/>
  <c r="O715" i="13"/>
  <c r="W715" i="13" s="1"/>
  <c r="X715" i="13" s="1"/>
  <c r="O714" i="13"/>
  <c r="Z713" i="13"/>
  <c r="Q713" i="13"/>
  <c r="P713" i="13"/>
  <c r="M713" i="13"/>
  <c r="O713" i="13" s="1"/>
  <c r="AA712" i="13"/>
  <c r="Z712" i="13"/>
  <c r="Y712" i="13"/>
  <c r="W712" i="13"/>
  <c r="X712" i="13" s="1"/>
  <c r="P712" i="13"/>
  <c r="O712" i="13"/>
  <c r="M712" i="13"/>
  <c r="W711" i="13"/>
  <c r="Y711" i="13" s="1"/>
  <c r="AA711" i="13" s="1"/>
  <c r="U711" i="13"/>
  <c r="O711" i="13"/>
  <c r="O710" i="13"/>
  <c r="AB709" i="13"/>
  <c r="AA709" i="13"/>
  <c r="Y709" i="13"/>
  <c r="W709" i="13"/>
  <c r="X709" i="13" s="1"/>
  <c r="O709" i="13"/>
  <c r="O708" i="13"/>
  <c r="W707" i="13"/>
  <c r="Y707" i="13" s="1"/>
  <c r="AA707" i="13" s="1"/>
  <c r="P707" i="13"/>
  <c r="O707" i="13"/>
  <c r="Y706" i="13"/>
  <c r="AA706" i="13" s="1"/>
  <c r="W706" i="13"/>
  <c r="X706" i="13" s="1"/>
  <c r="O706" i="13"/>
  <c r="Y705" i="13"/>
  <c r="AA705" i="13" s="1"/>
  <c r="W705" i="13"/>
  <c r="X705" i="13" s="1"/>
  <c r="O705" i="13"/>
  <c r="W704" i="13"/>
  <c r="Y704" i="13" s="1"/>
  <c r="AA704" i="13" s="1"/>
  <c r="O704" i="13"/>
  <c r="Q703" i="13"/>
  <c r="O703" i="13"/>
  <c r="W703" i="13" s="1"/>
  <c r="X703" i="13" s="1"/>
  <c r="AA702" i="13"/>
  <c r="W702" i="13"/>
  <c r="Y702" i="13" s="1"/>
  <c r="O702" i="13"/>
  <c r="W701" i="13"/>
  <c r="X701" i="13" s="1"/>
  <c r="O701" i="13"/>
  <c r="Z700" i="13"/>
  <c r="Q700" i="13"/>
  <c r="M700" i="13"/>
  <c r="O700" i="13" s="1"/>
  <c r="W700" i="13" s="1"/>
  <c r="K699" i="13"/>
  <c r="O699" i="13" s="1"/>
  <c r="AA698" i="13"/>
  <c r="X698" i="13"/>
  <c r="AB698" i="13" s="1"/>
  <c r="O698" i="13"/>
  <c r="W698" i="13" s="1"/>
  <c r="Y698" i="13" s="1"/>
  <c r="O697" i="13"/>
  <c r="O696" i="13"/>
  <c r="W696" i="13" s="1"/>
  <c r="Y696" i="13" s="1"/>
  <c r="AA696" i="13" s="1"/>
  <c r="O695" i="13"/>
  <c r="O694" i="13"/>
  <c r="W694" i="13" s="1"/>
  <c r="O693" i="13"/>
  <c r="O692" i="13"/>
  <c r="Q691" i="13"/>
  <c r="O691" i="13"/>
  <c r="Y690" i="13"/>
  <c r="AA690" i="13" s="1"/>
  <c r="W690" i="13"/>
  <c r="X690" i="13" s="1"/>
  <c r="O690" i="13"/>
  <c r="Q689" i="13"/>
  <c r="P689" i="13"/>
  <c r="O689" i="13"/>
  <c r="Z688" i="13"/>
  <c r="X688" i="13"/>
  <c r="AB688" i="13" s="1"/>
  <c r="P688" i="13"/>
  <c r="W688" i="13" s="1"/>
  <c r="Y688" i="13" s="1"/>
  <c r="AA688" i="13" s="1"/>
  <c r="O688" i="13"/>
  <c r="P687" i="13"/>
  <c r="O687" i="13"/>
  <c r="X686" i="13"/>
  <c r="O686" i="13"/>
  <c r="W686" i="13" s="1"/>
  <c r="Y686" i="13" s="1"/>
  <c r="AA686" i="13" s="1"/>
  <c r="AB686" i="13" s="1"/>
  <c r="P685" i="13"/>
  <c r="O685" i="13"/>
  <c r="W684" i="13"/>
  <c r="O684" i="13"/>
  <c r="Y683" i="13"/>
  <c r="AA683" i="13" s="1"/>
  <c r="AB683" i="13" s="1"/>
  <c r="W683" i="13"/>
  <c r="X683" i="13" s="1"/>
  <c r="O683" i="13"/>
  <c r="Z682" i="13"/>
  <c r="O682" i="13"/>
  <c r="Z681" i="13"/>
  <c r="Y681" i="13"/>
  <c r="AA681" i="13" s="1"/>
  <c r="W681" i="13"/>
  <c r="X681" i="13" s="1"/>
  <c r="AB681" i="13" s="1"/>
  <c r="O681" i="13"/>
  <c r="Q680" i="13"/>
  <c r="O680" i="13"/>
  <c r="W680" i="13" s="1"/>
  <c r="AA679" i="13"/>
  <c r="W679" i="13"/>
  <c r="Y679" i="13" s="1"/>
  <c r="O679" i="13"/>
  <c r="O678" i="13"/>
  <c r="M677" i="13"/>
  <c r="O677" i="13" s="1"/>
  <c r="W677" i="13" s="1"/>
  <c r="W676" i="13"/>
  <c r="O676" i="13"/>
  <c r="W675" i="13"/>
  <c r="Y675" i="13" s="1"/>
  <c r="AA675" i="13" s="1"/>
  <c r="M675" i="13"/>
  <c r="O675" i="13" s="1"/>
  <c r="O674" i="13"/>
  <c r="Z673" i="13"/>
  <c r="Q673" i="13"/>
  <c r="O673" i="13"/>
  <c r="Q672" i="13"/>
  <c r="O672" i="13"/>
  <c r="W672" i="13" s="1"/>
  <c r="Q671" i="13"/>
  <c r="O671" i="13"/>
  <c r="AA670" i="13"/>
  <c r="Z670" i="13"/>
  <c r="W670" i="13"/>
  <c r="Y670" i="13" s="1"/>
  <c r="P670" i="13"/>
  <c r="O670" i="13"/>
  <c r="M670" i="13"/>
  <c r="P669" i="13"/>
  <c r="O669" i="13"/>
  <c r="W668" i="13"/>
  <c r="O668" i="13"/>
  <c r="Y667" i="13"/>
  <c r="AA667" i="13" s="1"/>
  <c r="X667" i="13"/>
  <c r="AB667" i="13" s="1"/>
  <c r="O667" i="13"/>
  <c r="W667" i="13" s="1"/>
  <c r="O666" i="13"/>
  <c r="Y665" i="13"/>
  <c r="AA665" i="13" s="1"/>
  <c r="W665" i="13"/>
  <c r="X665" i="13" s="1"/>
  <c r="AB665" i="13" s="1"/>
  <c r="O665" i="13"/>
  <c r="X664" i="13"/>
  <c r="O664" i="13"/>
  <c r="W664" i="13" s="1"/>
  <c r="Y664" i="13" s="1"/>
  <c r="AA664" i="13" s="1"/>
  <c r="O663" i="13"/>
  <c r="O662" i="13"/>
  <c r="Q661" i="13"/>
  <c r="P661" i="13"/>
  <c r="O661" i="13"/>
  <c r="P660" i="13"/>
  <c r="O660" i="13"/>
  <c r="W659" i="13"/>
  <c r="P659" i="13"/>
  <c r="O659" i="13"/>
  <c r="AB658" i="13"/>
  <c r="X658" i="13"/>
  <c r="W658" i="13"/>
  <c r="Y658" i="13" s="1"/>
  <c r="AA658" i="13" s="1"/>
  <c r="O658" i="13"/>
  <c r="Q657" i="13"/>
  <c r="P657" i="13"/>
  <c r="O657" i="13"/>
  <c r="M657" i="13"/>
  <c r="Z656" i="13"/>
  <c r="W656" i="13"/>
  <c r="Y656" i="13" s="1"/>
  <c r="AA656" i="13" s="1"/>
  <c r="Q656" i="13"/>
  <c r="O656" i="13"/>
  <c r="W655" i="13"/>
  <c r="Q655" i="13"/>
  <c r="O655" i="13"/>
  <c r="W654" i="13"/>
  <c r="O654" i="13"/>
  <c r="Q653" i="13"/>
  <c r="P653" i="13"/>
  <c r="O653" i="13"/>
  <c r="W653" i="13" s="1"/>
  <c r="Y653" i="13" s="1"/>
  <c r="AA653" i="13" s="1"/>
  <c r="Q652" i="13"/>
  <c r="W652" i="13" s="1"/>
  <c r="P652" i="13"/>
  <c r="O652" i="13"/>
  <c r="O651" i="13"/>
  <c r="M651" i="13"/>
  <c r="Z650" i="13"/>
  <c r="W650" i="13"/>
  <c r="O650" i="13"/>
  <c r="O649" i="13"/>
  <c r="W649" i="13" s="1"/>
  <c r="Y649" i="13" s="1"/>
  <c r="AA649" i="13" s="1"/>
  <c r="O648" i="13"/>
  <c r="M648" i="13"/>
  <c r="W647" i="13"/>
  <c r="O647" i="13"/>
  <c r="M647" i="13"/>
  <c r="Y646" i="13"/>
  <c r="AA646" i="13" s="1"/>
  <c r="O646" i="13"/>
  <c r="W646" i="13" s="1"/>
  <c r="X646" i="13" s="1"/>
  <c r="X645" i="13"/>
  <c r="W645" i="13"/>
  <c r="Y645" i="13" s="1"/>
  <c r="AA645" i="13" s="1"/>
  <c r="P645" i="13"/>
  <c r="O645" i="13"/>
  <c r="Z644" i="13"/>
  <c r="Q644" i="13"/>
  <c r="W644" i="13" s="1"/>
  <c r="O644" i="13"/>
  <c r="Y643" i="13"/>
  <c r="AA643" i="13" s="1"/>
  <c r="AB643" i="13" s="1"/>
  <c r="Q643" i="13"/>
  <c r="P643" i="13"/>
  <c r="W643" i="13" s="1"/>
  <c r="X643" i="13" s="1"/>
  <c r="O643" i="13"/>
  <c r="P642" i="13"/>
  <c r="O642" i="13"/>
  <c r="M642" i="13"/>
  <c r="O641" i="13"/>
  <c r="Z640" i="13"/>
  <c r="Q640" i="13"/>
  <c r="M640" i="13"/>
  <c r="O640" i="13" s="1"/>
  <c r="O639" i="13"/>
  <c r="O638" i="13"/>
  <c r="Q637" i="13"/>
  <c r="O637" i="13"/>
  <c r="W637" i="13" s="1"/>
  <c r="Y637" i="13" s="1"/>
  <c r="AA637" i="13" s="1"/>
  <c r="Y636" i="13"/>
  <c r="AA636" i="13" s="1"/>
  <c r="AB636" i="13" s="1"/>
  <c r="X636" i="13"/>
  <c r="W636" i="13"/>
  <c r="O636" i="13"/>
  <c r="Y635" i="13"/>
  <c r="AA635" i="13" s="1"/>
  <c r="W635" i="13"/>
  <c r="X635" i="13" s="1"/>
  <c r="P635" i="13"/>
  <c r="O635" i="13"/>
  <c r="O634" i="13"/>
  <c r="P633" i="13"/>
  <c r="O633" i="13"/>
  <c r="M632" i="13"/>
  <c r="O632" i="13" s="1"/>
  <c r="W632" i="13" s="1"/>
  <c r="O631" i="13"/>
  <c r="Y630" i="13"/>
  <c r="AA630" i="13" s="1"/>
  <c r="X630" i="13"/>
  <c r="W630" i="13"/>
  <c r="P630" i="13"/>
  <c r="O630" i="13"/>
  <c r="W629" i="13"/>
  <c r="X629" i="13" s="1"/>
  <c r="O629" i="13"/>
  <c r="O628" i="13"/>
  <c r="W628" i="13" s="1"/>
  <c r="Z627" i="13"/>
  <c r="Q627" i="13"/>
  <c r="M627" i="13"/>
  <c r="O627" i="13" s="1"/>
  <c r="AB626" i="13"/>
  <c r="AA626" i="13"/>
  <c r="Z626" i="13"/>
  <c r="Y626" i="13"/>
  <c r="X626" i="13"/>
  <c r="Q626" i="13"/>
  <c r="M626" i="13"/>
  <c r="O626" i="13" s="1"/>
  <c r="W626" i="13" s="1"/>
  <c r="Q625" i="13"/>
  <c r="P625" i="13"/>
  <c r="O625" i="13"/>
  <c r="J625" i="13"/>
  <c r="W624" i="13"/>
  <c r="O624" i="13"/>
  <c r="Z623" i="13"/>
  <c r="W623" i="13"/>
  <c r="X623" i="13" s="1"/>
  <c r="M623" i="13"/>
  <c r="O623" i="13" s="1"/>
  <c r="Z622" i="13"/>
  <c r="Q622" i="13"/>
  <c r="O622" i="13"/>
  <c r="X621" i="13"/>
  <c r="O621" i="13"/>
  <c r="W621" i="13" s="1"/>
  <c r="Y621" i="13" s="1"/>
  <c r="AA621" i="13" s="1"/>
  <c r="AB621" i="13" s="1"/>
  <c r="M621" i="13"/>
  <c r="O620" i="13"/>
  <c r="W620" i="13" s="1"/>
  <c r="W619" i="13"/>
  <c r="X619" i="13" s="1"/>
  <c r="P619" i="13"/>
  <c r="O619" i="13"/>
  <c r="Z618" i="13"/>
  <c r="Q618" i="13"/>
  <c r="O618" i="13"/>
  <c r="W617" i="13"/>
  <c r="O617" i="13"/>
  <c r="O616" i="13"/>
  <c r="O615" i="13"/>
  <c r="P614" i="13"/>
  <c r="O614" i="13"/>
  <c r="P613" i="13"/>
  <c r="O613" i="13"/>
  <c r="W613" i="13" s="1"/>
  <c r="Y613" i="13" s="1"/>
  <c r="AA613" i="13" s="1"/>
  <c r="W612" i="13"/>
  <c r="O612" i="13"/>
  <c r="O611" i="13"/>
  <c r="AB610" i="13"/>
  <c r="AA610" i="13"/>
  <c r="Y610" i="13"/>
  <c r="W610" i="13"/>
  <c r="X610" i="13" s="1"/>
  <c r="O610" i="13"/>
  <c r="O609" i="13"/>
  <c r="O608" i="13"/>
  <c r="O607" i="13"/>
  <c r="W607" i="13" s="1"/>
  <c r="Y606" i="13"/>
  <c r="AA606" i="13" s="1"/>
  <c r="W606" i="13"/>
  <c r="X606" i="13" s="1"/>
  <c r="O606" i="13"/>
  <c r="Q605" i="13"/>
  <c r="W605" i="13" s="1"/>
  <c r="O605" i="13"/>
  <c r="W604" i="13"/>
  <c r="Y604" i="13" s="1"/>
  <c r="AA604" i="13" s="1"/>
  <c r="O604" i="13"/>
  <c r="M604" i="13"/>
  <c r="O603" i="13"/>
  <c r="M602" i="13"/>
  <c r="O602" i="13" s="1"/>
  <c r="W602" i="13" s="1"/>
  <c r="W601" i="13"/>
  <c r="O601" i="13"/>
  <c r="W600" i="13"/>
  <c r="O600" i="13"/>
  <c r="O599" i="13"/>
  <c r="Y598" i="13"/>
  <c r="AA598" i="13" s="1"/>
  <c r="W598" i="13"/>
  <c r="X598" i="13" s="1"/>
  <c r="O598" i="13"/>
  <c r="Y597" i="13"/>
  <c r="AA597" i="13" s="1"/>
  <c r="O597" i="13"/>
  <c r="W597" i="13" s="1"/>
  <c r="X597" i="13" s="1"/>
  <c r="AB597" i="13" s="1"/>
  <c r="AB596" i="13"/>
  <c r="Y596" i="13"/>
  <c r="AA596" i="13" s="1"/>
  <c r="X596" i="13"/>
  <c r="W596" i="13"/>
  <c r="O596" i="13"/>
  <c r="Y595" i="13"/>
  <c r="AA595" i="13" s="1"/>
  <c r="AB595" i="13" s="1"/>
  <c r="W595" i="13"/>
  <c r="X595" i="13" s="1"/>
  <c r="O595" i="13"/>
  <c r="Z594" i="13"/>
  <c r="Q594" i="13"/>
  <c r="O594" i="13"/>
  <c r="Z593" i="13"/>
  <c r="Y593" i="13"/>
  <c r="AA593" i="13" s="1"/>
  <c r="X593" i="13"/>
  <c r="W593" i="13"/>
  <c r="P593" i="13"/>
  <c r="O593" i="13"/>
  <c r="W592" i="13"/>
  <c r="P592" i="13"/>
  <c r="O592" i="13"/>
  <c r="Z591" i="13"/>
  <c r="O591" i="13"/>
  <c r="AB590" i="13"/>
  <c r="AA590" i="13"/>
  <c r="Y590" i="13"/>
  <c r="M590" i="13"/>
  <c r="O590" i="13" s="1"/>
  <c r="W590" i="13" s="1"/>
  <c r="X590" i="13" s="1"/>
  <c r="P589" i="13"/>
  <c r="O589" i="13"/>
  <c r="X588" i="13"/>
  <c r="AB588" i="13" s="1"/>
  <c r="W588" i="13"/>
  <c r="Y588" i="13" s="1"/>
  <c r="AA588" i="13" s="1"/>
  <c r="Q588" i="13"/>
  <c r="O588" i="13"/>
  <c r="W587" i="13"/>
  <c r="O587" i="13"/>
  <c r="Y586" i="13"/>
  <c r="AA586" i="13" s="1"/>
  <c r="W586" i="13"/>
  <c r="X586" i="13" s="1"/>
  <c r="Q586" i="13"/>
  <c r="O586" i="13"/>
  <c r="Q585" i="13"/>
  <c r="O585" i="13"/>
  <c r="W585" i="13" s="1"/>
  <c r="Y584" i="13"/>
  <c r="AA584" i="13" s="1"/>
  <c r="X584" i="13"/>
  <c r="W584" i="13"/>
  <c r="O584" i="13"/>
  <c r="M584" i="13"/>
  <c r="Y583" i="13"/>
  <c r="AA583" i="13" s="1"/>
  <c r="AB583" i="13" s="1"/>
  <c r="O583" i="13"/>
  <c r="W583" i="13" s="1"/>
  <c r="X583" i="13" s="1"/>
  <c r="O582" i="13"/>
  <c r="W582" i="13" s="1"/>
  <c r="X582" i="13" s="1"/>
  <c r="Y581" i="13"/>
  <c r="AA581" i="13" s="1"/>
  <c r="AB581" i="13" s="1"/>
  <c r="X581" i="13"/>
  <c r="W581" i="13"/>
  <c r="O581" i="13"/>
  <c r="Q580" i="13"/>
  <c r="M580" i="13"/>
  <c r="O580" i="13" s="1"/>
  <c r="O579" i="13"/>
  <c r="W579" i="13" s="1"/>
  <c r="AB578" i="13"/>
  <c r="AA578" i="13"/>
  <c r="Y578" i="13"/>
  <c r="O578" i="13"/>
  <c r="W578" i="13" s="1"/>
  <c r="X578" i="13" s="1"/>
  <c r="Q577" i="13"/>
  <c r="O577" i="13"/>
  <c r="W576" i="13"/>
  <c r="O576" i="13"/>
  <c r="X575" i="13"/>
  <c r="W575" i="13"/>
  <c r="Y575" i="13" s="1"/>
  <c r="AA575" i="13" s="1"/>
  <c r="P575" i="13"/>
  <c r="O575" i="13"/>
  <c r="O574" i="13"/>
  <c r="O573" i="13"/>
  <c r="W573" i="13" s="1"/>
  <c r="X573" i="13" s="1"/>
  <c r="Z572" i="13"/>
  <c r="O572" i="13"/>
  <c r="W572" i="13" s="1"/>
  <c r="M572" i="13"/>
  <c r="Y571" i="13"/>
  <c r="AA571" i="13" s="1"/>
  <c r="W571" i="13"/>
  <c r="X571" i="13" s="1"/>
  <c r="AB571" i="13" s="1"/>
  <c r="O571" i="13"/>
  <c r="O570" i="13"/>
  <c r="W569" i="13"/>
  <c r="O569" i="13"/>
  <c r="O568" i="13"/>
  <c r="W568" i="13" s="1"/>
  <c r="X568" i="13" s="1"/>
  <c r="O567" i="13"/>
  <c r="W566" i="13"/>
  <c r="O566" i="13"/>
  <c r="W565" i="13"/>
  <c r="O565" i="13"/>
  <c r="O564" i="13"/>
  <c r="W564" i="13" s="1"/>
  <c r="Y564" i="13" s="1"/>
  <c r="AA564" i="13" s="1"/>
  <c r="W563" i="13"/>
  <c r="O563" i="13"/>
  <c r="O562" i="13"/>
  <c r="AB561" i="13"/>
  <c r="AA561" i="13"/>
  <c r="Y561" i="13"/>
  <c r="X561" i="13"/>
  <c r="W561" i="13"/>
  <c r="O561" i="13"/>
  <c r="Z560" i="13"/>
  <c r="P560" i="13"/>
  <c r="O560" i="13"/>
  <c r="W560" i="13" s="1"/>
  <c r="Y560" i="13" s="1"/>
  <c r="AA560" i="13" s="1"/>
  <c r="Q559" i="13"/>
  <c r="M559" i="13"/>
  <c r="O559" i="13" s="1"/>
  <c r="AB558" i="13"/>
  <c r="Z558" i="13"/>
  <c r="X558" i="13"/>
  <c r="Q558" i="13"/>
  <c r="M558" i="13"/>
  <c r="O558" i="13" s="1"/>
  <c r="W558" i="13" s="1"/>
  <c r="Y558" i="13" s="1"/>
  <c r="AA558" i="13" s="1"/>
  <c r="Q557" i="13"/>
  <c r="O557" i="13"/>
  <c r="O556" i="13"/>
  <c r="M555" i="13"/>
  <c r="O555" i="13" s="1"/>
  <c r="AA554" i="13"/>
  <c r="W554" i="13"/>
  <c r="Y554" i="13" s="1"/>
  <c r="O554" i="13"/>
  <c r="M553" i="13"/>
  <c r="O553" i="13" s="1"/>
  <c r="O552" i="13"/>
  <c r="O551" i="13"/>
  <c r="W551" i="13" s="1"/>
  <c r="Z550" i="13"/>
  <c r="Q550" i="13"/>
  <c r="O550" i="13"/>
  <c r="Y549" i="13"/>
  <c r="AA549" i="13" s="1"/>
  <c r="X549" i="13"/>
  <c r="AB549" i="13" s="1"/>
  <c r="O549" i="13"/>
  <c r="W549" i="13" s="1"/>
  <c r="AA548" i="13"/>
  <c r="X548" i="13"/>
  <c r="W548" i="13"/>
  <c r="Y548" i="13" s="1"/>
  <c r="O548" i="13"/>
  <c r="P547" i="13"/>
  <c r="O547" i="13"/>
  <c r="P546" i="13"/>
  <c r="O546" i="13"/>
  <c r="AA545" i="13"/>
  <c r="AB545" i="13" s="1"/>
  <c r="Y545" i="13"/>
  <c r="I545" i="13"/>
  <c r="O545" i="13" s="1"/>
  <c r="W545" i="13" s="1"/>
  <c r="X545" i="13" s="1"/>
  <c r="Y544" i="13"/>
  <c r="AA544" i="13" s="1"/>
  <c r="I544" i="13"/>
  <c r="O544" i="13" s="1"/>
  <c r="W544" i="13" s="1"/>
  <c r="X544" i="13" s="1"/>
  <c r="AB543" i="13"/>
  <c r="X543" i="13"/>
  <c r="I543" i="13"/>
  <c r="O543" i="13" s="1"/>
  <c r="W543" i="13" s="1"/>
  <c r="Y543" i="13" s="1"/>
  <c r="AA543" i="13" s="1"/>
  <c r="AA542" i="13"/>
  <c r="W542" i="13"/>
  <c r="Y542" i="13" s="1"/>
  <c r="P542" i="13"/>
  <c r="O542" i="13"/>
  <c r="O541" i="13"/>
  <c r="W540" i="13"/>
  <c r="O540" i="13"/>
  <c r="O539" i="13"/>
  <c r="W539" i="13" s="1"/>
  <c r="O538" i="13"/>
  <c r="X537" i="13"/>
  <c r="W537" i="13"/>
  <c r="Y537" i="13" s="1"/>
  <c r="AA537" i="13" s="1"/>
  <c r="O537" i="13"/>
  <c r="AB537" i="13" s="1"/>
  <c r="O536" i="13"/>
  <c r="O535" i="13"/>
  <c r="Y534" i="13"/>
  <c r="AA534" i="13" s="1"/>
  <c r="P534" i="13"/>
  <c r="O534" i="13"/>
  <c r="W534" i="13" s="1"/>
  <c r="X534" i="13" s="1"/>
  <c r="AB534" i="13" s="1"/>
  <c r="Q533" i="13"/>
  <c r="P533" i="13"/>
  <c r="O533" i="13"/>
  <c r="W533" i="13" s="1"/>
  <c r="X532" i="13"/>
  <c r="AB532" i="13" s="1"/>
  <c r="W532" i="13"/>
  <c r="Y532" i="13" s="1"/>
  <c r="AA532" i="13" s="1"/>
  <c r="O532" i="13"/>
  <c r="W531" i="13"/>
  <c r="O531" i="13"/>
  <c r="O530" i="13"/>
  <c r="O529" i="13"/>
  <c r="W529" i="13" s="1"/>
  <c r="X529" i="13" s="1"/>
  <c r="Y528" i="13"/>
  <c r="AA528" i="13" s="1"/>
  <c r="X528" i="13"/>
  <c r="W528" i="13"/>
  <c r="P528" i="13"/>
  <c r="O528" i="13"/>
  <c r="W527" i="13"/>
  <c r="P527" i="13"/>
  <c r="O527" i="13"/>
  <c r="O526" i="13"/>
  <c r="Y525" i="13"/>
  <c r="AA525" i="13" s="1"/>
  <c r="O525" i="13"/>
  <c r="W525" i="13" s="1"/>
  <c r="X525" i="13" s="1"/>
  <c r="Z524" i="13"/>
  <c r="Q524" i="13"/>
  <c r="P524" i="13"/>
  <c r="O524" i="13"/>
  <c r="O523" i="13"/>
  <c r="W523" i="13" s="1"/>
  <c r="Y523" i="13" s="1"/>
  <c r="AA523" i="13" s="1"/>
  <c r="AA522" i="13"/>
  <c r="O522" i="13"/>
  <c r="W522" i="13" s="1"/>
  <c r="Y522" i="13" s="1"/>
  <c r="P521" i="13"/>
  <c r="O521" i="13"/>
  <c r="X520" i="13"/>
  <c r="W520" i="13"/>
  <c r="Y520" i="13" s="1"/>
  <c r="AA520" i="13" s="1"/>
  <c r="AB520" i="13" s="1"/>
  <c r="O520" i="13"/>
  <c r="Q519" i="13"/>
  <c r="O519" i="13"/>
  <c r="W519" i="13" s="1"/>
  <c r="O518" i="13"/>
  <c r="Y517" i="13"/>
  <c r="AA517" i="13" s="1"/>
  <c r="X517" i="13"/>
  <c r="AB517" i="13" s="1"/>
  <c r="O517" i="13"/>
  <c r="W517" i="13" s="1"/>
  <c r="W516" i="13"/>
  <c r="Y516" i="13" s="1"/>
  <c r="AA516" i="13" s="1"/>
  <c r="Q516" i="13"/>
  <c r="O516" i="13"/>
  <c r="P515" i="13"/>
  <c r="O515" i="13"/>
  <c r="O514" i="13"/>
  <c r="W514" i="13" s="1"/>
  <c r="Y514" i="13" s="1"/>
  <c r="AA514" i="13" s="1"/>
  <c r="O513" i="13"/>
  <c r="W512" i="13"/>
  <c r="O512" i="13"/>
  <c r="W511" i="13"/>
  <c r="Y511" i="13" s="1"/>
  <c r="AA511" i="13" s="1"/>
  <c r="Q511" i="13"/>
  <c r="O511" i="13"/>
  <c r="Y510" i="13"/>
  <c r="AA510" i="13" s="1"/>
  <c r="X510" i="13"/>
  <c r="AB510" i="13" s="1"/>
  <c r="W510" i="13"/>
  <c r="O510" i="13"/>
  <c r="W509" i="13"/>
  <c r="O509" i="13"/>
  <c r="W508" i="13"/>
  <c r="O508" i="13"/>
  <c r="Q507" i="13"/>
  <c r="W507" i="13" s="1"/>
  <c r="O507" i="13"/>
  <c r="AA506" i="13"/>
  <c r="W506" i="13"/>
  <c r="Y506" i="13" s="1"/>
  <c r="Q506" i="13"/>
  <c r="O506" i="13"/>
  <c r="O505" i="13"/>
  <c r="W505" i="13" s="1"/>
  <c r="Y504" i="13"/>
  <c r="AA504" i="13" s="1"/>
  <c r="X504" i="13"/>
  <c r="AB504" i="13" s="1"/>
  <c r="W504" i="13"/>
  <c r="O504" i="13"/>
  <c r="W503" i="13"/>
  <c r="O503" i="13"/>
  <c r="AB502" i="13"/>
  <c r="X502" i="13"/>
  <c r="O502" i="13"/>
  <c r="W502" i="13" s="1"/>
  <c r="Y502" i="13" s="1"/>
  <c r="AA502" i="13" s="1"/>
  <c r="P501" i="13"/>
  <c r="O501" i="13"/>
  <c r="W501" i="13" s="1"/>
  <c r="P500" i="13"/>
  <c r="O500" i="13"/>
  <c r="X499" i="13"/>
  <c r="AB499" i="13" s="1"/>
  <c r="W499" i="13"/>
  <c r="Y499" i="13" s="1"/>
  <c r="AA499" i="13" s="1"/>
  <c r="O499" i="13"/>
  <c r="W498" i="13"/>
  <c r="O498" i="13"/>
  <c r="W497" i="13"/>
  <c r="O497" i="13"/>
  <c r="Y496" i="13"/>
  <c r="AA496" i="13" s="1"/>
  <c r="AB496" i="13" s="1"/>
  <c r="O496" i="13"/>
  <c r="W496" i="13" s="1"/>
  <c r="X496" i="13" s="1"/>
  <c r="W495" i="13"/>
  <c r="O495" i="13"/>
  <c r="O494" i="13"/>
  <c r="W494" i="13" s="1"/>
  <c r="O493" i="13"/>
  <c r="W493" i="13" s="1"/>
  <c r="W492" i="13"/>
  <c r="Y492" i="13" s="1"/>
  <c r="AA492" i="13" s="1"/>
  <c r="O492" i="13"/>
  <c r="W491" i="13"/>
  <c r="Y491" i="13" s="1"/>
  <c r="AA491" i="13" s="1"/>
  <c r="O491" i="13"/>
  <c r="W490" i="13"/>
  <c r="O490" i="13"/>
  <c r="Y489" i="13"/>
  <c r="AA489" i="13" s="1"/>
  <c r="X489" i="13"/>
  <c r="AB489" i="13" s="1"/>
  <c r="W489" i="13"/>
  <c r="O489" i="13"/>
  <c r="O488" i="13"/>
  <c r="W488" i="13" s="1"/>
  <c r="P487" i="13"/>
  <c r="O487" i="13"/>
  <c r="Q486" i="13"/>
  <c r="W486" i="13" s="1"/>
  <c r="O486" i="13"/>
  <c r="W485" i="13"/>
  <c r="O485" i="13"/>
  <c r="O484" i="13"/>
  <c r="O483" i="13"/>
  <c r="W483" i="13" s="1"/>
  <c r="O482" i="13"/>
  <c r="P481" i="13"/>
  <c r="O481" i="13"/>
  <c r="Z480" i="13"/>
  <c r="Q480" i="13"/>
  <c r="P480" i="13"/>
  <c r="O480" i="13"/>
  <c r="W479" i="13"/>
  <c r="P479" i="13"/>
  <c r="O479" i="13"/>
  <c r="P478" i="13"/>
  <c r="O478" i="13"/>
  <c r="W477" i="13"/>
  <c r="P477" i="13"/>
  <c r="O477" i="13"/>
  <c r="AA476" i="13"/>
  <c r="W476" i="13"/>
  <c r="Y476" i="13" s="1"/>
  <c r="P476" i="13"/>
  <c r="O476" i="13"/>
  <c r="P475" i="13"/>
  <c r="O475" i="13"/>
  <c r="Y474" i="13"/>
  <c r="AA474" i="13" s="1"/>
  <c r="P474" i="13"/>
  <c r="O474" i="13"/>
  <c r="W474" i="13" s="1"/>
  <c r="X474" i="13" s="1"/>
  <c r="AB474" i="13" s="1"/>
  <c r="Z473" i="13"/>
  <c r="W473" i="13"/>
  <c r="Y473" i="13" s="1"/>
  <c r="AA473" i="13" s="1"/>
  <c r="P473" i="13"/>
  <c r="O473" i="13"/>
  <c r="N472" i="13"/>
  <c r="M472" i="13"/>
  <c r="L472" i="13"/>
  <c r="J472" i="13"/>
  <c r="I472" i="13"/>
  <c r="O472" i="13" s="1"/>
  <c r="W472" i="13" s="1"/>
  <c r="Y472" i="13" s="1"/>
  <c r="AA472" i="13" s="1"/>
  <c r="N471" i="13"/>
  <c r="O471" i="13" s="1"/>
  <c r="M471" i="13"/>
  <c r="L471" i="13"/>
  <c r="J471" i="13"/>
  <c r="I471" i="13"/>
  <c r="N470" i="13"/>
  <c r="L470" i="13"/>
  <c r="J470" i="13"/>
  <c r="I470" i="13"/>
  <c r="X469" i="13"/>
  <c r="AB469" i="13" s="1"/>
  <c r="W469" i="13"/>
  <c r="Y469" i="13" s="1"/>
  <c r="AA469" i="13" s="1"/>
  <c r="N469" i="13"/>
  <c r="L469" i="13"/>
  <c r="J469" i="13"/>
  <c r="I469" i="13"/>
  <c r="O469" i="13" s="1"/>
  <c r="P468" i="13"/>
  <c r="O468" i="13"/>
  <c r="N468" i="13"/>
  <c r="M468" i="13"/>
  <c r="L468" i="13"/>
  <c r="J468" i="13"/>
  <c r="I468" i="13"/>
  <c r="O467" i="13"/>
  <c r="Z466" i="13"/>
  <c r="Q466" i="13"/>
  <c r="W466" i="13" s="1"/>
  <c r="O466" i="13"/>
  <c r="O465" i="13"/>
  <c r="W465" i="13" s="1"/>
  <c r="Z464" i="13"/>
  <c r="X464" i="13"/>
  <c r="O464" i="13"/>
  <c r="W464" i="13" s="1"/>
  <c r="Y464" i="13" s="1"/>
  <c r="AA464" i="13" s="1"/>
  <c r="AB464" i="13" s="1"/>
  <c r="M463" i="13"/>
  <c r="O463" i="13" s="1"/>
  <c r="O462" i="13"/>
  <c r="W461" i="13"/>
  <c r="O461" i="13"/>
  <c r="O460" i="13"/>
  <c r="W460" i="13" s="1"/>
  <c r="R459" i="13"/>
  <c r="W459" i="13" s="1"/>
  <c r="Q459" i="13"/>
  <c r="P459" i="13"/>
  <c r="O459" i="13"/>
  <c r="W458" i="13"/>
  <c r="O458" i="13"/>
  <c r="O457" i="13"/>
  <c r="O456" i="13"/>
  <c r="O455" i="13"/>
  <c r="O454" i="13"/>
  <c r="Z453" i="13"/>
  <c r="Q453" i="13"/>
  <c r="O453" i="13"/>
  <c r="W453" i="13" s="1"/>
  <c r="O452" i="13"/>
  <c r="W451" i="13"/>
  <c r="O451" i="13"/>
  <c r="O450" i="13"/>
  <c r="Z449" i="13"/>
  <c r="W449" i="13"/>
  <c r="O449" i="13"/>
  <c r="Z448" i="13"/>
  <c r="O448" i="13"/>
  <c r="O447" i="13"/>
  <c r="M447" i="13"/>
  <c r="P446" i="13"/>
  <c r="O446" i="13"/>
  <c r="O445" i="13"/>
  <c r="W444" i="13"/>
  <c r="O444" i="13"/>
  <c r="O443" i="13"/>
  <c r="Z442" i="13"/>
  <c r="W442" i="13"/>
  <c r="Y442" i="13" s="1"/>
  <c r="AA442" i="13" s="1"/>
  <c r="O442" i="13"/>
  <c r="Y441" i="13"/>
  <c r="AA441" i="13" s="1"/>
  <c r="W441" i="13"/>
  <c r="X441" i="13" s="1"/>
  <c r="AB441" i="13" s="1"/>
  <c r="O441" i="13"/>
  <c r="X440" i="13"/>
  <c r="W440" i="13"/>
  <c r="Y440" i="13" s="1"/>
  <c r="AA440" i="13" s="1"/>
  <c r="O440" i="13"/>
  <c r="Q439" i="13"/>
  <c r="O439" i="13"/>
  <c r="Q438" i="13"/>
  <c r="O438" i="13"/>
  <c r="M438" i="13"/>
  <c r="O437" i="13"/>
  <c r="W437" i="13" s="1"/>
  <c r="Q436" i="13"/>
  <c r="O436" i="13"/>
  <c r="O435" i="13"/>
  <c r="Z434" i="13"/>
  <c r="W434" i="13"/>
  <c r="O434" i="13"/>
  <c r="X433" i="13"/>
  <c r="W433" i="13"/>
  <c r="Y433" i="13" s="1"/>
  <c r="AA433" i="13" s="1"/>
  <c r="O433" i="13"/>
  <c r="Y432" i="13"/>
  <c r="AA432" i="13" s="1"/>
  <c r="W432" i="13"/>
  <c r="X432" i="13" s="1"/>
  <c r="O432" i="13"/>
  <c r="AB432" i="13" s="1"/>
  <c r="O431" i="13"/>
  <c r="W430" i="13"/>
  <c r="X430" i="13" s="1"/>
  <c r="O430" i="13"/>
  <c r="Z429" i="13"/>
  <c r="Q429" i="13"/>
  <c r="M429" i="13"/>
  <c r="O429" i="13" s="1"/>
  <c r="O428" i="13"/>
  <c r="M428" i="13"/>
  <c r="Y427" i="13"/>
  <c r="AA427" i="13" s="1"/>
  <c r="X427" i="13"/>
  <c r="W427" i="13"/>
  <c r="O427" i="13"/>
  <c r="O426" i="13"/>
  <c r="O425" i="13"/>
  <c r="W425" i="13" s="1"/>
  <c r="Y425" i="13" s="1"/>
  <c r="AA425" i="13" s="1"/>
  <c r="W424" i="13"/>
  <c r="O424" i="13"/>
  <c r="X423" i="13"/>
  <c r="W423" i="13"/>
  <c r="Y423" i="13" s="1"/>
  <c r="AA423" i="13" s="1"/>
  <c r="O423" i="13"/>
  <c r="O422" i="13"/>
  <c r="O421" i="13"/>
  <c r="AA420" i="13"/>
  <c r="AB420" i="13" s="1"/>
  <c r="Y420" i="13"/>
  <c r="X420" i="13"/>
  <c r="O420" i="13"/>
  <c r="W420" i="13" s="1"/>
  <c r="AA419" i="13"/>
  <c r="Y419" i="13"/>
  <c r="X419" i="13"/>
  <c r="AB419" i="13" s="1"/>
  <c r="W419" i="13"/>
  <c r="O419" i="13"/>
  <c r="O418" i="13"/>
  <c r="X417" i="13"/>
  <c r="W417" i="13"/>
  <c r="Y417" i="13" s="1"/>
  <c r="AA417" i="13" s="1"/>
  <c r="O417" i="13"/>
  <c r="W416" i="13"/>
  <c r="O416" i="13"/>
  <c r="W415" i="13"/>
  <c r="O415" i="13"/>
  <c r="P414" i="13"/>
  <c r="W414" i="13" s="1"/>
  <c r="O414" i="13"/>
  <c r="O413" i="13"/>
  <c r="W412" i="13"/>
  <c r="Y412" i="13" s="1"/>
  <c r="AA412" i="13" s="1"/>
  <c r="AG412" i="13" s="1"/>
  <c r="Q412" i="13"/>
  <c r="O412" i="13"/>
  <c r="Q411" i="13"/>
  <c r="O411" i="13"/>
  <c r="W411" i="13" s="1"/>
  <c r="P410" i="13"/>
  <c r="J410" i="13"/>
  <c r="O410" i="13" s="1"/>
  <c r="W409" i="13"/>
  <c r="P409" i="13"/>
  <c r="O409" i="13"/>
  <c r="P408" i="13"/>
  <c r="O408" i="13"/>
  <c r="T407" i="13"/>
  <c r="R407" i="13"/>
  <c r="P407" i="13"/>
  <c r="M407" i="13"/>
  <c r="O407" i="13" s="1"/>
  <c r="O406" i="13"/>
  <c r="W406" i="13" s="1"/>
  <c r="X406" i="13" s="1"/>
  <c r="Y405" i="13"/>
  <c r="AA405" i="13" s="1"/>
  <c r="X405" i="13"/>
  <c r="O405" i="13"/>
  <c r="W405" i="13" s="1"/>
  <c r="Z404" i="13"/>
  <c r="U404" i="13"/>
  <c r="O404" i="13"/>
  <c r="Y403" i="13"/>
  <c r="AA403" i="13" s="1"/>
  <c r="AB403" i="13" s="1"/>
  <c r="X403" i="13"/>
  <c r="O403" i="13"/>
  <c r="W403" i="13" s="1"/>
  <c r="O402" i="13"/>
  <c r="O401" i="13"/>
  <c r="O400" i="13"/>
  <c r="W400" i="13" s="1"/>
  <c r="Y400" i="13" s="1"/>
  <c r="AA400" i="13" s="1"/>
  <c r="O399" i="13"/>
  <c r="O398" i="13"/>
  <c r="W398" i="13" s="1"/>
  <c r="W397" i="13"/>
  <c r="O397" i="13"/>
  <c r="Q396" i="13"/>
  <c r="P396" i="13"/>
  <c r="O396" i="13"/>
  <c r="AA395" i="13"/>
  <c r="AB395" i="13" s="1"/>
  <c r="Y395" i="13"/>
  <c r="X395" i="13"/>
  <c r="O395" i="13"/>
  <c r="W395" i="13" s="1"/>
  <c r="O394" i="13"/>
  <c r="W394" i="13" s="1"/>
  <c r="W393" i="13"/>
  <c r="O393" i="13"/>
  <c r="W392" i="13"/>
  <c r="O392" i="13"/>
  <c r="O391" i="13"/>
  <c r="O390" i="13"/>
  <c r="O389" i="13"/>
  <c r="X388" i="13"/>
  <c r="AB388" i="13" s="1"/>
  <c r="W388" i="13"/>
  <c r="Y388" i="13" s="1"/>
  <c r="AA388" i="13" s="1"/>
  <c r="O388" i="13"/>
  <c r="AA387" i="13"/>
  <c r="Y387" i="13"/>
  <c r="X387" i="13"/>
  <c r="AB387" i="13" s="1"/>
  <c r="O387" i="13"/>
  <c r="W387" i="13" s="1"/>
  <c r="O386" i="13"/>
  <c r="Z385" i="13"/>
  <c r="Y385" i="13"/>
  <c r="W385" i="13"/>
  <c r="X385" i="13" s="1"/>
  <c r="O385" i="13"/>
  <c r="Z384" i="13"/>
  <c r="O384" i="13"/>
  <c r="W383" i="13"/>
  <c r="O383" i="13"/>
  <c r="Y382" i="13"/>
  <c r="AA382" i="13" s="1"/>
  <c r="X382" i="13"/>
  <c r="O382" i="13"/>
  <c r="W382" i="13" s="1"/>
  <c r="O381" i="13"/>
  <c r="X380" i="13"/>
  <c r="W380" i="13"/>
  <c r="Y380" i="13" s="1"/>
  <c r="AA380" i="13" s="1"/>
  <c r="O380" i="13"/>
  <c r="W379" i="13"/>
  <c r="O379" i="13"/>
  <c r="O378" i="13"/>
  <c r="O377" i="13"/>
  <c r="W377" i="13" s="1"/>
  <c r="Y377" i="13" s="1"/>
  <c r="AA377" i="13" s="1"/>
  <c r="O376" i="13"/>
  <c r="W375" i="13"/>
  <c r="O375" i="13"/>
  <c r="AA374" i="13"/>
  <c r="Y374" i="13"/>
  <c r="X374" i="13"/>
  <c r="O374" i="13"/>
  <c r="W374" i="13" s="1"/>
  <c r="W373" i="13"/>
  <c r="Y373" i="13" s="1"/>
  <c r="AA373" i="13" s="1"/>
  <c r="O373" i="13"/>
  <c r="Y372" i="13"/>
  <c r="AA372" i="13" s="1"/>
  <c r="X372" i="13"/>
  <c r="O372" i="13"/>
  <c r="W372" i="13" s="1"/>
  <c r="W371" i="13"/>
  <c r="O371" i="13"/>
  <c r="Z370" i="13"/>
  <c r="O370" i="13"/>
  <c r="Y369" i="13"/>
  <c r="AA369" i="13" s="1"/>
  <c r="AB369" i="13" s="1"/>
  <c r="W369" i="13"/>
  <c r="X369" i="13" s="1"/>
  <c r="O369" i="13"/>
  <c r="O368" i="13"/>
  <c r="O367" i="13"/>
  <c r="O366" i="13"/>
  <c r="W366" i="13" s="1"/>
  <c r="X366" i="13" s="1"/>
  <c r="Z365" i="13"/>
  <c r="Q365" i="13"/>
  <c r="O365" i="13"/>
  <c r="W364" i="13"/>
  <c r="O364" i="13"/>
  <c r="O363" i="13"/>
  <c r="W363" i="13" s="1"/>
  <c r="U362" i="13"/>
  <c r="O362" i="13"/>
  <c r="W361" i="13"/>
  <c r="O361" i="13"/>
  <c r="O360" i="13"/>
  <c r="O359" i="13"/>
  <c r="W359" i="13" s="1"/>
  <c r="X359" i="13" s="1"/>
  <c r="O358" i="13"/>
  <c r="O357" i="13"/>
  <c r="W357" i="13" s="1"/>
  <c r="X357" i="13" s="1"/>
  <c r="AA356" i="13"/>
  <c r="Y356" i="13"/>
  <c r="X356" i="13"/>
  <c r="O356" i="13"/>
  <c r="W356" i="13" s="1"/>
  <c r="O355" i="13"/>
  <c r="O354" i="13"/>
  <c r="W353" i="13"/>
  <c r="Y353" i="13" s="1"/>
  <c r="AA353" i="13" s="1"/>
  <c r="O353" i="13"/>
  <c r="P352" i="13"/>
  <c r="W352" i="13" s="1"/>
  <c r="O352" i="13"/>
  <c r="P351" i="13"/>
  <c r="O351" i="13"/>
  <c r="P350" i="13"/>
  <c r="O350" i="13"/>
  <c r="W349" i="13"/>
  <c r="P349" i="13"/>
  <c r="O349" i="13"/>
  <c r="W348" i="13"/>
  <c r="Y348" i="13" s="1"/>
  <c r="AA348" i="13" s="1"/>
  <c r="P348" i="13"/>
  <c r="O348" i="13"/>
  <c r="O347" i="13"/>
  <c r="O346" i="13"/>
  <c r="W345" i="13"/>
  <c r="P345" i="13"/>
  <c r="O345" i="13"/>
  <c r="Z344" i="13"/>
  <c r="M344" i="13"/>
  <c r="O344" i="13" s="1"/>
  <c r="O343" i="13"/>
  <c r="W343" i="13" s="1"/>
  <c r="Z342" i="13"/>
  <c r="O342" i="13"/>
  <c r="W342" i="13" s="1"/>
  <c r="X341" i="13"/>
  <c r="W341" i="13"/>
  <c r="Y341" i="13" s="1"/>
  <c r="AA341" i="13" s="1"/>
  <c r="O341" i="13"/>
  <c r="Y340" i="13"/>
  <c r="AA340" i="13" s="1"/>
  <c r="X340" i="13"/>
  <c r="W340" i="13"/>
  <c r="O340" i="13"/>
  <c r="O339" i="13"/>
  <c r="Y338" i="13"/>
  <c r="AA338" i="13" s="1"/>
  <c r="X338" i="13"/>
  <c r="M338" i="13"/>
  <c r="O338" i="13" s="1"/>
  <c r="W338" i="13" s="1"/>
  <c r="O337" i="13"/>
  <c r="W337" i="13" s="1"/>
  <c r="O336" i="13"/>
  <c r="W336" i="13" s="1"/>
  <c r="AB335" i="13"/>
  <c r="X335" i="13"/>
  <c r="W335" i="13"/>
  <c r="Y335" i="13" s="1"/>
  <c r="AA335" i="13" s="1"/>
  <c r="O335" i="13"/>
  <c r="AA334" i="13"/>
  <c r="W334" i="13"/>
  <c r="Y334" i="13" s="1"/>
  <c r="O334" i="13"/>
  <c r="Y333" i="13"/>
  <c r="AA333" i="13" s="1"/>
  <c r="W333" i="13"/>
  <c r="X333" i="13" s="1"/>
  <c r="O333" i="13"/>
  <c r="O332" i="13"/>
  <c r="M331" i="13"/>
  <c r="O331" i="13" s="1"/>
  <c r="O330" i="13"/>
  <c r="W330" i="13" s="1"/>
  <c r="Z329" i="13"/>
  <c r="Q329" i="13"/>
  <c r="O329" i="13"/>
  <c r="W329" i="13" s="1"/>
  <c r="AB328" i="13"/>
  <c r="AA328" i="13"/>
  <c r="Y328" i="13"/>
  <c r="X328" i="13"/>
  <c r="W328" i="13"/>
  <c r="O328" i="13"/>
  <c r="O327" i="13"/>
  <c r="M327" i="13"/>
  <c r="O326" i="13"/>
  <c r="W326" i="13" s="1"/>
  <c r="Z325" i="13"/>
  <c r="Y325" i="13"/>
  <c r="AA325" i="13" s="1"/>
  <c r="X325" i="13"/>
  <c r="W325" i="13"/>
  <c r="O325" i="13"/>
  <c r="Z324" i="13"/>
  <c r="Q324" i="13"/>
  <c r="O324" i="13"/>
  <c r="Z323" i="13"/>
  <c r="O323" i="13"/>
  <c r="W323" i="13" s="1"/>
  <c r="O322" i="13"/>
  <c r="Y321" i="13"/>
  <c r="AA321" i="13" s="1"/>
  <c r="W321" i="13"/>
  <c r="X321" i="13" s="1"/>
  <c r="AB321" i="13" s="1"/>
  <c r="O321" i="13"/>
  <c r="O320" i="13"/>
  <c r="O319" i="13"/>
  <c r="Q318" i="13"/>
  <c r="O318" i="13"/>
  <c r="X317" i="13"/>
  <c r="W317" i="13"/>
  <c r="Y317" i="13" s="1"/>
  <c r="AA317" i="13" s="1"/>
  <c r="O317" i="13"/>
  <c r="M317" i="13"/>
  <c r="Z316" i="13"/>
  <c r="Q316" i="13"/>
  <c r="O316" i="13"/>
  <c r="W316" i="13" s="1"/>
  <c r="Y316" i="13" s="1"/>
  <c r="AA316" i="13" s="1"/>
  <c r="W315" i="13"/>
  <c r="Y315" i="13" s="1"/>
  <c r="AA315" i="13" s="1"/>
  <c r="Q315" i="13"/>
  <c r="O315" i="13"/>
  <c r="O314" i="13"/>
  <c r="W314" i="13" s="1"/>
  <c r="Y314" i="13" s="1"/>
  <c r="AA314" i="13" s="1"/>
  <c r="W313" i="13"/>
  <c r="Y313" i="13" s="1"/>
  <c r="AA313" i="13" s="1"/>
  <c r="O313" i="13"/>
  <c r="W312" i="13"/>
  <c r="Y312" i="13" s="1"/>
  <c r="AA312" i="13" s="1"/>
  <c r="O312" i="13"/>
  <c r="Y311" i="13"/>
  <c r="AA311" i="13" s="1"/>
  <c r="X311" i="13"/>
  <c r="AB311" i="13" s="1"/>
  <c r="W311" i="13"/>
  <c r="O311" i="13"/>
  <c r="O310" i="13"/>
  <c r="W310" i="13" s="1"/>
  <c r="Z309" i="13"/>
  <c r="Q309" i="13"/>
  <c r="O309" i="13"/>
  <c r="W309" i="13" s="1"/>
  <c r="X309" i="13" s="1"/>
  <c r="Y308" i="13"/>
  <c r="AA308" i="13" s="1"/>
  <c r="W308" i="13"/>
  <c r="X308" i="13" s="1"/>
  <c r="O308" i="13"/>
  <c r="AB308" i="13" s="1"/>
  <c r="W307" i="13"/>
  <c r="Y307" i="13" s="1"/>
  <c r="AA307" i="13" s="1"/>
  <c r="O307" i="13"/>
  <c r="M307" i="13"/>
  <c r="O306" i="13"/>
  <c r="W306" i="13" s="1"/>
  <c r="X306" i="13" s="1"/>
  <c r="Z305" i="13"/>
  <c r="Q305" i="13"/>
  <c r="O305" i="13"/>
  <c r="Y304" i="13"/>
  <c r="AA304" i="13" s="1"/>
  <c r="X304" i="13"/>
  <c r="AB304" i="13" s="1"/>
  <c r="W304" i="13"/>
  <c r="O304" i="13"/>
  <c r="O303" i="13"/>
  <c r="Q302" i="13"/>
  <c r="O302" i="13"/>
  <c r="W302" i="13" s="1"/>
  <c r="W301" i="13"/>
  <c r="P301" i="13"/>
  <c r="O301" i="13"/>
  <c r="Y300" i="13"/>
  <c r="AA300" i="13" s="1"/>
  <c r="X300" i="13"/>
  <c r="W300" i="13"/>
  <c r="O300" i="13"/>
  <c r="W299" i="13"/>
  <c r="Y299" i="13" s="1"/>
  <c r="AA299" i="13" s="1"/>
  <c r="Q299" i="13"/>
  <c r="O299" i="13"/>
  <c r="O298" i="13"/>
  <c r="W298" i="13" s="1"/>
  <c r="M297" i="13"/>
  <c r="O297" i="13" s="1"/>
  <c r="W296" i="13"/>
  <c r="Y296" i="13" s="1"/>
  <c r="AA296" i="13" s="1"/>
  <c r="O296" i="13"/>
  <c r="O295" i="13"/>
  <c r="AA294" i="13"/>
  <c r="Y294" i="13"/>
  <c r="W294" i="13"/>
  <c r="X294" i="13" s="1"/>
  <c r="AB294" i="13" s="1"/>
  <c r="O294" i="13"/>
  <c r="P293" i="13"/>
  <c r="O293" i="13"/>
  <c r="R292" i="13"/>
  <c r="P292" i="13"/>
  <c r="O292" i="13"/>
  <c r="P291" i="13"/>
  <c r="O291" i="13"/>
  <c r="Z290" i="13"/>
  <c r="X290" i="13"/>
  <c r="W290" i="13"/>
  <c r="Y290" i="13" s="1"/>
  <c r="AA290" i="13" s="1"/>
  <c r="P290" i="13"/>
  <c r="M290" i="13"/>
  <c r="O290" i="13" s="1"/>
  <c r="P289" i="13"/>
  <c r="O289" i="13"/>
  <c r="P288" i="13"/>
  <c r="M288" i="13"/>
  <c r="O288" i="13" s="1"/>
  <c r="W287" i="13"/>
  <c r="Y287" i="13" s="1"/>
  <c r="AA287" i="13" s="1"/>
  <c r="AB287" i="13" s="1"/>
  <c r="R287" i="13"/>
  <c r="P287" i="13"/>
  <c r="O287" i="13"/>
  <c r="Q286" i="13"/>
  <c r="P286" i="13"/>
  <c r="O286" i="13"/>
  <c r="Z285" i="13"/>
  <c r="R285" i="13"/>
  <c r="P285" i="13"/>
  <c r="W285" i="13" s="1"/>
  <c r="O285" i="13"/>
  <c r="W284" i="13"/>
  <c r="O284" i="13"/>
  <c r="Y283" i="13"/>
  <c r="AA283" i="13" s="1"/>
  <c r="AB283" i="13" s="1"/>
  <c r="X283" i="13"/>
  <c r="W283" i="13"/>
  <c r="O283" i="13"/>
  <c r="P282" i="13"/>
  <c r="O282" i="13"/>
  <c r="W282" i="13" s="1"/>
  <c r="R281" i="13"/>
  <c r="P281" i="13"/>
  <c r="W281" i="13" s="1"/>
  <c r="O281" i="13"/>
  <c r="R280" i="13"/>
  <c r="P280" i="13"/>
  <c r="O280" i="13"/>
  <c r="P279" i="13"/>
  <c r="O279" i="13"/>
  <c r="W278" i="13"/>
  <c r="T278" i="13"/>
  <c r="O278" i="13"/>
  <c r="Y277" i="13"/>
  <c r="AA277" i="13" s="1"/>
  <c r="AB277" i="13" s="1"/>
  <c r="O277" i="13"/>
  <c r="W277" i="13" s="1"/>
  <c r="X277" i="13" s="1"/>
  <c r="Q276" i="13"/>
  <c r="O276" i="13"/>
  <c r="O275" i="13"/>
  <c r="W275" i="13" s="1"/>
  <c r="T274" i="13"/>
  <c r="W274" i="13" s="1"/>
  <c r="O274" i="13"/>
  <c r="O273" i="13"/>
  <c r="Q272" i="13"/>
  <c r="O272" i="13"/>
  <c r="T271" i="13"/>
  <c r="W271" i="13" s="1"/>
  <c r="O271" i="13"/>
  <c r="AQ270" i="13"/>
  <c r="O270" i="13"/>
  <c r="Y269" i="13"/>
  <c r="AA269" i="13" s="1"/>
  <c r="AB269" i="13" s="1"/>
  <c r="X269" i="13"/>
  <c r="W269" i="13"/>
  <c r="O269" i="13"/>
  <c r="O268" i="13"/>
  <c r="O267" i="13"/>
  <c r="O266" i="13"/>
  <c r="W266" i="13" s="1"/>
  <c r="Z265" i="13"/>
  <c r="Q265" i="13"/>
  <c r="O265" i="13"/>
  <c r="W265" i="13" s="1"/>
  <c r="X265" i="13" s="1"/>
  <c r="Y264" i="13"/>
  <c r="AA264" i="13" s="1"/>
  <c r="X264" i="13"/>
  <c r="AB264" i="13" s="1"/>
  <c r="W264" i="13"/>
  <c r="O264" i="13"/>
  <c r="O263" i="13"/>
  <c r="W263" i="13" s="1"/>
  <c r="X263" i="13" s="1"/>
  <c r="AB262" i="13"/>
  <c r="X262" i="13"/>
  <c r="W262" i="13"/>
  <c r="Y262" i="13" s="1"/>
  <c r="AA262" i="13" s="1"/>
  <c r="O262" i="13"/>
  <c r="O261" i="13"/>
  <c r="W261" i="13" s="1"/>
  <c r="Q260" i="13"/>
  <c r="W260" i="13" s="1"/>
  <c r="O260" i="13"/>
  <c r="W259" i="13"/>
  <c r="Y259" i="13" s="1"/>
  <c r="AA259" i="13" s="1"/>
  <c r="O259" i="13"/>
  <c r="P258" i="13"/>
  <c r="O258" i="13"/>
  <c r="Z257" i="13"/>
  <c r="W257" i="13"/>
  <c r="P257" i="13"/>
  <c r="O257" i="13"/>
  <c r="Y256" i="13"/>
  <c r="AA256" i="13" s="1"/>
  <c r="X256" i="13"/>
  <c r="W256" i="13"/>
  <c r="O256" i="13"/>
  <c r="Z255" i="13"/>
  <c r="O255" i="13"/>
  <c r="R254" i="13"/>
  <c r="P254" i="13"/>
  <c r="O254" i="13"/>
  <c r="O253" i="13"/>
  <c r="W252" i="13"/>
  <c r="Y252" i="13" s="1"/>
  <c r="AA252" i="13" s="1"/>
  <c r="T252" i="13"/>
  <c r="O252" i="13"/>
  <c r="O251" i="13"/>
  <c r="Z250" i="13"/>
  <c r="W250" i="13"/>
  <c r="X250" i="13" s="1"/>
  <c r="O250" i="13"/>
  <c r="W249" i="13"/>
  <c r="O249" i="13"/>
  <c r="O248" i="13"/>
  <c r="W247" i="13"/>
  <c r="Y247" i="13" s="1"/>
  <c r="AA247" i="13" s="1"/>
  <c r="O247" i="13"/>
  <c r="O246" i="13"/>
  <c r="Q245" i="13"/>
  <c r="O245" i="13"/>
  <c r="T244" i="13"/>
  <c r="W244" i="13" s="1"/>
  <c r="O244" i="13"/>
  <c r="O243" i="13"/>
  <c r="W243" i="13" s="1"/>
  <c r="W242" i="13"/>
  <c r="Q242" i="13"/>
  <c r="O242" i="13"/>
  <c r="W241" i="13"/>
  <c r="X241" i="13" s="1"/>
  <c r="O241" i="13"/>
  <c r="Y240" i="13"/>
  <c r="AA240" i="13" s="1"/>
  <c r="W240" i="13"/>
  <c r="X240" i="13" s="1"/>
  <c r="AB240" i="13" s="1"/>
  <c r="O240" i="13"/>
  <c r="O239" i="13"/>
  <c r="W238" i="13"/>
  <c r="O238" i="13"/>
  <c r="Y237" i="13"/>
  <c r="AA237" i="13" s="1"/>
  <c r="AB237" i="13" s="1"/>
  <c r="X237" i="13"/>
  <c r="W237" i="13"/>
  <c r="O237" i="13"/>
  <c r="Z236" i="13"/>
  <c r="O236" i="13"/>
  <c r="O235" i="13"/>
  <c r="Y234" i="13"/>
  <c r="AA234" i="13" s="1"/>
  <c r="AB234" i="13" s="1"/>
  <c r="O234" i="13"/>
  <c r="W234" i="13" s="1"/>
  <c r="X234" i="13" s="1"/>
  <c r="O233" i="13"/>
  <c r="P232" i="13"/>
  <c r="O232" i="13"/>
  <c r="W232" i="13" s="1"/>
  <c r="Z231" i="13"/>
  <c r="T231" i="13"/>
  <c r="Q231" i="13"/>
  <c r="O231" i="13"/>
  <c r="O230" i="13"/>
  <c r="O229" i="13"/>
  <c r="W228" i="13"/>
  <c r="P228" i="13"/>
  <c r="O228" i="13"/>
  <c r="X227" i="13"/>
  <c r="AB227" i="13" s="1"/>
  <c r="P227" i="13"/>
  <c r="O227" i="13"/>
  <c r="W227" i="13" s="1"/>
  <c r="Y227" i="13" s="1"/>
  <c r="AA227" i="13" s="1"/>
  <c r="T226" i="13"/>
  <c r="O226" i="13"/>
  <c r="Q225" i="13"/>
  <c r="W225" i="13" s="1"/>
  <c r="Y225" i="13" s="1"/>
  <c r="AA225" i="13" s="1"/>
  <c r="O225" i="13"/>
  <c r="O224" i="13"/>
  <c r="O223" i="13"/>
  <c r="Y222" i="13"/>
  <c r="AA222" i="13" s="1"/>
  <c r="O222" i="13"/>
  <c r="W222" i="13" s="1"/>
  <c r="X222" i="13" s="1"/>
  <c r="O221" i="13"/>
  <c r="W220" i="13"/>
  <c r="Y220" i="13" s="1"/>
  <c r="AA220" i="13" s="1"/>
  <c r="O220" i="13"/>
  <c r="Z219" i="13"/>
  <c r="R219" i="13"/>
  <c r="P219" i="13"/>
  <c r="O219" i="13"/>
  <c r="AB218" i="13"/>
  <c r="AA218" i="13"/>
  <c r="Y218" i="13"/>
  <c r="X218" i="13"/>
  <c r="P218" i="13"/>
  <c r="O218" i="13"/>
  <c r="W218" i="13" s="1"/>
  <c r="X217" i="13"/>
  <c r="AB217" i="13" s="1"/>
  <c r="W217" i="13"/>
  <c r="Y217" i="13" s="1"/>
  <c r="AA217" i="13" s="1"/>
  <c r="O217" i="13"/>
  <c r="P216" i="13"/>
  <c r="O216" i="13"/>
  <c r="W216" i="13" s="1"/>
  <c r="AA215" i="13"/>
  <c r="Y215" i="13"/>
  <c r="X215" i="13"/>
  <c r="AB215" i="13" s="1"/>
  <c r="W215" i="13"/>
  <c r="O215" i="13"/>
  <c r="AA214" i="13"/>
  <c r="X214" i="13"/>
  <c r="AB214" i="13" s="1"/>
  <c r="W214" i="13"/>
  <c r="Y214" i="13" s="1"/>
  <c r="O214" i="13"/>
  <c r="R213" i="13"/>
  <c r="P213" i="13"/>
  <c r="O213" i="13"/>
  <c r="Z212" i="13"/>
  <c r="Y212" i="13"/>
  <c r="AA212" i="13" s="1"/>
  <c r="X212" i="13"/>
  <c r="W212" i="13"/>
  <c r="O212" i="13"/>
  <c r="O211" i="13"/>
  <c r="W211" i="13" s="1"/>
  <c r="M210" i="13"/>
  <c r="O210" i="13" s="1"/>
  <c r="W210" i="13" s="1"/>
  <c r="X210" i="13" s="1"/>
  <c r="AA209" i="13"/>
  <c r="Y209" i="13"/>
  <c r="X209" i="13"/>
  <c r="W209" i="13"/>
  <c r="O209" i="13"/>
  <c r="Z208" i="13"/>
  <c r="Q208" i="13"/>
  <c r="M208" i="13"/>
  <c r="O208" i="13" s="1"/>
  <c r="O207" i="13"/>
  <c r="AA206" i="13"/>
  <c r="W206" i="13"/>
  <c r="Y206" i="13" s="1"/>
  <c r="Q206" i="13"/>
  <c r="O206" i="13"/>
  <c r="Y205" i="13"/>
  <c r="AA205" i="13" s="1"/>
  <c r="X205" i="13"/>
  <c r="W205" i="13"/>
  <c r="O205" i="13"/>
  <c r="Q204" i="13"/>
  <c r="O204" i="13"/>
  <c r="P203" i="13"/>
  <c r="O203" i="13"/>
  <c r="O202" i="13"/>
  <c r="P201" i="13"/>
  <c r="W201" i="13" s="1"/>
  <c r="O201" i="13"/>
  <c r="P200" i="13"/>
  <c r="O200" i="13"/>
  <c r="Z199" i="13"/>
  <c r="Q199" i="13"/>
  <c r="O199" i="13"/>
  <c r="W199" i="13" s="1"/>
  <c r="W198" i="13"/>
  <c r="Y198" i="13" s="1"/>
  <c r="O198" i="13"/>
  <c r="W197" i="13"/>
  <c r="O197" i="13"/>
  <c r="W196" i="13"/>
  <c r="Y196" i="13" s="1"/>
  <c r="AA196" i="13" s="1"/>
  <c r="O196" i="13"/>
  <c r="J196" i="13"/>
  <c r="W195" i="13"/>
  <c r="Y195" i="13" s="1"/>
  <c r="AA195" i="13" s="1"/>
  <c r="O195" i="13"/>
  <c r="M195" i="13"/>
  <c r="AB194" i="13"/>
  <c r="Y194" i="13"/>
  <c r="AA194" i="13" s="1"/>
  <c r="X194" i="13"/>
  <c r="W194" i="13"/>
  <c r="O194" i="13"/>
  <c r="W193" i="13"/>
  <c r="Y193" i="13" s="1"/>
  <c r="AA193" i="13" s="1"/>
  <c r="O193" i="13"/>
  <c r="W192" i="13"/>
  <c r="Y192" i="13" s="1"/>
  <c r="AA192" i="13" s="1"/>
  <c r="O192" i="13"/>
  <c r="W191" i="13"/>
  <c r="P191" i="13"/>
  <c r="O191" i="13"/>
  <c r="W190" i="13"/>
  <c r="Y190" i="13" s="1"/>
  <c r="AA190" i="13" s="1"/>
  <c r="P190" i="13"/>
  <c r="O190" i="13"/>
  <c r="O189" i="13"/>
  <c r="W189" i="13" s="1"/>
  <c r="W188" i="13"/>
  <c r="Q188" i="13"/>
  <c r="O188" i="13"/>
  <c r="W187" i="13"/>
  <c r="Y187" i="13" s="1"/>
  <c r="AA187" i="13" s="1"/>
  <c r="O187" i="13"/>
  <c r="AA186" i="13"/>
  <c r="AB186" i="13" s="1"/>
  <c r="Y186" i="13"/>
  <c r="X186" i="13"/>
  <c r="W186" i="13"/>
  <c r="O186" i="13"/>
  <c r="W185" i="13"/>
  <c r="X185" i="13" s="1"/>
  <c r="O185" i="13"/>
  <c r="W184" i="13"/>
  <c r="X184" i="13" s="1"/>
  <c r="Q184" i="13"/>
  <c r="O184" i="13"/>
  <c r="P183" i="13"/>
  <c r="O183" i="13"/>
  <c r="P182" i="13"/>
  <c r="W182" i="13" s="1"/>
  <c r="Y182" i="13" s="1"/>
  <c r="AA182" i="13" s="1"/>
  <c r="O182" i="13"/>
  <c r="Q181" i="13"/>
  <c r="P181" i="13"/>
  <c r="O181" i="13"/>
  <c r="P180" i="13"/>
  <c r="O180" i="13"/>
  <c r="M180" i="13"/>
  <c r="Q179" i="13"/>
  <c r="P179" i="13"/>
  <c r="O179" i="13"/>
  <c r="O178" i="13"/>
  <c r="W178" i="13" s="1"/>
  <c r="X177" i="13"/>
  <c r="AB177" i="13" s="1"/>
  <c r="W177" i="13"/>
  <c r="Y177" i="13" s="1"/>
  <c r="AA177" i="13" s="1"/>
  <c r="P177" i="13"/>
  <c r="O177" i="13"/>
  <c r="P176" i="13"/>
  <c r="O176" i="13"/>
  <c r="W176" i="13" s="1"/>
  <c r="O175" i="13"/>
  <c r="Z174" i="13"/>
  <c r="W174" i="13"/>
  <c r="X174" i="13" s="1"/>
  <c r="O174" i="13"/>
  <c r="O173" i="13"/>
  <c r="AA172" i="13"/>
  <c r="AB172" i="13" s="1"/>
  <c r="Y172" i="13"/>
  <c r="X172" i="13"/>
  <c r="W172" i="13"/>
  <c r="O172" i="13"/>
  <c r="W171" i="13"/>
  <c r="X171" i="13" s="1"/>
  <c r="O171" i="13"/>
  <c r="Y170" i="13"/>
  <c r="AA170" i="13" s="1"/>
  <c r="X170" i="13"/>
  <c r="W170" i="13"/>
  <c r="P170" i="13"/>
  <c r="O170" i="13"/>
  <c r="Q169" i="13"/>
  <c r="O169" i="13"/>
  <c r="W169" i="13" s="1"/>
  <c r="O168" i="13"/>
  <c r="Q167" i="13"/>
  <c r="P167" i="13"/>
  <c r="O167" i="13"/>
  <c r="Y166" i="13"/>
  <c r="AA166" i="13" s="1"/>
  <c r="M166" i="13"/>
  <c r="O166" i="13" s="1"/>
  <c r="W166" i="13" s="1"/>
  <c r="X166" i="13" s="1"/>
  <c r="W165" i="13"/>
  <c r="Y165" i="13" s="1"/>
  <c r="AA165" i="13" s="1"/>
  <c r="O165" i="13"/>
  <c r="X164" i="13"/>
  <c r="W164" i="13"/>
  <c r="Y164" i="13" s="1"/>
  <c r="AA164" i="13" s="1"/>
  <c r="O164" i="13"/>
  <c r="O163" i="13"/>
  <c r="W163" i="13" s="1"/>
  <c r="Y163" i="13" s="1"/>
  <c r="AA163" i="13" s="1"/>
  <c r="P162" i="13"/>
  <c r="O162" i="13"/>
  <c r="W162" i="13" s="1"/>
  <c r="P161" i="13"/>
  <c r="O161" i="13"/>
  <c r="Y160" i="13"/>
  <c r="AA160" i="13" s="1"/>
  <c r="W160" i="13"/>
  <c r="X160" i="13" s="1"/>
  <c r="P160" i="13"/>
  <c r="O160" i="13"/>
  <c r="Y159" i="13"/>
  <c r="AA159" i="13" s="1"/>
  <c r="W159" i="13"/>
  <c r="X159" i="13" s="1"/>
  <c r="O159" i="13"/>
  <c r="W158" i="13"/>
  <c r="P158" i="13"/>
  <c r="O158" i="13"/>
  <c r="X157" i="13"/>
  <c r="AB157" i="13" s="1"/>
  <c r="P157" i="13"/>
  <c r="J157" i="13"/>
  <c r="O157" i="13" s="1"/>
  <c r="W157" i="13" s="1"/>
  <c r="Y157" i="13" s="1"/>
  <c r="AA157" i="13" s="1"/>
  <c r="R156" i="13"/>
  <c r="P156" i="13"/>
  <c r="O156" i="13"/>
  <c r="W155" i="13"/>
  <c r="R155" i="13"/>
  <c r="P155" i="13"/>
  <c r="O155" i="13"/>
  <c r="Z154" i="13"/>
  <c r="Y154" i="13"/>
  <c r="AA154" i="13" s="1"/>
  <c r="W154" i="13"/>
  <c r="X154" i="13" s="1"/>
  <c r="O154" i="13"/>
  <c r="AB154" i="13" s="1"/>
  <c r="P153" i="13"/>
  <c r="W153" i="13" s="1"/>
  <c r="O153" i="13"/>
  <c r="O152" i="13"/>
  <c r="W152" i="13" s="1"/>
  <c r="Y152" i="13" s="1"/>
  <c r="AA152" i="13" s="1"/>
  <c r="X151" i="13"/>
  <c r="W151" i="13"/>
  <c r="Y151" i="13" s="1"/>
  <c r="AA151" i="13" s="1"/>
  <c r="AB151" i="13" s="1"/>
  <c r="O151" i="13"/>
  <c r="N151" i="13"/>
  <c r="O150" i="13"/>
  <c r="O149" i="13"/>
  <c r="W149" i="13" s="1"/>
  <c r="O148" i="13"/>
  <c r="W147" i="13"/>
  <c r="Q147" i="13"/>
  <c r="O147" i="13"/>
  <c r="AA146" i="13"/>
  <c r="W146" i="13"/>
  <c r="Y146" i="13" s="1"/>
  <c r="Q146" i="13"/>
  <c r="O146" i="13"/>
  <c r="O145" i="13"/>
  <c r="W145" i="13" s="1"/>
  <c r="X145" i="13" s="1"/>
  <c r="W144" i="13"/>
  <c r="O144" i="13"/>
  <c r="O143" i="13"/>
  <c r="O142" i="13"/>
  <c r="W142" i="13" s="1"/>
  <c r="X142" i="13" s="1"/>
  <c r="W141" i="13"/>
  <c r="Y141" i="13" s="1"/>
  <c r="AA141" i="13" s="1"/>
  <c r="P141" i="13"/>
  <c r="O141" i="13"/>
  <c r="W140" i="13"/>
  <c r="Y140" i="13" s="1"/>
  <c r="AA140" i="13" s="1"/>
  <c r="P140" i="13"/>
  <c r="O140" i="13"/>
  <c r="Q139" i="13"/>
  <c r="O139" i="13"/>
  <c r="AA138" i="13"/>
  <c r="W138" i="13"/>
  <c r="Y138" i="13" s="1"/>
  <c r="Q138" i="13"/>
  <c r="O138" i="13"/>
  <c r="Q137" i="13"/>
  <c r="O137" i="13"/>
  <c r="W137" i="13" s="1"/>
  <c r="Y137" i="13" s="1"/>
  <c r="AA137" i="13" s="1"/>
  <c r="O136" i="13"/>
  <c r="O135" i="13"/>
  <c r="W135" i="13" s="1"/>
  <c r="X135" i="13" s="1"/>
  <c r="Q134" i="13"/>
  <c r="O134" i="13"/>
  <c r="O133" i="13"/>
  <c r="O132" i="13"/>
  <c r="W132" i="13" s="1"/>
  <c r="W131" i="13"/>
  <c r="Y131" i="13" s="1"/>
  <c r="AA131" i="13" s="1"/>
  <c r="O131" i="13"/>
  <c r="O130" i="13"/>
  <c r="Z129" i="13"/>
  <c r="W129" i="13"/>
  <c r="X129" i="13" s="1"/>
  <c r="Q129" i="13"/>
  <c r="O129" i="13"/>
  <c r="N129" i="13"/>
  <c r="Q128" i="13"/>
  <c r="N128" i="13"/>
  <c r="O128" i="13" s="1"/>
  <c r="Q127" i="13"/>
  <c r="O127" i="13"/>
  <c r="W127" i="13" s="1"/>
  <c r="Y127" i="13" s="1"/>
  <c r="AA127" i="13" s="1"/>
  <c r="O126" i="13"/>
  <c r="W126" i="13" s="1"/>
  <c r="W125" i="13"/>
  <c r="O125" i="13"/>
  <c r="Q124" i="13"/>
  <c r="N124" i="13"/>
  <c r="O124" i="13" s="1"/>
  <c r="W123" i="13"/>
  <c r="O123" i="13"/>
  <c r="AB122" i="13"/>
  <c r="X122" i="13"/>
  <c r="N122" i="13"/>
  <c r="O122" i="13" s="1"/>
  <c r="W122" i="13" s="1"/>
  <c r="Y122" i="13" s="1"/>
  <c r="AA122" i="13" s="1"/>
  <c r="Y121" i="13"/>
  <c r="AA121" i="13" s="1"/>
  <c r="W121" i="13"/>
  <c r="X121" i="13" s="1"/>
  <c r="O121" i="13"/>
  <c r="W120" i="13"/>
  <c r="Q120" i="13"/>
  <c r="O120" i="13"/>
  <c r="Q119" i="13"/>
  <c r="N119" i="13"/>
  <c r="O119" i="13" s="1"/>
  <c r="W119" i="13" s="1"/>
  <c r="X119" i="13" s="1"/>
  <c r="O118" i="13"/>
  <c r="Z117" i="13"/>
  <c r="Q117" i="13"/>
  <c r="P117" i="13"/>
  <c r="N117" i="13"/>
  <c r="O117" i="13" s="1"/>
  <c r="W117" i="13" s="1"/>
  <c r="X117" i="13" s="1"/>
  <c r="O116" i="13"/>
  <c r="Y115" i="13"/>
  <c r="AA115" i="13" s="1"/>
  <c r="W115" i="13"/>
  <c r="X115" i="13" s="1"/>
  <c r="O115" i="13"/>
  <c r="O114" i="13"/>
  <c r="W114" i="13" s="1"/>
  <c r="Q113" i="13"/>
  <c r="P113" i="13"/>
  <c r="O113" i="13"/>
  <c r="AB112" i="13"/>
  <c r="X112" i="13"/>
  <c r="W112" i="13"/>
  <c r="Y112" i="13" s="1"/>
  <c r="AA112" i="13" s="1"/>
  <c r="P112" i="13"/>
  <c r="O112" i="13"/>
  <c r="Q111" i="13"/>
  <c r="P111" i="13"/>
  <c r="N111" i="13"/>
  <c r="O111" i="13" s="1"/>
  <c r="P110" i="13"/>
  <c r="O110" i="13"/>
  <c r="W110" i="13" s="1"/>
  <c r="W109" i="13"/>
  <c r="Y109" i="13" s="1"/>
  <c r="AA109" i="13" s="1"/>
  <c r="P109" i="13"/>
  <c r="O109" i="13"/>
  <c r="P108" i="13"/>
  <c r="W108" i="13" s="1"/>
  <c r="O108" i="13"/>
  <c r="Y107" i="13"/>
  <c r="AA107" i="13" s="1"/>
  <c r="X107" i="13"/>
  <c r="O107" i="13"/>
  <c r="W107" i="13" s="1"/>
  <c r="O106" i="13"/>
  <c r="N106" i="13"/>
  <c r="Q105" i="13"/>
  <c r="W105" i="13" s="1"/>
  <c r="O105" i="13"/>
  <c r="Z104" i="13"/>
  <c r="Q104" i="13"/>
  <c r="O104" i="13"/>
  <c r="W104" i="13" s="1"/>
  <c r="J104" i="13"/>
  <c r="O103" i="13"/>
  <c r="Y102" i="13"/>
  <c r="AA102" i="13" s="1"/>
  <c r="Q102" i="13"/>
  <c r="O102" i="13"/>
  <c r="W102" i="13" s="1"/>
  <c r="X102" i="13" s="1"/>
  <c r="Z101" i="13"/>
  <c r="Q101" i="13"/>
  <c r="O101" i="13"/>
  <c r="AA100" i="13"/>
  <c r="Y100" i="13"/>
  <c r="X100" i="13"/>
  <c r="AB100" i="13" s="1"/>
  <c r="W100" i="13"/>
  <c r="O100" i="13"/>
  <c r="P99" i="13"/>
  <c r="O99" i="13"/>
  <c r="O98" i="13"/>
  <c r="Y97" i="13"/>
  <c r="AA97" i="13" s="1"/>
  <c r="X97" i="13"/>
  <c r="O97" i="13"/>
  <c r="W97" i="13" s="1"/>
  <c r="Y96" i="13"/>
  <c r="AA96" i="13" s="1"/>
  <c r="W96" i="13"/>
  <c r="X96" i="13" s="1"/>
  <c r="AB96" i="13" s="1"/>
  <c r="Q96" i="13"/>
  <c r="O96" i="13"/>
  <c r="Q95" i="13"/>
  <c r="P95" i="13"/>
  <c r="W95" i="13" s="1"/>
  <c r="O95" i="13"/>
  <c r="W94" i="13"/>
  <c r="Y94" i="13" s="1"/>
  <c r="AA94" i="13" s="1"/>
  <c r="O94" i="13"/>
  <c r="O93" i="13"/>
  <c r="W93" i="13" s="1"/>
  <c r="Q92" i="13"/>
  <c r="W92" i="13" s="1"/>
  <c r="X92" i="13" s="1"/>
  <c r="O92" i="13"/>
  <c r="Y91" i="13"/>
  <c r="AA91" i="13" s="1"/>
  <c r="W91" i="13"/>
  <c r="X91" i="13" s="1"/>
  <c r="AB91" i="13" s="1"/>
  <c r="O91" i="13"/>
  <c r="W90" i="13"/>
  <c r="P90" i="13"/>
  <c r="O90" i="13"/>
  <c r="O89" i="13"/>
  <c r="W89" i="13" s="1"/>
  <c r="O88" i="13"/>
  <c r="O87" i="13"/>
  <c r="O86" i="13"/>
  <c r="O85" i="13"/>
  <c r="O84" i="13"/>
  <c r="AA83" i="13"/>
  <c r="Y83" i="13"/>
  <c r="O83" i="13"/>
  <c r="W83" i="13" s="1"/>
  <c r="X83" i="13" s="1"/>
  <c r="P82" i="13"/>
  <c r="O82" i="13"/>
  <c r="W82" i="13" s="1"/>
  <c r="W81" i="13"/>
  <c r="Y81" i="13" s="1"/>
  <c r="AA81" i="13" s="1"/>
  <c r="O81" i="13"/>
  <c r="W80" i="13"/>
  <c r="Y80" i="13" s="1"/>
  <c r="AA80" i="13" s="1"/>
  <c r="O80" i="13"/>
  <c r="W79" i="13"/>
  <c r="X79" i="13" s="1"/>
  <c r="O79" i="13"/>
  <c r="W78" i="13"/>
  <c r="X78" i="13" s="1"/>
  <c r="O78" i="13"/>
  <c r="Y77" i="13"/>
  <c r="AA77" i="13" s="1"/>
  <c r="W77" i="13"/>
  <c r="X77" i="13" s="1"/>
  <c r="O77" i="13"/>
  <c r="W76" i="13"/>
  <c r="Q76" i="13"/>
  <c r="O76" i="13"/>
  <c r="Z75" i="13"/>
  <c r="Q75" i="13"/>
  <c r="W75" i="13" s="1"/>
  <c r="O75" i="13"/>
  <c r="Q74" i="13"/>
  <c r="O74" i="13"/>
  <c r="Y73" i="13"/>
  <c r="AA73" i="13" s="1"/>
  <c r="AB73" i="13" s="1"/>
  <c r="X73" i="13"/>
  <c r="W73" i="13"/>
  <c r="O73" i="13"/>
  <c r="Y72" i="13"/>
  <c r="AA72" i="13" s="1"/>
  <c r="W72" i="13"/>
  <c r="X72" i="13" s="1"/>
  <c r="O72" i="13"/>
  <c r="Q71" i="13"/>
  <c r="O71" i="13"/>
  <c r="O70" i="13"/>
  <c r="W70" i="13" s="1"/>
  <c r="X70" i="13" s="1"/>
  <c r="O69" i="13"/>
  <c r="W69" i="13" s="1"/>
  <c r="Y69" i="13" s="1"/>
  <c r="AA69" i="13" s="1"/>
  <c r="Y68" i="13"/>
  <c r="AA68" i="13" s="1"/>
  <c r="X68" i="13"/>
  <c r="W68" i="13"/>
  <c r="O68" i="13"/>
  <c r="O67" i="13"/>
  <c r="W67" i="13" s="1"/>
  <c r="O66" i="13"/>
  <c r="W66" i="13" s="1"/>
  <c r="O65" i="13"/>
  <c r="Z64" i="13"/>
  <c r="Q64" i="13"/>
  <c r="P64" i="13"/>
  <c r="O64" i="13"/>
  <c r="W64" i="13" s="1"/>
  <c r="O63" i="13"/>
  <c r="P62" i="13"/>
  <c r="W62" i="13" s="1"/>
  <c r="O62" i="13"/>
  <c r="Q61" i="13"/>
  <c r="O61" i="13"/>
  <c r="W60" i="13"/>
  <c r="X60" i="13" s="1"/>
  <c r="O60" i="13"/>
  <c r="R59" i="13"/>
  <c r="P59" i="13"/>
  <c r="O59" i="13"/>
  <c r="R58" i="13"/>
  <c r="P58" i="13"/>
  <c r="O58" i="13"/>
  <c r="W57" i="13"/>
  <c r="X57" i="13" s="1"/>
  <c r="R57" i="13"/>
  <c r="P57" i="13"/>
  <c r="O57" i="13"/>
  <c r="P56" i="13"/>
  <c r="W56" i="13" s="1"/>
  <c r="O56" i="13"/>
  <c r="R55" i="13"/>
  <c r="P55" i="13"/>
  <c r="O55" i="13"/>
  <c r="O54" i="13"/>
  <c r="W53" i="13"/>
  <c r="O53" i="13"/>
  <c r="Z52" i="13"/>
  <c r="Q52" i="13"/>
  <c r="O52" i="13"/>
  <c r="W52" i="13" s="1"/>
  <c r="O51" i="13"/>
  <c r="Q50" i="13"/>
  <c r="O50" i="13"/>
  <c r="W50" i="13" s="1"/>
  <c r="O49" i="13"/>
  <c r="W48" i="13"/>
  <c r="X48" i="13" s="1"/>
  <c r="O48" i="13"/>
  <c r="P47" i="13"/>
  <c r="O47" i="13"/>
  <c r="O46" i="13"/>
  <c r="O45" i="13"/>
  <c r="W45" i="13" s="1"/>
  <c r="Y45" i="13" s="1"/>
  <c r="AA45" i="13" s="1"/>
  <c r="O44" i="13"/>
  <c r="O43" i="13"/>
  <c r="O42" i="13"/>
  <c r="O41" i="13"/>
  <c r="Z40" i="13"/>
  <c r="O40" i="13"/>
  <c r="W39" i="13"/>
  <c r="Y39" i="13" s="1"/>
  <c r="AA39" i="13" s="1"/>
  <c r="O39" i="13"/>
  <c r="O38" i="13"/>
  <c r="O37" i="13"/>
  <c r="O36" i="13"/>
  <c r="W35" i="13"/>
  <c r="O35" i="13"/>
  <c r="O34" i="13"/>
  <c r="W34" i="13" s="1"/>
  <c r="Y34" i="13" s="1"/>
  <c r="AA34" i="13" s="1"/>
  <c r="O33" i="13"/>
  <c r="O32" i="13"/>
  <c r="O31" i="13"/>
  <c r="W31" i="13" s="1"/>
  <c r="X31" i="13" s="1"/>
  <c r="O30" i="13"/>
  <c r="W30" i="13" s="1"/>
  <c r="O29" i="13"/>
  <c r="O28" i="13"/>
  <c r="W28" i="13" s="1"/>
  <c r="W27" i="13"/>
  <c r="X27" i="13" s="1"/>
  <c r="O27" i="13"/>
  <c r="O26" i="13"/>
  <c r="P25" i="13"/>
  <c r="O25" i="13"/>
  <c r="O24" i="13"/>
  <c r="Z23" i="13"/>
  <c r="O23" i="13"/>
  <c r="W23" i="13" s="1"/>
  <c r="X23" i="13" s="1"/>
  <c r="O22" i="13"/>
  <c r="W21" i="13"/>
  <c r="Y21" i="13" s="1"/>
  <c r="AA21" i="13" s="1"/>
  <c r="O21" i="13"/>
  <c r="W20" i="13"/>
  <c r="Y20" i="13" s="1"/>
  <c r="AA20" i="13" s="1"/>
  <c r="O20" i="13"/>
  <c r="O19" i="13"/>
  <c r="W18" i="13"/>
  <c r="Y18" i="13" s="1"/>
  <c r="AA18" i="13" s="1"/>
  <c r="O18" i="13"/>
  <c r="P17" i="13"/>
  <c r="O17" i="13"/>
  <c r="O16" i="13"/>
  <c r="O15" i="13"/>
  <c r="W15" i="13" s="1"/>
  <c r="O14" i="13"/>
  <c r="W14" i="13" s="1"/>
  <c r="Z13" i="13"/>
  <c r="W13" i="13"/>
  <c r="Y13" i="13" s="1"/>
  <c r="AA13" i="13" s="1"/>
  <c r="O13" i="13"/>
  <c r="Z12" i="13"/>
  <c r="O12" i="13"/>
  <c r="O11" i="13"/>
  <c r="W11" i="13" s="1"/>
  <c r="AA10" i="13"/>
  <c r="W10" i="13"/>
  <c r="Y10" i="13" s="1"/>
  <c r="O10" i="13"/>
  <c r="O9" i="13"/>
  <c r="Z8" i="13"/>
  <c r="Y8" i="13"/>
  <c r="AA8" i="13" s="1"/>
  <c r="X8" i="13"/>
  <c r="W8" i="13"/>
  <c r="O8" i="13"/>
  <c r="Y7" i="13"/>
  <c r="AA7" i="13" s="1"/>
  <c r="W7" i="13"/>
  <c r="X7" i="13" s="1"/>
  <c r="O7" i="13"/>
  <c r="W6" i="13"/>
  <c r="Y6" i="13" s="1"/>
  <c r="AA6" i="13" s="1"/>
  <c r="O6" i="13"/>
  <c r="Z5" i="13"/>
  <c r="O5" i="13"/>
  <c r="W5" i="13" s="1"/>
  <c r="O4" i="13"/>
  <c r="W4" i="13" s="1"/>
  <c r="O3" i="13"/>
  <c r="Z2" i="13"/>
  <c r="Y2" i="13"/>
  <c r="AA2" i="13" s="1"/>
  <c r="W2" i="13"/>
  <c r="X2" i="13" s="1"/>
  <c r="O2" i="13"/>
  <c r="C1034" i="12"/>
  <c r="A1034" i="12"/>
  <c r="C1033" i="12"/>
  <c r="A1033" i="12"/>
  <c r="C1032" i="12"/>
  <c r="A1032" i="12"/>
  <c r="C1031" i="12"/>
  <c r="A1031" i="12"/>
  <c r="C1030" i="12"/>
  <c r="A1030" i="12"/>
  <c r="C1029" i="12"/>
  <c r="A1029" i="12"/>
  <c r="C1028" i="12"/>
  <c r="A1028" i="12"/>
  <c r="C1027" i="12"/>
  <c r="A1027" i="12"/>
  <c r="C1026" i="12"/>
  <c r="A1026" i="12"/>
  <c r="C1025" i="12"/>
  <c r="A1025" i="12"/>
  <c r="C1024" i="12"/>
  <c r="A1024" i="12"/>
  <c r="C1023" i="12"/>
  <c r="A1023" i="12"/>
  <c r="C1022" i="12"/>
  <c r="A1022" i="12"/>
  <c r="P1021" i="12"/>
  <c r="I1021" i="12"/>
  <c r="J1021" i="12" s="1"/>
  <c r="K1021" i="12" s="1"/>
  <c r="C1021" i="12"/>
  <c r="A1021" i="12"/>
  <c r="P1020" i="12"/>
  <c r="J1020" i="12"/>
  <c r="K1020" i="12" s="1"/>
  <c r="I1020" i="12"/>
  <c r="C1020" i="12"/>
  <c r="A1020" i="12"/>
  <c r="P1019" i="12"/>
  <c r="I1019" i="12"/>
  <c r="J1019" i="12" s="1"/>
  <c r="K1019" i="12" s="1"/>
  <c r="C1019" i="12"/>
  <c r="A1019" i="12"/>
  <c r="P1018" i="12"/>
  <c r="I1018" i="12"/>
  <c r="J1018" i="12" s="1"/>
  <c r="K1018" i="12" s="1"/>
  <c r="C1018" i="12"/>
  <c r="A1018" i="12"/>
  <c r="P1017" i="12"/>
  <c r="I1017" i="12"/>
  <c r="J1017" i="12" s="1"/>
  <c r="K1017" i="12" s="1"/>
  <c r="C1017" i="12"/>
  <c r="A1017" i="12"/>
  <c r="P1016" i="12"/>
  <c r="I1016" i="12"/>
  <c r="J1016" i="12" s="1"/>
  <c r="K1016" i="12" s="1"/>
  <c r="C1016" i="12"/>
  <c r="A1016" i="12"/>
  <c r="P1015" i="12"/>
  <c r="K1015" i="12"/>
  <c r="J1015" i="12"/>
  <c r="I1015" i="12"/>
  <c r="C1015" i="12"/>
  <c r="A1015" i="12"/>
  <c r="P1014" i="12"/>
  <c r="I1014" i="12"/>
  <c r="J1014" i="12" s="1"/>
  <c r="K1014" i="12" s="1"/>
  <c r="C1014" i="12"/>
  <c r="A1014" i="12"/>
  <c r="P1013" i="12"/>
  <c r="I1013" i="12"/>
  <c r="J1013" i="12" s="1"/>
  <c r="K1013" i="12" s="1"/>
  <c r="C1013" i="12"/>
  <c r="A1013" i="12"/>
  <c r="P1012" i="12"/>
  <c r="J1012" i="12"/>
  <c r="K1012" i="12" s="1"/>
  <c r="I1012" i="12"/>
  <c r="C1012" i="12"/>
  <c r="A1012" i="12"/>
  <c r="P1011" i="12"/>
  <c r="I1011" i="12"/>
  <c r="J1011" i="12" s="1"/>
  <c r="K1011" i="12" s="1"/>
  <c r="C1011" i="12"/>
  <c r="A1011" i="12"/>
  <c r="P1010" i="12"/>
  <c r="I1010" i="12"/>
  <c r="J1010" i="12" s="1"/>
  <c r="K1010" i="12" s="1"/>
  <c r="C1010" i="12"/>
  <c r="A1010" i="12"/>
  <c r="P1009" i="12"/>
  <c r="I1009" i="12"/>
  <c r="J1009" i="12" s="1"/>
  <c r="K1009" i="12" s="1"/>
  <c r="C1009" i="12"/>
  <c r="A1009" i="12"/>
  <c r="P1008" i="12"/>
  <c r="I1008" i="12"/>
  <c r="J1008" i="12" s="1"/>
  <c r="K1008" i="12" s="1"/>
  <c r="C1008" i="12"/>
  <c r="A1008" i="12"/>
  <c r="P1007" i="12"/>
  <c r="K1007" i="12"/>
  <c r="J1007" i="12"/>
  <c r="I1007" i="12"/>
  <c r="C1007" i="12"/>
  <c r="A1007" i="12"/>
  <c r="P1006" i="12"/>
  <c r="I1006" i="12"/>
  <c r="J1006" i="12" s="1"/>
  <c r="K1006" i="12" s="1"/>
  <c r="C1006" i="12"/>
  <c r="A1006" i="12"/>
  <c r="P1005" i="12"/>
  <c r="I1005" i="12"/>
  <c r="J1005" i="12" s="1"/>
  <c r="K1005" i="12" s="1"/>
  <c r="C1005" i="12"/>
  <c r="A1005" i="12"/>
  <c r="P1004" i="12"/>
  <c r="J1004" i="12"/>
  <c r="K1004" i="12" s="1"/>
  <c r="I1004" i="12"/>
  <c r="C1004" i="12"/>
  <c r="A1004" i="12"/>
  <c r="P1003" i="12"/>
  <c r="I1003" i="12"/>
  <c r="J1003" i="12" s="1"/>
  <c r="K1003" i="12" s="1"/>
  <c r="C1003" i="12"/>
  <c r="A1003" i="12"/>
  <c r="P1002" i="12"/>
  <c r="I1002" i="12"/>
  <c r="J1002" i="12" s="1"/>
  <c r="K1002" i="12" s="1"/>
  <c r="C1002" i="12"/>
  <c r="A1002" i="12"/>
  <c r="P1001" i="12"/>
  <c r="I1001" i="12"/>
  <c r="J1001" i="12" s="1"/>
  <c r="K1001" i="12" s="1"/>
  <c r="C1001" i="12"/>
  <c r="A1001" i="12"/>
  <c r="P1000" i="12"/>
  <c r="I1000" i="12"/>
  <c r="J1000" i="12" s="1"/>
  <c r="K1000" i="12" s="1"/>
  <c r="C1000" i="12"/>
  <c r="A1000" i="12"/>
  <c r="P999" i="12"/>
  <c r="K999" i="12"/>
  <c r="J999" i="12"/>
  <c r="I999" i="12"/>
  <c r="C999" i="12"/>
  <c r="A999" i="12"/>
  <c r="P998" i="12"/>
  <c r="I998" i="12"/>
  <c r="J998" i="12" s="1"/>
  <c r="K998" i="12" s="1"/>
  <c r="C998" i="12"/>
  <c r="A998" i="12"/>
  <c r="P997" i="12"/>
  <c r="I997" i="12"/>
  <c r="J997" i="12" s="1"/>
  <c r="K997" i="12" s="1"/>
  <c r="C997" i="12"/>
  <c r="A997" i="12"/>
  <c r="P996" i="12"/>
  <c r="J996" i="12"/>
  <c r="K996" i="12" s="1"/>
  <c r="I996" i="12"/>
  <c r="C996" i="12"/>
  <c r="A996" i="12"/>
  <c r="P995" i="12"/>
  <c r="I995" i="12"/>
  <c r="J995" i="12" s="1"/>
  <c r="K995" i="12" s="1"/>
  <c r="C995" i="12"/>
  <c r="A995" i="12"/>
  <c r="P994" i="12"/>
  <c r="I994" i="12"/>
  <c r="J994" i="12" s="1"/>
  <c r="K994" i="12" s="1"/>
  <c r="C994" i="12"/>
  <c r="A994" i="12"/>
  <c r="P993" i="12"/>
  <c r="I993" i="12"/>
  <c r="J993" i="12" s="1"/>
  <c r="K993" i="12" s="1"/>
  <c r="C993" i="12"/>
  <c r="A993" i="12"/>
  <c r="P992" i="12"/>
  <c r="I992" i="12"/>
  <c r="J992" i="12" s="1"/>
  <c r="K992" i="12" s="1"/>
  <c r="C992" i="12"/>
  <c r="A992" i="12"/>
  <c r="P991" i="12"/>
  <c r="K991" i="12"/>
  <c r="J991" i="12"/>
  <c r="I991" i="12"/>
  <c r="C991" i="12"/>
  <c r="A991" i="12"/>
  <c r="I990" i="12"/>
  <c r="J990" i="12" s="1"/>
  <c r="K990" i="12" s="1"/>
  <c r="C990" i="12"/>
  <c r="A990" i="12"/>
  <c r="I989" i="12"/>
  <c r="J989" i="12" s="1"/>
  <c r="K989" i="12" s="1"/>
  <c r="C989" i="12"/>
  <c r="A989" i="12"/>
  <c r="J988" i="12"/>
  <c r="K988" i="12" s="1"/>
  <c r="I988" i="12"/>
  <c r="C988" i="12"/>
  <c r="A988" i="12"/>
  <c r="I987" i="12"/>
  <c r="J987" i="12" s="1"/>
  <c r="K987" i="12" s="1"/>
  <c r="C987" i="12"/>
  <c r="A987" i="12"/>
  <c r="I986" i="12"/>
  <c r="J986" i="12" s="1"/>
  <c r="K986" i="12" s="1"/>
  <c r="C986" i="12"/>
  <c r="A986" i="12"/>
  <c r="I985" i="12"/>
  <c r="J985" i="12" s="1"/>
  <c r="K985" i="12" s="1"/>
  <c r="C985" i="12"/>
  <c r="A985" i="12"/>
  <c r="P984" i="12"/>
  <c r="C984" i="12"/>
  <c r="A984" i="12"/>
  <c r="C983" i="12"/>
  <c r="A983" i="12"/>
  <c r="C982" i="12"/>
  <c r="A982" i="12"/>
  <c r="C981" i="12"/>
  <c r="A981" i="12"/>
  <c r="C980" i="12"/>
  <c r="A980" i="12"/>
  <c r="C979" i="12"/>
  <c r="A979" i="12"/>
  <c r="C978" i="12"/>
  <c r="A978" i="12"/>
  <c r="C977" i="12"/>
  <c r="A977" i="12"/>
  <c r="C976" i="12"/>
  <c r="A976" i="12"/>
  <c r="C975" i="12"/>
  <c r="A975" i="12"/>
  <c r="C974" i="12"/>
  <c r="A974" i="12"/>
  <c r="C973" i="12"/>
  <c r="A973" i="12"/>
  <c r="C972" i="12"/>
  <c r="A972" i="12"/>
  <c r="C971" i="12"/>
  <c r="A971" i="12"/>
  <c r="C970" i="12"/>
  <c r="A970" i="12"/>
  <c r="C969" i="12"/>
  <c r="A969" i="12"/>
  <c r="C968" i="12"/>
  <c r="A968" i="12"/>
  <c r="C967" i="12"/>
  <c r="C966" i="12"/>
  <c r="C965" i="12"/>
  <c r="C964" i="12"/>
  <c r="K963" i="12"/>
  <c r="L963" i="12" s="1"/>
  <c r="C963" i="12"/>
  <c r="A963" i="12"/>
  <c r="K962" i="12"/>
  <c r="L962" i="12" s="1"/>
  <c r="C962" i="12"/>
  <c r="A962" i="12"/>
  <c r="C961" i="12"/>
  <c r="A961" i="12"/>
  <c r="C960" i="12"/>
  <c r="A960" i="12"/>
  <c r="C959" i="12"/>
  <c r="A959" i="12"/>
  <c r="C958" i="12"/>
  <c r="A958" i="12"/>
  <c r="C957" i="12"/>
  <c r="A957" i="12"/>
  <c r="C956" i="12"/>
  <c r="A956" i="12"/>
  <c r="C955" i="12"/>
  <c r="A955" i="12"/>
  <c r="C954" i="12"/>
  <c r="A954" i="12"/>
  <c r="C953" i="12"/>
  <c r="A953" i="12"/>
  <c r="C952" i="12"/>
  <c r="A952" i="12"/>
  <c r="C951" i="12"/>
  <c r="A951" i="12"/>
  <c r="C950" i="12"/>
  <c r="A950" i="12"/>
  <c r="C949" i="12"/>
  <c r="A949" i="12"/>
  <c r="C948" i="12"/>
  <c r="A948" i="12"/>
  <c r="C947" i="12"/>
  <c r="A947" i="12"/>
  <c r="C946" i="12"/>
  <c r="A946" i="12"/>
  <c r="C945" i="12"/>
  <c r="A945" i="12"/>
  <c r="C944" i="12"/>
  <c r="A944" i="12"/>
  <c r="C943" i="12"/>
  <c r="A943" i="12"/>
  <c r="C942" i="12"/>
  <c r="A942" i="12"/>
  <c r="C941" i="12"/>
  <c r="A941" i="12"/>
  <c r="C940" i="12"/>
  <c r="A940" i="12"/>
  <c r="C939" i="12"/>
  <c r="A939" i="12"/>
  <c r="C938" i="12"/>
  <c r="A938" i="12"/>
  <c r="C937" i="12"/>
  <c r="A937" i="12"/>
  <c r="C936" i="12"/>
  <c r="A936" i="12"/>
  <c r="C935" i="12"/>
  <c r="A935" i="12"/>
  <c r="C934" i="12"/>
  <c r="A934" i="12"/>
  <c r="C933" i="12"/>
  <c r="A933" i="12"/>
  <c r="C932" i="12"/>
  <c r="A932" i="12"/>
  <c r="C931" i="12"/>
  <c r="A931" i="12"/>
  <c r="C930" i="12"/>
  <c r="A930" i="12"/>
  <c r="C929" i="12"/>
  <c r="A929" i="12"/>
  <c r="C928" i="12"/>
  <c r="A928" i="12"/>
  <c r="C927" i="12"/>
  <c r="A927" i="12"/>
  <c r="C926" i="12"/>
  <c r="A926" i="12"/>
  <c r="C925" i="12"/>
  <c r="A925" i="12"/>
  <c r="C924" i="12"/>
  <c r="A924" i="12"/>
  <c r="C923" i="12"/>
  <c r="A923" i="12"/>
  <c r="C922" i="12"/>
  <c r="A922" i="12"/>
  <c r="C921" i="12"/>
  <c r="A921" i="12"/>
  <c r="C920" i="12"/>
  <c r="A920" i="12"/>
  <c r="C919" i="12"/>
  <c r="A919" i="12"/>
  <c r="C918" i="12"/>
  <c r="A918" i="12"/>
  <c r="C917" i="12"/>
  <c r="A917" i="12"/>
  <c r="C916" i="12"/>
  <c r="A916" i="12"/>
  <c r="C915" i="12"/>
  <c r="A915" i="12"/>
  <c r="C914" i="12"/>
  <c r="A914" i="12"/>
  <c r="C913" i="12"/>
  <c r="A913" i="12"/>
  <c r="C912" i="12"/>
  <c r="A912" i="12"/>
  <c r="C911" i="12"/>
  <c r="A911" i="12"/>
  <c r="C910" i="12"/>
  <c r="A910" i="12"/>
  <c r="C909" i="12"/>
  <c r="A909" i="12"/>
  <c r="C908" i="12"/>
  <c r="A908" i="12"/>
  <c r="C907" i="12"/>
  <c r="A907" i="12"/>
  <c r="C906" i="12"/>
  <c r="A906" i="12"/>
  <c r="C905" i="12"/>
  <c r="A905" i="12"/>
  <c r="C904" i="12"/>
  <c r="A904" i="12"/>
  <c r="C903" i="12"/>
  <c r="A903" i="12"/>
  <c r="C902" i="12"/>
  <c r="A902" i="12"/>
  <c r="C901" i="12"/>
  <c r="A901" i="12"/>
  <c r="C900" i="12"/>
  <c r="A900" i="12"/>
  <c r="C899" i="12"/>
  <c r="A899" i="12"/>
  <c r="C898" i="12"/>
  <c r="A898" i="12"/>
  <c r="C897" i="12"/>
  <c r="A897" i="12"/>
  <c r="C896" i="12"/>
  <c r="A896" i="12"/>
  <c r="C895" i="12"/>
  <c r="A895" i="12"/>
  <c r="C894" i="12"/>
  <c r="A894" i="12"/>
  <c r="C893" i="12"/>
  <c r="A893" i="12"/>
  <c r="C892" i="12"/>
  <c r="A892" i="12"/>
  <c r="C891" i="12"/>
  <c r="A891" i="12"/>
  <c r="C890" i="12"/>
  <c r="A890" i="12"/>
  <c r="C889" i="12"/>
  <c r="A889" i="12"/>
  <c r="C888" i="12"/>
  <c r="A888" i="12"/>
  <c r="C887" i="12"/>
  <c r="A887" i="12"/>
  <c r="C886" i="12"/>
  <c r="A886" i="12"/>
  <c r="C885" i="12"/>
  <c r="A885" i="12"/>
  <c r="C884" i="12"/>
  <c r="A884" i="12"/>
  <c r="C883" i="12"/>
  <c r="A883" i="12"/>
  <c r="C882" i="12"/>
  <c r="A882" i="12"/>
  <c r="C881" i="12"/>
  <c r="A881" i="12"/>
  <c r="C880" i="12"/>
  <c r="A880" i="12"/>
  <c r="C879" i="12"/>
  <c r="A879" i="12"/>
  <c r="C878" i="12"/>
  <c r="A878" i="12"/>
  <c r="C877" i="12"/>
  <c r="A877" i="12"/>
  <c r="C876" i="12"/>
  <c r="A876" i="12"/>
  <c r="C875" i="12"/>
  <c r="A875" i="12"/>
  <c r="C874" i="12"/>
  <c r="A874" i="12"/>
  <c r="C873" i="12"/>
  <c r="A873" i="12"/>
  <c r="C872" i="12"/>
  <c r="A872" i="12"/>
  <c r="C871" i="12"/>
  <c r="A871" i="12"/>
  <c r="C870" i="12"/>
  <c r="A870" i="12"/>
  <c r="C869" i="12"/>
  <c r="A869" i="12"/>
  <c r="C868" i="12"/>
  <c r="A868" i="12"/>
  <c r="C867" i="12"/>
  <c r="A867" i="12"/>
  <c r="C866" i="12"/>
  <c r="A866" i="12"/>
  <c r="C865" i="12"/>
  <c r="A865" i="12"/>
  <c r="C864" i="12"/>
  <c r="A864" i="12"/>
  <c r="C863" i="12"/>
  <c r="A863" i="12"/>
  <c r="C862" i="12"/>
  <c r="A862" i="12"/>
  <c r="C861" i="12"/>
  <c r="A861" i="12"/>
  <c r="C860" i="12"/>
  <c r="A860" i="12"/>
  <c r="C859" i="12"/>
  <c r="A859" i="12"/>
  <c r="C858" i="12"/>
  <c r="A858" i="12"/>
  <c r="C857" i="12"/>
  <c r="A857" i="12"/>
  <c r="C856" i="12"/>
  <c r="A856" i="12"/>
  <c r="C855" i="12"/>
  <c r="A855" i="12"/>
  <c r="C854" i="12"/>
  <c r="A854" i="12"/>
  <c r="C853" i="12"/>
  <c r="A853" i="12"/>
  <c r="C852" i="12"/>
  <c r="A852" i="12"/>
  <c r="C851" i="12"/>
  <c r="A851" i="12"/>
  <c r="C850" i="12"/>
  <c r="A850" i="12"/>
  <c r="C849" i="12"/>
  <c r="A849" i="12"/>
  <c r="C848" i="12"/>
  <c r="A848" i="12"/>
  <c r="C847" i="12"/>
  <c r="A847" i="12"/>
  <c r="C846" i="12"/>
  <c r="A846" i="12"/>
  <c r="C845" i="12"/>
  <c r="A845" i="12"/>
  <c r="C844" i="12"/>
  <c r="A844" i="12"/>
  <c r="C843" i="12"/>
  <c r="A843" i="12"/>
  <c r="C842" i="12"/>
  <c r="A842" i="12"/>
  <c r="C841" i="12"/>
  <c r="A841" i="12"/>
  <c r="C840" i="12"/>
  <c r="A840" i="12"/>
  <c r="C839" i="12"/>
  <c r="A839" i="12"/>
  <c r="C838" i="12"/>
  <c r="A838" i="12"/>
  <c r="C837" i="12"/>
  <c r="A837" i="12"/>
  <c r="C836" i="12"/>
  <c r="A836" i="12"/>
  <c r="C835" i="12"/>
  <c r="A835" i="12"/>
  <c r="C834" i="12"/>
  <c r="A834" i="12"/>
  <c r="C833" i="12"/>
  <c r="A833" i="12"/>
  <c r="C832" i="12"/>
  <c r="A832" i="12"/>
  <c r="C831" i="12"/>
  <c r="A831" i="12"/>
  <c r="C830" i="12"/>
  <c r="A830" i="12"/>
  <c r="C829" i="12"/>
  <c r="A829" i="12"/>
  <c r="C828" i="12"/>
  <c r="A828" i="12"/>
  <c r="C827" i="12"/>
  <c r="A827" i="12"/>
  <c r="C826" i="12"/>
  <c r="A826" i="12"/>
  <c r="C825" i="12"/>
  <c r="A825" i="12"/>
  <c r="C824" i="12"/>
  <c r="A824" i="12"/>
  <c r="C823" i="12"/>
  <c r="A823" i="12"/>
  <c r="C822" i="12"/>
  <c r="A822" i="12"/>
  <c r="C821" i="12"/>
  <c r="A821" i="12"/>
  <c r="C820" i="12"/>
  <c r="A820" i="12"/>
  <c r="C819" i="12"/>
  <c r="A819" i="12"/>
  <c r="C818" i="12"/>
  <c r="A818" i="12"/>
  <c r="C817" i="12"/>
  <c r="A817" i="12"/>
  <c r="C816" i="12"/>
  <c r="A816" i="12"/>
  <c r="C815" i="12"/>
  <c r="A815" i="12"/>
  <c r="C814" i="12"/>
  <c r="A814" i="12"/>
  <c r="C813" i="12"/>
  <c r="A813" i="12"/>
  <c r="C812" i="12"/>
  <c r="A812" i="12"/>
  <c r="C811" i="12"/>
  <c r="A811" i="12"/>
  <c r="C810" i="12"/>
  <c r="A810" i="12"/>
  <c r="C809" i="12"/>
  <c r="A809" i="12"/>
  <c r="C808" i="12"/>
  <c r="A808" i="12"/>
  <c r="C807" i="12"/>
  <c r="A807" i="12"/>
  <c r="C806" i="12"/>
  <c r="A806" i="12"/>
  <c r="C805" i="12"/>
  <c r="A805" i="12"/>
  <c r="C804" i="12"/>
  <c r="A804" i="12"/>
  <c r="C803" i="12"/>
  <c r="A803" i="12"/>
  <c r="C802" i="12"/>
  <c r="A802" i="12"/>
  <c r="C801" i="12"/>
  <c r="A801" i="12"/>
  <c r="C800" i="12"/>
  <c r="A800" i="12"/>
  <c r="C799" i="12"/>
  <c r="A799" i="12"/>
  <c r="C798" i="12"/>
  <c r="A798" i="12"/>
  <c r="C797" i="12"/>
  <c r="A797" i="12"/>
  <c r="C796" i="12"/>
  <c r="A796" i="12"/>
  <c r="C795" i="12"/>
  <c r="A795" i="12"/>
  <c r="C794" i="12"/>
  <c r="A794" i="12"/>
  <c r="C793" i="12"/>
  <c r="A793" i="12"/>
  <c r="C792" i="12"/>
  <c r="A792" i="12"/>
  <c r="C791" i="12"/>
  <c r="A791" i="12"/>
  <c r="C790" i="12"/>
  <c r="A790" i="12"/>
  <c r="C789" i="12"/>
  <c r="A789" i="12"/>
  <c r="C788" i="12"/>
  <c r="A788" i="12"/>
  <c r="C787" i="12"/>
  <c r="A787" i="12"/>
  <c r="C786" i="12"/>
  <c r="A786" i="12"/>
  <c r="C785" i="12"/>
  <c r="A785" i="12"/>
  <c r="C784" i="12"/>
  <c r="A784" i="12"/>
  <c r="C783" i="12"/>
  <c r="A783" i="12"/>
  <c r="C782" i="12"/>
  <c r="A782" i="12"/>
  <c r="C781" i="12"/>
  <c r="A781" i="12"/>
  <c r="C780" i="12"/>
  <c r="A780" i="12"/>
  <c r="C779" i="12"/>
  <c r="A779" i="12"/>
  <c r="C778" i="12"/>
  <c r="A778" i="12"/>
  <c r="C777" i="12"/>
  <c r="A777" i="12"/>
  <c r="C776" i="12"/>
  <c r="A776" i="12"/>
  <c r="C775" i="12"/>
  <c r="A775" i="12"/>
  <c r="C774" i="12"/>
  <c r="A774" i="12"/>
  <c r="C773" i="12"/>
  <c r="A773" i="12"/>
  <c r="C772" i="12"/>
  <c r="A772" i="12"/>
  <c r="C771" i="12"/>
  <c r="A771" i="12"/>
  <c r="C770" i="12"/>
  <c r="A770" i="12"/>
  <c r="C769" i="12"/>
  <c r="A769" i="12"/>
  <c r="C768" i="12"/>
  <c r="A768" i="12"/>
  <c r="C767" i="12"/>
  <c r="A767" i="12"/>
  <c r="C766" i="12"/>
  <c r="A766" i="12"/>
  <c r="C765" i="12"/>
  <c r="A765" i="12"/>
  <c r="C764" i="12"/>
  <c r="A764" i="12"/>
  <c r="C763" i="12"/>
  <c r="A763" i="12"/>
  <c r="C762" i="12"/>
  <c r="A762" i="12"/>
  <c r="C761" i="12"/>
  <c r="A761" i="12"/>
  <c r="C760" i="12"/>
  <c r="A760" i="12"/>
  <c r="C759" i="12"/>
  <c r="A759" i="12"/>
  <c r="C758" i="12"/>
  <c r="A758" i="12"/>
  <c r="C757" i="12"/>
  <c r="A757" i="12"/>
  <c r="C756" i="12"/>
  <c r="A756" i="12"/>
  <c r="C755" i="12"/>
  <c r="A755" i="12"/>
  <c r="C754" i="12"/>
  <c r="A754" i="12"/>
  <c r="C753" i="12"/>
  <c r="A753" i="12"/>
  <c r="C752" i="12"/>
  <c r="A752" i="12"/>
  <c r="C751" i="12"/>
  <c r="A751" i="12"/>
  <c r="C750" i="12"/>
  <c r="A750" i="12"/>
  <c r="C749" i="12"/>
  <c r="A749" i="12"/>
  <c r="C748" i="12"/>
  <c r="A748" i="12"/>
  <c r="C747" i="12"/>
  <c r="A747" i="12"/>
  <c r="C746" i="12"/>
  <c r="A746" i="12"/>
  <c r="C745" i="12"/>
  <c r="A745" i="12"/>
  <c r="C744" i="12"/>
  <c r="A744" i="12"/>
  <c r="C743" i="12"/>
  <c r="A743" i="12"/>
  <c r="C742" i="12"/>
  <c r="A742" i="12"/>
  <c r="C741" i="12"/>
  <c r="A741" i="12"/>
  <c r="C740" i="12"/>
  <c r="A740" i="12"/>
  <c r="C739" i="12"/>
  <c r="A739" i="12"/>
  <c r="C738" i="12"/>
  <c r="A738" i="12"/>
  <c r="C737" i="12"/>
  <c r="A737" i="12"/>
  <c r="C736" i="12"/>
  <c r="A736" i="12"/>
  <c r="C735" i="12"/>
  <c r="A735" i="12"/>
  <c r="C734" i="12"/>
  <c r="A734" i="12"/>
  <c r="C733" i="12"/>
  <c r="A733" i="12"/>
  <c r="C732" i="12"/>
  <c r="A732" i="12"/>
  <c r="C731" i="12"/>
  <c r="A731" i="12"/>
  <c r="C730" i="12"/>
  <c r="A730" i="12"/>
  <c r="C729" i="12"/>
  <c r="A729" i="12"/>
  <c r="C728" i="12"/>
  <c r="A728" i="12"/>
  <c r="C727" i="12"/>
  <c r="A727" i="12"/>
  <c r="C726" i="12"/>
  <c r="A726" i="12"/>
  <c r="C725" i="12"/>
  <c r="A725" i="12"/>
  <c r="C724" i="12"/>
  <c r="A724" i="12"/>
  <c r="C723" i="12"/>
  <c r="A723" i="12"/>
  <c r="C722" i="12"/>
  <c r="A722" i="12"/>
  <c r="C721" i="12"/>
  <c r="A721" i="12"/>
  <c r="C720" i="12"/>
  <c r="A720" i="12"/>
  <c r="C719" i="12"/>
  <c r="A719" i="12"/>
  <c r="C718" i="12"/>
  <c r="A718" i="12"/>
  <c r="C717" i="12"/>
  <c r="A717" i="12"/>
  <c r="C716" i="12"/>
  <c r="A716" i="12"/>
  <c r="C715" i="12"/>
  <c r="A715" i="12"/>
  <c r="C714" i="12"/>
  <c r="A714" i="12"/>
  <c r="C713" i="12"/>
  <c r="A713" i="12"/>
  <c r="C712" i="12"/>
  <c r="A712" i="12"/>
  <c r="C711" i="12"/>
  <c r="A711" i="12"/>
  <c r="C710" i="12"/>
  <c r="A710" i="12"/>
  <c r="C709" i="12"/>
  <c r="A709" i="12"/>
  <c r="C708" i="12"/>
  <c r="A708" i="12"/>
  <c r="C707" i="12"/>
  <c r="A707" i="12"/>
  <c r="C706" i="12"/>
  <c r="A706" i="12"/>
  <c r="C705" i="12"/>
  <c r="A705" i="12"/>
  <c r="C704" i="12"/>
  <c r="A704" i="12"/>
  <c r="C703" i="12"/>
  <c r="A703" i="12"/>
  <c r="C702" i="12"/>
  <c r="A702" i="12"/>
  <c r="C701" i="12"/>
  <c r="A701" i="12"/>
  <c r="C700" i="12"/>
  <c r="A700" i="12"/>
  <c r="C699" i="12"/>
  <c r="A699" i="12"/>
  <c r="C698" i="12"/>
  <c r="A698" i="12"/>
  <c r="C697" i="12"/>
  <c r="A697" i="12"/>
  <c r="C696" i="12"/>
  <c r="A696" i="12"/>
  <c r="C695" i="12"/>
  <c r="A695" i="12"/>
  <c r="C694" i="12"/>
  <c r="A694" i="12"/>
  <c r="C693" i="12"/>
  <c r="A693" i="12"/>
  <c r="C692" i="12"/>
  <c r="A692" i="12"/>
  <c r="C691" i="12"/>
  <c r="A691" i="12"/>
  <c r="C690" i="12"/>
  <c r="A690" i="12"/>
  <c r="C689" i="12"/>
  <c r="A689" i="12"/>
  <c r="C688" i="12"/>
  <c r="A688" i="12"/>
  <c r="C687" i="12"/>
  <c r="A687" i="12"/>
  <c r="C686" i="12"/>
  <c r="A686" i="12"/>
  <c r="C685" i="12"/>
  <c r="A685" i="12"/>
  <c r="C684" i="12"/>
  <c r="A684" i="12"/>
  <c r="C683" i="12"/>
  <c r="A683" i="12"/>
  <c r="C682" i="12"/>
  <c r="A682" i="12"/>
  <c r="C681" i="12"/>
  <c r="A681" i="12"/>
  <c r="C680" i="12"/>
  <c r="A680" i="12"/>
  <c r="C679" i="12"/>
  <c r="A679" i="12"/>
  <c r="C678" i="12"/>
  <c r="A678" i="12"/>
  <c r="C677" i="12"/>
  <c r="A677" i="12"/>
  <c r="C676" i="12"/>
  <c r="A676" i="12"/>
  <c r="C675" i="12"/>
  <c r="A675" i="12"/>
  <c r="C674" i="12"/>
  <c r="A674" i="12"/>
  <c r="C673" i="12"/>
  <c r="A673" i="12"/>
  <c r="C672" i="12"/>
  <c r="A672" i="12"/>
  <c r="C671" i="12"/>
  <c r="A671" i="12"/>
  <c r="C670" i="12"/>
  <c r="A670" i="12"/>
  <c r="C669" i="12"/>
  <c r="A669" i="12"/>
  <c r="C668" i="12"/>
  <c r="A668" i="12"/>
  <c r="C667" i="12"/>
  <c r="A667" i="12"/>
  <c r="C666" i="12"/>
  <c r="A666" i="12"/>
  <c r="C665" i="12"/>
  <c r="A665" i="12"/>
  <c r="C664" i="12"/>
  <c r="A664" i="12"/>
  <c r="C663" i="12"/>
  <c r="A663" i="12"/>
  <c r="C662" i="12"/>
  <c r="A662" i="12"/>
  <c r="C661" i="12"/>
  <c r="A661" i="12"/>
  <c r="C660" i="12"/>
  <c r="A660" i="12"/>
  <c r="C659" i="12"/>
  <c r="A659" i="12"/>
  <c r="C658" i="12"/>
  <c r="A658" i="12"/>
  <c r="C657" i="12"/>
  <c r="A657" i="12"/>
  <c r="C656" i="12"/>
  <c r="A656" i="12"/>
  <c r="C655" i="12"/>
  <c r="A655" i="12"/>
  <c r="C654" i="12"/>
  <c r="A654" i="12"/>
  <c r="C653" i="12"/>
  <c r="A653" i="12"/>
  <c r="C652" i="12"/>
  <c r="A652" i="12"/>
  <c r="C651" i="12"/>
  <c r="A651" i="12"/>
  <c r="C650" i="12"/>
  <c r="A650" i="12"/>
  <c r="C649" i="12"/>
  <c r="A649" i="12"/>
  <c r="C648" i="12"/>
  <c r="A648" i="12"/>
  <c r="C647" i="12"/>
  <c r="A647" i="12"/>
  <c r="C646" i="12"/>
  <c r="A646" i="12"/>
  <c r="C645" i="12"/>
  <c r="A645" i="12"/>
  <c r="C644" i="12"/>
  <c r="A644" i="12"/>
  <c r="C643" i="12"/>
  <c r="A643" i="12"/>
  <c r="C642" i="12"/>
  <c r="A642" i="12"/>
  <c r="C641" i="12"/>
  <c r="A641" i="12"/>
  <c r="C640" i="12"/>
  <c r="A640" i="12"/>
  <c r="C639" i="12"/>
  <c r="A639" i="12"/>
  <c r="C638" i="12"/>
  <c r="A638" i="12"/>
  <c r="C637" i="12"/>
  <c r="A637" i="12"/>
  <c r="C636" i="12"/>
  <c r="A636" i="12"/>
  <c r="C635" i="12"/>
  <c r="A635" i="12"/>
  <c r="C634" i="12"/>
  <c r="A634" i="12"/>
  <c r="C633" i="12"/>
  <c r="A633" i="12"/>
  <c r="C632" i="12"/>
  <c r="A632" i="12"/>
  <c r="C631" i="12"/>
  <c r="A631" i="12"/>
  <c r="C630" i="12"/>
  <c r="A630" i="12"/>
  <c r="C629" i="12"/>
  <c r="A629" i="12"/>
  <c r="C628" i="12"/>
  <c r="A628" i="12"/>
  <c r="C627" i="12"/>
  <c r="A627" i="12"/>
  <c r="C626" i="12"/>
  <c r="A626" i="12"/>
  <c r="C625" i="12"/>
  <c r="A625" i="12"/>
  <c r="C624" i="12"/>
  <c r="A624" i="12"/>
  <c r="C623" i="12"/>
  <c r="A623" i="12"/>
  <c r="C622" i="12"/>
  <c r="A622" i="12"/>
  <c r="C621" i="12"/>
  <c r="A621" i="12"/>
  <c r="C620" i="12"/>
  <c r="A620" i="12"/>
  <c r="C619" i="12"/>
  <c r="A619" i="12"/>
  <c r="C618" i="12"/>
  <c r="A618" i="12"/>
  <c r="C617" i="12"/>
  <c r="A617" i="12"/>
  <c r="C616" i="12"/>
  <c r="A616" i="12"/>
  <c r="C615" i="12"/>
  <c r="A615" i="12"/>
  <c r="C614" i="12"/>
  <c r="A614" i="12"/>
  <c r="C613" i="12"/>
  <c r="A613" i="12"/>
  <c r="C612" i="12"/>
  <c r="A612" i="12"/>
  <c r="C611" i="12"/>
  <c r="A611" i="12"/>
  <c r="C610" i="12"/>
  <c r="A610" i="12"/>
  <c r="C609" i="12"/>
  <c r="A609" i="12"/>
  <c r="C608" i="12"/>
  <c r="A608" i="12"/>
  <c r="C607" i="12"/>
  <c r="A607" i="12"/>
  <c r="C606" i="12"/>
  <c r="A606" i="12"/>
  <c r="C605" i="12"/>
  <c r="A605" i="12"/>
  <c r="C604" i="12"/>
  <c r="A604" i="12"/>
  <c r="C603" i="12"/>
  <c r="A603" i="12"/>
  <c r="C602" i="12"/>
  <c r="A602" i="12"/>
  <c r="C601" i="12"/>
  <c r="A601" i="12"/>
  <c r="C600" i="12"/>
  <c r="A600" i="12"/>
  <c r="C599" i="12"/>
  <c r="A599" i="12"/>
  <c r="C598" i="12"/>
  <c r="A598" i="12"/>
  <c r="C597" i="12"/>
  <c r="A597" i="12"/>
  <c r="C596" i="12"/>
  <c r="A596" i="12"/>
  <c r="C595" i="12"/>
  <c r="A595" i="12"/>
  <c r="C594" i="12"/>
  <c r="A594" i="12"/>
  <c r="C593" i="12"/>
  <c r="A593" i="12"/>
  <c r="C592" i="12"/>
  <c r="A592" i="12"/>
  <c r="C591" i="12"/>
  <c r="A591" i="12"/>
  <c r="C590" i="12"/>
  <c r="A590" i="12"/>
  <c r="C589" i="12"/>
  <c r="A589" i="12"/>
  <c r="C588" i="12"/>
  <c r="A588" i="12"/>
  <c r="C587" i="12"/>
  <c r="A587" i="12"/>
  <c r="C586" i="12"/>
  <c r="A586" i="12"/>
  <c r="C585" i="12"/>
  <c r="A585" i="12"/>
  <c r="C584" i="12"/>
  <c r="A584" i="12"/>
  <c r="C583" i="12"/>
  <c r="A583" i="12"/>
  <c r="C582" i="12"/>
  <c r="A582" i="12"/>
  <c r="C581" i="12"/>
  <c r="A581" i="12"/>
  <c r="C580" i="12"/>
  <c r="A580" i="12"/>
  <c r="C579" i="12"/>
  <c r="A579" i="12"/>
  <c r="C578" i="12"/>
  <c r="A578" i="12"/>
  <c r="C577" i="12"/>
  <c r="A577" i="12"/>
  <c r="C576" i="12"/>
  <c r="A576" i="12"/>
  <c r="C575" i="12"/>
  <c r="A575" i="12"/>
  <c r="C574" i="12"/>
  <c r="A574" i="12"/>
  <c r="C573" i="12"/>
  <c r="A573" i="12"/>
  <c r="C572" i="12"/>
  <c r="A572" i="12"/>
  <c r="C571" i="12"/>
  <c r="A571" i="12"/>
  <c r="C570" i="12"/>
  <c r="A570" i="12"/>
  <c r="C569" i="12"/>
  <c r="A569" i="12"/>
  <c r="C568" i="12"/>
  <c r="A568" i="12"/>
  <c r="C567" i="12"/>
  <c r="A567" i="12"/>
  <c r="C566" i="12"/>
  <c r="A566" i="12"/>
  <c r="C565" i="12"/>
  <c r="A565" i="12"/>
  <c r="C564" i="12"/>
  <c r="A564" i="12"/>
  <c r="C563" i="12"/>
  <c r="A563" i="12"/>
  <c r="C562" i="12"/>
  <c r="A562" i="12"/>
  <c r="C561" i="12"/>
  <c r="A561" i="12"/>
  <c r="C560" i="12"/>
  <c r="A560" i="12"/>
  <c r="C559" i="12"/>
  <c r="A559" i="12"/>
  <c r="C558" i="12"/>
  <c r="A558" i="12"/>
  <c r="C557" i="12"/>
  <c r="A557" i="12"/>
  <c r="C556" i="12"/>
  <c r="A556" i="12"/>
  <c r="C555" i="12"/>
  <c r="A555" i="12"/>
  <c r="C554" i="12"/>
  <c r="A554" i="12"/>
  <c r="C553" i="12"/>
  <c r="A553" i="12"/>
  <c r="C552" i="12"/>
  <c r="A552" i="12"/>
  <c r="C551" i="12"/>
  <c r="A551" i="12"/>
  <c r="C550" i="12"/>
  <c r="A550" i="12"/>
  <c r="C549" i="12"/>
  <c r="A549" i="12"/>
  <c r="C548" i="12"/>
  <c r="A548" i="12"/>
  <c r="C547" i="12"/>
  <c r="A547" i="12"/>
  <c r="C546" i="12"/>
  <c r="A546" i="12"/>
  <c r="C545" i="12"/>
  <c r="A545" i="12"/>
  <c r="C544" i="12"/>
  <c r="A544" i="12"/>
  <c r="C543" i="12"/>
  <c r="A543" i="12"/>
  <c r="C542" i="12"/>
  <c r="A542" i="12"/>
  <c r="C541" i="12"/>
  <c r="A541" i="12"/>
  <c r="C540" i="12"/>
  <c r="A540" i="12"/>
  <c r="C539" i="12"/>
  <c r="A539" i="12"/>
  <c r="C538" i="12"/>
  <c r="A538" i="12"/>
  <c r="C537" i="12"/>
  <c r="A537" i="12"/>
  <c r="C536" i="12"/>
  <c r="A536" i="12"/>
  <c r="C535" i="12"/>
  <c r="A535" i="12"/>
  <c r="C534" i="12"/>
  <c r="A534" i="12"/>
  <c r="C533" i="12"/>
  <c r="A533" i="12"/>
  <c r="C532" i="12"/>
  <c r="A532" i="12"/>
  <c r="C531" i="12"/>
  <c r="A531" i="12"/>
  <c r="C530" i="12"/>
  <c r="A530" i="12"/>
  <c r="C529" i="12"/>
  <c r="A529" i="12"/>
  <c r="C528" i="12"/>
  <c r="A528" i="12"/>
  <c r="C527" i="12"/>
  <c r="A527" i="12"/>
  <c r="C526" i="12"/>
  <c r="A526" i="12"/>
  <c r="C525" i="12"/>
  <c r="A525" i="12"/>
  <c r="C524" i="12"/>
  <c r="A524" i="12"/>
  <c r="C523" i="12"/>
  <c r="A523" i="12"/>
  <c r="C522" i="12"/>
  <c r="A522" i="12"/>
  <c r="C521" i="12"/>
  <c r="A521" i="12"/>
  <c r="C520" i="12"/>
  <c r="A520" i="12"/>
  <c r="C519" i="12"/>
  <c r="A519" i="12"/>
  <c r="C518" i="12"/>
  <c r="A518" i="12"/>
  <c r="C517" i="12"/>
  <c r="A517" i="12"/>
  <c r="C516" i="12"/>
  <c r="A516" i="12"/>
  <c r="C515" i="12"/>
  <c r="A515" i="12"/>
  <c r="C514" i="12"/>
  <c r="A514" i="12"/>
  <c r="C513" i="12"/>
  <c r="A513" i="12"/>
  <c r="C512" i="12"/>
  <c r="A512" i="12"/>
  <c r="C511" i="12"/>
  <c r="A511" i="12"/>
  <c r="C510" i="12"/>
  <c r="A510" i="12"/>
  <c r="C509" i="12"/>
  <c r="A509" i="12"/>
  <c r="C508" i="12"/>
  <c r="A508" i="12"/>
  <c r="C507" i="12"/>
  <c r="A507" i="12"/>
  <c r="C506" i="12"/>
  <c r="A506" i="12"/>
  <c r="C505" i="12"/>
  <c r="A505" i="12"/>
  <c r="C504" i="12"/>
  <c r="A504" i="12"/>
  <c r="C503" i="12"/>
  <c r="A503" i="12"/>
  <c r="C502" i="12"/>
  <c r="A502" i="12"/>
  <c r="C501" i="12"/>
  <c r="A501" i="12"/>
  <c r="C500" i="12"/>
  <c r="A500" i="12"/>
  <c r="C499" i="12"/>
  <c r="A499" i="12"/>
  <c r="C498" i="12"/>
  <c r="A498" i="12"/>
  <c r="C497" i="12"/>
  <c r="A497" i="12"/>
  <c r="C496" i="12"/>
  <c r="A496" i="12"/>
  <c r="C495" i="12"/>
  <c r="A495" i="12"/>
  <c r="C494" i="12"/>
  <c r="A494" i="12"/>
  <c r="C493" i="12"/>
  <c r="A493" i="12"/>
  <c r="C492" i="12"/>
  <c r="A492" i="12"/>
  <c r="C491" i="12"/>
  <c r="A491" i="12"/>
  <c r="C490" i="12"/>
  <c r="A490" i="12"/>
  <c r="C489" i="12"/>
  <c r="A489" i="12"/>
  <c r="C488" i="12"/>
  <c r="A488" i="12"/>
  <c r="C487" i="12"/>
  <c r="A487" i="12"/>
  <c r="C486" i="12"/>
  <c r="A486" i="12"/>
  <c r="C485" i="12"/>
  <c r="A485" i="12"/>
  <c r="C484" i="12"/>
  <c r="A484" i="12"/>
  <c r="C483" i="12"/>
  <c r="A483" i="12"/>
  <c r="C482" i="12"/>
  <c r="A482" i="12"/>
  <c r="C481" i="12"/>
  <c r="A481" i="12"/>
  <c r="C480" i="12"/>
  <c r="A480" i="12"/>
  <c r="C479" i="12"/>
  <c r="A479" i="12"/>
  <c r="C478" i="12"/>
  <c r="A478" i="12"/>
  <c r="C477" i="12"/>
  <c r="A477" i="12"/>
  <c r="C476" i="12"/>
  <c r="A476" i="12"/>
  <c r="C475" i="12"/>
  <c r="A475" i="12"/>
  <c r="C474" i="12"/>
  <c r="A474" i="12"/>
  <c r="C473" i="12"/>
  <c r="A473" i="12"/>
  <c r="C472" i="12"/>
  <c r="A472" i="12"/>
  <c r="C471" i="12"/>
  <c r="A471" i="12"/>
  <c r="C470" i="12"/>
  <c r="A470" i="12"/>
  <c r="C469" i="12"/>
  <c r="A469" i="12"/>
  <c r="C468" i="12"/>
  <c r="A468" i="12"/>
  <c r="C467" i="12"/>
  <c r="A467" i="12"/>
  <c r="C466" i="12"/>
  <c r="A466" i="12"/>
  <c r="C465" i="12"/>
  <c r="A465" i="12"/>
  <c r="C464" i="12"/>
  <c r="A464" i="12"/>
  <c r="C463" i="12"/>
  <c r="A463" i="12"/>
  <c r="C462" i="12"/>
  <c r="A462" i="12"/>
  <c r="C461" i="12"/>
  <c r="A461" i="12"/>
  <c r="C460" i="12"/>
  <c r="A460" i="12"/>
  <c r="C459" i="12"/>
  <c r="A459" i="12"/>
  <c r="C458" i="12"/>
  <c r="A458" i="12"/>
  <c r="C457" i="12"/>
  <c r="A457" i="12"/>
  <c r="C456" i="12"/>
  <c r="A456" i="12"/>
  <c r="C455" i="12"/>
  <c r="A455" i="12"/>
  <c r="C454" i="12"/>
  <c r="A454" i="12"/>
  <c r="C453" i="12"/>
  <c r="A453" i="12"/>
  <c r="J452" i="12"/>
  <c r="L452" i="12" s="1"/>
  <c r="C452" i="12"/>
  <c r="A452" i="12"/>
  <c r="L451" i="12"/>
  <c r="J451" i="12"/>
  <c r="C451" i="12"/>
  <c r="A451" i="12"/>
  <c r="J450" i="12"/>
  <c r="L450" i="12" s="1"/>
  <c r="C450" i="12"/>
  <c r="A450" i="12"/>
  <c r="J449" i="12"/>
  <c r="L449" i="12" s="1"/>
  <c r="C449" i="12"/>
  <c r="A449" i="12"/>
  <c r="J448" i="12"/>
  <c r="L448" i="12" s="1"/>
  <c r="C448" i="12"/>
  <c r="A448" i="12"/>
  <c r="L447" i="12"/>
  <c r="J447" i="12"/>
  <c r="C447" i="12"/>
  <c r="A447" i="12"/>
  <c r="J446" i="12"/>
  <c r="L446" i="12" s="1"/>
  <c r="C446" i="12"/>
  <c r="A446" i="12"/>
  <c r="J445" i="12"/>
  <c r="L445" i="12" s="1"/>
  <c r="C445" i="12"/>
  <c r="A445" i="12"/>
  <c r="J444" i="12"/>
  <c r="L444" i="12" s="1"/>
  <c r="C444" i="12"/>
  <c r="A444" i="12"/>
  <c r="L443" i="12"/>
  <c r="J443" i="12"/>
  <c r="C443" i="12"/>
  <c r="A443" i="12"/>
  <c r="C442" i="12"/>
  <c r="A442" i="12"/>
  <c r="C441" i="12"/>
  <c r="A441" i="12"/>
  <c r="C440" i="12"/>
  <c r="A440" i="12"/>
  <c r="C439" i="12"/>
  <c r="A439" i="12"/>
  <c r="C438" i="12"/>
  <c r="A438" i="12"/>
  <c r="C437" i="12"/>
  <c r="A437" i="12"/>
  <c r="C436" i="12"/>
  <c r="A436" i="12"/>
  <c r="C435" i="12"/>
  <c r="A435" i="12"/>
  <c r="C434" i="12"/>
  <c r="A434" i="12"/>
  <c r="C433" i="12"/>
  <c r="A433" i="12"/>
  <c r="C432" i="12"/>
  <c r="A432" i="12"/>
  <c r="C431" i="12"/>
  <c r="A431" i="12"/>
  <c r="C430" i="12"/>
  <c r="A430" i="12"/>
  <c r="C429" i="12"/>
  <c r="A429" i="12"/>
  <c r="C428" i="12"/>
  <c r="A428" i="12"/>
  <c r="C427" i="12"/>
  <c r="A427" i="12"/>
  <c r="C426" i="12"/>
  <c r="A426" i="12"/>
  <c r="C425" i="12"/>
  <c r="A425" i="12"/>
  <c r="C424" i="12"/>
  <c r="A424" i="12"/>
  <c r="C423" i="12"/>
  <c r="A423" i="12"/>
  <c r="C422" i="12"/>
  <c r="A422" i="12"/>
  <c r="C421" i="12"/>
  <c r="A421" i="12"/>
  <c r="C420" i="12"/>
  <c r="A420" i="12"/>
  <c r="C419" i="12"/>
  <c r="A419" i="12"/>
  <c r="C418" i="12"/>
  <c r="A418" i="12"/>
  <c r="C417" i="12"/>
  <c r="A417" i="12"/>
  <c r="C416" i="12"/>
  <c r="A416" i="12"/>
  <c r="C415" i="12"/>
  <c r="A415" i="12"/>
  <c r="C414" i="12"/>
  <c r="A414" i="12"/>
  <c r="C413" i="12"/>
  <c r="A413" i="12"/>
  <c r="C412" i="12"/>
  <c r="A412" i="12"/>
  <c r="C411" i="12"/>
  <c r="A411" i="12"/>
  <c r="C410" i="12"/>
  <c r="A410" i="12"/>
  <c r="C409" i="12"/>
  <c r="A409" i="12"/>
  <c r="C408" i="12"/>
  <c r="A408" i="12"/>
  <c r="C407" i="12"/>
  <c r="A407" i="12"/>
  <c r="C406" i="12"/>
  <c r="A406" i="12"/>
  <c r="C405" i="12"/>
  <c r="A405" i="12"/>
  <c r="C404" i="12"/>
  <c r="A404" i="12"/>
  <c r="C403" i="12"/>
  <c r="A403" i="12"/>
  <c r="C402" i="12"/>
  <c r="A402" i="12"/>
  <c r="C401" i="12"/>
  <c r="A401" i="12"/>
  <c r="C400" i="12"/>
  <c r="A400" i="12"/>
  <c r="C399" i="12"/>
  <c r="A399" i="12"/>
  <c r="C398" i="12"/>
  <c r="A398" i="12"/>
  <c r="C397" i="12"/>
  <c r="A397" i="12"/>
  <c r="C396" i="12"/>
  <c r="A396" i="12"/>
  <c r="C395" i="12"/>
  <c r="A395" i="12"/>
  <c r="C394" i="12"/>
  <c r="A394" i="12"/>
  <c r="C393" i="12"/>
  <c r="A393" i="12"/>
  <c r="C392" i="12"/>
  <c r="A392" i="12"/>
  <c r="C391" i="12"/>
  <c r="A391" i="12"/>
  <c r="C390" i="12"/>
  <c r="A390" i="12"/>
  <c r="C389" i="12"/>
  <c r="A389" i="12"/>
  <c r="C388" i="12"/>
  <c r="A388" i="12"/>
  <c r="C387" i="12"/>
  <c r="A387" i="12"/>
  <c r="C386" i="12"/>
  <c r="A386" i="12"/>
  <c r="C385" i="12"/>
  <c r="A385" i="12"/>
  <c r="C384" i="12"/>
  <c r="A384" i="12"/>
  <c r="C383" i="12"/>
  <c r="A383" i="12"/>
  <c r="C382" i="12"/>
  <c r="A382" i="12"/>
  <c r="C381" i="12"/>
  <c r="A381" i="12"/>
  <c r="C380" i="12"/>
  <c r="A380" i="12"/>
  <c r="C379" i="12"/>
  <c r="A379" i="12"/>
  <c r="C378" i="12"/>
  <c r="A378" i="12"/>
  <c r="C377" i="12"/>
  <c r="A377" i="12"/>
  <c r="C376" i="12"/>
  <c r="A376" i="12"/>
  <c r="C375" i="12"/>
  <c r="A375" i="12"/>
  <c r="C374" i="12"/>
  <c r="A374" i="12"/>
  <c r="C373" i="12"/>
  <c r="A373" i="12"/>
  <c r="C372" i="12"/>
  <c r="A372" i="12"/>
  <c r="C371" i="12"/>
  <c r="A371" i="12"/>
  <c r="C370" i="12"/>
  <c r="A370" i="12"/>
  <c r="C369" i="12"/>
  <c r="A369" i="12"/>
  <c r="C368" i="12"/>
  <c r="A368" i="12"/>
  <c r="C367" i="12"/>
  <c r="A367" i="12"/>
  <c r="C366" i="12"/>
  <c r="A366" i="12"/>
  <c r="C365" i="12"/>
  <c r="A365" i="12"/>
  <c r="C364" i="12"/>
  <c r="A364" i="12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C352" i="12"/>
  <c r="A352" i="12"/>
  <c r="C351" i="12"/>
  <c r="A351" i="12"/>
  <c r="C350" i="12"/>
  <c r="A350" i="12"/>
  <c r="C349" i="12"/>
  <c r="A349" i="12"/>
  <c r="C348" i="12"/>
  <c r="A348" i="12"/>
  <c r="C347" i="12"/>
  <c r="A347" i="12"/>
  <c r="C346" i="12"/>
  <c r="A346" i="12"/>
  <c r="C345" i="12"/>
  <c r="A345" i="12"/>
  <c r="C344" i="12"/>
  <c r="A344" i="12"/>
  <c r="C343" i="12"/>
  <c r="A343" i="12"/>
  <c r="C342" i="12"/>
  <c r="A342" i="12"/>
  <c r="C341" i="12"/>
  <c r="A341" i="12"/>
  <c r="C340" i="12"/>
  <c r="A340" i="12"/>
  <c r="C339" i="12"/>
  <c r="A339" i="12"/>
  <c r="C338" i="12"/>
  <c r="A338" i="12"/>
  <c r="C337" i="12"/>
  <c r="A337" i="12"/>
  <c r="C336" i="12"/>
  <c r="A336" i="12"/>
  <c r="C335" i="12"/>
  <c r="A335" i="12"/>
  <c r="C334" i="12"/>
  <c r="A334" i="12"/>
  <c r="C333" i="12"/>
  <c r="A333" i="12"/>
  <c r="C332" i="12"/>
  <c r="A332" i="12"/>
  <c r="C331" i="12"/>
  <c r="A331" i="12"/>
  <c r="C330" i="12"/>
  <c r="A330" i="12"/>
  <c r="C329" i="12"/>
  <c r="A329" i="12"/>
  <c r="C328" i="12"/>
  <c r="A328" i="12"/>
  <c r="C327" i="12"/>
  <c r="A327" i="12"/>
  <c r="C326" i="12"/>
  <c r="A326" i="12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8" i="12"/>
  <c r="A318" i="12"/>
  <c r="C317" i="12"/>
  <c r="A317" i="12"/>
  <c r="C316" i="12"/>
  <c r="A316" i="12"/>
  <c r="C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6" i="12"/>
  <c r="A306" i="12"/>
  <c r="C305" i="12"/>
  <c r="A305" i="12"/>
  <c r="C304" i="12"/>
  <c r="A304" i="12"/>
  <c r="C303" i="12"/>
  <c r="A303" i="12"/>
  <c r="C302" i="12"/>
  <c r="A302" i="12"/>
  <c r="C301" i="12"/>
  <c r="A301" i="12"/>
  <c r="C300" i="12"/>
  <c r="A300" i="12"/>
  <c r="C299" i="12"/>
  <c r="A299" i="12"/>
  <c r="C298" i="12"/>
  <c r="A298" i="12"/>
  <c r="C297" i="12"/>
  <c r="A297" i="12"/>
  <c r="C296" i="12"/>
  <c r="A296" i="12"/>
  <c r="C295" i="12"/>
  <c r="A295" i="12"/>
  <c r="C294" i="12"/>
  <c r="A294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C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C275" i="12"/>
  <c r="A275" i="12"/>
  <c r="C274" i="12"/>
  <c r="A274" i="12"/>
  <c r="C273" i="12"/>
  <c r="A273" i="12"/>
  <c r="C272" i="12"/>
  <c r="A272" i="12"/>
  <c r="C271" i="12"/>
  <c r="A271" i="12"/>
  <c r="C270" i="12"/>
  <c r="A270" i="12"/>
  <c r="C269" i="12"/>
  <c r="A269" i="12"/>
  <c r="C268" i="12"/>
  <c r="A268" i="12"/>
  <c r="C267" i="12"/>
  <c r="A267" i="12"/>
  <c r="C266" i="12"/>
  <c r="A266" i="12"/>
  <c r="C265" i="12"/>
  <c r="A265" i="12"/>
  <c r="C264" i="12"/>
  <c r="A264" i="12"/>
  <c r="C263" i="12"/>
  <c r="A263" i="12"/>
  <c r="C262" i="12"/>
  <c r="A262" i="12"/>
  <c r="C261" i="12"/>
  <c r="A261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A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C220" i="12"/>
  <c r="A220" i="12"/>
  <c r="C219" i="12"/>
  <c r="A219" i="12"/>
  <c r="C218" i="12"/>
  <c r="A218" i="12"/>
  <c r="C217" i="12"/>
  <c r="A217" i="12"/>
  <c r="C216" i="12"/>
  <c r="A216" i="12"/>
  <c r="C215" i="12"/>
  <c r="A215" i="12"/>
  <c r="C214" i="12"/>
  <c r="A214" i="12"/>
  <c r="C213" i="12"/>
  <c r="A213" i="12"/>
  <c r="C212" i="12"/>
  <c r="A212" i="12"/>
  <c r="C211" i="12"/>
  <c r="A211" i="12"/>
  <c r="C210" i="12"/>
  <c r="A210" i="12"/>
  <c r="C209" i="12"/>
  <c r="A209" i="12"/>
  <c r="C208" i="12"/>
  <c r="A208" i="12"/>
  <c r="C207" i="12"/>
  <c r="A207" i="12"/>
  <c r="C206" i="12"/>
  <c r="A206" i="12"/>
  <c r="C205" i="12"/>
  <c r="A205" i="12"/>
  <c r="C204" i="12"/>
  <c r="A204" i="12"/>
  <c r="C203" i="12"/>
  <c r="A203" i="12"/>
  <c r="C202" i="12"/>
  <c r="A202" i="12"/>
  <c r="C201" i="12"/>
  <c r="A201" i="12"/>
  <c r="C200" i="12"/>
  <c r="A200" i="12"/>
  <c r="C199" i="12"/>
  <c r="A199" i="12"/>
  <c r="C198" i="12"/>
  <c r="A198" i="12"/>
  <c r="C197" i="12"/>
  <c r="A197" i="12"/>
  <c r="C196" i="12"/>
  <c r="A196" i="12"/>
  <c r="C195" i="12"/>
  <c r="A195" i="12"/>
  <c r="C194" i="12"/>
  <c r="A194" i="12"/>
  <c r="C193" i="12"/>
  <c r="A193" i="12"/>
  <c r="C192" i="12"/>
  <c r="A192" i="12"/>
  <c r="C191" i="12"/>
  <c r="A191" i="12"/>
  <c r="C190" i="12"/>
  <c r="A190" i="12"/>
  <c r="C189" i="12"/>
  <c r="A189" i="12"/>
  <c r="C188" i="12"/>
  <c r="A188" i="12"/>
  <c r="C187" i="12"/>
  <c r="A187" i="12"/>
  <c r="C186" i="12"/>
  <c r="A186" i="12"/>
  <c r="C185" i="12"/>
  <c r="A185" i="12"/>
  <c r="C184" i="12"/>
  <c r="A184" i="12"/>
  <c r="C183" i="12"/>
  <c r="A183" i="12"/>
  <c r="C182" i="12"/>
  <c r="A182" i="12"/>
  <c r="C181" i="12"/>
  <c r="A181" i="12"/>
  <c r="C180" i="12"/>
  <c r="A180" i="12"/>
  <c r="C179" i="12"/>
  <c r="A179" i="12"/>
  <c r="C178" i="12"/>
  <c r="A178" i="12"/>
  <c r="C177" i="12"/>
  <c r="A177" i="12"/>
  <c r="C176" i="12"/>
  <c r="A176" i="12"/>
  <c r="C175" i="12"/>
  <c r="A175" i="12"/>
  <c r="C174" i="12"/>
  <c r="A174" i="12"/>
  <c r="C173" i="12"/>
  <c r="A173" i="12"/>
  <c r="C172" i="12"/>
  <c r="A172" i="12"/>
  <c r="C171" i="12"/>
  <c r="A171" i="12"/>
  <c r="C170" i="12"/>
  <c r="A170" i="12"/>
  <c r="C169" i="12"/>
  <c r="A169" i="12"/>
  <c r="C168" i="12"/>
  <c r="A168" i="12"/>
  <c r="C167" i="12"/>
  <c r="A167" i="12"/>
  <c r="C166" i="12"/>
  <c r="A166" i="12"/>
  <c r="C165" i="12"/>
  <c r="A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7" i="12"/>
  <c r="A157" i="12"/>
  <c r="C156" i="12"/>
  <c r="A156" i="12"/>
  <c r="C155" i="12"/>
  <c r="A155" i="12"/>
  <c r="C154" i="12"/>
  <c r="A154" i="12"/>
  <c r="C153" i="12"/>
  <c r="A153" i="12"/>
  <c r="C152" i="12"/>
  <c r="A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A141" i="12"/>
  <c r="J140" i="12"/>
  <c r="C140" i="12"/>
  <c r="A140" i="12"/>
  <c r="J139" i="12"/>
  <c r="C139" i="12"/>
  <c r="A139" i="12"/>
  <c r="J138" i="12"/>
  <c r="C138" i="12"/>
  <c r="A138" i="12"/>
  <c r="J137" i="12"/>
  <c r="C137" i="12"/>
  <c r="A137" i="12"/>
  <c r="J136" i="12"/>
  <c r="C136" i="12"/>
  <c r="A136" i="12"/>
  <c r="J135" i="12"/>
  <c r="C135" i="12"/>
  <c r="A135" i="12"/>
  <c r="C134" i="12"/>
  <c r="A134" i="12"/>
  <c r="C133" i="12"/>
  <c r="A133" i="12"/>
  <c r="C132" i="12"/>
  <c r="A132" i="12"/>
  <c r="C131" i="12"/>
  <c r="A131" i="12"/>
  <c r="C130" i="12"/>
  <c r="A130" i="12"/>
  <c r="C129" i="12"/>
  <c r="A129" i="12"/>
  <c r="C128" i="12"/>
  <c r="A128" i="12"/>
  <c r="C127" i="12"/>
  <c r="A127" i="12"/>
  <c r="C126" i="12"/>
  <c r="A126" i="12"/>
  <c r="C125" i="12"/>
  <c r="A125" i="12"/>
  <c r="C124" i="12"/>
  <c r="A124" i="12"/>
  <c r="L123" i="12"/>
  <c r="J123" i="12"/>
  <c r="K123" i="12" s="1"/>
  <c r="C123" i="12"/>
  <c r="A123" i="12"/>
  <c r="L122" i="12"/>
  <c r="J122" i="12"/>
  <c r="K122" i="12" s="1"/>
  <c r="C122" i="12"/>
  <c r="A122" i="12"/>
  <c r="L121" i="12"/>
  <c r="K121" i="12"/>
  <c r="J121" i="12"/>
  <c r="C121" i="12"/>
  <c r="A121" i="12"/>
  <c r="L120" i="12"/>
  <c r="J120" i="12"/>
  <c r="K120" i="12" s="1"/>
  <c r="C120" i="12"/>
  <c r="A120" i="12"/>
  <c r="L119" i="12"/>
  <c r="J119" i="12"/>
  <c r="K119" i="12" s="1"/>
  <c r="C119" i="12"/>
  <c r="A119" i="12"/>
  <c r="L118" i="12"/>
  <c r="J118" i="12"/>
  <c r="K118" i="12" s="1"/>
  <c r="C118" i="12"/>
  <c r="A118" i="12"/>
  <c r="C117" i="12"/>
  <c r="A117" i="12"/>
  <c r="C116" i="12"/>
  <c r="A116" i="12"/>
  <c r="C115" i="12"/>
  <c r="A115" i="12"/>
  <c r="C114" i="12"/>
  <c r="A114" i="12"/>
  <c r="C113" i="12"/>
  <c r="A113" i="12"/>
  <c r="C112" i="12"/>
  <c r="A112" i="12"/>
  <c r="C111" i="12"/>
  <c r="A111" i="12"/>
  <c r="C110" i="12"/>
  <c r="A110" i="12"/>
  <c r="C109" i="12"/>
  <c r="A109" i="12"/>
  <c r="C108" i="12"/>
  <c r="A108" i="12"/>
  <c r="C107" i="12"/>
  <c r="A107" i="12"/>
  <c r="C106" i="12"/>
  <c r="A106" i="12"/>
  <c r="C105" i="12"/>
  <c r="A105" i="12"/>
  <c r="C104" i="12"/>
  <c r="A104" i="12"/>
  <c r="C103" i="12"/>
  <c r="A103" i="12"/>
  <c r="C102" i="12"/>
  <c r="A102" i="12"/>
  <c r="C101" i="12"/>
  <c r="A101" i="12"/>
  <c r="C100" i="12"/>
  <c r="A100" i="12"/>
  <c r="C99" i="12"/>
  <c r="A99" i="12"/>
  <c r="C98" i="12"/>
  <c r="A98" i="12"/>
  <c r="C97" i="12"/>
  <c r="A97" i="12"/>
  <c r="C96" i="12"/>
  <c r="A96" i="12"/>
  <c r="C95" i="12"/>
  <c r="A95" i="12"/>
  <c r="C94" i="12"/>
  <c r="C93" i="12"/>
  <c r="A93" i="12"/>
  <c r="C92" i="12"/>
  <c r="A92" i="12"/>
  <c r="C91" i="12"/>
  <c r="A91" i="12"/>
  <c r="C90" i="12"/>
  <c r="A90" i="12"/>
  <c r="C89" i="12"/>
  <c r="A89" i="12"/>
  <c r="C88" i="12"/>
  <c r="A88" i="12"/>
  <c r="C87" i="12"/>
  <c r="A87" i="12"/>
  <c r="C86" i="12"/>
  <c r="A86" i="12"/>
  <c r="C85" i="12"/>
  <c r="A85" i="12"/>
  <c r="C84" i="12"/>
  <c r="A84" i="12"/>
  <c r="C83" i="12"/>
  <c r="A83" i="12"/>
  <c r="C82" i="12"/>
  <c r="A82" i="12"/>
  <c r="C81" i="12"/>
  <c r="A81" i="12"/>
  <c r="C80" i="12"/>
  <c r="A80" i="12"/>
  <c r="C79" i="12"/>
  <c r="A79" i="12"/>
  <c r="C78" i="12"/>
  <c r="A78" i="12"/>
  <c r="C77" i="12"/>
  <c r="A77" i="12"/>
  <c r="C76" i="12"/>
  <c r="A76" i="12"/>
  <c r="C75" i="12"/>
  <c r="A75" i="12"/>
  <c r="C74" i="12"/>
  <c r="A74" i="12"/>
  <c r="C73" i="12"/>
  <c r="A73" i="12"/>
  <c r="C72" i="12"/>
  <c r="A72" i="12"/>
  <c r="C71" i="12"/>
  <c r="A71" i="12"/>
  <c r="C70" i="12"/>
  <c r="A70" i="12"/>
  <c r="C69" i="12"/>
  <c r="A69" i="12"/>
  <c r="C68" i="12"/>
  <c r="A68" i="12"/>
  <c r="C67" i="12"/>
  <c r="A67" i="12"/>
  <c r="C66" i="12"/>
  <c r="A66" i="12"/>
  <c r="C65" i="12"/>
  <c r="A65" i="12"/>
  <c r="C64" i="12"/>
  <c r="A64" i="12"/>
  <c r="C63" i="12"/>
  <c r="A63" i="12"/>
  <c r="C62" i="12"/>
  <c r="A62" i="12"/>
  <c r="C61" i="12"/>
  <c r="A61" i="12"/>
  <c r="C60" i="12"/>
  <c r="A60" i="12"/>
  <c r="C59" i="12"/>
  <c r="A59" i="12"/>
  <c r="C58" i="12"/>
  <c r="A58" i="12"/>
  <c r="C57" i="12"/>
  <c r="A57" i="12"/>
  <c r="C56" i="12"/>
  <c r="A56" i="12"/>
  <c r="C55" i="12"/>
  <c r="A55" i="12"/>
  <c r="C54" i="12"/>
  <c r="A54" i="12"/>
  <c r="C53" i="12"/>
  <c r="A53" i="12"/>
  <c r="C52" i="12"/>
  <c r="A52" i="12"/>
  <c r="C51" i="12"/>
  <c r="A51" i="12"/>
  <c r="C50" i="12"/>
  <c r="A50" i="12"/>
  <c r="C49" i="12"/>
  <c r="A49" i="12"/>
  <c r="C48" i="12"/>
  <c r="A48" i="12"/>
  <c r="C47" i="12"/>
  <c r="A47" i="12"/>
  <c r="C46" i="12"/>
  <c r="A46" i="12"/>
  <c r="C45" i="12"/>
  <c r="A45" i="12"/>
  <c r="C44" i="12"/>
  <c r="A44" i="12"/>
  <c r="C43" i="12"/>
  <c r="A43" i="12"/>
  <c r="C42" i="12"/>
  <c r="A42" i="12"/>
  <c r="C41" i="12"/>
  <c r="A41" i="12"/>
  <c r="C40" i="12"/>
  <c r="A40" i="12"/>
  <c r="C39" i="12"/>
  <c r="A39" i="12"/>
  <c r="C38" i="12"/>
  <c r="A38" i="12"/>
  <c r="C37" i="12"/>
  <c r="A37" i="12"/>
  <c r="C36" i="12"/>
  <c r="A36" i="12"/>
  <c r="C35" i="12"/>
  <c r="A35" i="12"/>
  <c r="C34" i="12"/>
  <c r="A34" i="12"/>
  <c r="C33" i="12"/>
  <c r="A33" i="12"/>
  <c r="C32" i="12"/>
  <c r="A32" i="12"/>
  <c r="C31" i="12"/>
  <c r="A31" i="12"/>
  <c r="C30" i="12"/>
  <c r="A30" i="12"/>
  <c r="C29" i="12"/>
  <c r="A29" i="12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C18" i="12"/>
  <c r="A18" i="12"/>
  <c r="C17" i="12"/>
  <c r="A17" i="12"/>
  <c r="J16" i="12"/>
  <c r="L16" i="12" s="1"/>
  <c r="C16" i="12"/>
  <c r="A16" i="12"/>
  <c r="L15" i="12"/>
  <c r="J15" i="12"/>
  <c r="C15" i="12"/>
  <c r="A15" i="12"/>
  <c r="J14" i="12"/>
  <c r="L14" i="12" s="1"/>
  <c r="C14" i="12"/>
  <c r="A14" i="12"/>
  <c r="J13" i="12"/>
  <c r="L13" i="12" s="1"/>
  <c r="C13" i="12"/>
  <c r="A13" i="12"/>
  <c r="J12" i="12"/>
  <c r="L12" i="12" s="1"/>
  <c r="C12" i="12"/>
  <c r="A12" i="12"/>
  <c r="L11" i="12"/>
  <c r="J11" i="12"/>
  <c r="C11" i="12"/>
  <c r="A11" i="12"/>
  <c r="J10" i="12"/>
  <c r="L10" i="12" s="1"/>
  <c r="C10" i="12"/>
  <c r="A10" i="12"/>
  <c r="J9" i="12"/>
  <c r="L9" i="12" s="1"/>
  <c r="C9" i="12"/>
  <c r="A9" i="12"/>
  <c r="J8" i="12"/>
  <c r="L8" i="12" s="1"/>
  <c r="C8" i="12"/>
  <c r="A8" i="12"/>
  <c r="L7" i="12"/>
  <c r="J7" i="12"/>
  <c r="C7" i="12"/>
  <c r="A7" i="12"/>
  <c r="C6" i="12"/>
  <c r="A6" i="12"/>
  <c r="C5" i="12"/>
  <c r="A5" i="12"/>
  <c r="C4" i="12"/>
  <c r="A4" i="12"/>
  <c r="C3" i="12"/>
  <c r="A3" i="12"/>
  <c r="C2" i="12"/>
  <c r="A2" i="12"/>
  <c r="X298" i="13" l="1"/>
  <c r="AB298" i="13" s="1"/>
  <c r="Y298" i="13"/>
  <c r="AA298" i="13" s="1"/>
  <c r="Y11" i="13"/>
  <c r="AA11" i="13" s="1"/>
  <c r="X11" i="13"/>
  <c r="AB11" i="13" s="1"/>
  <c r="Y105" i="13"/>
  <c r="AA105" i="13" s="1"/>
  <c r="X105" i="13"/>
  <c r="AB105" i="13" s="1"/>
  <c r="Y56" i="13"/>
  <c r="AA56" i="13" s="1"/>
  <c r="X56" i="13"/>
  <c r="X757" i="13"/>
  <c r="Y757" i="13"/>
  <c r="AA757" i="13" s="1"/>
  <c r="AB48" i="13"/>
  <c r="Y260" i="13"/>
  <c r="AA260" i="13" s="1"/>
  <c r="AB260" i="13" s="1"/>
  <c r="X260" i="13"/>
  <c r="W128" i="13"/>
  <c r="X110" i="13"/>
  <c r="Y110" i="13"/>
  <c r="AA110" i="13" s="1"/>
  <c r="AB97" i="13"/>
  <c r="Y30" i="13"/>
  <c r="AA30" i="13" s="1"/>
  <c r="X30" i="13"/>
  <c r="X278" i="13"/>
  <c r="AB278" i="13" s="1"/>
  <c r="Y278" i="13"/>
  <c r="AA278" i="13" s="1"/>
  <c r="Y31" i="13"/>
  <c r="AA31" i="13" s="1"/>
  <c r="AB31" i="13" s="1"/>
  <c r="W245" i="13"/>
  <c r="Y430" i="13"/>
  <c r="AA430" i="13" s="1"/>
  <c r="AB430" i="13" s="1"/>
  <c r="X676" i="13"/>
  <c r="AB676" i="13" s="1"/>
  <c r="Y676" i="13"/>
  <c r="AA676" i="13" s="1"/>
  <c r="Y48" i="13"/>
  <c r="AA48" i="13" s="1"/>
  <c r="Y60" i="13"/>
  <c r="AA60" i="13" s="1"/>
  <c r="AB60" i="13" s="1"/>
  <c r="Y78" i="13"/>
  <c r="AA78" i="13" s="1"/>
  <c r="AB78" i="13" s="1"/>
  <c r="Y185" i="13"/>
  <c r="AA185" i="13" s="1"/>
  <c r="AB185" i="13" s="1"/>
  <c r="X314" i="13"/>
  <c r="AB314" i="13" s="1"/>
  <c r="AB406" i="13"/>
  <c r="W471" i="13"/>
  <c r="Y783" i="13"/>
  <c r="AA783" i="13" s="1"/>
  <c r="X783" i="13"/>
  <c r="AB783" i="13" s="1"/>
  <c r="Y119" i="13"/>
  <c r="AA119" i="13" s="1"/>
  <c r="X125" i="13"/>
  <c r="Y125" i="13"/>
  <c r="AA125" i="13" s="1"/>
  <c r="Y132" i="13"/>
  <c r="AA132" i="13" s="1"/>
  <c r="X132" i="13"/>
  <c r="X152" i="13"/>
  <c r="AB152" i="13" s="1"/>
  <c r="X238" i="13"/>
  <c r="AB238" i="13" s="1"/>
  <c r="Y238" i="13"/>
  <c r="AA238" i="13" s="1"/>
  <c r="X353" i="13"/>
  <c r="AB353" i="13" s="1"/>
  <c r="X412" i="13"/>
  <c r="AB412" i="13" s="1"/>
  <c r="W577" i="13"/>
  <c r="Y652" i="13"/>
  <c r="AA652" i="13" s="1"/>
  <c r="X652" i="13"/>
  <c r="AB652" i="13" s="1"/>
  <c r="X684" i="13"/>
  <c r="AB684" i="13" s="1"/>
  <c r="Y684" i="13"/>
  <c r="AA684" i="13" s="1"/>
  <c r="W16" i="13"/>
  <c r="W74" i="13"/>
  <c r="Y93" i="13"/>
  <c r="AA93" i="13" s="1"/>
  <c r="X93" i="13"/>
  <c r="AB119" i="13"/>
  <c r="X225" i="13"/>
  <c r="AB225" i="13" s="1"/>
  <c r="Y266" i="13"/>
  <c r="AA266" i="13" s="1"/>
  <c r="X266" i="13"/>
  <c r="AB266" i="13" s="1"/>
  <c r="W347" i="13"/>
  <c r="X400" i="13"/>
  <c r="AB400" i="13" s="1"/>
  <c r="AB79" i="13"/>
  <c r="Y114" i="13"/>
  <c r="AA114" i="13" s="1"/>
  <c r="X114" i="13"/>
  <c r="AB114" i="13" s="1"/>
  <c r="Y191" i="13"/>
  <c r="AA191" i="13" s="1"/>
  <c r="X191" i="13"/>
  <c r="AB191" i="13" s="1"/>
  <c r="W219" i="13"/>
  <c r="W354" i="13"/>
  <c r="W231" i="13"/>
  <c r="W124" i="13"/>
  <c r="Y92" i="13"/>
  <c r="AA92" i="13" s="1"/>
  <c r="AB92" i="13" s="1"/>
  <c r="X144" i="13"/>
  <c r="Y144" i="13"/>
  <c r="AA144" i="13" s="1"/>
  <c r="X425" i="13"/>
  <c r="AB425" i="13" s="1"/>
  <c r="Y281" i="13"/>
  <c r="AA281" i="13" s="1"/>
  <c r="X281" i="13"/>
  <c r="X6" i="13"/>
  <c r="W26" i="13"/>
  <c r="Y70" i="13"/>
  <c r="AA70" i="13" s="1"/>
  <c r="AB70" i="13" s="1"/>
  <c r="Y95" i="13"/>
  <c r="AA95" i="13" s="1"/>
  <c r="X95" i="13"/>
  <c r="AB95" i="13" s="1"/>
  <c r="Y211" i="13"/>
  <c r="AA211" i="13" s="1"/>
  <c r="X211" i="13"/>
  <c r="AB211" i="13" s="1"/>
  <c r="Y249" i="13"/>
  <c r="AA249" i="13" s="1"/>
  <c r="AB249" i="13" s="1"/>
  <c r="X249" i="13"/>
  <c r="Y342" i="13"/>
  <c r="AA342" i="13" s="1"/>
  <c r="X342" i="13"/>
  <c r="AB342" i="13" s="1"/>
  <c r="W386" i="13"/>
  <c r="Y647" i="13"/>
  <c r="AA647" i="13" s="1"/>
  <c r="X647" i="13"/>
  <c r="AB7" i="13"/>
  <c r="W43" i="13"/>
  <c r="W58" i="13"/>
  <c r="Y64" i="13"/>
  <c r="AA64" i="13" s="1"/>
  <c r="X64" i="13"/>
  <c r="AB64" i="13" s="1"/>
  <c r="W71" i="13"/>
  <c r="AB115" i="13"/>
  <c r="X182" i="13"/>
  <c r="AB182" i="13" s="1"/>
  <c r="W305" i="13"/>
  <c r="Y201" i="13"/>
  <c r="AA201" i="13" s="1"/>
  <c r="X201" i="13"/>
  <c r="AB201" i="13" s="1"/>
  <c r="W103" i="13"/>
  <c r="W133" i="13"/>
  <c r="X274" i="13"/>
  <c r="Y274" i="13"/>
  <c r="AA274" i="13" s="1"/>
  <c r="Y82" i="13"/>
  <c r="AA82" i="13" s="1"/>
  <c r="X82" i="13"/>
  <c r="AB82" i="13" s="1"/>
  <c r="Y147" i="13"/>
  <c r="AA147" i="13" s="1"/>
  <c r="AB147" i="13" s="1"/>
  <c r="X147" i="13"/>
  <c r="X349" i="13"/>
  <c r="Y349" i="13"/>
  <c r="AA349" i="13" s="1"/>
  <c r="Y466" i="13"/>
  <c r="AA466" i="13" s="1"/>
  <c r="X466" i="13"/>
  <c r="X21" i="13"/>
  <c r="W332" i="13"/>
  <c r="AB110" i="13"/>
  <c r="X123" i="13"/>
  <c r="Y123" i="13"/>
  <c r="AA123" i="13" s="1"/>
  <c r="Y284" i="13"/>
  <c r="AA284" i="13" s="1"/>
  <c r="X284" i="13"/>
  <c r="AB284" i="13" s="1"/>
  <c r="X459" i="13"/>
  <c r="AB459" i="13" s="1"/>
  <c r="Y459" i="13"/>
  <c r="AA459" i="13" s="1"/>
  <c r="W161" i="13"/>
  <c r="Y120" i="13"/>
  <c r="AA120" i="13" s="1"/>
  <c r="X120" i="13"/>
  <c r="AB120" i="13" s="1"/>
  <c r="AB341" i="13"/>
  <c r="Y53" i="13"/>
  <c r="AA53" i="13" s="1"/>
  <c r="X53" i="13"/>
  <c r="AB53" i="13" s="1"/>
  <c r="Y90" i="13"/>
  <c r="AA90" i="13" s="1"/>
  <c r="X90" i="13"/>
  <c r="X141" i="13"/>
  <c r="AB141" i="13" s="1"/>
  <c r="W221" i="13"/>
  <c r="Y250" i="13"/>
  <c r="AA250" i="13" s="1"/>
  <c r="AB250" i="13" s="1"/>
  <c r="Y336" i="13"/>
  <c r="AA336" i="13" s="1"/>
  <c r="X336" i="13"/>
  <c r="W381" i="13"/>
  <c r="W37" i="13"/>
  <c r="AB83" i="13"/>
  <c r="Y149" i="13"/>
  <c r="AA149" i="13" s="1"/>
  <c r="X149" i="13"/>
  <c r="AB149" i="13" s="1"/>
  <c r="Y337" i="13"/>
  <c r="AA337" i="13" s="1"/>
  <c r="X337" i="13"/>
  <c r="AB337" i="13" s="1"/>
  <c r="Y366" i="13"/>
  <c r="AA366" i="13" s="1"/>
  <c r="AB366" i="13" s="1"/>
  <c r="Y486" i="13"/>
  <c r="AA486" i="13" s="1"/>
  <c r="X486" i="13"/>
  <c r="W156" i="13"/>
  <c r="Y271" i="13"/>
  <c r="AA271" i="13" s="1"/>
  <c r="X271" i="13"/>
  <c r="AB271" i="13" s="1"/>
  <c r="AB2" i="13"/>
  <c r="AB325" i="13"/>
  <c r="W331" i="13"/>
  <c r="AB144" i="13"/>
  <c r="W339" i="13"/>
  <c r="Y437" i="13"/>
  <c r="AA437" i="13" s="1"/>
  <c r="AB437" i="13" s="1"/>
  <c r="X437" i="13"/>
  <c r="W3" i="13"/>
  <c r="Y89" i="13"/>
  <c r="AA89" i="13" s="1"/>
  <c r="X89" i="13"/>
  <c r="Y52" i="13"/>
  <c r="AA52" i="13" s="1"/>
  <c r="X52" i="13"/>
  <c r="AB8" i="13"/>
  <c r="AB21" i="13"/>
  <c r="AB102" i="13"/>
  <c r="AB107" i="13"/>
  <c r="AB123" i="13"/>
  <c r="Y155" i="13"/>
  <c r="AA155" i="13" s="1"/>
  <c r="X155" i="13"/>
  <c r="AB155" i="13" s="1"/>
  <c r="AB160" i="13"/>
  <c r="X243" i="13"/>
  <c r="AB243" i="13" s="1"/>
  <c r="Y243" i="13"/>
  <c r="AA243" i="13" s="1"/>
  <c r="W318" i="13"/>
  <c r="Y509" i="13"/>
  <c r="AA509" i="13" s="1"/>
  <c r="X509" i="13"/>
  <c r="AB509" i="13" s="1"/>
  <c r="W552" i="13"/>
  <c r="W367" i="13"/>
  <c r="W401" i="13"/>
  <c r="AB90" i="13"/>
  <c r="AB244" i="13"/>
  <c r="Y326" i="13"/>
  <c r="AA326" i="13" s="1"/>
  <c r="X326" i="13"/>
  <c r="AB326" i="13" s="1"/>
  <c r="W362" i="13"/>
  <c r="W408" i="13"/>
  <c r="Y414" i="13"/>
  <c r="AA414" i="13" s="1"/>
  <c r="X414" i="13"/>
  <c r="Y444" i="13"/>
  <c r="AA444" i="13" s="1"/>
  <c r="X444" i="13"/>
  <c r="AB444" i="13" s="1"/>
  <c r="Y465" i="13"/>
  <c r="AA465" i="13" s="1"/>
  <c r="X465" i="13"/>
  <c r="AB465" i="13" s="1"/>
  <c r="Y505" i="13"/>
  <c r="AA505" i="13" s="1"/>
  <c r="X505" i="13"/>
  <c r="Y758" i="13"/>
  <c r="AA758" i="13" s="1"/>
  <c r="X758" i="13"/>
  <c r="AB758" i="13" s="1"/>
  <c r="W32" i="13"/>
  <c r="W38" i="13"/>
  <c r="W61" i="13"/>
  <c r="W65" i="13"/>
  <c r="Y75" i="13"/>
  <c r="AA75" i="13" s="1"/>
  <c r="X75" i="13"/>
  <c r="AB75" i="13" s="1"/>
  <c r="W84" i="13"/>
  <c r="W98" i="13"/>
  <c r="W111" i="13"/>
  <c r="AB125" i="13"/>
  <c r="X138" i="13"/>
  <c r="AB138" i="13" s="1"/>
  <c r="X206" i="13"/>
  <c r="AB206" i="13" s="1"/>
  <c r="Y216" i="13"/>
  <c r="AA216" i="13" s="1"/>
  <c r="X216" i="13"/>
  <c r="AB216" i="13" s="1"/>
  <c r="Y232" i="13"/>
  <c r="AA232" i="13" s="1"/>
  <c r="X232" i="13"/>
  <c r="Y244" i="13"/>
  <c r="AA244" i="13" s="1"/>
  <c r="X244" i="13"/>
  <c r="W267" i="13"/>
  <c r="W288" i="13"/>
  <c r="X343" i="13"/>
  <c r="Y343" i="13"/>
  <c r="AA343" i="13" s="1"/>
  <c r="AB382" i="13"/>
  <c r="AB505" i="13"/>
  <c r="AB647" i="13"/>
  <c r="X310" i="13"/>
  <c r="Y310" i="13"/>
  <c r="AA310" i="13" s="1"/>
  <c r="W500" i="13"/>
  <c r="W559" i="13"/>
  <c r="X13" i="13"/>
  <c r="AB13" i="13" s="1"/>
  <c r="Y23" i="13"/>
  <c r="AA23" i="13" s="1"/>
  <c r="AB23" i="13" s="1"/>
  <c r="X45" i="13"/>
  <c r="AB45" i="13" s="1"/>
  <c r="W213" i="13"/>
  <c r="W396" i="13"/>
  <c r="W546" i="13"/>
  <c r="Y624" i="13"/>
  <c r="AA624" i="13" s="1"/>
  <c r="X624" i="13"/>
  <c r="AB624" i="13" s="1"/>
  <c r="Y4" i="13"/>
  <c r="AA4" i="13" s="1"/>
  <c r="X4" i="13"/>
  <c r="AB4" i="13" s="1"/>
  <c r="X18" i="13"/>
  <c r="AB18" i="13" s="1"/>
  <c r="X34" i="13"/>
  <c r="AB34" i="13" s="1"/>
  <c r="Y66" i="13"/>
  <c r="AA66" i="13" s="1"/>
  <c r="X66" i="13"/>
  <c r="AB72" i="13"/>
  <c r="Y169" i="13"/>
  <c r="AA169" i="13" s="1"/>
  <c r="X169" i="13"/>
  <c r="AB169" i="13" s="1"/>
  <c r="Y197" i="13"/>
  <c r="AA197" i="13" s="1"/>
  <c r="X197" i="13"/>
  <c r="AB197" i="13" s="1"/>
  <c r="AB290" i="13"/>
  <c r="W322" i="13"/>
  <c r="W350" i="13"/>
  <c r="Y363" i="13"/>
  <c r="AA363" i="13" s="1"/>
  <c r="X363" i="13"/>
  <c r="X492" i="13"/>
  <c r="AB492" i="13" s="1"/>
  <c r="W697" i="13"/>
  <c r="AB822" i="13"/>
  <c r="Y565" i="13"/>
  <c r="AA565" i="13" s="1"/>
  <c r="X565" i="13"/>
  <c r="AB565" i="13" s="1"/>
  <c r="Y28" i="13"/>
  <c r="AA28" i="13" s="1"/>
  <c r="X28" i="13"/>
  <c r="AB28" i="13" s="1"/>
  <c r="W54" i="13"/>
  <c r="Y62" i="13"/>
  <c r="AA62" i="13" s="1"/>
  <c r="X62" i="13"/>
  <c r="AB62" i="13" s="1"/>
  <c r="W139" i="13"/>
  <c r="W207" i="13"/>
  <c r="W253" i="13"/>
  <c r="Y263" i="13"/>
  <c r="AA263" i="13" s="1"/>
  <c r="AB263" i="13" s="1"/>
  <c r="Y375" i="13"/>
  <c r="AA375" i="13" s="1"/>
  <c r="X375" i="13"/>
  <c r="Y5" i="13"/>
  <c r="AA5" i="13" s="1"/>
  <c r="X5" i="13"/>
  <c r="AB5" i="13" s="1"/>
  <c r="W40" i="13"/>
  <c r="Y67" i="13"/>
  <c r="AA67" i="13" s="1"/>
  <c r="X67" i="13"/>
  <c r="AB67" i="13" s="1"/>
  <c r="Y104" i="13"/>
  <c r="AA104" i="13" s="1"/>
  <c r="X104" i="13"/>
  <c r="AB104" i="13" s="1"/>
  <c r="Y126" i="13"/>
  <c r="AA126" i="13" s="1"/>
  <c r="X126" i="13"/>
  <c r="W130" i="13"/>
  <c r="Y135" i="13"/>
  <c r="AA135" i="13" s="1"/>
  <c r="AB135" i="13" s="1"/>
  <c r="W150" i="13"/>
  <c r="Y158" i="13"/>
  <c r="AA158" i="13" s="1"/>
  <c r="X158" i="13"/>
  <c r="AB158" i="13" s="1"/>
  <c r="AB164" i="13"/>
  <c r="Y285" i="13"/>
  <c r="AA285" i="13" s="1"/>
  <c r="X285" i="13"/>
  <c r="AB285" i="13" s="1"/>
  <c r="Y323" i="13"/>
  <c r="AA323" i="13" s="1"/>
  <c r="X323" i="13"/>
  <c r="W390" i="13"/>
  <c r="AB417" i="13"/>
  <c r="W541" i="13"/>
  <c r="X76" i="13"/>
  <c r="AB76" i="13" s="1"/>
  <c r="Y76" i="13"/>
  <c r="AA76" i="13" s="1"/>
  <c r="X108" i="13"/>
  <c r="AB108" i="13" s="1"/>
  <c r="Y108" i="13"/>
  <c r="AA108" i="13" s="1"/>
  <c r="Y117" i="13"/>
  <c r="AA117" i="13" s="1"/>
  <c r="Y275" i="13"/>
  <c r="AA275" i="13" s="1"/>
  <c r="X275" i="13"/>
  <c r="X494" i="13"/>
  <c r="AB494" i="13" s="1"/>
  <c r="Y494" i="13"/>
  <c r="AA494" i="13" s="1"/>
  <c r="Y507" i="13"/>
  <c r="AA507" i="13" s="1"/>
  <c r="X507" i="13"/>
  <c r="AB507" i="13" s="1"/>
  <c r="W521" i="13"/>
  <c r="Y178" i="13"/>
  <c r="AA178" i="13" s="1"/>
  <c r="X178" i="13"/>
  <c r="AB178" i="13" s="1"/>
  <c r="W29" i="13"/>
  <c r="W46" i="13"/>
  <c r="W63" i="13"/>
  <c r="W254" i="13"/>
  <c r="Y301" i="13"/>
  <c r="AA301" i="13" s="1"/>
  <c r="X301" i="13"/>
  <c r="AB301" i="13" s="1"/>
  <c r="W346" i="13"/>
  <c r="W391" i="13"/>
  <c r="W454" i="13"/>
  <c r="Y479" i="13"/>
  <c r="AA479" i="13" s="1"/>
  <c r="X479" i="13"/>
  <c r="AB479" i="13" s="1"/>
  <c r="W487" i="13"/>
  <c r="Y808" i="13"/>
  <c r="AA808" i="13" s="1"/>
  <c r="X808" i="13"/>
  <c r="AB808" i="13" s="1"/>
  <c r="Y50" i="13"/>
  <c r="AA50" i="13" s="1"/>
  <c r="X50" i="13"/>
  <c r="AB50" i="13" s="1"/>
  <c r="Y153" i="13"/>
  <c r="AA153" i="13" s="1"/>
  <c r="X153" i="13"/>
  <c r="AB153" i="13" s="1"/>
  <c r="W51" i="13"/>
  <c r="AB77" i="13"/>
  <c r="X81" i="13"/>
  <c r="AB81" i="13" s="1"/>
  <c r="AB174" i="13"/>
  <c r="W204" i="13"/>
  <c r="Y228" i="13"/>
  <c r="AA228" i="13" s="1"/>
  <c r="X228" i="13"/>
  <c r="AB228" i="13" s="1"/>
  <c r="W235" i="13"/>
  <c r="X14" i="13"/>
  <c r="AB14" i="13" s="1"/>
  <c r="Y14" i="13"/>
  <c r="AA14" i="13" s="1"/>
  <c r="W19" i="13"/>
  <c r="W24" i="13"/>
  <c r="AB68" i="13"/>
  <c r="W87" i="13"/>
  <c r="W113" i="13"/>
  <c r="W136" i="13"/>
  <c r="Y174" i="13"/>
  <c r="AA174" i="13" s="1"/>
  <c r="Y241" i="13"/>
  <c r="AA241" i="13" s="1"/>
  <c r="AB241" i="13" s="1"/>
  <c r="Y302" i="13"/>
  <c r="AA302" i="13" s="1"/>
  <c r="X302" i="13"/>
  <c r="X307" i="13"/>
  <c r="AB307" i="13" s="1"/>
  <c r="X329" i="13"/>
  <c r="Y329" i="13"/>
  <c r="AA329" i="13" s="1"/>
  <c r="Y371" i="13"/>
  <c r="AA371" i="13" s="1"/>
  <c r="X371" i="13"/>
  <c r="AB371" i="13" s="1"/>
  <c r="AA385" i="13"/>
  <c r="AB385" i="13" s="1"/>
  <c r="AB405" i="13"/>
  <c r="AB528" i="13"/>
  <c r="Y815" i="13"/>
  <c r="AA815" i="13" s="1"/>
  <c r="AB815" i="13" s="1"/>
  <c r="X815" i="13"/>
  <c r="X257" i="13"/>
  <c r="Y257" i="13"/>
  <c r="AA257" i="13" s="1"/>
  <c r="AB6" i="13"/>
  <c r="Y15" i="13"/>
  <c r="AA15" i="13" s="1"/>
  <c r="X15" i="13"/>
  <c r="AB15" i="13" s="1"/>
  <c r="Y35" i="13"/>
  <c r="AA35" i="13" s="1"/>
  <c r="X35" i="13"/>
  <c r="AB35" i="13" s="1"/>
  <c r="AB56" i="13"/>
  <c r="W101" i="13"/>
  <c r="AB117" i="13"/>
  <c r="W180" i="13"/>
  <c r="Y188" i="13"/>
  <c r="AA188" i="13" s="1"/>
  <c r="X188" i="13"/>
  <c r="AB188" i="13" s="1"/>
  <c r="Y199" i="13"/>
  <c r="AA199" i="13" s="1"/>
  <c r="X199" i="13"/>
  <c r="AB209" i="13"/>
  <c r="X282" i="13"/>
  <c r="AB282" i="13" s="1"/>
  <c r="Y282" i="13"/>
  <c r="AA282" i="13" s="1"/>
  <c r="W297" i="13"/>
  <c r="AB317" i="13"/>
  <c r="Y352" i="13"/>
  <c r="AA352" i="13" s="1"/>
  <c r="X352" i="13"/>
  <c r="W435" i="13"/>
  <c r="Y587" i="13"/>
  <c r="AA587" i="13" s="1"/>
  <c r="X587" i="13"/>
  <c r="AB587" i="13" s="1"/>
  <c r="AB795" i="13"/>
  <c r="X620" i="13"/>
  <c r="AB620" i="13" s="1"/>
  <c r="Y620" i="13"/>
  <c r="AA620" i="13" s="1"/>
  <c r="W49" i="13"/>
  <c r="W118" i="13"/>
  <c r="Y261" i="13"/>
  <c r="AA261" i="13" s="1"/>
  <c r="X261" i="13"/>
  <c r="Y406" i="13"/>
  <c r="AA406" i="13" s="1"/>
  <c r="Y579" i="13"/>
  <c r="AA579" i="13" s="1"/>
  <c r="X579" i="13"/>
  <c r="AB579" i="13" s="1"/>
  <c r="W22" i="13"/>
  <c r="W41" i="13"/>
  <c r="Y145" i="13"/>
  <c r="AA145" i="13" s="1"/>
  <c r="W418" i="13"/>
  <c r="W462" i="13"/>
  <c r="X501" i="13"/>
  <c r="AB501" i="13" s="1"/>
  <c r="Y501" i="13"/>
  <c r="AA501" i="13" s="1"/>
  <c r="X655" i="13"/>
  <c r="Y655" i="13"/>
  <c r="AA655" i="13" s="1"/>
  <c r="AB655" i="13" s="1"/>
  <c r="X745" i="13"/>
  <c r="Y745" i="13"/>
  <c r="AA745" i="13" s="1"/>
  <c r="X778" i="13"/>
  <c r="AB778" i="13" s="1"/>
  <c r="W12" i="13"/>
  <c r="Y27" i="13"/>
  <c r="AA27" i="13" s="1"/>
  <c r="AB27" i="13" s="1"/>
  <c r="W33" i="13"/>
  <c r="W44" i="13"/>
  <c r="X69" i="13"/>
  <c r="AB69" i="13" s="1"/>
  <c r="W85" i="13"/>
  <c r="W88" i="13"/>
  <c r="W99" i="13"/>
  <c r="W106" i="13"/>
  <c r="W116" i="13"/>
  <c r="AB121" i="13"/>
  <c r="X131" i="13"/>
  <c r="AB131" i="13" s="1"/>
  <c r="W134" i="13"/>
  <c r="Y142" i="13"/>
  <c r="AA142" i="13" s="1"/>
  <c r="W148" i="13"/>
  <c r="AB159" i="13"/>
  <c r="AB210" i="13"/>
  <c r="W223" i="13"/>
  <c r="W226" i="13"/>
  <c r="W229" i="13"/>
  <c r="W239" i="13"/>
  <c r="X247" i="13"/>
  <c r="AB247" i="13" s="1"/>
  <c r="W251" i="13"/>
  <c r="W272" i="13"/>
  <c r="W279" i="13"/>
  <c r="X312" i="13"/>
  <c r="AB312" i="13" s="1"/>
  <c r="W319" i="13"/>
  <c r="AB333" i="13"/>
  <c r="Y364" i="13"/>
  <c r="AA364" i="13" s="1"/>
  <c r="X364" i="13"/>
  <c r="AB364" i="13" s="1"/>
  <c r="W410" i="13"/>
  <c r="AB451" i="13"/>
  <c r="W482" i="13"/>
  <c r="Y568" i="13"/>
  <c r="AA568" i="13" s="1"/>
  <c r="W651" i="13"/>
  <c r="X659" i="13"/>
  <c r="Y659" i="13"/>
  <c r="AA659" i="13" s="1"/>
  <c r="W716" i="13"/>
  <c r="Y791" i="13"/>
  <c r="AA791" i="13" s="1"/>
  <c r="X791" i="13"/>
  <c r="AB791" i="13" s="1"/>
  <c r="Y242" i="13"/>
  <c r="AA242" i="13" s="1"/>
  <c r="X242" i="13"/>
  <c r="AB242" i="13" s="1"/>
  <c r="AB372" i="13"/>
  <c r="X864" i="13"/>
  <c r="AB864" i="13" s="1"/>
  <c r="W9" i="13"/>
  <c r="X189" i="13"/>
  <c r="AB189" i="13" s="1"/>
  <c r="Y189" i="13"/>
  <c r="AA189" i="13" s="1"/>
  <c r="W175" i="13"/>
  <c r="X192" i="13"/>
  <c r="AB192" i="13" s="1"/>
  <c r="X315" i="13"/>
  <c r="AB315" i="13" s="1"/>
  <c r="W355" i="13"/>
  <c r="AB568" i="13"/>
  <c r="W17" i="13"/>
  <c r="AB93" i="13"/>
  <c r="X137" i="13"/>
  <c r="AB137" i="13" s="1"/>
  <c r="AB140" i="13"/>
  <c r="AB145" i="13"/>
  <c r="X162" i="13"/>
  <c r="Y162" i="13"/>
  <c r="AA162" i="13" s="1"/>
  <c r="W181" i="13"/>
  <c r="Y265" i="13"/>
  <c r="AA265" i="13" s="1"/>
  <c r="AB275" i="13"/>
  <c r="W289" i="13"/>
  <c r="W292" i="13"/>
  <c r="Y309" i="13"/>
  <c r="AA309" i="13" s="1"/>
  <c r="AB309" i="13" s="1"/>
  <c r="W378" i="13"/>
  <c r="Y383" i="13"/>
  <c r="AA383" i="13" s="1"/>
  <c r="X383" i="13"/>
  <c r="AB383" i="13" s="1"/>
  <c r="Y393" i="13"/>
  <c r="AA393" i="13" s="1"/>
  <c r="X393" i="13"/>
  <c r="AB393" i="13" s="1"/>
  <c r="Y451" i="13"/>
  <c r="AA451" i="13" s="1"/>
  <c r="X451" i="13"/>
  <c r="Y477" i="13"/>
  <c r="AA477" i="13" s="1"/>
  <c r="X477" i="13"/>
  <c r="X495" i="13"/>
  <c r="Y495" i="13"/>
  <c r="AA495" i="13" s="1"/>
  <c r="Y512" i="13"/>
  <c r="AA512" i="13" s="1"/>
  <c r="X512" i="13"/>
  <c r="AB512" i="13" s="1"/>
  <c r="AB525" i="13"/>
  <c r="W555" i="13"/>
  <c r="X600" i="13"/>
  <c r="Y600" i="13"/>
  <c r="AA600" i="13" s="1"/>
  <c r="W608" i="13"/>
  <c r="W640" i="13"/>
  <c r="Y701" i="13"/>
  <c r="AA701" i="13" s="1"/>
  <c r="AB701" i="13" s="1"/>
  <c r="Y779" i="13"/>
  <c r="AA779" i="13" s="1"/>
  <c r="X779" i="13"/>
  <c r="AB779" i="13" s="1"/>
  <c r="W25" i="13"/>
  <c r="W36" i="13"/>
  <c r="W47" i="13"/>
  <c r="W55" i="13"/>
  <c r="W59" i="13"/>
  <c r="AB66" i="13"/>
  <c r="AB126" i="13"/>
  <c r="AB142" i="13"/>
  <c r="W202" i="13"/>
  <c r="W208" i="13"/>
  <c r="W236" i="13"/>
  <c r="W255" i="13"/>
  <c r="W276" i="13"/>
  <c r="X299" i="13"/>
  <c r="AB299" i="13" s="1"/>
  <c r="Y330" i="13"/>
  <c r="AA330" i="13" s="1"/>
  <c r="X330" i="13"/>
  <c r="AB330" i="13" s="1"/>
  <c r="X348" i="13"/>
  <c r="AB348" i="13" s="1"/>
  <c r="AB356" i="13"/>
  <c r="X373" i="13"/>
  <c r="AB373" i="13" s="1"/>
  <c r="X398" i="13"/>
  <c r="Y398" i="13"/>
  <c r="AA398" i="13" s="1"/>
  <c r="W428" i="13"/>
  <c r="AB433" i="13"/>
  <c r="X442" i="13"/>
  <c r="AB442" i="13" s="1"/>
  <c r="W447" i="13"/>
  <c r="X473" i="13"/>
  <c r="X483" i="13"/>
  <c r="Y483" i="13"/>
  <c r="AA483" i="13" s="1"/>
  <c r="W591" i="13"/>
  <c r="W633" i="13"/>
  <c r="X859" i="13"/>
  <c r="Y859" i="13"/>
  <c r="AA859" i="13" s="1"/>
  <c r="AB859" i="13" s="1"/>
  <c r="AB329" i="13"/>
  <c r="Y460" i="13"/>
  <c r="AA460" i="13" s="1"/>
  <c r="X460" i="13"/>
  <c r="AB460" i="13" s="1"/>
  <c r="Y612" i="13"/>
  <c r="AA612" i="13" s="1"/>
  <c r="X612" i="13"/>
  <c r="AB612" i="13" s="1"/>
  <c r="AB427" i="13"/>
  <c r="X850" i="13"/>
  <c r="Y850" i="13"/>
  <c r="AA850" i="13" s="1"/>
  <c r="Y210" i="13"/>
  <c r="AA210" i="13" s="1"/>
  <c r="Y680" i="13"/>
  <c r="AA680" i="13" s="1"/>
  <c r="X680" i="13"/>
  <c r="AB680" i="13" s="1"/>
  <c r="W183" i="13"/>
  <c r="W351" i="13"/>
  <c r="AB30" i="13"/>
  <c r="AB232" i="13"/>
  <c r="AB265" i="13"/>
  <c r="W303" i="13"/>
  <c r="X316" i="13"/>
  <c r="AB316" i="13" s="1"/>
  <c r="W320" i="13"/>
  <c r="AB323" i="13"/>
  <c r="W384" i="13"/>
  <c r="Y394" i="13"/>
  <c r="AA394" i="13" s="1"/>
  <c r="X394" i="13"/>
  <c r="AB394" i="13" s="1"/>
  <c r="Y424" i="13"/>
  <c r="AA424" i="13" s="1"/>
  <c r="X424" i="13"/>
  <c r="AB424" i="13" s="1"/>
  <c r="W570" i="13"/>
  <c r="Y601" i="13"/>
  <c r="AA601" i="13" s="1"/>
  <c r="X601" i="13"/>
  <c r="AB601" i="13" s="1"/>
  <c r="X656" i="13"/>
  <c r="AB656" i="13" s="1"/>
  <c r="Y668" i="13"/>
  <c r="AA668" i="13" s="1"/>
  <c r="X668" i="13"/>
  <c r="AB668" i="13" s="1"/>
  <c r="X835" i="13"/>
  <c r="Y835" i="13"/>
  <c r="AA835" i="13" s="1"/>
  <c r="W291" i="13"/>
  <c r="W671" i="13"/>
  <c r="W752" i="13"/>
  <c r="Y171" i="13"/>
  <c r="AA171" i="13" s="1"/>
  <c r="AB171" i="13" s="1"/>
  <c r="W344" i="13"/>
  <c r="Y359" i="13"/>
  <c r="AA359" i="13" s="1"/>
  <c r="W422" i="13"/>
  <c r="W456" i="13"/>
  <c r="Y79" i="13"/>
  <c r="AA79" i="13" s="1"/>
  <c r="X165" i="13"/>
  <c r="AB165" i="13" s="1"/>
  <c r="AB199" i="13"/>
  <c r="W295" i="13"/>
  <c r="AB359" i="13"/>
  <c r="X20" i="13"/>
  <c r="AB20" i="13" s="1"/>
  <c r="X39" i="13"/>
  <c r="AB39" i="13" s="1"/>
  <c r="Y57" i="13"/>
  <c r="AA57" i="13" s="1"/>
  <c r="AB57" i="13" s="1"/>
  <c r="X80" i="13"/>
  <c r="AB80" i="13" s="1"/>
  <c r="X94" i="13"/>
  <c r="AB94" i="13" s="1"/>
  <c r="X109" i="13"/>
  <c r="AB109" i="13" s="1"/>
  <c r="Y129" i="13"/>
  <c r="AA129" i="13" s="1"/>
  <c r="AB129" i="13" s="1"/>
  <c r="X140" i="13"/>
  <c r="W143" i="13"/>
  <c r="Y176" i="13"/>
  <c r="AA176" i="13" s="1"/>
  <c r="X176" i="13"/>
  <c r="AB176" i="13" s="1"/>
  <c r="Y184" i="13"/>
  <c r="AA184" i="13" s="1"/>
  <c r="AB184" i="13" s="1"/>
  <c r="X190" i="13"/>
  <c r="AB190" i="13" s="1"/>
  <c r="X193" i="13"/>
  <c r="AB193" i="13" s="1"/>
  <c r="X196" i="13"/>
  <c r="AB196" i="13" s="1"/>
  <c r="X220" i="13"/>
  <c r="AB220" i="13" s="1"/>
  <c r="W230" i="13"/>
  <c r="W324" i="13"/>
  <c r="Y345" i="13"/>
  <c r="AA345" i="13" s="1"/>
  <c r="X345" i="13"/>
  <c r="AB345" i="13" s="1"/>
  <c r="Y361" i="13"/>
  <c r="AA361" i="13" s="1"/>
  <c r="X361" i="13"/>
  <c r="AB361" i="13" s="1"/>
  <c r="W429" i="13"/>
  <c r="W468" i="13"/>
  <c r="W268" i="13"/>
  <c r="X198" i="13"/>
  <c r="Y461" i="13"/>
  <c r="AA461" i="13" s="1"/>
  <c r="X461" i="13"/>
  <c r="AB461" i="13" s="1"/>
  <c r="X10" i="13"/>
  <c r="AB10" i="13" s="1"/>
  <c r="W42" i="13"/>
  <c r="W86" i="13"/>
  <c r="X127" i="13"/>
  <c r="AB127" i="13" s="1"/>
  <c r="X146" i="13"/>
  <c r="AB146" i="13" s="1"/>
  <c r="X163" i="13"/>
  <c r="AB163" i="13" s="1"/>
  <c r="AB166" i="13"/>
  <c r="AB170" i="13"/>
  <c r="X187" i="13"/>
  <c r="AB187" i="13" s="1"/>
  <c r="W224" i="13"/>
  <c r="W248" i="13"/>
  <c r="X252" i="13"/>
  <c r="AB252" i="13" s="1"/>
  <c r="AB256" i="13"/>
  <c r="W270" i="13"/>
  <c r="W273" i="13"/>
  <c r="W286" i="13"/>
  <c r="Y286" i="13" s="1"/>
  <c r="AA286" i="13" s="1"/>
  <c r="AB286" i="13" s="1"/>
  <c r="X296" i="13"/>
  <c r="AB296" i="13" s="1"/>
  <c r="X313" i="13"/>
  <c r="AB313" i="13" s="1"/>
  <c r="W327" i="13"/>
  <c r="X334" i="13"/>
  <c r="AB334" i="13" s="1"/>
  <c r="W370" i="13"/>
  <c r="AB374" i="13"/>
  <c r="Y379" i="13"/>
  <c r="AA379" i="13" s="1"/>
  <c r="X379" i="13"/>
  <c r="AB379" i="13" s="1"/>
  <c r="W399" i="13"/>
  <c r="Y411" i="13"/>
  <c r="AA411" i="13" s="1"/>
  <c r="X411" i="13"/>
  <c r="AB411" i="13" s="1"/>
  <c r="Y415" i="13"/>
  <c r="AA415" i="13" s="1"/>
  <c r="X415" i="13"/>
  <c r="W438" i="13"/>
  <c r="W448" i="13"/>
  <c r="Y497" i="13"/>
  <c r="AA497" i="13" s="1"/>
  <c r="X497" i="13"/>
  <c r="AB497" i="13" s="1"/>
  <c r="Y503" i="13"/>
  <c r="AA503" i="13" s="1"/>
  <c r="X503" i="13"/>
  <c r="AB503" i="13" s="1"/>
  <c r="W550" i="13"/>
  <c r="W603" i="13"/>
  <c r="W627" i="13"/>
  <c r="W641" i="13"/>
  <c r="X696" i="13"/>
  <c r="AB696" i="13" s="1"/>
  <c r="W713" i="13"/>
  <c r="AB757" i="13"/>
  <c r="AB336" i="13"/>
  <c r="W413" i="13"/>
  <c r="W784" i="13"/>
  <c r="AB363" i="13"/>
  <c r="Y392" i="13"/>
  <c r="AA392" i="13" s="1"/>
  <c r="X392" i="13"/>
  <c r="AB392" i="13" s="1"/>
  <c r="W450" i="13"/>
  <c r="X195" i="13"/>
  <c r="AB195" i="13" s="1"/>
  <c r="AB302" i="13"/>
  <c r="X377" i="13"/>
  <c r="AB377" i="13" s="1"/>
  <c r="AB52" i="13"/>
  <c r="W167" i="13"/>
  <c r="W173" i="13"/>
  <c r="W200" i="13"/>
  <c r="X259" i="13"/>
  <c r="AB259" i="13" s="1"/>
  <c r="W293" i="13"/>
  <c r="AB338" i="13"/>
  <c r="Y357" i="13"/>
  <c r="AA357" i="13" s="1"/>
  <c r="AB357" i="13" s="1"/>
  <c r="AB380" i="13"/>
  <c r="W404" i="13"/>
  <c r="Y434" i="13"/>
  <c r="AA434" i="13" s="1"/>
  <c r="X434" i="13"/>
  <c r="AB434" i="13" s="1"/>
  <c r="W439" i="13"/>
  <c r="W443" i="13"/>
  <c r="AB498" i="13"/>
  <c r="Y582" i="13"/>
  <c r="AA582" i="13" s="1"/>
  <c r="AB582" i="13" s="1"/>
  <c r="Y623" i="13"/>
  <c r="AA623" i="13" s="1"/>
  <c r="W203" i="13"/>
  <c r="W280" i="13"/>
  <c r="AB340" i="13"/>
  <c r="W513" i="13"/>
  <c r="AB529" i="13"/>
  <c r="W535" i="13"/>
  <c r="Y566" i="13"/>
  <c r="AA566" i="13" s="1"/>
  <c r="X566" i="13"/>
  <c r="AB593" i="13"/>
  <c r="X743" i="13"/>
  <c r="Y743" i="13"/>
  <c r="AA743" i="13" s="1"/>
  <c r="W773" i="13"/>
  <c r="Y833" i="13"/>
  <c r="AA833" i="13" s="1"/>
  <c r="X833" i="13"/>
  <c r="AB833" i="13" s="1"/>
  <c r="W168" i="13"/>
  <c r="W233" i="13"/>
  <c r="W246" i="13"/>
  <c r="W258" i="13"/>
  <c r="Y306" i="13"/>
  <c r="AA306" i="13" s="1"/>
  <c r="AB306" i="13" s="1"/>
  <c r="W360" i="13"/>
  <c r="W376" i="13"/>
  <c r="AB440" i="13"/>
  <c r="W452" i="13"/>
  <c r="W457" i="13"/>
  <c r="O470" i="13"/>
  <c r="W481" i="13"/>
  <c r="Y529" i="13"/>
  <c r="AA529" i="13" s="1"/>
  <c r="Y573" i="13"/>
  <c r="AA573" i="13" s="1"/>
  <c r="AB573" i="13" s="1"/>
  <c r="W689" i="13"/>
  <c r="W766" i="13"/>
  <c r="W774" i="13"/>
  <c r="AB198" i="13"/>
  <c r="AB212" i="13"/>
  <c r="AB222" i="13"/>
  <c r="W365" i="13"/>
  <c r="AB473" i="13"/>
  <c r="W515" i="13"/>
  <c r="Y531" i="13"/>
  <c r="AA531" i="13" s="1"/>
  <c r="X531" i="13"/>
  <c r="W574" i="13"/>
  <c r="W599" i="13"/>
  <c r="AB630" i="13"/>
  <c r="W666" i="13"/>
  <c r="Y672" i="13"/>
  <c r="AA672" i="13" s="1"/>
  <c r="X672" i="13"/>
  <c r="AB672" i="13" s="1"/>
  <c r="AB732" i="13"/>
  <c r="W826" i="13"/>
  <c r="W426" i="13"/>
  <c r="Y485" i="13"/>
  <c r="AA485" i="13" s="1"/>
  <c r="X485" i="13"/>
  <c r="AB485" i="13" s="1"/>
  <c r="AB490" i="13"/>
  <c r="W556" i="13"/>
  <c r="X797" i="13"/>
  <c r="Y797" i="13"/>
  <c r="AA797" i="13" s="1"/>
  <c r="W827" i="13"/>
  <c r="W838" i="13"/>
  <c r="W179" i="13"/>
  <c r="AB205" i="13"/>
  <c r="AB300" i="13"/>
  <c r="W368" i="13"/>
  <c r="W445" i="13"/>
  <c r="X453" i="13"/>
  <c r="AB453" i="13" s="1"/>
  <c r="Y453" i="13"/>
  <c r="AA453" i="13" s="1"/>
  <c r="Y458" i="13"/>
  <c r="AA458" i="13" s="1"/>
  <c r="X458" i="13"/>
  <c r="AB458" i="13" s="1"/>
  <c r="W463" i="13"/>
  <c r="W467" i="13"/>
  <c r="Y490" i="13"/>
  <c r="AA490" i="13" s="1"/>
  <c r="X490" i="13"/>
  <c r="Y540" i="13"/>
  <c r="AA540" i="13" s="1"/>
  <c r="X540" i="13"/>
  <c r="AB540" i="13" s="1"/>
  <c r="Y569" i="13"/>
  <c r="AA569" i="13" s="1"/>
  <c r="X569" i="13"/>
  <c r="AB569" i="13" s="1"/>
  <c r="Y619" i="13"/>
  <c r="AA619" i="13" s="1"/>
  <c r="AB619" i="13" s="1"/>
  <c r="X790" i="13"/>
  <c r="Y790" i="13"/>
  <c r="AA790" i="13" s="1"/>
  <c r="W809" i="13"/>
  <c r="AB352" i="13"/>
  <c r="W358" i="13"/>
  <c r="Y397" i="13"/>
  <c r="AA397" i="13" s="1"/>
  <c r="X397" i="13"/>
  <c r="AB397" i="13" s="1"/>
  <c r="W407" i="13"/>
  <c r="Y409" i="13"/>
  <c r="AA409" i="13" s="1"/>
  <c r="X409" i="13"/>
  <c r="AB409" i="13" s="1"/>
  <c r="AB415" i="13"/>
  <c r="W475" i="13"/>
  <c r="W562" i="13"/>
  <c r="W589" i="13"/>
  <c r="W691" i="13"/>
  <c r="Y768" i="13"/>
  <c r="AA768" i="13" s="1"/>
  <c r="X768" i="13"/>
  <c r="AB768" i="13" s="1"/>
  <c r="W787" i="13"/>
  <c r="W800" i="13"/>
  <c r="Y830" i="13"/>
  <c r="AA830" i="13" s="1"/>
  <c r="X830" i="13"/>
  <c r="AB830" i="13" s="1"/>
  <c r="W846" i="13"/>
  <c r="W866" i="13"/>
  <c r="W648" i="13"/>
  <c r="X719" i="13"/>
  <c r="Y719" i="13"/>
  <c r="AA719" i="13" s="1"/>
  <c r="W736" i="13"/>
  <c r="X488" i="13"/>
  <c r="Y488" i="13"/>
  <c r="AA488" i="13" s="1"/>
  <c r="Y527" i="13"/>
  <c r="AA527" i="13" s="1"/>
  <c r="X527" i="13"/>
  <c r="AB527" i="13" s="1"/>
  <c r="W553" i="13"/>
  <c r="Y585" i="13"/>
  <c r="AA585" i="13" s="1"/>
  <c r="X585" i="13"/>
  <c r="AB585" i="13" s="1"/>
  <c r="X675" i="13"/>
  <c r="AB675" i="13" s="1"/>
  <c r="W692" i="13"/>
  <c r="W747" i="13"/>
  <c r="Y449" i="13"/>
  <c r="AA449" i="13" s="1"/>
  <c r="X449" i="13"/>
  <c r="AB449" i="13" s="1"/>
  <c r="X514" i="13"/>
  <c r="AB514" i="13" s="1"/>
  <c r="X523" i="13"/>
  <c r="AB523" i="13" s="1"/>
  <c r="X564" i="13"/>
  <c r="AB564" i="13" s="1"/>
  <c r="X604" i="13"/>
  <c r="AB604" i="13" s="1"/>
  <c r="AB720" i="13"/>
  <c r="X748" i="13"/>
  <c r="Y748" i="13"/>
  <c r="AA748" i="13" s="1"/>
  <c r="Y832" i="13"/>
  <c r="AA832" i="13" s="1"/>
  <c r="X832" i="13"/>
  <c r="AB832" i="13" s="1"/>
  <c r="W847" i="13"/>
  <c r="Y416" i="13"/>
  <c r="AA416" i="13" s="1"/>
  <c r="X416" i="13"/>
  <c r="AB423" i="13"/>
  <c r="W436" i="13"/>
  <c r="W446" i="13"/>
  <c r="X472" i="13"/>
  <c r="AB472" i="13" s="1"/>
  <c r="Y493" i="13"/>
  <c r="AA493" i="13" s="1"/>
  <c r="X493" i="13"/>
  <c r="AB493" i="13" s="1"/>
  <c r="W518" i="13"/>
  <c r="Y533" i="13"/>
  <c r="AA533" i="13" s="1"/>
  <c r="X533" i="13"/>
  <c r="AB533" i="13" s="1"/>
  <c r="Y576" i="13"/>
  <c r="AA576" i="13" s="1"/>
  <c r="X576" i="13"/>
  <c r="AB576" i="13" s="1"/>
  <c r="AB598" i="13"/>
  <c r="X632" i="13"/>
  <c r="AB632" i="13" s="1"/>
  <c r="Y632" i="13"/>
  <c r="AA632" i="13" s="1"/>
  <c r="Y644" i="13"/>
  <c r="AA644" i="13" s="1"/>
  <c r="X644" i="13"/>
  <c r="AB644" i="13" s="1"/>
  <c r="AB706" i="13"/>
  <c r="AB737" i="13"/>
  <c r="AB841" i="13"/>
  <c r="Y848" i="13"/>
  <c r="AA848" i="13" s="1"/>
  <c r="X848" i="13"/>
  <c r="AB848" i="13" s="1"/>
  <c r="AB466" i="13"/>
  <c r="W480" i="13"/>
  <c r="W524" i="13"/>
  <c r="W538" i="13"/>
  <c r="AB586" i="13"/>
  <c r="Y617" i="13"/>
  <c r="AA617" i="13" s="1"/>
  <c r="X617" i="13"/>
  <c r="Y654" i="13"/>
  <c r="AA654" i="13" s="1"/>
  <c r="X654" i="13"/>
  <c r="AB654" i="13" s="1"/>
  <c r="W856" i="13"/>
  <c r="Y498" i="13"/>
  <c r="AA498" i="13" s="1"/>
  <c r="X498" i="13"/>
  <c r="Y605" i="13"/>
  <c r="AA605" i="13" s="1"/>
  <c r="X605" i="13"/>
  <c r="AB605" i="13" s="1"/>
  <c r="X816" i="13"/>
  <c r="Y816" i="13"/>
  <c r="AA816" i="13" s="1"/>
  <c r="AB816" i="13" s="1"/>
  <c r="W389" i="13"/>
  <c r="W402" i="13"/>
  <c r="W421" i="13"/>
  <c r="W431" i="13"/>
  <c r="W484" i="13"/>
  <c r="X491" i="13"/>
  <c r="AB491" i="13" s="1"/>
  <c r="Y508" i="13"/>
  <c r="AA508" i="13" s="1"/>
  <c r="X508" i="13"/>
  <c r="AB508" i="13" s="1"/>
  <c r="W526" i="13"/>
  <c r="W530" i="13"/>
  <c r="W615" i="13"/>
  <c r="X649" i="13"/>
  <c r="AB649" i="13" s="1"/>
  <c r="W662" i="13"/>
  <c r="X700" i="13"/>
  <c r="Y700" i="13"/>
  <c r="AA700" i="13" s="1"/>
  <c r="AB700" i="13" s="1"/>
  <c r="X704" i="13"/>
  <c r="W769" i="13"/>
  <c r="Y786" i="13"/>
  <c r="AA786" i="13" s="1"/>
  <c r="X786" i="13"/>
  <c r="AB786" i="13" s="1"/>
  <c r="AB495" i="13"/>
  <c r="Y519" i="13"/>
  <c r="AA519" i="13" s="1"/>
  <c r="X519" i="13"/>
  <c r="AB519" i="13" s="1"/>
  <c r="AB531" i="13"/>
  <c r="W547" i="13"/>
  <c r="W611" i="13"/>
  <c r="W693" i="13"/>
  <c r="W733" i="13"/>
  <c r="W749" i="13"/>
  <c r="W812" i="13"/>
  <c r="Y817" i="13"/>
  <c r="AA817" i="13" s="1"/>
  <c r="X817" i="13"/>
  <c r="W823" i="13"/>
  <c r="W842" i="13"/>
  <c r="W860" i="13"/>
  <c r="W867" i="13"/>
  <c r="W580" i="13"/>
  <c r="W710" i="13"/>
  <c r="AB729" i="13"/>
  <c r="AB760" i="13"/>
  <c r="AB817" i="13"/>
  <c r="W861" i="13"/>
  <c r="W455" i="13"/>
  <c r="AB557" i="13"/>
  <c r="Y572" i="13"/>
  <c r="AA572" i="13" s="1"/>
  <c r="X572" i="13"/>
  <c r="AB584" i="13"/>
  <c r="W669" i="13"/>
  <c r="W724" i="13"/>
  <c r="Y744" i="13"/>
  <c r="AA744" i="13" s="1"/>
  <c r="X744" i="13"/>
  <c r="AB744" i="13" s="1"/>
  <c r="AA777" i="13"/>
  <c r="AB777" i="13" s="1"/>
  <c r="W804" i="13"/>
  <c r="W818" i="13"/>
  <c r="W721" i="13"/>
  <c r="W726" i="13"/>
  <c r="Y742" i="13"/>
  <c r="AA742" i="13" s="1"/>
  <c r="X742" i="13"/>
  <c r="W775" i="13"/>
  <c r="X792" i="13"/>
  <c r="Y792" i="13"/>
  <c r="AA792" i="13" s="1"/>
  <c r="W828" i="13"/>
  <c r="W609" i="13"/>
  <c r="W642" i="13"/>
  <c r="Y722" i="13"/>
  <c r="AA722" i="13" s="1"/>
  <c r="X722" i="13"/>
  <c r="X750" i="13"/>
  <c r="Y750" i="13"/>
  <c r="AA750" i="13" s="1"/>
  <c r="W478" i="13"/>
  <c r="W567" i="13"/>
  <c r="X613" i="13"/>
  <c r="AB613" i="13" s="1"/>
  <c r="W625" i="13"/>
  <c r="W638" i="13"/>
  <c r="AB670" i="13"/>
  <c r="W678" i="13"/>
  <c r="W699" i="13"/>
  <c r="AB707" i="13"/>
  <c r="W730" i="13"/>
  <c r="W738" i="13"/>
  <c r="X759" i="13"/>
  <c r="AB759" i="13" s="1"/>
  <c r="X798" i="13"/>
  <c r="AB798" i="13" s="1"/>
  <c r="X853" i="13"/>
  <c r="AB853" i="13" s="1"/>
  <c r="W868" i="13"/>
  <c r="AB544" i="13"/>
  <c r="W557" i="13"/>
  <c r="Y557" i="13" s="1"/>
  <c r="AA557" i="13" s="1"/>
  <c r="Y563" i="13"/>
  <c r="AA563" i="13" s="1"/>
  <c r="X563" i="13"/>
  <c r="AB563" i="13" s="1"/>
  <c r="W618" i="13"/>
  <c r="W622" i="13"/>
  <c r="Y629" i="13"/>
  <c r="AA629" i="13" s="1"/>
  <c r="AB629" i="13" s="1"/>
  <c r="X653" i="13"/>
  <c r="AB653" i="13" s="1"/>
  <c r="W657" i="13"/>
  <c r="W673" i="13"/>
  <c r="Y703" i="13"/>
  <c r="AA703" i="13" s="1"/>
  <c r="AB703" i="13" s="1"/>
  <c r="AB742" i="13"/>
  <c r="W746" i="13"/>
  <c r="AB803" i="13"/>
  <c r="Y814" i="13"/>
  <c r="AA814" i="13" s="1"/>
  <c r="AB814" i="13" s="1"/>
  <c r="X819" i="13"/>
  <c r="AB819" i="13" s="1"/>
  <c r="X829" i="13"/>
  <c r="Y539" i="13"/>
  <c r="AA539" i="13" s="1"/>
  <c r="X539" i="13"/>
  <c r="AB539" i="13" s="1"/>
  <c r="Y602" i="13"/>
  <c r="AA602" i="13" s="1"/>
  <c r="X602" i="13"/>
  <c r="Y650" i="13"/>
  <c r="AA650" i="13" s="1"/>
  <c r="X650" i="13"/>
  <c r="AB650" i="13" s="1"/>
  <c r="Y751" i="13"/>
  <c r="AA751" i="13" s="1"/>
  <c r="X751" i="13"/>
  <c r="W789" i="13"/>
  <c r="Y849" i="13"/>
  <c r="AA849" i="13" s="1"/>
  <c r="X849" i="13"/>
  <c r="Y863" i="13"/>
  <c r="AA863" i="13" s="1"/>
  <c r="X863" i="13"/>
  <c r="AB863" i="13" s="1"/>
  <c r="X476" i="13"/>
  <c r="AB476" i="13" s="1"/>
  <c r="X506" i="13"/>
  <c r="AB506" i="13" s="1"/>
  <c r="X511" i="13"/>
  <c r="AB511" i="13" s="1"/>
  <c r="X516" i="13"/>
  <c r="AB516" i="13" s="1"/>
  <c r="X522" i="13"/>
  <c r="AB522" i="13" s="1"/>
  <c r="X542" i="13"/>
  <c r="AB542" i="13" s="1"/>
  <c r="X554" i="13"/>
  <c r="AB554" i="13" s="1"/>
  <c r="AB606" i="13"/>
  <c r="AB635" i="13"/>
  <c r="X670" i="13"/>
  <c r="W674" i="13"/>
  <c r="X679" i="13"/>
  <c r="AB679" i="13" s="1"/>
  <c r="X707" i="13"/>
  <c r="X711" i="13"/>
  <c r="AB711" i="13" s="1"/>
  <c r="AB722" i="13"/>
  <c r="W727" i="13"/>
  <c r="W739" i="13"/>
  <c r="Y756" i="13"/>
  <c r="AA756" i="13" s="1"/>
  <c r="X756" i="13"/>
  <c r="AB756" i="13" s="1"/>
  <c r="X763" i="13"/>
  <c r="AB763" i="13" s="1"/>
  <c r="Y771" i="13"/>
  <c r="AA771" i="13" s="1"/>
  <c r="AB771" i="13" s="1"/>
  <c r="W781" i="13"/>
  <c r="AB790" i="13"/>
  <c r="X794" i="13"/>
  <c r="AB794" i="13" s="1"/>
  <c r="X803" i="13"/>
  <c r="X811" i="13"/>
  <c r="AB829" i="13"/>
  <c r="W536" i="13"/>
  <c r="AB548" i="13"/>
  <c r="Y551" i="13"/>
  <c r="AA551" i="13" s="1"/>
  <c r="X551" i="13"/>
  <c r="AB551" i="13" s="1"/>
  <c r="X560" i="13"/>
  <c r="AB560" i="13" s="1"/>
  <c r="AB602" i="13"/>
  <c r="AB646" i="13"/>
  <c r="W687" i="13"/>
  <c r="AB690" i="13"/>
  <c r="AB704" i="13"/>
  <c r="Y718" i="13"/>
  <c r="AA718" i="13" s="1"/>
  <c r="AB718" i="13" s="1"/>
  <c r="AB723" i="13"/>
  <c r="Y799" i="13"/>
  <c r="AA799" i="13" s="1"/>
  <c r="X799" i="13"/>
  <c r="AB799" i="13" s="1"/>
  <c r="W820" i="13"/>
  <c r="Y677" i="13"/>
  <c r="AA677" i="13" s="1"/>
  <c r="X677" i="13"/>
  <c r="AB677" i="13" s="1"/>
  <c r="Y694" i="13"/>
  <c r="AA694" i="13" s="1"/>
  <c r="X694" i="13"/>
  <c r="AB694" i="13" s="1"/>
  <c r="W708" i="13"/>
  <c r="W594" i="13"/>
  <c r="W660" i="13"/>
  <c r="W695" i="13"/>
  <c r="Y796" i="13"/>
  <c r="AA796" i="13" s="1"/>
  <c r="X796" i="13"/>
  <c r="AB796" i="13" s="1"/>
  <c r="W806" i="13"/>
  <c r="W810" i="13"/>
  <c r="W839" i="13"/>
  <c r="Y843" i="13"/>
  <c r="AA843" i="13" s="1"/>
  <c r="X843" i="13"/>
  <c r="AB843" i="13" s="1"/>
  <c r="AB854" i="13"/>
  <c r="AB857" i="13"/>
  <c r="AB575" i="13"/>
  <c r="Y628" i="13"/>
  <c r="AA628" i="13" s="1"/>
  <c r="X628" i="13"/>
  <c r="AB628" i="13" s="1"/>
  <c r="AB705" i="13"/>
  <c r="X854" i="13"/>
  <c r="Y865" i="13"/>
  <c r="AA865" i="13" s="1"/>
  <c r="AB865" i="13" s="1"/>
  <c r="W869" i="13"/>
  <c r="W639" i="13"/>
  <c r="W661" i="13"/>
  <c r="AB664" i="13"/>
  <c r="Y725" i="13"/>
  <c r="AA725" i="13" s="1"/>
  <c r="X725" i="13"/>
  <c r="AB725" i="13" s="1"/>
  <c r="AB741" i="13"/>
  <c r="AB801" i="13"/>
  <c r="AB811" i="13"/>
  <c r="W836" i="13"/>
  <c r="W844" i="13"/>
  <c r="W851" i="13"/>
  <c r="Y858" i="13"/>
  <c r="AA858" i="13" s="1"/>
  <c r="AB858" i="13" s="1"/>
  <c r="Y592" i="13"/>
  <c r="AA592" i="13" s="1"/>
  <c r="X592" i="13"/>
  <c r="AB592" i="13" s="1"/>
  <c r="Y607" i="13"/>
  <c r="AA607" i="13" s="1"/>
  <c r="X607" i="13"/>
  <c r="AB607" i="13" s="1"/>
  <c r="W614" i="13"/>
  <c r="AB623" i="13"/>
  <c r="W682" i="13"/>
  <c r="W685" i="13"/>
  <c r="X702" i="13"/>
  <c r="AB702" i="13" s="1"/>
  <c r="W755" i="13"/>
  <c r="AB772" i="13"/>
  <c r="W776" i="13"/>
  <c r="Y793" i="13"/>
  <c r="AA793" i="13" s="1"/>
  <c r="X793" i="13"/>
  <c r="W807" i="13"/>
  <c r="Y840" i="13"/>
  <c r="AA840" i="13" s="1"/>
  <c r="X840" i="13"/>
  <c r="W821" i="13"/>
  <c r="W631" i="13"/>
  <c r="W634" i="13"/>
  <c r="W663" i="13"/>
  <c r="W731" i="13"/>
  <c r="AB782" i="13"/>
  <c r="Y824" i="13"/>
  <c r="AA824" i="13" s="1"/>
  <c r="AB824" i="13" s="1"/>
  <c r="X837" i="13"/>
  <c r="X637" i="13"/>
  <c r="AB637" i="13" s="1"/>
  <c r="AB645" i="13"/>
  <c r="AB712" i="13"/>
  <c r="W714" i="13"/>
  <c r="W802" i="13"/>
  <c r="W834" i="13"/>
  <c r="X855" i="13"/>
  <c r="AB855" i="13" s="1"/>
  <c r="W616" i="13"/>
  <c r="AB745" i="13"/>
  <c r="Y767" i="13"/>
  <c r="AA767" i="13" s="1"/>
  <c r="AB767" i="13" s="1"/>
  <c r="X782" i="13"/>
  <c r="Y785" i="13"/>
  <c r="AA785" i="13" s="1"/>
  <c r="AB785" i="13" s="1"/>
  <c r="W813" i="13"/>
  <c r="AB831" i="13"/>
  <c r="AB837" i="13"/>
  <c r="Y852" i="13"/>
  <c r="AA852" i="13" s="1"/>
  <c r="AB852" i="13" s="1"/>
  <c r="W870" i="13"/>
  <c r="O1354" i="11"/>
  <c r="W1354" i="11" s="1"/>
  <c r="O1353" i="11"/>
  <c r="O1352" i="11"/>
  <c r="W1352" i="11" s="1"/>
  <c r="O1351" i="11"/>
  <c r="D1351" i="11"/>
  <c r="C1351" i="11"/>
  <c r="Z1350" i="11"/>
  <c r="O1350" i="11"/>
  <c r="D1350" i="11"/>
  <c r="C1350" i="11"/>
  <c r="O1349" i="11"/>
  <c r="W1349" i="11" s="1"/>
  <c r="Y1349" i="11" s="1"/>
  <c r="AA1349" i="11" s="1"/>
  <c r="D1349" i="11"/>
  <c r="C1349" i="11"/>
  <c r="O1348" i="11"/>
  <c r="W1348" i="11" s="1"/>
  <c r="X1348" i="11" s="1"/>
  <c r="D1348" i="11"/>
  <c r="C1348" i="11"/>
  <c r="O1347" i="11"/>
  <c r="O1346" i="11"/>
  <c r="W1346" i="11" s="1"/>
  <c r="Y1346" i="11" s="1"/>
  <c r="AA1346" i="11" s="1"/>
  <c r="D1346" i="11"/>
  <c r="C1346" i="11"/>
  <c r="W1345" i="11"/>
  <c r="Y1345" i="11" s="1"/>
  <c r="AA1345" i="11" s="1"/>
  <c r="O1345" i="11"/>
  <c r="D1345" i="11"/>
  <c r="C1345" i="11"/>
  <c r="O1344" i="11"/>
  <c r="W1344" i="11" s="1"/>
  <c r="Y1344" i="11" s="1"/>
  <c r="AA1344" i="11" s="1"/>
  <c r="D1344" i="11"/>
  <c r="C1344" i="11"/>
  <c r="O1343" i="11"/>
  <c r="D1343" i="11"/>
  <c r="C1343" i="11"/>
  <c r="O1342" i="11"/>
  <c r="D1342" i="11"/>
  <c r="C1342" i="11"/>
  <c r="Y1341" i="11"/>
  <c r="AA1341" i="11" s="1"/>
  <c r="O1341" i="11"/>
  <c r="W1341" i="11" s="1"/>
  <c r="X1341" i="11" s="1"/>
  <c r="D1341" i="11"/>
  <c r="C1341" i="11"/>
  <c r="O1340" i="11"/>
  <c r="D1340" i="11"/>
  <c r="C1340" i="11"/>
  <c r="O1339" i="11"/>
  <c r="D1339" i="11"/>
  <c r="C1339" i="11"/>
  <c r="O1338" i="11"/>
  <c r="D1338" i="11"/>
  <c r="C1338" i="11"/>
  <c r="W1337" i="11"/>
  <c r="Y1337" i="11" s="1"/>
  <c r="AA1337" i="11" s="1"/>
  <c r="N1337" i="11"/>
  <c r="O1337" i="11" s="1"/>
  <c r="D1337" i="11"/>
  <c r="C1337" i="11"/>
  <c r="O1336" i="11"/>
  <c r="D1336" i="11"/>
  <c r="C1336" i="11"/>
  <c r="W1335" i="11"/>
  <c r="O1335" i="11"/>
  <c r="D1335" i="11"/>
  <c r="C1335" i="11"/>
  <c r="O1334" i="11"/>
  <c r="D1334" i="11"/>
  <c r="C1334" i="11"/>
  <c r="O1333" i="11"/>
  <c r="W1333" i="11" s="1"/>
  <c r="D1333" i="11"/>
  <c r="C1333" i="11"/>
  <c r="O1332" i="11"/>
  <c r="W1332" i="11" s="1"/>
  <c r="Y1332" i="11" s="1"/>
  <c r="AA1332" i="11" s="1"/>
  <c r="D1332" i="11"/>
  <c r="C1332" i="11"/>
  <c r="Z1331" i="11"/>
  <c r="O1331" i="11"/>
  <c r="W1331" i="11" s="1"/>
  <c r="D1331" i="11"/>
  <c r="C1331" i="11"/>
  <c r="R1330" i="11"/>
  <c r="W1330" i="11" s="1"/>
  <c r="P1330" i="11"/>
  <c r="O1330" i="11"/>
  <c r="D1330" i="11"/>
  <c r="C1330" i="11"/>
  <c r="Z1329" i="11"/>
  <c r="O1329" i="11"/>
  <c r="D1329" i="11"/>
  <c r="C1329" i="11"/>
  <c r="O1328" i="11"/>
  <c r="C1328" i="11"/>
  <c r="X1327" i="11"/>
  <c r="O1327" i="11"/>
  <c r="W1327" i="11" s="1"/>
  <c r="Y1327" i="11" s="1"/>
  <c r="AA1327" i="11" s="1"/>
  <c r="D1327" i="11"/>
  <c r="C1327" i="11"/>
  <c r="O1326" i="11"/>
  <c r="W1326" i="11" s="1"/>
  <c r="D1326" i="11"/>
  <c r="C1326" i="11"/>
  <c r="W1325" i="11"/>
  <c r="O1325" i="11"/>
  <c r="D1325" i="11"/>
  <c r="C1325" i="11"/>
  <c r="O1324" i="11"/>
  <c r="D1324" i="11"/>
  <c r="C1324" i="11"/>
  <c r="Z1323" i="11"/>
  <c r="O1323" i="11"/>
  <c r="M1323" i="11"/>
  <c r="I1323" i="11"/>
  <c r="D1323" i="11"/>
  <c r="C1323" i="11"/>
  <c r="O1322" i="11"/>
  <c r="D1322" i="11"/>
  <c r="C1322" i="11"/>
  <c r="O1321" i="11"/>
  <c r="C1321" i="11"/>
  <c r="W1320" i="11"/>
  <c r="Y1320" i="11" s="1"/>
  <c r="AA1320" i="11" s="1"/>
  <c r="O1320" i="11"/>
  <c r="D1320" i="11"/>
  <c r="C1320" i="11"/>
  <c r="AA1319" i="11"/>
  <c r="O1319" i="11"/>
  <c r="W1319" i="11" s="1"/>
  <c r="Y1319" i="11" s="1"/>
  <c r="D1319" i="11"/>
  <c r="C1319" i="11"/>
  <c r="O1318" i="11"/>
  <c r="D1318" i="11"/>
  <c r="C1318" i="11"/>
  <c r="Y1317" i="11"/>
  <c r="AA1317" i="11" s="1"/>
  <c r="W1317" i="11"/>
  <c r="X1317" i="11" s="1"/>
  <c r="O1317" i="11"/>
  <c r="C1317" i="11"/>
  <c r="O1316" i="11"/>
  <c r="D1316" i="11"/>
  <c r="C1316" i="11"/>
  <c r="O1315" i="11"/>
  <c r="W1315" i="11" s="1"/>
  <c r="D1315" i="11"/>
  <c r="C1315" i="11"/>
  <c r="O1314" i="11"/>
  <c r="D1314" i="11"/>
  <c r="C1314" i="11"/>
  <c r="W1313" i="11"/>
  <c r="O1313" i="11"/>
  <c r="W1312" i="11"/>
  <c r="O1312" i="11"/>
  <c r="C1312" i="11"/>
  <c r="Z1311" i="11"/>
  <c r="O1311" i="11"/>
  <c r="D1311" i="11"/>
  <c r="C1311" i="11"/>
  <c r="O1310" i="11"/>
  <c r="O1309" i="11"/>
  <c r="W1309" i="11" s="1"/>
  <c r="X1309" i="11" s="1"/>
  <c r="O1308" i="11"/>
  <c r="W1308" i="11" s="1"/>
  <c r="O1307" i="11"/>
  <c r="W1307" i="11" s="1"/>
  <c r="W1306" i="11"/>
  <c r="O1306" i="11"/>
  <c r="W1305" i="11"/>
  <c r="O1305" i="11"/>
  <c r="W1304" i="11"/>
  <c r="O1304" i="11"/>
  <c r="W1303" i="11"/>
  <c r="Y1303" i="11" s="1"/>
  <c r="AA1303" i="11" s="1"/>
  <c r="O1303" i="11"/>
  <c r="O1302" i="11"/>
  <c r="W1302" i="11" s="1"/>
  <c r="X1302" i="11" s="1"/>
  <c r="W1301" i="11"/>
  <c r="X1301" i="11" s="1"/>
  <c r="O1301" i="11"/>
  <c r="Y1300" i="11"/>
  <c r="AA1300" i="11" s="1"/>
  <c r="O1300" i="11"/>
  <c r="W1300" i="11" s="1"/>
  <c r="X1300" i="11" s="1"/>
  <c r="Z1299" i="11"/>
  <c r="O1299" i="11"/>
  <c r="O1298" i="11"/>
  <c r="W1298" i="11" s="1"/>
  <c r="O1297" i="11"/>
  <c r="W1297" i="11" s="1"/>
  <c r="W1296" i="11"/>
  <c r="O1296" i="11"/>
  <c r="O1295" i="11"/>
  <c r="W1295" i="11" s="1"/>
  <c r="O1294" i="11"/>
  <c r="O1293" i="11"/>
  <c r="W1293" i="11" s="1"/>
  <c r="O1292" i="11"/>
  <c r="O1291" i="11"/>
  <c r="W1291" i="11" s="1"/>
  <c r="O1290" i="11"/>
  <c r="W1290" i="11" s="1"/>
  <c r="O1289" i="11"/>
  <c r="W1289" i="11" s="1"/>
  <c r="Y1289" i="11" s="1"/>
  <c r="AA1289" i="11" s="1"/>
  <c r="O1288" i="11"/>
  <c r="W1288" i="11" s="1"/>
  <c r="X1288" i="11" s="1"/>
  <c r="O1287" i="11"/>
  <c r="W1287" i="11" s="1"/>
  <c r="W1286" i="11"/>
  <c r="O1286" i="11"/>
  <c r="AA1285" i="11"/>
  <c r="X1285" i="11"/>
  <c r="W1285" i="11"/>
  <c r="Y1285" i="11" s="1"/>
  <c r="O1285" i="11"/>
  <c r="O1284" i="11"/>
  <c r="W1283" i="11"/>
  <c r="O1283" i="11"/>
  <c r="W1282" i="11"/>
  <c r="O1282" i="11"/>
  <c r="W1281" i="11"/>
  <c r="Y1281" i="11" s="1"/>
  <c r="AA1281" i="11" s="1"/>
  <c r="O1281" i="11"/>
  <c r="O1280" i="11"/>
  <c r="W1280" i="11" s="1"/>
  <c r="Z1279" i="11"/>
  <c r="O1279" i="11"/>
  <c r="W1279" i="11" s="1"/>
  <c r="O1278" i="11"/>
  <c r="O1277" i="11"/>
  <c r="Z1276" i="11"/>
  <c r="W1276" i="11"/>
  <c r="Y1276" i="11" s="1"/>
  <c r="O1276" i="11"/>
  <c r="O1275" i="11"/>
  <c r="O1274" i="11"/>
  <c r="W1274" i="11" s="1"/>
  <c r="Y1274" i="11" s="1"/>
  <c r="AA1274" i="11" s="1"/>
  <c r="O1273" i="11"/>
  <c r="W1272" i="11"/>
  <c r="X1272" i="11" s="1"/>
  <c r="O1272" i="11"/>
  <c r="O1271" i="11"/>
  <c r="O1270" i="11"/>
  <c r="W1270" i="11" s="1"/>
  <c r="O1269" i="11"/>
  <c r="W1269" i="11" s="1"/>
  <c r="O1268" i="11"/>
  <c r="W1268" i="11" s="1"/>
  <c r="Z1267" i="11"/>
  <c r="O1267" i="11"/>
  <c r="W1267" i="11" s="1"/>
  <c r="Y1267" i="11" s="1"/>
  <c r="AA1267" i="11" s="1"/>
  <c r="X1266" i="11"/>
  <c r="AB1266" i="11" s="1"/>
  <c r="O1266" i="11"/>
  <c r="W1266" i="11" s="1"/>
  <c r="Y1266" i="11" s="1"/>
  <c r="AA1266" i="11" s="1"/>
  <c r="X1265" i="11"/>
  <c r="AB1265" i="11" s="1"/>
  <c r="O1265" i="11"/>
  <c r="W1265" i="11" s="1"/>
  <c r="Y1265" i="11" s="1"/>
  <c r="AA1265" i="11" s="1"/>
  <c r="O1264" i="11"/>
  <c r="O1263" i="11"/>
  <c r="W1263" i="11" s="1"/>
  <c r="O1262" i="11"/>
  <c r="W1262" i="11" s="1"/>
  <c r="Y1262" i="11" s="1"/>
  <c r="AA1262" i="11" s="1"/>
  <c r="O1261" i="11"/>
  <c r="W1261" i="11" s="1"/>
  <c r="O1260" i="11"/>
  <c r="W1260" i="11" s="1"/>
  <c r="W1259" i="11"/>
  <c r="Y1259" i="11" s="1"/>
  <c r="AA1259" i="11" s="1"/>
  <c r="O1259" i="11"/>
  <c r="X1258" i="11"/>
  <c r="W1258" i="11"/>
  <c r="Y1258" i="11" s="1"/>
  <c r="AA1258" i="11" s="1"/>
  <c r="O1258" i="11"/>
  <c r="O1257" i="11"/>
  <c r="O1256" i="11"/>
  <c r="O1255" i="11"/>
  <c r="W1255" i="11" s="1"/>
  <c r="O1254" i="11"/>
  <c r="O1253" i="11"/>
  <c r="W1253" i="11" s="1"/>
  <c r="O1252" i="11"/>
  <c r="W1252" i="11" s="1"/>
  <c r="O1251" i="11"/>
  <c r="W1251" i="11" s="1"/>
  <c r="O1250" i="11"/>
  <c r="W1250" i="11" s="1"/>
  <c r="X1249" i="11"/>
  <c r="AB1249" i="11" s="1"/>
  <c r="P1249" i="11"/>
  <c r="O1249" i="11"/>
  <c r="W1249" i="11" s="1"/>
  <c r="Y1249" i="11" s="1"/>
  <c r="AA1249" i="11" s="1"/>
  <c r="W1248" i="11"/>
  <c r="X1248" i="11" s="1"/>
  <c r="O1248" i="11"/>
  <c r="W1247" i="11"/>
  <c r="Y1247" i="11" s="1"/>
  <c r="AA1247" i="11" s="1"/>
  <c r="O1247" i="11"/>
  <c r="X1246" i="11"/>
  <c r="O1246" i="11"/>
  <c r="W1246" i="11" s="1"/>
  <c r="Y1246" i="11" s="1"/>
  <c r="AA1246" i="11" s="1"/>
  <c r="O1245" i="11"/>
  <c r="O1244" i="11"/>
  <c r="O1243" i="11"/>
  <c r="W1243" i="11" s="1"/>
  <c r="Y1243" i="11" s="1"/>
  <c r="AA1243" i="11" s="1"/>
  <c r="X1242" i="11"/>
  <c r="AB1242" i="11" s="1"/>
  <c r="O1242" i="11"/>
  <c r="W1242" i="11" s="1"/>
  <c r="Y1242" i="11" s="1"/>
  <c r="AA1242" i="11" s="1"/>
  <c r="O1241" i="11"/>
  <c r="O1240" i="11"/>
  <c r="W1239" i="11"/>
  <c r="Y1239" i="11" s="1"/>
  <c r="AA1239" i="11" s="1"/>
  <c r="O1239" i="11"/>
  <c r="O1238" i="11"/>
  <c r="W1238" i="11" s="1"/>
  <c r="W1237" i="11"/>
  <c r="Y1237" i="11" s="1"/>
  <c r="AA1237" i="11" s="1"/>
  <c r="O1237" i="11"/>
  <c r="X1236" i="11"/>
  <c r="O1236" i="11"/>
  <c r="W1236" i="11" s="1"/>
  <c r="Y1236" i="11" s="1"/>
  <c r="AA1236" i="11" s="1"/>
  <c r="AB1236" i="11" s="1"/>
  <c r="O1235" i="11"/>
  <c r="O1234" i="11"/>
  <c r="W1234" i="11" s="1"/>
  <c r="Y1234" i="11" s="1"/>
  <c r="AA1234" i="11" s="1"/>
  <c r="O1233" i="11"/>
  <c r="W1233" i="11" s="1"/>
  <c r="X1232" i="11"/>
  <c r="AB1232" i="11" s="1"/>
  <c r="W1232" i="11"/>
  <c r="Y1232" i="11" s="1"/>
  <c r="AA1232" i="11" s="1"/>
  <c r="O1232" i="11"/>
  <c r="O1231" i="11"/>
  <c r="Z1230" i="11"/>
  <c r="O1230" i="11"/>
  <c r="W1230" i="11" s="1"/>
  <c r="W1229" i="11"/>
  <c r="O1229" i="11"/>
  <c r="O1228" i="11"/>
  <c r="Z1227" i="11"/>
  <c r="O1227" i="11"/>
  <c r="Y1226" i="11"/>
  <c r="AA1226" i="11" s="1"/>
  <c r="W1226" i="11"/>
  <c r="X1226" i="11" s="1"/>
  <c r="O1226" i="11"/>
  <c r="O1225" i="11"/>
  <c r="W1225" i="11" s="1"/>
  <c r="Y1225" i="11" s="1"/>
  <c r="AA1225" i="11" s="1"/>
  <c r="Z1224" i="11"/>
  <c r="X1224" i="11"/>
  <c r="O1224" i="11"/>
  <c r="W1224" i="11" s="1"/>
  <c r="Y1224" i="11" s="1"/>
  <c r="X1223" i="11"/>
  <c r="W1223" i="11"/>
  <c r="Y1223" i="11" s="1"/>
  <c r="AA1223" i="11" s="1"/>
  <c r="O1223" i="11"/>
  <c r="X1222" i="11"/>
  <c r="AB1222" i="11" s="1"/>
  <c r="W1222" i="11"/>
  <c r="Y1222" i="11" s="1"/>
  <c r="AA1222" i="11" s="1"/>
  <c r="O1222" i="11"/>
  <c r="O1221" i="11"/>
  <c r="W1220" i="11"/>
  <c r="O1220" i="11"/>
  <c r="O1219" i="11"/>
  <c r="W1218" i="11"/>
  <c r="O1218" i="11"/>
  <c r="Y1217" i="11"/>
  <c r="AA1217" i="11" s="1"/>
  <c r="W1217" i="11"/>
  <c r="X1217" i="11" s="1"/>
  <c r="AB1217" i="11" s="1"/>
  <c r="O1217" i="11"/>
  <c r="Z1216" i="11"/>
  <c r="X1216" i="11"/>
  <c r="AB1216" i="11" s="1"/>
  <c r="O1216" i="11"/>
  <c r="W1216" i="11" s="1"/>
  <c r="Y1216" i="11" s="1"/>
  <c r="AA1216" i="11" s="1"/>
  <c r="O1215" i="11"/>
  <c r="AA1214" i="11"/>
  <c r="Y1214" i="11"/>
  <c r="W1214" i="11"/>
  <c r="X1214" i="11" s="1"/>
  <c r="AB1214" i="11" s="1"/>
  <c r="O1214" i="11"/>
  <c r="O1213" i="11"/>
  <c r="W1213" i="11" s="1"/>
  <c r="O1212" i="11"/>
  <c r="W1212" i="11" s="1"/>
  <c r="O1211" i="11"/>
  <c r="X1210" i="11"/>
  <c r="AB1210" i="11" s="1"/>
  <c r="W1210" i="11"/>
  <c r="Y1210" i="11" s="1"/>
  <c r="AA1210" i="11" s="1"/>
  <c r="O1210" i="11"/>
  <c r="O1209" i="11"/>
  <c r="O1208" i="11"/>
  <c r="W1208" i="11" s="1"/>
  <c r="O1207" i="11"/>
  <c r="W1207" i="11" s="1"/>
  <c r="O1206" i="11"/>
  <c r="W1206" i="11" s="1"/>
  <c r="O1205" i="11"/>
  <c r="Y1204" i="11"/>
  <c r="AA1204" i="11" s="1"/>
  <c r="W1204" i="11"/>
  <c r="X1204" i="11" s="1"/>
  <c r="O1204" i="11"/>
  <c r="Y1203" i="11"/>
  <c r="AA1203" i="11" s="1"/>
  <c r="AB1203" i="11" s="1"/>
  <c r="O1203" i="11"/>
  <c r="W1203" i="11" s="1"/>
  <c r="X1203" i="11" s="1"/>
  <c r="O1202" i="11"/>
  <c r="W1202" i="11" s="1"/>
  <c r="X1201" i="11"/>
  <c r="O1201" i="11"/>
  <c r="W1201" i="11" s="1"/>
  <c r="Y1201" i="11" s="1"/>
  <c r="AA1201" i="11" s="1"/>
  <c r="O1200" i="11"/>
  <c r="W1200" i="11" s="1"/>
  <c r="O1199" i="11"/>
  <c r="W1198" i="11"/>
  <c r="Y1198" i="11" s="1"/>
  <c r="AA1198" i="11" s="1"/>
  <c r="O1198" i="11"/>
  <c r="O1197" i="11"/>
  <c r="X1196" i="11"/>
  <c r="AB1196" i="11" s="1"/>
  <c r="W1196" i="11"/>
  <c r="Y1196" i="11" s="1"/>
  <c r="AA1196" i="11" s="1"/>
  <c r="O1196" i="11"/>
  <c r="O1195" i="11"/>
  <c r="W1194" i="11"/>
  <c r="Y1194" i="11" s="1"/>
  <c r="AA1194" i="11" s="1"/>
  <c r="O1194" i="11"/>
  <c r="Y1193" i="11"/>
  <c r="AA1193" i="11" s="1"/>
  <c r="X1193" i="11"/>
  <c r="O1193" i="11"/>
  <c r="W1193" i="11" s="1"/>
  <c r="O1192" i="11"/>
  <c r="W1192" i="11" s="1"/>
  <c r="X1191" i="11"/>
  <c r="AB1191" i="11" s="1"/>
  <c r="O1191" i="11"/>
  <c r="W1191" i="11" s="1"/>
  <c r="Y1191" i="11" s="1"/>
  <c r="AA1191" i="11" s="1"/>
  <c r="O1190" i="11"/>
  <c r="W1190" i="11" s="1"/>
  <c r="Z1189" i="11"/>
  <c r="O1189" i="11"/>
  <c r="O1188" i="11"/>
  <c r="W1187" i="11"/>
  <c r="O1187" i="11"/>
  <c r="Y1186" i="11"/>
  <c r="AA1186" i="11" s="1"/>
  <c r="AB1186" i="11" s="1"/>
  <c r="O1186" i="11"/>
  <c r="W1186" i="11" s="1"/>
  <c r="X1186" i="11" s="1"/>
  <c r="Z1185" i="11"/>
  <c r="N1185" i="11"/>
  <c r="O1185" i="11" s="1"/>
  <c r="O1184" i="11"/>
  <c r="W1183" i="11"/>
  <c r="O1183" i="11"/>
  <c r="Z1182" i="11"/>
  <c r="W1182" i="11"/>
  <c r="O1182" i="11"/>
  <c r="Z1181" i="11"/>
  <c r="O1181" i="11"/>
  <c r="W1181" i="11" s="1"/>
  <c r="X1181" i="11" s="1"/>
  <c r="Z1180" i="11"/>
  <c r="O1180" i="11"/>
  <c r="Z1179" i="11"/>
  <c r="Y1179" i="11"/>
  <c r="X1179" i="11"/>
  <c r="W1179" i="11"/>
  <c r="O1179" i="11"/>
  <c r="X1178" i="11"/>
  <c r="AB1178" i="11" s="1"/>
  <c r="O1178" i="11"/>
  <c r="W1178" i="11" s="1"/>
  <c r="Y1178" i="11" s="1"/>
  <c r="AA1178" i="11" s="1"/>
  <c r="O1177" i="11"/>
  <c r="W1177" i="11" s="1"/>
  <c r="O1176" i="11"/>
  <c r="W1176" i="11" s="1"/>
  <c r="Y1175" i="11"/>
  <c r="AA1175" i="11" s="1"/>
  <c r="W1175" i="11"/>
  <c r="X1175" i="11" s="1"/>
  <c r="O1175" i="11"/>
  <c r="O1174" i="11"/>
  <c r="O1173" i="11"/>
  <c r="W1173" i="11" s="1"/>
  <c r="O1172" i="11"/>
  <c r="Y1171" i="11"/>
  <c r="AA1171" i="11" s="1"/>
  <c r="X1171" i="11"/>
  <c r="O1171" i="11"/>
  <c r="W1171" i="11" s="1"/>
  <c r="Z1170" i="11"/>
  <c r="O1170" i="11"/>
  <c r="O1169" i="11"/>
  <c r="W1169" i="11" s="1"/>
  <c r="W1168" i="11"/>
  <c r="O1168" i="11"/>
  <c r="W1167" i="11"/>
  <c r="O1167" i="11"/>
  <c r="W1166" i="11"/>
  <c r="O1166" i="11"/>
  <c r="W1165" i="11"/>
  <c r="O1165" i="11"/>
  <c r="O1164" i="11"/>
  <c r="Y1163" i="11"/>
  <c r="AA1163" i="11" s="1"/>
  <c r="AB1163" i="11" s="1"/>
  <c r="W1163" i="11"/>
  <c r="X1163" i="11" s="1"/>
  <c r="O1163" i="11"/>
  <c r="P1162" i="11"/>
  <c r="O1162" i="11"/>
  <c r="Y1161" i="11"/>
  <c r="AA1161" i="11" s="1"/>
  <c r="AB1161" i="11" s="1"/>
  <c r="O1161" i="11"/>
  <c r="W1161" i="11" s="1"/>
  <c r="X1161" i="11" s="1"/>
  <c r="W1160" i="11"/>
  <c r="Y1160" i="11" s="1"/>
  <c r="AA1160" i="11" s="1"/>
  <c r="O1160" i="11"/>
  <c r="O1159" i="11"/>
  <c r="O1158" i="11"/>
  <c r="O1157" i="11"/>
  <c r="W1157" i="11" s="1"/>
  <c r="O1156" i="11"/>
  <c r="Y1155" i="11"/>
  <c r="AA1155" i="11" s="1"/>
  <c r="AB1155" i="11" s="1"/>
  <c r="O1155" i="11"/>
  <c r="W1155" i="11" s="1"/>
  <c r="X1155" i="11" s="1"/>
  <c r="AA1154" i="11"/>
  <c r="W1154" i="11"/>
  <c r="Y1154" i="11" s="1"/>
  <c r="O1154" i="11"/>
  <c r="O1153" i="11"/>
  <c r="W1152" i="11"/>
  <c r="Y1152" i="11" s="1"/>
  <c r="AA1152" i="11" s="1"/>
  <c r="O1152" i="11"/>
  <c r="O1151" i="11"/>
  <c r="W1151" i="11" s="1"/>
  <c r="O1150" i="11"/>
  <c r="W1150" i="11" s="1"/>
  <c r="O1149" i="11"/>
  <c r="O1148" i="11"/>
  <c r="W1148" i="11" s="1"/>
  <c r="O1147" i="11"/>
  <c r="W1147" i="11" s="1"/>
  <c r="X1146" i="11"/>
  <c r="W1146" i="11"/>
  <c r="Y1146" i="11" s="1"/>
  <c r="AA1146" i="11" s="1"/>
  <c r="O1146" i="11"/>
  <c r="Y1145" i="11"/>
  <c r="AA1145" i="11" s="1"/>
  <c r="O1145" i="11"/>
  <c r="W1145" i="11" s="1"/>
  <c r="X1145" i="11" s="1"/>
  <c r="Z1144" i="11"/>
  <c r="O1144" i="11"/>
  <c r="W1144" i="11" s="1"/>
  <c r="O1143" i="11"/>
  <c r="W1142" i="11"/>
  <c r="X1142" i="11" s="1"/>
  <c r="O1142" i="11"/>
  <c r="O1141" i="11"/>
  <c r="O1140" i="11"/>
  <c r="W1140" i="11" s="1"/>
  <c r="Y1140" i="11" s="1"/>
  <c r="AA1140" i="11" s="1"/>
  <c r="Y1139" i="11"/>
  <c r="AA1139" i="11" s="1"/>
  <c r="AB1139" i="11" s="1"/>
  <c r="O1139" i="11"/>
  <c r="W1139" i="11" s="1"/>
  <c r="X1139" i="11" s="1"/>
  <c r="Z1138" i="11"/>
  <c r="W1138" i="11"/>
  <c r="O1138" i="11"/>
  <c r="O1137" i="11"/>
  <c r="W1137" i="11" s="1"/>
  <c r="W1136" i="11"/>
  <c r="O1136" i="11"/>
  <c r="Z1135" i="11"/>
  <c r="O1135" i="11"/>
  <c r="O1134" i="11"/>
  <c r="W1134" i="11" s="1"/>
  <c r="O1133" i="11"/>
  <c r="W1133" i="11" s="1"/>
  <c r="Y1133" i="11" s="1"/>
  <c r="AA1133" i="11" s="1"/>
  <c r="W1132" i="11"/>
  <c r="O1132" i="11"/>
  <c r="O1131" i="11"/>
  <c r="W1131" i="11" s="1"/>
  <c r="O1130" i="11"/>
  <c r="W1130" i="11" s="1"/>
  <c r="O1129" i="11"/>
  <c r="AB1128" i="11"/>
  <c r="Y1128" i="11"/>
  <c r="AA1128" i="11" s="1"/>
  <c r="X1128" i="11"/>
  <c r="O1128" i="11"/>
  <c r="W1128" i="11" s="1"/>
  <c r="W1127" i="11"/>
  <c r="X1127" i="11" s="1"/>
  <c r="O1127" i="11"/>
  <c r="O1126" i="11"/>
  <c r="W1126" i="11" s="1"/>
  <c r="O1125" i="11"/>
  <c r="W1125" i="11" s="1"/>
  <c r="X1124" i="11"/>
  <c r="W1124" i="11"/>
  <c r="Y1124" i="11" s="1"/>
  <c r="AA1124" i="11" s="1"/>
  <c r="O1124" i="11"/>
  <c r="O1123" i="11"/>
  <c r="O1122" i="11"/>
  <c r="W1122" i="11" s="1"/>
  <c r="O1121" i="11"/>
  <c r="X1120" i="11"/>
  <c r="AB1120" i="11" s="1"/>
  <c r="W1120" i="11"/>
  <c r="Y1120" i="11" s="1"/>
  <c r="AA1120" i="11" s="1"/>
  <c r="O1120" i="11"/>
  <c r="O1119" i="11"/>
  <c r="O1118" i="11"/>
  <c r="Y1117" i="11"/>
  <c r="AA1117" i="11" s="1"/>
  <c r="X1117" i="11"/>
  <c r="AB1117" i="11" s="1"/>
  <c r="O1117" i="11"/>
  <c r="W1117" i="11" s="1"/>
  <c r="O1116" i="11"/>
  <c r="W1116" i="11" s="1"/>
  <c r="X1116" i="11" s="1"/>
  <c r="Y1115" i="11"/>
  <c r="AA1115" i="11" s="1"/>
  <c r="X1115" i="11"/>
  <c r="O1115" i="11"/>
  <c r="W1115" i="11" s="1"/>
  <c r="Y1114" i="11"/>
  <c r="AA1114" i="11" s="1"/>
  <c r="X1114" i="11"/>
  <c r="AB1114" i="11" s="1"/>
  <c r="O1114" i="11"/>
  <c r="W1114" i="11" s="1"/>
  <c r="O1113" i="11"/>
  <c r="W1113" i="11" s="1"/>
  <c r="Y1113" i="11" s="1"/>
  <c r="AA1113" i="11" s="1"/>
  <c r="O1112" i="11"/>
  <c r="W1112" i="11" s="1"/>
  <c r="Y1112" i="11" s="1"/>
  <c r="AA1112" i="11" s="1"/>
  <c r="Y1111" i="11"/>
  <c r="AA1111" i="11" s="1"/>
  <c r="AB1111" i="11" s="1"/>
  <c r="X1111" i="11"/>
  <c r="O1111" i="11"/>
  <c r="W1111" i="11" s="1"/>
  <c r="O1110" i="11"/>
  <c r="W1110" i="11" s="1"/>
  <c r="O1109" i="11"/>
  <c r="W1109" i="11" s="1"/>
  <c r="Y1109" i="11" s="1"/>
  <c r="AA1109" i="11" s="1"/>
  <c r="O1108" i="11"/>
  <c r="Z1107" i="11"/>
  <c r="O1107" i="11"/>
  <c r="W1107" i="11" s="1"/>
  <c r="Z1106" i="11"/>
  <c r="O1106" i="11"/>
  <c r="W1106" i="11" s="1"/>
  <c r="Z1105" i="11"/>
  <c r="X1105" i="11"/>
  <c r="Q1105" i="11"/>
  <c r="O1105" i="11"/>
  <c r="W1105" i="11" s="1"/>
  <c r="Y1105" i="11" s="1"/>
  <c r="AA1105" i="11" s="1"/>
  <c r="Y1104" i="11"/>
  <c r="AA1104" i="11" s="1"/>
  <c r="X1104" i="11"/>
  <c r="W1104" i="11"/>
  <c r="O1104" i="11"/>
  <c r="O1103" i="11"/>
  <c r="O1102" i="11"/>
  <c r="O1101" i="11"/>
  <c r="W1101" i="11" s="1"/>
  <c r="X1101" i="11" s="1"/>
  <c r="P1100" i="11"/>
  <c r="O1100" i="11"/>
  <c r="O1099" i="11"/>
  <c r="AA1098" i="11"/>
  <c r="O1098" i="11"/>
  <c r="W1098" i="11" s="1"/>
  <c r="Y1098" i="11" s="1"/>
  <c r="O1097" i="11"/>
  <c r="W1096" i="11"/>
  <c r="O1096" i="11"/>
  <c r="W1095" i="11"/>
  <c r="O1095" i="11"/>
  <c r="O1094" i="11"/>
  <c r="W1094" i="11" s="1"/>
  <c r="O1093" i="11"/>
  <c r="W1092" i="11"/>
  <c r="O1092" i="11"/>
  <c r="O1091" i="11"/>
  <c r="W1091" i="11" s="1"/>
  <c r="X1090" i="11"/>
  <c r="AB1090" i="11" s="1"/>
  <c r="O1090" i="11"/>
  <c r="W1090" i="11" s="1"/>
  <c r="Y1090" i="11" s="1"/>
  <c r="AA1090" i="11" s="1"/>
  <c r="W1089" i="11"/>
  <c r="Y1089" i="11" s="1"/>
  <c r="AA1089" i="11" s="1"/>
  <c r="O1089" i="11"/>
  <c r="O1088" i="11"/>
  <c r="P1087" i="11"/>
  <c r="O1087" i="11"/>
  <c r="W1087" i="11" s="1"/>
  <c r="W1086" i="11"/>
  <c r="O1086" i="11"/>
  <c r="Z1085" i="11"/>
  <c r="W1085" i="11"/>
  <c r="Y1085" i="11" s="1"/>
  <c r="AA1085" i="11" s="1"/>
  <c r="O1085" i="11"/>
  <c r="O1084" i="11"/>
  <c r="W1083" i="11"/>
  <c r="Y1083" i="11" s="1"/>
  <c r="AA1083" i="11" s="1"/>
  <c r="O1083" i="11"/>
  <c r="O1082" i="11"/>
  <c r="W1082" i="11" s="1"/>
  <c r="O1081" i="11"/>
  <c r="Z1080" i="11"/>
  <c r="Y1080" i="11"/>
  <c r="AA1080" i="11" s="1"/>
  <c r="W1080" i="11"/>
  <c r="X1080" i="11" s="1"/>
  <c r="O1080" i="11"/>
  <c r="W1079" i="11"/>
  <c r="O1079" i="11"/>
  <c r="W1078" i="11"/>
  <c r="O1078" i="11"/>
  <c r="O1077" i="11"/>
  <c r="Y1076" i="11"/>
  <c r="AA1076" i="11" s="1"/>
  <c r="X1076" i="11"/>
  <c r="W1076" i="11"/>
  <c r="O1076" i="11"/>
  <c r="Z1075" i="11"/>
  <c r="Y1075" i="11"/>
  <c r="X1075" i="11"/>
  <c r="N1075" i="11"/>
  <c r="O1075" i="11" s="1"/>
  <c r="W1075" i="11" s="1"/>
  <c r="W1074" i="11"/>
  <c r="O1074" i="11"/>
  <c r="O1073" i="11"/>
  <c r="W1073" i="11" s="1"/>
  <c r="Z1072" i="11"/>
  <c r="Q1072" i="11"/>
  <c r="O1072" i="11"/>
  <c r="W1072" i="11" s="1"/>
  <c r="Z1071" i="11"/>
  <c r="O1071" i="11"/>
  <c r="W1071" i="11" s="1"/>
  <c r="Z1070" i="11"/>
  <c r="Y1070" i="11"/>
  <c r="AA1070" i="11" s="1"/>
  <c r="O1070" i="11"/>
  <c r="W1070" i="11" s="1"/>
  <c r="X1070" i="11" s="1"/>
  <c r="N1069" i="11"/>
  <c r="O1069" i="11" s="1"/>
  <c r="P1068" i="11"/>
  <c r="O1068" i="11"/>
  <c r="W1068" i="11" s="1"/>
  <c r="O1067" i="11"/>
  <c r="W1066" i="11"/>
  <c r="Y1066" i="11" s="1"/>
  <c r="AA1066" i="11" s="1"/>
  <c r="O1066" i="11"/>
  <c r="W1065" i="11"/>
  <c r="O1065" i="11"/>
  <c r="W1064" i="11"/>
  <c r="O1064" i="11"/>
  <c r="O1063" i="11"/>
  <c r="W1062" i="11"/>
  <c r="O1062" i="11"/>
  <c r="N1061" i="11"/>
  <c r="O1061" i="11" s="1"/>
  <c r="O1060" i="11"/>
  <c r="Y1059" i="11"/>
  <c r="AA1059" i="11" s="1"/>
  <c r="O1059" i="11"/>
  <c r="W1059" i="11" s="1"/>
  <c r="X1059" i="11" s="1"/>
  <c r="AB1059" i="11" s="1"/>
  <c r="O1058" i="11"/>
  <c r="W1058" i="11" s="1"/>
  <c r="O1057" i="11"/>
  <c r="S1056" i="11"/>
  <c r="O1056" i="11"/>
  <c r="O1055" i="11"/>
  <c r="W1055" i="11" s="1"/>
  <c r="O1054" i="11"/>
  <c r="N1054" i="11"/>
  <c r="M1054" i="11"/>
  <c r="O1053" i="11"/>
  <c r="W1053" i="11" s="1"/>
  <c r="O1052" i="11"/>
  <c r="W1052" i="11" s="1"/>
  <c r="W1051" i="11"/>
  <c r="Y1051" i="11" s="1"/>
  <c r="AA1051" i="11" s="1"/>
  <c r="O1051" i="11"/>
  <c r="O1050" i="11"/>
  <c r="W1050" i="11" s="1"/>
  <c r="W1049" i="11"/>
  <c r="N1049" i="11"/>
  <c r="O1049" i="11" s="1"/>
  <c r="W1048" i="11"/>
  <c r="O1048" i="11"/>
  <c r="O1047" i="11"/>
  <c r="W1047" i="11" s="1"/>
  <c r="O1046" i="11"/>
  <c r="W1046" i="11" s="1"/>
  <c r="AA1045" i="11"/>
  <c r="AB1045" i="11" s="1"/>
  <c r="AB1044" i="11"/>
  <c r="AA1044" i="11"/>
  <c r="AA1043" i="11"/>
  <c r="AB1043" i="11" s="1"/>
  <c r="AB1042" i="11"/>
  <c r="AA1042" i="11"/>
  <c r="O1041" i="11"/>
  <c r="O1040" i="11"/>
  <c r="W1040" i="11" s="1"/>
  <c r="X1040" i="11" s="1"/>
  <c r="M1039" i="11"/>
  <c r="O1039" i="11" s="1"/>
  <c r="M1038" i="11"/>
  <c r="O1038" i="11" s="1"/>
  <c r="W1038" i="11" s="1"/>
  <c r="W1037" i="11"/>
  <c r="M1037" i="11"/>
  <c r="O1037" i="11" s="1"/>
  <c r="O1036" i="11"/>
  <c r="W1036" i="11" s="1"/>
  <c r="O1035" i="11"/>
  <c r="M1035" i="11"/>
  <c r="O1034" i="11"/>
  <c r="W1034" i="11" s="1"/>
  <c r="X1034" i="11" s="1"/>
  <c r="M1033" i="11"/>
  <c r="O1033" i="11" s="1"/>
  <c r="W1033" i="11" s="1"/>
  <c r="P1032" i="11"/>
  <c r="M1032" i="11"/>
  <c r="O1032" i="11" s="1"/>
  <c r="O1031" i="11"/>
  <c r="M1031" i="11"/>
  <c r="M1030" i="11"/>
  <c r="O1030" i="11" s="1"/>
  <c r="M1029" i="11"/>
  <c r="O1029" i="11" s="1"/>
  <c r="W1028" i="11"/>
  <c r="O1028" i="11"/>
  <c r="O1027" i="11"/>
  <c r="W1027" i="11" s="1"/>
  <c r="Z1026" i="11"/>
  <c r="W1026" i="11"/>
  <c r="Y1026" i="11" s="1"/>
  <c r="AA1026" i="11" s="1"/>
  <c r="O1026" i="11"/>
  <c r="Y1025" i="11"/>
  <c r="AA1025" i="11" s="1"/>
  <c r="W1025" i="11"/>
  <c r="X1025" i="11" s="1"/>
  <c r="O1025" i="11"/>
  <c r="O1024" i="11"/>
  <c r="O1023" i="11"/>
  <c r="W1023" i="11" s="1"/>
  <c r="P1022" i="11"/>
  <c r="O1022" i="11"/>
  <c r="Z1021" i="11"/>
  <c r="W1021" i="11"/>
  <c r="O1021" i="11"/>
  <c r="P1020" i="11"/>
  <c r="O1020" i="11"/>
  <c r="M1020" i="11"/>
  <c r="Z1019" i="11"/>
  <c r="X1019" i="11"/>
  <c r="W1019" i="11"/>
  <c r="Y1019" i="11" s="1"/>
  <c r="O1019" i="11"/>
  <c r="O1018" i="11"/>
  <c r="X1017" i="11"/>
  <c r="AB1017" i="11" s="1"/>
  <c r="O1017" i="11"/>
  <c r="W1017" i="11" s="1"/>
  <c r="Y1017" i="11" s="1"/>
  <c r="AA1017" i="11" s="1"/>
  <c r="O1016" i="11"/>
  <c r="W1016" i="11" s="1"/>
  <c r="W1015" i="11"/>
  <c r="O1015" i="11"/>
  <c r="Y1014" i="11"/>
  <c r="AA1014" i="11" s="1"/>
  <c r="AB1014" i="11" s="1"/>
  <c r="O1014" i="11"/>
  <c r="W1014" i="11" s="1"/>
  <c r="X1014" i="11" s="1"/>
  <c r="W1013" i="11"/>
  <c r="Y1013" i="11" s="1"/>
  <c r="AA1013" i="11" s="1"/>
  <c r="O1013" i="11"/>
  <c r="O1012" i="11"/>
  <c r="W1012" i="11" s="1"/>
  <c r="AA1011" i="11"/>
  <c r="W1011" i="11"/>
  <c r="Y1011" i="11" s="1"/>
  <c r="O1011" i="11"/>
  <c r="O1010" i="11"/>
  <c r="W1009" i="11"/>
  <c r="O1009" i="11"/>
  <c r="P1008" i="11"/>
  <c r="O1008" i="11"/>
  <c r="W1008" i="11" s="1"/>
  <c r="O1007" i="11"/>
  <c r="O1006" i="11"/>
  <c r="W1006" i="11" s="1"/>
  <c r="Y1005" i="11"/>
  <c r="AA1005" i="11" s="1"/>
  <c r="X1005" i="11"/>
  <c r="O1005" i="11"/>
  <c r="W1005" i="11" s="1"/>
  <c r="W1004" i="11"/>
  <c r="O1004" i="11"/>
  <c r="O1003" i="11"/>
  <c r="O1002" i="11"/>
  <c r="W1002" i="11" s="1"/>
  <c r="Y1002" i="11" s="1"/>
  <c r="AA1002" i="11" s="1"/>
  <c r="Y1001" i="11"/>
  <c r="AA1001" i="11" s="1"/>
  <c r="O1001" i="11"/>
  <c r="W1001" i="11" s="1"/>
  <c r="X1001" i="11" s="1"/>
  <c r="AB1001" i="11" s="1"/>
  <c r="O1000" i="11"/>
  <c r="O999" i="11"/>
  <c r="O998" i="11"/>
  <c r="W998" i="11" s="1"/>
  <c r="P997" i="11"/>
  <c r="O997" i="11"/>
  <c r="P996" i="11"/>
  <c r="O996" i="11"/>
  <c r="X995" i="11"/>
  <c r="O995" i="11"/>
  <c r="W995" i="11" s="1"/>
  <c r="Y995" i="11" s="1"/>
  <c r="AA995" i="11" s="1"/>
  <c r="Y994" i="11"/>
  <c r="AA994" i="11" s="1"/>
  <c r="AB994" i="11" s="1"/>
  <c r="O994" i="11"/>
  <c r="W994" i="11" s="1"/>
  <c r="X994" i="11" s="1"/>
  <c r="W993" i="11"/>
  <c r="O993" i="11"/>
  <c r="O992" i="11"/>
  <c r="W992" i="11" s="1"/>
  <c r="Y992" i="11" s="1"/>
  <c r="AA992" i="11" s="1"/>
  <c r="O991" i="11"/>
  <c r="W990" i="11"/>
  <c r="X990" i="11" s="1"/>
  <c r="O990" i="11"/>
  <c r="O989" i="11"/>
  <c r="W989" i="11" s="1"/>
  <c r="O988" i="11"/>
  <c r="O987" i="11"/>
  <c r="O986" i="11"/>
  <c r="W986" i="11" s="1"/>
  <c r="O985" i="11"/>
  <c r="O984" i="11"/>
  <c r="W984" i="11" s="1"/>
  <c r="Y984" i="11" s="1"/>
  <c r="AA984" i="11" s="1"/>
  <c r="P983" i="11"/>
  <c r="O983" i="11"/>
  <c r="O982" i="11"/>
  <c r="W982" i="11" s="1"/>
  <c r="Y982" i="11" s="1"/>
  <c r="AA982" i="11" s="1"/>
  <c r="O981" i="11"/>
  <c r="O980" i="11"/>
  <c r="W980" i="11" s="1"/>
  <c r="Y979" i="11"/>
  <c r="AA979" i="11" s="1"/>
  <c r="O979" i="11"/>
  <c r="W979" i="11" s="1"/>
  <c r="X979" i="11" s="1"/>
  <c r="O978" i="11"/>
  <c r="O977" i="11"/>
  <c r="W977" i="11" s="1"/>
  <c r="O976" i="11"/>
  <c r="W975" i="11"/>
  <c r="O975" i="11"/>
  <c r="O974" i="11"/>
  <c r="W974" i="11" s="1"/>
  <c r="Y974" i="11" s="1"/>
  <c r="AA974" i="11" s="1"/>
  <c r="M973" i="11"/>
  <c r="O973" i="11" s="1"/>
  <c r="W973" i="11" s="1"/>
  <c r="W972" i="11"/>
  <c r="O972" i="11"/>
  <c r="W971" i="11"/>
  <c r="O971" i="11"/>
  <c r="W970" i="11"/>
  <c r="Y970" i="11" s="1"/>
  <c r="AA970" i="11" s="1"/>
  <c r="O970" i="11"/>
  <c r="O969" i="11"/>
  <c r="W969" i="11" s="1"/>
  <c r="W968" i="11"/>
  <c r="X968" i="11" s="1"/>
  <c r="O968" i="11"/>
  <c r="W967" i="11"/>
  <c r="O967" i="11"/>
  <c r="Y966" i="11"/>
  <c r="AA966" i="11" s="1"/>
  <c r="AB966" i="11" s="1"/>
  <c r="O966" i="11"/>
  <c r="W966" i="11" s="1"/>
  <c r="X966" i="11" s="1"/>
  <c r="O965" i="11"/>
  <c r="W964" i="11"/>
  <c r="X964" i="11" s="1"/>
  <c r="M964" i="11"/>
  <c r="O964" i="11" s="1"/>
  <c r="U963" i="11"/>
  <c r="O963" i="11"/>
  <c r="Z962" i="11"/>
  <c r="O962" i="11"/>
  <c r="W962" i="11" s="1"/>
  <c r="O961" i="11"/>
  <c r="X960" i="11"/>
  <c r="AB960" i="11" s="1"/>
  <c r="O960" i="11"/>
  <c r="W960" i="11" s="1"/>
  <c r="Y960" i="11" s="1"/>
  <c r="AA960" i="11" s="1"/>
  <c r="O959" i="11"/>
  <c r="O958" i="11"/>
  <c r="O957" i="11"/>
  <c r="X956" i="11"/>
  <c r="U956" i="11"/>
  <c r="O956" i="11"/>
  <c r="W956" i="11" s="1"/>
  <c r="Y956" i="11" s="1"/>
  <c r="AA956" i="11" s="1"/>
  <c r="M955" i="11"/>
  <c r="O955" i="11" s="1"/>
  <c r="Z954" i="11"/>
  <c r="O954" i="11"/>
  <c r="Z953" i="11"/>
  <c r="W953" i="11"/>
  <c r="O953" i="11"/>
  <c r="O952" i="11"/>
  <c r="W952" i="11" s="1"/>
  <c r="Y952" i="11" s="1"/>
  <c r="AA952" i="11" s="1"/>
  <c r="X951" i="11"/>
  <c r="O951" i="11"/>
  <c r="W951" i="11" s="1"/>
  <c r="Y951" i="11" s="1"/>
  <c r="AA951" i="11" s="1"/>
  <c r="M951" i="11"/>
  <c r="Z950" i="11"/>
  <c r="N950" i="11"/>
  <c r="O950" i="11" s="1"/>
  <c r="W950" i="11" s="1"/>
  <c r="X950" i="11" s="1"/>
  <c r="O949" i="11"/>
  <c r="W949" i="11" s="1"/>
  <c r="W948" i="11"/>
  <c r="O948" i="11"/>
  <c r="O947" i="11"/>
  <c r="W946" i="11"/>
  <c r="O946" i="11"/>
  <c r="W945" i="11"/>
  <c r="O945" i="11"/>
  <c r="W944" i="11"/>
  <c r="O944" i="11"/>
  <c r="O943" i="11"/>
  <c r="W943" i="11" s="1"/>
  <c r="O942" i="11"/>
  <c r="O941" i="11"/>
  <c r="O940" i="11"/>
  <c r="W940" i="11" s="1"/>
  <c r="O939" i="11"/>
  <c r="X938" i="11"/>
  <c r="AB938" i="11" s="1"/>
  <c r="W938" i="11"/>
  <c r="Y938" i="11" s="1"/>
  <c r="AA938" i="11" s="1"/>
  <c r="O938" i="11"/>
  <c r="O937" i="11"/>
  <c r="O936" i="11"/>
  <c r="W935" i="11"/>
  <c r="M935" i="11"/>
  <c r="O935" i="11" s="1"/>
  <c r="O934" i="11"/>
  <c r="W934" i="11" s="1"/>
  <c r="X934" i="11" s="1"/>
  <c r="O933" i="11"/>
  <c r="W933" i="11" s="1"/>
  <c r="Y932" i="11"/>
  <c r="AA932" i="11" s="1"/>
  <c r="W932" i="11"/>
  <c r="X932" i="11" s="1"/>
  <c r="O932" i="11"/>
  <c r="Z931" i="11"/>
  <c r="M931" i="11"/>
  <c r="O931" i="11" s="1"/>
  <c r="O930" i="11"/>
  <c r="W930" i="11" s="1"/>
  <c r="X930" i="11" s="1"/>
  <c r="M929" i="11"/>
  <c r="O929" i="11" s="1"/>
  <c r="W929" i="11" s="1"/>
  <c r="W928" i="11"/>
  <c r="X928" i="11" s="1"/>
  <c r="O928" i="11"/>
  <c r="O927" i="11"/>
  <c r="W927" i="11" s="1"/>
  <c r="Y927" i="11" s="1"/>
  <c r="AA927" i="11" s="1"/>
  <c r="Z926" i="11"/>
  <c r="O926" i="11"/>
  <c r="W926" i="11" s="1"/>
  <c r="X926" i="11" s="1"/>
  <c r="O925" i="11"/>
  <c r="W925" i="11" s="1"/>
  <c r="W924" i="11"/>
  <c r="X924" i="11" s="1"/>
  <c r="O924" i="11"/>
  <c r="O923" i="11"/>
  <c r="W923" i="11" s="1"/>
  <c r="W922" i="11"/>
  <c r="O922" i="11"/>
  <c r="O921" i="11"/>
  <c r="O920" i="11"/>
  <c r="W920" i="11" s="1"/>
  <c r="Y920" i="11" s="1"/>
  <c r="AA920" i="11" s="1"/>
  <c r="M920" i="11"/>
  <c r="O919" i="11"/>
  <c r="W919" i="11" s="1"/>
  <c r="O918" i="11"/>
  <c r="W918" i="11" s="1"/>
  <c r="O917" i="11"/>
  <c r="W917" i="11" s="1"/>
  <c r="Y917" i="11" s="1"/>
  <c r="AA917" i="11" s="1"/>
  <c r="W916" i="11"/>
  <c r="O916" i="11"/>
  <c r="O915" i="11"/>
  <c r="W915" i="11" s="1"/>
  <c r="W914" i="11"/>
  <c r="O914" i="11"/>
  <c r="Z913" i="11"/>
  <c r="W913" i="11"/>
  <c r="Y913" i="11" s="1"/>
  <c r="AA913" i="11" s="1"/>
  <c r="M913" i="11"/>
  <c r="O913" i="11" s="1"/>
  <c r="P912" i="11"/>
  <c r="O912" i="11"/>
  <c r="O911" i="11"/>
  <c r="W911" i="11" s="1"/>
  <c r="X911" i="11" s="1"/>
  <c r="O910" i="11"/>
  <c r="W910" i="11" s="1"/>
  <c r="W909" i="11"/>
  <c r="O909" i="11"/>
  <c r="W908" i="11"/>
  <c r="Y908" i="11" s="1"/>
  <c r="AA908" i="11" s="1"/>
  <c r="O908" i="11"/>
  <c r="O907" i="11"/>
  <c r="W907" i="11" s="1"/>
  <c r="Y907" i="11" s="1"/>
  <c r="AA907" i="11" s="1"/>
  <c r="P906" i="11"/>
  <c r="W906" i="11" s="1"/>
  <c r="O906" i="11"/>
  <c r="O905" i="11"/>
  <c r="W905" i="11" s="1"/>
  <c r="Y905" i="11" s="1"/>
  <c r="AA905" i="11" s="1"/>
  <c r="O904" i="11"/>
  <c r="M904" i="11"/>
  <c r="M903" i="11"/>
  <c r="O903" i="11" s="1"/>
  <c r="O902" i="11"/>
  <c r="W902" i="11" s="1"/>
  <c r="O901" i="11"/>
  <c r="Y900" i="11"/>
  <c r="AA900" i="11" s="1"/>
  <c r="O900" i="11"/>
  <c r="W900" i="11" s="1"/>
  <c r="X900" i="11" s="1"/>
  <c r="AB900" i="11" s="1"/>
  <c r="O899" i="11"/>
  <c r="W899" i="11" s="1"/>
  <c r="N898" i="11"/>
  <c r="O898" i="11" s="1"/>
  <c r="M897" i="11"/>
  <c r="O897" i="11" s="1"/>
  <c r="M896" i="11"/>
  <c r="O896" i="11" s="1"/>
  <c r="Z895" i="11"/>
  <c r="O895" i="11"/>
  <c r="O894" i="11"/>
  <c r="I893" i="11"/>
  <c r="O893" i="11" s="1"/>
  <c r="O892" i="11"/>
  <c r="M891" i="11"/>
  <c r="O891" i="11" s="1"/>
  <c r="W891" i="11" s="1"/>
  <c r="W890" i="11"/>
  <c r="O890" i="11"/>
  <c r="O889" i="11"/>
  <c r="O888" i="11"/>
  <c r="O887" i="11"/>
  <c r="M886" i="11"/>
  <c r="O886" i="11" s="1"/>
  <c r="W886" i="11" s="1"/>
  <c r="R885" i="11"/>
  <c r="O885" i="11"/>
  <c r="W885" i="11" s="1"/>
  <c r="O884" i="11"/>
  <c r="O883" i="11"/>
  <c r="W883" i="11" s="1"/>
  <c r="Z882" i="11"/>
  <c r="O882" i="11"/>
  <c r="O881" i="11"/>
  <c r="O880" i="11"/>
  <c r="W880" i="11" s="1"/>
  <c r="Z879" i="11"/>
  <c r="P879" i="11"/>
  <c r="O879" i="11"/>
  <c r="O878" i="11"/>
  <c r="W878" i="11" s="1"/>
  <c r="O877" i="11"/>
  <c r="W877" i="11" s="1"/>
  <c r="Y877" i="11" s="1"/>
  <c r="AA877" i="11" s="1"/>
  <c r="U876" i="11"/>
  <c r="O876" i="11"/>
  <c r="W875" i="11"/>
  <c r="O875" i="11"/>
  <c r="I874" i="11"/>
  <c r="O874" i="11" s="1"/>
  <c r="W873" i="11"/>
  <c r="Y873" i="11" s="1"/>
  <c r="AA873" i="11" s="1"/>
  <c r="O873" i="11"/>
  <c r="O872" i="11"/>
  <c r="Z871" i="11"/>
  <c r="W871" i="11"/>
  <c r="O871" i="11"/>
  <c r="O870" i="11"/>
  <c r="W870" i="11" s="1"/>
  <c r="O869" i="11"/>
  <c r="W869" i="11" s="1"/>
  <c r="O868" i="11"/>
  <c r="W868" i="11" s="1"/>
  <c r="O867" i="11"/>
  <c r="W867" i="11" s="1"/>
  <c r="X866" i="11"/>
  <c r="O866" i="11"/>
  <c r="W866" i="11" s="1"/>
  <c r="Y866" i="11" s="1"/>
  <c r="AA866" i="11" s="1"/>
  <c r="O865" i="11"/>
  <c r="W865" i="11" s="1"/>
  <c r="O864" i="11"/>
  <c r="W864" i="11" s="1"/>
  <c r="Z863" i="11"/>
  <c r="W863" i="11"/>
  <c r="O863" i="11"/>
  <c r="AB862" i="11"/>
  <c r="Y862" i="11"/>
  <c r="AA862" i="11" s="1"/>
  <c r="O862" i="11"/>
  <c r="W862" i="11" s="1"/>
  <c r="X862" i="11" s="1"/>
  <c r="Z861" i="11"/>
  <c r="O861" i="11"/>
  <c r="O860" i="11"/>
  <c r="X859" i="11"/>
  <c r="O859" i="11"/>
  <c r="W859" i="11" s="1"/>
  <c r="Y859" i="11" s="1"/>
  <c r="AA859" i="11" s="1"/>
  <c r="AB859" i="11" s="1"/>
  <c r="O858" i="11"/>
  <c r="W858" i="11" s="1"/>
  <c r="O857" i="11"/>
  <c r="X856" i="11"/>
  <c r="AB856" i="11" s="1"/>
  <c r="W856" i="11"/>
  <c r="Y856" i="11" s="1"/>
  <c r="AA856" i="11" s="1"/>
  <c r="O856" i="11"/>
  <c r="O855" i="11"/>
  <c r="W855" i="11" s="1"/>
  <c r="Y855" i="11" s="1"/>
  <c r="AA855" i="11" s="1"/>
  <c r="O854" i="11"/>
  <c r="W854" i="11" s="1"/>
  <c r="Y853" i="11"/>
  <c r="AA853" i="11" s="1"/>
  <c r="X853" i="11"/>
  <c r="O853" i="11"/>
  <c r="W853" i="11" s="1"/>
  <c r="O852" i="11"/>
  <c r="O851" i="11"/>
  <c r="W851" i="11" s="1"/>
  <c r="Y851" i="11" s="1"/>
  <c r="AA851" i="11" s="1"/>
  <c r="X850" i="11"/>
  <c r="O850" i="11"/>
  <c r="W850" i="11" s="1"/>
  <c r="Y850" i="11" s="1"/>
  <c r="AA850" i="11" s="1"/>
  <c r="O849" i="11"/>
  <c r="W849" i="11" s="1"/>
  <c r="X849" i="11" s="1"/>
  <c r="Y848" i="11"/>
  <c r="AA848" i="11" s="1"/>
  <c r="AB848" i="11" s="1"/>
  <c r="O848" i="11"/>
  <c r="W848" i="11" s="1"/>
  <c r="X848" i="11" s="1"/>
  <c r="O847" i="11"/>
  <c r="O846" i="11"/>
  <c r="W846" i="11" s="1"/>
  <c r="Y846" i="11" s="1"/>
  <c r="AA846" i="11" s="1"/>
  <c r="O845" i="11"/>
  <c r="W845" i="11" s="1"/>
  <c r="Y845" i="11" s="1"/>
  <c r="AA845" i="11" s="1"/>
  <c r="Y844" i="11"/>
  <c r="AA844" i="11" s="1"/>
  <c r="X844" i="11"/>
  <c r="O844" i="11"/>
  <c r="W844" i="11" s="1"/>
  <c r="O843" i="11"/>
  <c r="W843" i="11" s="1"/>
  <c r="Y842" i="11"/>
  <c r="AA842" i="11" s="1"/>
  <c r="AB842" i="11" s="1"/>
  <c r="W842" i="11"/>
  <c r="X842" i="11" s="1"/>
  <c r="O842" i="11"/>
  <c r="O841" i="11"/>
  <c r="X840" i="11"/>
  <c r="O840" i="11"/>
  <c r="W840" i="11" s="1"/>
  <c r="Y840" i="11" s="1"/>
  <c r="AA840" i="11" s="1"/>
  <c r="O839" i="11"/>
  <c r="W839" i="11" s="1"/>
  <c r="Y839" i="11" s="1"/>
  <c r="AA839" i="11" s="1"/>
  <c r="W838" i="11"/>
  <c r="Y838" i="11" s="1"/>
  <c r="AA838" i="11" s="1"/>
  <c r="O838" i="11"/>
  <c r="Y837" i="11"/>
  <c r="AA837" i="11" s="1"/>
  <c r="AB837" i="11" s="1"/>
  <c r="X837" i="11"/>
  <c r="O837" i="11"/>
  <c r="W837" i="11" s="1"/>
  <c r="X836" i="11"/>
  <c r="O836" i="11"/>
  <c r="W836" i="11" s="1"/>
  <c r="Y836" i="11" s="1"/>
  <c r="AA836" i="11" s="1"/>
  <c r="AB836" i="11" s="1"/>
  <c r="Y835" i="11"/>
  <c r="AA835" i="11" s="1"/>
  <c r="O835" i="11"/>
  <c r="W835" i="11" s="1"/>
  <c r="X835" i="11" s="1"/>
  <c r="Y834" i="11"/>
  <c r="AA834" i="11" s="1"/>
  <c r="W834" i="11"/>
  <c r="X834" i="11" s="1"/>
  <c r="O834" i="11"/>
  <c r="O833" i="11"/>
  <c r="O832" i="11"/>
  <c r="W832" i="11" s="1"/>
  <c r="X832" i="11" s="1"/>
  <c r="O831" i="11"/>
  <c r="Y830" i="11"/>
  <c r="AA830" i="11" s="1"/>
  <c r="AB830" i="11" s="1"/>
  <c r="W830" i="11"/>
  <c r="X830" i="11" s="1"/>
  <c r="O830" i="11"/>
  <c r="Z829" i="11"/>
  <c r="W829" i="11"/>
  <c r="O829" i="11"/>
  <c r="O828" i="11"/>
  <c r="W828" i="11" s="1"/>
  <c r="X828" i="11" s="1"/>
  <c r="W827" i="11"/>
  <c r="Y827" i="11" s="1"/>
  <c r="AA827" i="11" s="1"/>
  <c r="O827" i="11"/>
  <c r="O826" i="11"/>
  <c r="W826" i="11" s="1"/>
  <c r="O825" i="11"/>
  <c r="W825" i="11" s="1"/>
  <c r="O824" i="11"/>
  <c r="W824" i="11" s="1"/>
  <c r="O823" i="11"/>
  <c r="W823" i="11" s="1"/>
  <c r="O822" i="11"/>
  <c r="W822" i="11" s="1"/>
  <c r="X822" i="11" s="1"/>
  <c r="O821" i="11"/>
  <c r="W821" i="11" s="1"/>
  <c r="Y820" i="11"/>
  <c r="AA820" i="11" s="1"/>
  <c r="AB820" i="11" s="1"/>
  <c r="O820" i="11"/>
  <c r="W820" i="11" s="1"/>
  <c r="X820" i="11" s="1"/>
  <c r="Z819" i="11"/>
  <c r="O819" i="11"/>
  <c r="W818" i="11"/>
  <c r="O818" i="11"/>
  <c r="O817" i="11"/>
  <c r="W817" i="11" s="1"/>
  <c r="Y817" i="11" s="1"/>
  <c r="AA817" i="11" s="1"/>
  <c r="O816" i="11"/>
  <c r="W816" i="11" s="1"/>
  <c r="Z815" i="11"/>
  <c r="O815" i="11"/>
  <c r="O814" i="11"/>
  <c r="W814" i="11" s="1"/>
  <c r="O813" i="11"/>
  <c r="W813" i="11" s="1"/>
  <c r="O812" i="11"/>
  <c r="W811" i="11"/>
  <c r="Y811" i="11" s="1"/>
  <c r="AA811" i="11" s="1"/>
  <c r="O811" i="11"/>
  <c r="W810" i="11"/>
  <c r="O810" i="11"/>
  <c r="X809" i="11"/>
  <c r="AB809" i="11" s="1"/>
  <c r="O809" i="11"/>
  <c r="W809" i="11" s="1"/>
  <c r="Y809" i="11" s="1"/>
  <c r="AA809" i="11" s="1"/>
  <c r="W808" i="11"/>
  <c r="O808" i="11"/>
  <c r="W807" i="11"/>
  <c r="O807" i="11"/>
  <c r="W806" i="11"/>
  <c r="O806" i="11"/>
  <c r="O805" i="11"/>
  <c r="W805" i="11" s="1"/>
  <c r="X805" i="11" s="1"/>
  <c r="O804" i="11"/>
  <c r="W804" i="11" s="1"/>
  <c r="W803" i="11"/>
  <c r="O803" i="11"/>
  <c r="O802" i="11"/>
  <c r="O801" i="11"/>
  <c r="W801" i="11" s="1"/>
  <c r="O800" i="11"/>
  <c r="W800" i="11" s="1"/>
  <c r="O799" i="11"/>
  <c r="W799" i="11" s="1"/>
  <c r="X799" i="11" s="1"/>
  <c r="W798" i="11"/>
  <c r="O798" i="11"/>
  <c r="X797" i="11"/>
  <c r="AB797" i="11" s="1"/>
  <c r="O797" i="11"/>
  <c r="W797" i="11" s="1"/>
  <c r="Y797" i="11" s="1"/>
  <c r="AA797" i="11" s="1"/>
  <c r="W796" i="11"/>
  <c r="O796" i="11"/>
  <c r="O795" i="11"/>
  <c r="W795" i="11" s="1"/>
  <c r="X795" i="11" s="1"/>
  <c r="Z794" i="11"/>
  <c r="W794" i="11"/>
  <c r="O794" i="11"/>
  <c r="O793" i="11"/>
  <c r="O792" i="11"/>
  <c r="O791" i="11"/>
  <c r="W791" i="11" s="1"/>
  <c r="W790" i="11"/>
  <c r="O790" i="11"/>
  <c r="W789" i="11"/>
  <c r="X789" i="11" s="1"/>
  <c r="O789" i="11"/>
  <c r="O788" i="11"/>
  <c r="W787" i="11"/>
  <c r="Y787" i="11" s="1"/>
  <c r="AA787" i="11" s="1"/>
  <c r="O787" i="11"/>
  <c r="O786" i="11"/>
  <c r="W786" i="11" s="1"/>
  <c r="Y786" i="11" s="1"/>
  <c r="AA786" i="11" s="1"/>
  <c r="O785" i="11"/>
  <c r="W785" i="11" s="1"/>
  <c r="O784" i="11"/>
  <c r="W784" i="11" s="1"/>
  <c r="W783" i="11"/>
  <c r="X783" i="11" s="1"/>
  <c r="O783" i="11"/>
  <c r="Z782" i="11"/>
  <c r="O782" i="11"/>
  <c r="W782" i="11" s="1"/>
  <c r="O781" i="11"/>
  <c r="O780" i="11"/>
  <c r="R779" i="11"/>
  <c r="O779" i="11"/>
  <c r="O778" i="11"/>
  <c r="O777" i="11"/>
  <c r="W777" i="11" s="1"/>
  <c r="O776" i="11"/>
  <c r="Y775" i="11"/>
  <c r="AA775" i="11" s="1"/>
  <c r="AB775" i="11" s="1"/>
  <c r="O775" i="11"/>
  <c r="W775" i="11" s="1"/>
  <c r="X775" i="11" s="1"/>
  <c r="O774" i="11"/>
  <c r="W774" i="11" s="1"/>
  <c r="X773" i="11"/>
  <c r="AB773" i="11" s="1"/>
  <c r="O773" i="11"/>
  <c r="W773" i="11" s="1"/>
  <c r="Y773" i="11" s="1"/>
  <c r="AA773" i="11" s="1"/>
  <c r="Y772" i="11"/>
  <c r="AA772" i="11" s="1"/>
  <c r="W772" i="11"/>
  <c r="X772" i="11" s="1"/>
  <c r="O772" i="11"/>
  <c r="O771" i="11"/>
  <c r="W771" i="11" s="1"/>
  <c r="Y771" i="11" s="1"/>
  <c r="AA771" i="11" s="1"/>
  <c r="O770" i="11"/>
  <c r="O769" i="11"/>
  <c r="W769" i="11" s="1"/>
  <c r="O768" i="11"/>
  <c r="W768" i="11" s="1"/>
  <c r="Y768" i="11" s="1"/>
  <c r="AA768" i="11" s="1"/>
  <c r="Y767" i="11"/>
  <c r="AA767" i="11" s="1"/>
  <c r="AB767" i="11" s="1"/>
  <c r="O767" i="11"/>
  <c r="W767" i="11" s="1"/>
  <c r="X767" i="11" s="1"/>
  <c r="O766" i="11"/>
  <c r="O765" i="11"/>
  <c r="O764" i="11"/>
  <c r="O763" i="11"/>
  <c r="W763" i="11" s="1"/>
  <c r="Y763" i="11" s="1"/>
  <c r="AA763" i="11" s="1"/>
  <c r="X762" i="11"/>
  <c r="O762" i="11"/>
  <c r="W762" i="11" s="1"/>
  <c r="Y762" i="11" s="1"/>
  <c r="AA762" i="11" s="1"/>
  <c r="O761" i="11"/>
  <c r="W761" i="11" s="1"/>
  <c r="W760" i="11"/>
  <c r="O760" i="11"/>
  <c r="Z759" i="11"/>
  <c r="W759" i="11"/>
  <c r="O759" i="11"/>
  <c r="Z758" i="11"/>
  <c r="O758" i="11"/>
  <c r="Z757" i="11"/>
  <c r="O757" i="11"/>
  <c r="W757" i="11" s="1"/>
  <c r="O756" i="11"/>
  <c r="O755" i="11"/>
  <c r="W755" i="11" s="1"/>
  <c r="O754" i="11"/>
  <c r="W754" i="11" s="1"/>
  <c r="W753" i="11"/>
  <c r="O753" i="11"/>
  <c r="O752" i="11"/>
  <c r="W752" i="11" s="1"/>
  <c r="O751" i="11"/>
  <c r="W751" i="11" s="1"/>
  <c r="X751" i="11" s="1"/>
  <c r="W750" i="11"/>
  <c r="O750" i="11"/>
  <c r="O749" i="11"/>
  <c r="W749" i="11" s="1"/>
  <c r="O748" i="11"/>
  <c r="W748" i="11" s="1"/>
  <c r="Z747" i="11"/>
  <c r="O747" i="11"/>
  <c r="W747" i="11" s="1"/>
  <c r="X747" i="11" s="1"/>
  <c r="O746" i="11"/>
  <c r="O745" i="11"/>
  <c r="W744" i="11"/>
  <c r="X744" i="11" s="1"/>
  <c r="O744" i="11"/>
  <c r="Y743" i="11"/>
  <c r="AA743" i="11" s="1"/>
  <c r="AB743" i="11" s="1"/>
  <c r="O743" i="11"/>
  <c r="W743" i="11" s="1"/>
  <c r="X743" i="11" s="1"/>
  <c r="O742" i="11"/>
  <c r="W742" i="11" s="1"/>
  <c r="X742" i="11" s="1"/>
  <c r="O741" i="11"/>
  <c r="W740" i="11"/>
  <c r="O740" i="11"/>
  <c r="Z739" i="11"/>
  <c r="O739" i="11"/>
  <c r="W739" i="11" s="1"/>
  <c r="O738" i="11"/>
  <c r="O737" i="11"/>
  <c r="W737" i="11" s="1"/>
  <c r="O736" i="11"/>
  <c r="W736" i="11" s="1"/>
  <c r="W735" i="11"/>
  <c r="O735" i="11"/>
  <c r="X734" i="11"/>
  <c r="W734" i="11"/>
  <c r="Y734" i="11" s="1"/>
  <c r="AA734" i="11" s="1"/>
  <c r="O734" i="11"/>
  <c r="W733" i="11"/>
  <c r="O733" i="11"/>
  <c r="W732" i="11"/>
  <c r="O732" i="11"/>
  <c r="O731" i="11"/>
  <c r="O730" i="11"/>
  <c r="W729" i="11"/>
  <c r="O729" i="11"/>
  <c r="O728" i="11"/>
  <c r="W728" i="11" s="1"/>
  <c r="Z727" i="11"/>
  <c r="W727" i="11"/>
  <c r="O727" i="11"/>
  <c r="O726" i="11"/>
  <c r="W726" i="11" s="1"/>
  <c r="O725" i="11"/>
  <c r="W725" i="11" s="1"/>
  <c r="O724" i="11"/>
  <c r="W724" i="11" s="1"/>
  <c r="W723" i="11"/>
  <c r="O723" i="11"/>
  <c r="O722" i="11"/>
  <c r="O721" i="11"/>
  <c r="Y720" i="11"/>
  <c r="AA720" i="11" s="1"/>
  <c r="X720" i="11"/>
  <c r="O720" i="11"/>
  <c r="W720" i="11" s="1"/>
  <c r="W719" i="11"/>
  <c r="Y719" i="11" s="1"/>
  <c r="AA719" i="11" s="1"/>
  <c r="O719" i="11"/>
  <c r="O718" i="11"/>
  <c r="W718" i="11" s="1"/>
  <c r="X718" i="11" s="1"/>
  <c r="Z717" i="11"/>
  <c r="O717" i="11"/>
  <c r="W717" i="11" s="1"/>
  <c r="Y717" i="11" s="1"/>
  <c r="AA717" i="11" s="1"/>
  <c r="O716" i="11"/>
  <c r="W716" i="11" s="1"/>
  <c r="O715" i="11"/>
  <c r="O714" i="11"/>
  <c r="W714" i="11" s="1"/>
  <c r="Y714" i="11" s="1"/>
  <c r="AA714" i="11" s="1"/>
  <c r="O713" i="11"/>
  <c r="W713" i="11" s="1"/>
  <c r="O712" i="11"/>
  <c r="O711" i="11"/>
  <c r="W711" i="11" s="1"/>
  <c r="X711" i="11" s="1"/>
  <c r="O710" i="11"/>
  <c r="W710" i="11" s="1"/>
  <c r="X710" i="11" s="1"/>
  <c r="O709" i="11"/>
  <c r="O708" i="11"/>
  <c r="W708" i="11" s="1"/>
  <c r="O707" i="11"/>
  <c r="W707" i="11" s="1"/>
  <c r="O706" i="11"/>
  <c r="O705" i="11"/>
  <c r="O704" i="11"/>
  <c r="W704" i="11" s="1"/>
  <c r="Y703" i="11"/>
  <c r="AA703" i="11" s="1"/>
  <c r="O703" i="11"/>
  <c r="W703" i="11" s="1"/>
  <c r="X703" i="11" s="1"/>
  <c r="O702" i="11"/>
  <c r="O701" i="11"/>
  <c r="W701" i="11" s="1"/>
  <c r="Y701" i="11" s="1"/>
  <c r="AA701" i="11" s="1"/>
  <c r="O700" i="11"/>
  <c r="W700" i="11" s="1"/>
  <c r="X700" i="11" s="1"/>
  <c r="O699" i="11"/>
  <c r="Y698" i="11"/>
  <c r="AA698" i="11" s="1"/>
  <c r="O698" i="11"/>
  <c r="W698" i="11" s="1"/>
  <c r="X698" i="11" s="1"/>
  <c r="Z697" i="11"/>
  <c r="O697" i="11"/>
  <c r="O696" i="11"/>
  <c r="W695" i="11"/>
  <c r="Y695" i="11" s="1"/>
  <c r="AA695" i="11" s="1"/>
  <c r="O695" i="11"/>
  <c r="O694" i="11"/>
  <c r="W694" i="11" s="1"/>
  <c r="Z693" i="11"/>
  <c r="O693" i="11"/>
  <c r="W693" i="11" s="1"/>
  <c r="Y693" i="11" s="1"/>
  <c r="AA693" i="11" s="1"/>
  <c r="O692" i="11"/>
  <c r="W692" i="11" s="1"/>
  <c r="W691" i="11"/>
  <c r="Y691" i="11" s="1"/>
  <c r="AA691" i="11" s="1"/>
  <c r="O691" i="11"/>
  <c r="Y690" i="11"/>
  <c r="AA690" i="11" s="1"/>
  <c r="AB690" i="11" s="1"/>
  <c r="O690" i="11"/>
  <c r="W690" i="11" s="1"/>
  <c r="X690" i="11" s="1"/>
  <c r="O689" i="11"/>
  <c r="W689" i="11" s="1"/>
  <c r="X689" i="11" s="1"/>
  <c r="Y688" i="11"/>
  <c r="AA688" i="11" s="1"/>
  <c r="AB688" i="11" s="1"/>
  <c r="O688" i="11"/>
  <c r="W688" i="11" s="1"/>
  <c r="X688" i="11" s="1"/>
  <c r="O687" i="11"/>
  <c r="W687" i="11" s="1"/>
  <c r="O686" i="11"/>
  <c r="W685" i="11"/>
  <c r="X685" i="11" s="1"/>
  <c r="O685" i="11"/>
  <c r="O684" i="11"/>
  <c r="W684" i="11" s="1"/>
  <c r="Y683" i="11"/>
  <c r="AA683" i="11" s="1"/>
  <c r="AB683" i="11" s="1"/>
  <c r="O683" i="11"/>
  <c r="W683" i="11" s="1"/>
  <c r="X683" i="11" s="1"/>
  <c r="O682" i="11"/>
  <c r="Z681" i="11"/>
  <c r="O681" i="11"/>
  <c r="W681" i="11" s="1"/>
  <c r="O680" i="11"/>
  <c r="AA679" i="11"/>
  <c r="X679" i="11"/>
  <c r="O679" i="11"/>
  <c r="W679" i="11" s="1"/>
  <c r="Y679" i="11" s="1"/>
  <c r="Y678" i="11"/>
  <c r="AA678" i="11" s="1"/>
  <c r="W678" i="11"/>
  <c r="X678" i="11" s="1"/>
  <c r="O678" i="11"/>
  <c r="Y677" i="11"/>
  <c r="AA677" i="11" s="1"/>
  <c r="O677" i="11"/>
  <c r="W677" i="11" s="1"/>
  <c r="X677" i="11" s="1"/>
  <c r="W676" i="11"/>
  <c r="X676" i="11" s="1"/>
  <c r="O676" i="11"/>
  <c r="O675" i="11"/>
  <c r="W674" i="11"/>
  <c r="O674" i="11"/>
  <c r="O673" i="11"/>
  <c r="Y672" i="11"/>
  <c r="AA672" i="11" s="1"/>
  <c r="W672" i="11"/>
  <c r="X672" i="11" s="1"/>
  <c r="O672" i="11"/>
  <c r="O671" i="11"/>
  <c r="O670" i="11"/>
  <c r="O669" i="11"/>
  <c r="W669" i="11" s="1"/>
  <c r="Z668" i="11"/>
  <c r="W668" i="11"/>
  <c r="Y668" i="11" s="1"/>
  <c r="AA668" i="11" s="1"/>
  <c r="O668" i="11"/>
  <c r="O667" i="11"/>
  <c r="W667" i="11" s="1"/>
  <c r="W666" i="11"/>
  <c r="O666" i="11"/>
  <c r="O665" i="11"/>
  <c r="W665" i="11" s="1"/>
  <c r="Y665" i="11" s="1"/>
  <c r="AA665" i="11" s="1"/>
  <c r="Z664" i="11"/>
  <c r="X664" i="11"/>
  <c r="AB664" i="11" s="1"/>
  <c r="O664" i="11"/>
  <c r="W664" i="11" s="1"/>
  <c r="Y664" i="11" s="1"/>
  <c r="AA664" i="11" s="1"/>
  <c r="O663" i="11"/>
  <c r="W663" i="11" s="1"/>
  <c r="O662" i="11"/>
  <c r="W662" i="11" s="1"/>
  <c r="W661" i="11"/>
  <c r="X661" i="11" s="1"/>
  <c r="O661" i="11"/>
  <c r="Y660" i="11"/>
  <c r="AA660" i="11" s="1"/>
  <c r="O660" i="11"/>
  <c r="W660" i="11" s="1"/>
  <c r="X660" i="11" s="1"/>
  <c r="X659" i="11"/>
  <c r="O659" i="11"/>
  <c r="W659" i="11" s="1"/>
  <c r="Y659" i="11" s="1"/>
  <c r="AA659" i="11" s="1"/>
  <c r="O658" i="11"/>
  <c r="W658" i="11" s="1"/>
  <c r="X658" i="11" s="1"/>
  <c r="Y657" i="11"/>
  <c r="AA657" i="11" s="1"/>
  <c r="W657" i="11"/>
  <c r="X657" i="11" s="1"/>
  <c r="O657" i="11"/>
  <c r="AA656" i="11"/>
  <c r="Y656" i="11"/>
  <c r="O656" i="11"/>
  <c r="W656" i="11" s="1"/>
  <c r="X656" i="11" s="1"/>
  <c r="O655" i="11"/>
  <c r="W655" i="11" s="1"/>
  <c r="O654" i="11"/>
  <c r="W654" i="11" s="1"/>
  <c r="O653" i="11"/>
  <c r="W653" i="11" s="1"/>
  <c r="Y653" i="11" s="1"/>
  <c r="AA653" i="11" s="1"/>
  <c r="O652" i="11"/>
  <c r="W651" i="11"/>
  <c r="O651" i="11"/>
  <c r="AA650" i="11"/>
  <c r="X650" i="11"/>
  <c r="O650" i="11"/>
  <c r="W650" i="11" s="1"/>
  <c r="Y650" i="11" s="1"/>
  <c r="O649" i="11"/>
  <c r="W649" i="11" s="1"/>
  <c r="O648" i="11"/>
  <c r="W648" i="11" s="1"/>
  <c r="X647" i="11"/>
  <c r="O647" i="11"/>
  <c r="W647" i="11" s="1"/>
  <c r="Y647" i="11" s="1"/>
  <c r="AA647" i="11" s="1"/>
  <c r="W646" i="11"/>
  <c r="X646" i="11" s="1"/>
  <c r="O646" i="11"/>
  <c r="O645" i="11"/>
  <c r="X644" i="11"/>
  <c r="W644" i="11"/>
  <c r="Y644" i="11" s="1"/>
  <c r="AA644" i="11" s="1"/>
  <c r="O644" i="11"/>
  <c r="O643" i="11"/>
  <c r="W643" i="11" s="1"/>
  <c r="AA642" i="11"/>
  <c r="O642" i="11"/>
  <c r="W642" i="11" s="1"/>
  <c r="Y642" i="11" s="1"/>
  <c r="O641" i="11"/>
  <c r="W641" i="11" s="1"/>
  <c r="W640" i="11"/>
  <c r="O640" i="11"/>
  <c r="O639" i="11"/>
  <c r="W639" i="11" s="1"/>
  <c r="Z638" i="11"/>
  <c r="O638" i="11"/>
  <c r="W638" i="11" s="1"/>
  <c r="O637" i="11"/>
  <c r="W636" i="11"/>
  <c r="O636" i="11"/>
  <c r="W635" i="11"/>
  <c r="Y635" i="11" s="1"/>
  <c r="AA635" i="11" s="1"/>
  <c r="O635" i="11"/>
  <c r="O634" i="11"/>
  <c r="O633" i="11"/>
  <c r="W632" i="11"/>
  <c r="Y632" i="11" s="1"/>
  <c r="AA632" i="11" s="1"/>
  <c r="O632" i="11"/>
  <c r="W631" i="11"/>
  <c r="Y631" i="11" s="1"/>
  <c r="AA631" i="11" s="1"/>
  <c r="O631" i="11"/>
  <c r="W630" i="11"/>
  <c r="O630" i="11"/>
  <c r="Z629" i="11"/>
  <c r="O629" i="11"/>
  <c r="W629" i="11" s="1"/>
  <c r="AB628" i="11"/>
  <c r="Y628" i="11"/>
  <c r="AA628" i="11" s="1"/>
  <c r="O628" i="11"/>
  <c r="W628" i="11" s="1"/>
  <c r="X628" i="11" s="1"/>
  <c r="W627" i="11"/>
  <c r="Y627" i="11" s="1"/>
  <c r="AA627" i="11" s="1"/>
  <c r="O627" i="11"/>
  <c r="O626" i="11"/>
  <c r="W626" i="11" s="1"/>
  <c r="W625" i="11"/>
  <c r="Y625" i="11" s="1"/>
  <c r="AA625" i="11" s="1"/>
  <c r="O625" i="11"/>
  <c r="O624" i="11"/>
  <c r="W624" i="11" s="1"/>
  <c r="Y624" i="11" s="1"/>
  <c r="AA624" i="11" s="1"/>
  <c r="Z623" i="11"/>
  <c r="W623" i="11"/>
  <c r="O623" i="11"/>
  <c r="Z622" i="11"/>
  <c r="O622" i="11"/>
  <c r="O621" i="11"/>
  <c r="W621" i="11" s="1"/>
  <c r="Y621" i="11" s="1"/>
  <c r="AA621" i="11" s="1"/>
  <c r="O620" i="11"/>
  <c r="W620" i="11" s="1"/>
  <c r="Z619" i="11"/>
  <c r="W619" i="11"/>
  <c r="Y619" i="11" s="1"/>
  <c r="AA619" i="11" s="1"/>
  <c r="O619" i="11"/>
  <c r="Z618" i="11"/>
  <c r="O618" i="11"/>
  <c r="O617" i="11"/>
  <c r="O616" i="11"/>
  <c r="W616" i="11" s="1"/>
  <c r="O615" i="11"/>
  <c r="W615" i="11" s="1"/>
  <c r="O614" i="11"/>
  <c r="O613" i="11"/>
  <c r="O612" i="11"/>
  <c r="W611" i="11"/>
  <c r="X611" i="11" s="1"/>
  <c r="O611" i="11"/>
  <c r="O610" i="11"/>
  <c r="W610" i="11" s="1"/>
  <c r="Y609" i="11"/>
  <c r="AA609" i="11" s="1"/>
  <c r="X609" i="11"/>
  <c r="W609" i="11"/>
  <c r="O609" i="11"/>
  <c r="W608" i="11"/>
  <c r="O608" i="11"/>
  <c r="O607" i="11"/>
  <c r="O606" i="11"/>
  <c r="W606" i="11" s="1"/>
  <c r="W605" i="11"/>
  <c r="O605" i="11"/>
  <c r="W604" i="11"/>
  <c r="O604" i="11"/>
  <c r="O603" i="11"/>
  <c r="W602" i="11"/>
  <c r="O602" i="11"/>
  <c r="Y601" i="11"/>
  <c r="AA601" i="11" s="1"/>
  <c r="AB601" i="11" s="1"/>
  <c r="O601" i="11"/>
  <c r="W601" i="11" s="1"/>
  <c r="X601" i="11" s="1"/>
  <c r="O600" i="11"/>
  <c r="W600" i="11" s="1"/>
  <c r="W599" i="11"/>
  <c r="O599" i="11"/>
  <c r="O598" i="11"/>
  <c r="W598" i="11" s="1"/>
  <c r="O597" i="11"/>
  <c r="W597" i="11" s="1"/>
  <c r="O596" i="11"/>
  <c r="O595" i="11"/>
  <c r="O594" i="11"/>
  <c r="W594" i="11" s="1"/>
  <c r="Z593" i="11"/>
  <c r="O593" i="11"/>
  <c r="W593" i="11" s="1"/>
  <c r="Y593" i="11" s="1"/>
  <c r="AA593" i="11" s="1"/>
  <c r="X592" i="11"/>
  <c r="AB592" i="11" s="1"/>
  <c r="O592" i="11"/>
  <c r="W592" i="11" s="1"/>
  <c r="Y592" i="11" s="1"/>
  <c r="AA592" i="11" s="1"/>
  <c r="O591" i="11"/>
  <c r="O590" i="11"/>
  <c r="W590" i="11" s="1"/>
  <c r="O589" i="11"/>
  <c r="W589" i="11" s="1"/>
  <c r="Y589" i="11" s="1"/>
  <c r="AA589" i="11" s="1"/>
  <c r="W588" i="11"/>
  <c r="O588" i="11"/>
  <c r="O587" i="11"/>
  <c r="W587" i="11" s="1"/>
  <c r="W586" i="11"/>
  <c r="O586" i="11"/>
  <c r="O585" i="11"/>
  <c r="W585" i="11" s="1"/>
  <c r="Y585" i="11" s="1"/>
  <c r="AA585" i="11" s="1"/>
  <c r="O584" i="11"/>
  <c r="W584" i="11" s="1"/>
  <c r="X584" i="11" s="1"/>
  <c r="O583" i="11"/>
  <c r="O582" i="11"/>
  <c r="O581" i="11"/>
  <c r="W581" i="11" s="1"/>
  <c r="Y581" i="11" s="1"/>
  <c r="AA581" i="11" s="1"/>
  <c r="O580" i="11"/>
  <c r="Z579" i="11"/>
  <c r="W579" i="11"/>
  <c r="X579" i="11" s="1"/>
  <c r="O579" i="11"/>
  <c r="Z578" i="11"/>
  <c r="O578" i="11"/>
  <c r="W577" i="11"/>
  <c r="Y577" i="11" s="1"/>
  <c r="AA577" i="11" s="1"/>
  <c r="O577" i="11"/>
  <c r="W576" i="11"/>
  <c r="Y576" i="11" s="1"/>
  <c r="AA576" i="11" s="1"/>
  <c r="O576" i="11"/>
  <c r="O575" i="11"/>
  <c r="W574" i="11"/>
  <c r="O574" i="11"/>
  <c r="O573" i="11"/>
  <c r="O572" i="11"/>
  <c r="Z571" i="11"/>
  <c r="X571" i="11"/>
  <c r="O571" i="11"/>
  <c r="W571" i="11" s="1"/>
  <c r="Y571" i="11" s="1"/>
  <c r="AA571" i="11" s="1"/>
  <c r="AB571" i="11" s="1"/>
  <c r="O570" i="11"/>
  <c r="O569" i="11"/>
  <c r="W569" i="11" s="1"/>
  <c r="O568" i="11"/>
  <c r="W568" i="11" s="1"/>
  <c r="X568" i="11" s="1"/>
  <c r="O567" i="11"/>
  <c r="W567" i="11" s="1"/>
  <c r="W566" i="11"/>
  <c r="Y566" i="11" s="1"/>
  <c r="AA566" i="11" s="1"/>
  <c r="O566" i="11"/>
  <c r="Z565" i="11"/>
  <c r="O565" i="11"/>
  <c r="O564" i="11"/>
  <c r="O563" i="11"/>
  <c r="O562" i="11"/>
  <c r="W562" i="11" s="1"/>
  <c r="O561" i="11"/>
  <c r="O560" i="11"/>
  <c r="O559" i="11"/>
  <c r="W559" i="11" s="1"/>
  <c r="Y559" i="11" s="1"/>
  <c r="AA559" i="11" s="1"/>
  <c r="O558" i="11"/>
  <c r="O557" i="11"/>
  <c r="O556" i="11"/>
  <c r="W556" i="11" s="1"/>
  <c r="O555" i="11"/>
  <c r="W555" i="11" s="1"/>
  <c r="X555" i="11" s="1"/>
  <c r="Y554" i="11"/>
  <c r="AA554" i="11" s="1"/>
  <c r="O554" i="11"/>
  <c r="W554" i="11" s="1"/>
  <c r="X554" i="11" s="1"/>
  <c r="O553" i="11"/>
  <c r="W553" i="11" s="1"/>
  <c r="O552" i="11"/>
  <c r="Y551" i="11"/>
  <c r="AA551" i="11" s="1"/>
  <c r="W551" i="11"/>
  <c r="X551" i="11" s="1"/>
  <c r="O551" i="11"/>
  <c r="O550" i="11"/>
  <c r="W550" i="11" s="1"/>
  <c r="O549" i="11"/>
  <c r="W548" i="11"/>
  <c r="O548" i="11"/>
  <c r="O547" i="11"/>
  <c r="W547" i="11" s="1"/>
  <c r="O546" i="11"/>
  <c r="O545" i="11"/>
  <c r="W545" i="11" s="1"/>
  <c r="Y544" i="11"/>
  <c r="AA544" i="11" s="1"/>
  <c r="O544" i="11"/>
  <c r="W544" i="11" s="1"/>
  <c r="X544" i="11" s="1"/>
  <c r="O543" i="11"/>
  <c r="W543" i="11" s="1"/>
  <c r="O542" i="11"/>
  <c r="O541" i="11"/>
  <c r="O540" i="11"/>
  <c r="O539" i="11"/>
  <c r="W539" i="11" s="1"/>
  <c r="O538" i="11"/>
  <c r="O537" i="11"/>
  <c r="W537" i="11" s="1"/>
  <c r="O536" i="11"/>
  <c r="O535" i="11"/>
  <c r="O534" i="11"/>
  <c r="W534" i="11" s="1"/>
  <c r="Y534" i="11" s="1"/>
  <c r="AA534" i="11" s="1"/>
  <c r="O533" i="11"/>
  <c r="W533" i="11" s="1"/>
  <c r="X533" i="11" s="1"/>
  <c r="O532" i="11"/>
  <c r="O531" i="11"/>
  <c r="O530" i="11"/>
  <c r="W530" i="11" s="1"/>
  <c r="O529" i="11"/>
  <c r="W529" i="11" s="1"/>
  <c r="W528" i="11"/>
  <c r="X528" i="11" s="1"/>
  <c r="O528" i="11"/>
  <c r="O527" i="11"/>
  <c r="W527" i="11" s="1"/>
  <c r="X527" i="11" s="1"/>
  <c r="O526" i="11"/>
  <c r="Y525" i="11"/>
  <c r="AA525" i="11" s="1"/>
  <c r="W525" i="11"/>
  <c r="X525" i="11" s="1"/>
  <c r="O525" i="11"/>
  <c r="O524" i="11"/>
  <c r="O523" i="11"/>
  <c r="O522" i="11"/>
  <c r="W522" i="11" s="1"/>
  <c r="Y521" i="11"/>
  <c r="AA521" i="11" s="1"/>
  <c r="O521" i="11"/>
  <c r="W521" i="11" s="1"/>
  <c r="X521" i="11" s="1"/>
  <c r="O520" i="11"/>
  <c r="W520" i="11" s="1"/>
  <c r="Y520" i="11" s="1"/>
  <c r="AA520" i="11" s="1"/>
  <c r="W519" i="11"/>
  <c r="O519" i="11"/>
  <c r="O518" i="11"/>
  <c r="O517" i="11"/>
  <c r="W517" i="11" s="1"/>
  <c r="W516" i="11"/>
  <c r="X516" i="11" s="1"/>
  <c r="O516" i="11"/>
  <c r="O515" i="11"/>
  <c r="W515" i="11" s="1"/>
  <c r="X515" i="11" s="1"/>
  <c r="O514" i="11"/>
  <c r="W514" i="11" s="1"/>
  <c r="X514" i="11" s="1"/>
  <c r="O513" i="11"/>
  <c r="W513" i="11" s="1"/>
  <c r="Y512" i="11"/>
  <c r="AA512" i="11" s="1"/>
  <c r="O512" i="11"/>
  <c r="W512" i="11" s="1"/>
  <c r="X512" i="11" s="1"/>
  <c r="O511" i="11"/>
  <c r="W511" i="11" s="1"/>
  <c r="O510" i="11"/>
  <c r="W510" i="11" s="1"/>
  <c r="Y510" i="11" s="1"/>
  <c r="AA510" i="11" s="1"/>
  <c r="O509" i="11"/>
  <c r="W509" i="11" s="1"/>
  <c r="Y509" i="11" s="1"/>
  <c r="AA509" i="11" s="1"/>
  <c r="Y508" i="11"/>
  <c r="AA508" i="11" s="1"/>
  <c r="O508" i="11"/>
  <c r="W508" i="11" s="1"/>
  <c r="X508" i="11" s="1"/>
  <c r="O507" i="11"/>
  <c r="O506" i="11"/>
  <c r="O505" i="11"/>
  <c r="W505" i="11" s="1"/>
  <c r="O504" i="11"/>
  <c r="O503" i="11"/>
  <c r="W503" i="11" s="1"/>
  <c r="O502" i="11"/>
  <c r="W502" i="11" s="1"/>
  <c r="X502" i="11" s="1"/>
  <c r="O501" i="11"/>
  <c r="W501" i="11" s="1"/>
  <c r="Y500" i="11"/>
  <c r="AA500" i="11" s="1"/>
  <c r="O500" i="11"/>
  <c r="W500" i="11" s="1"/>
  <c r="X500" i="11" s="1"/>
  <c r="O499" i="11"/>
  <c r="W499" i="11" s="1"/>
  <c r="X499" i="11" s="1"/>
  <c r="W498" i="11"/>
  <c r="Y498" i="11" s="1"/>
  <c r="AA498" i="11" s="1"/>
  <c r="O498" i="11"/>
  <c r="O497" i="11"/>
  <c r="O496" i="11"/>
  <c r="W496" i="11" s="1"/>
  <c r="O495" i="11"/>
  <c r="W494" i="11"/>
  <c r="X494" i="11" s="1"/>
  <c r="O494" i="11"/>
  <c r="W493" i="11"/>
  <c r="O493" i="11"/>
  <c r="O492" i="11"/>
  <c r="O491" i="11"/>
  <c r="W491" i="11" s="1"/>
  <c r="O490" i="11"/>
  <c r="W490" i="11" s="1"/>
  <c r="O489" i="11"/>
  <c r="W489" i="11" s="1"/>
  <c r="O488" i="11"/>
  <c r="O487" i="11"/>
  <c r="W487" i="11" s="1"/>
  <c r="O486" i="11"/>
  <c r="O485" i="11"/>
  <c r="W485" i="11" s="1"/>
  <c r="X485" i="11" s="1"/>
  <c r="Z484" i="11"/>
  <c r="O484" i="11"/>
  <c r="O483" i="11"/>
  <c r="W483" i="11" s="1"/>
  <c r="O482" i="11"/>
  <c r="O481" i="11"/>
  <c r="W481" i="11" s="1"/>
  <c r="O480" i="11"/>
  <c r="W480" i="11" s="1"/>
  <c r="O479" i="11"/>
  <c r="W479" i="11" s="1"/>
  <c r="O478" i="11"/>
  <c r="O477" i="11"/>
  <c r="O476" i="11"/>
  <c r="O475" i="11"/>
  <c r="O474" i="11"/>
  <c r="W474" i="11" s="1"/>
  <c r="O473" i="11"/>
  <c r="W472" i="11"/>
  <c r="O472" i="11"/>
  <c r="O471" i="11"/>
  <c r="W471" i="11" s="1"/>
  <c r="O470" i="11"/>
  <c r="O469" i="11"/>
  <c r="W469" i="11" s="1"/>
  <c r="O468" i="11"/>
  <c r="W468" i="11" s="1"/>
  <c r="O467" i="11"/>
  <c r="O466" i="11"/>
  <c r="O465" i="11"/>
  <c r="O464" i="11"/>
  <c r="Y463" i="11"/>
  <c r="AA463" i="11" s="1"/>
  <c r="O463" i="11"/>
  <c r="W463" i="11" s="1"/>
  <c r="X463" i="11" s="1"/>
  <c r="W462" i="11"/>
  <c r="X462" i="11" s="1"/>
  <c r="O462" i="11"/>
  <c r="AB461" i="11"/>
  <c r="X461" i="11"/>
  <c r="O461" i="11"/>
  <c r="W461" i="11" s="1"/>
  <c r="Y461" i="11" s="1"/>
  <c r="AA461" i="11" s="1"/>
  <c r="O460" i="11"/>
  <c r="W460" i="11" s="1"/>
  <c r="O459" i="11"/>
  <c r="O458" i="11"/>
  <c r="W458" i="11" s="1"/>
  <c r="Y458" i="11" s="1"/>
  <c r="AA458" i="11" s="1"/>
  <c r="O457" i="11"/>
  <c r="O456" i="11"/>
  <c r="W456" i="11" s="1"/>
  <c r="X456" i="11" s="1"/>
  <c r="O455" i="11"/>
  <c r="W455" i="11" s="1"/>
  <c r="W454" i="11"/>
  <c r="X454" i="11" s="1"/>
  <c r="O454" i="11"/>
  <c r="W453" i="11"/>
  <c r="Y453" i="11" s="1"/>
  <c r="AA453" i="11" s="1"/>
  <c r="O453" i="11"/>
  <c r="O452" i="11"/>
  <c r="W452" i="11" s="1"/>
  <c r="Y452" i="11" s="1"/>
  <c r="AA452" i="11" s="1"/>
  <c r="O451" i="11"/>
  <c r="O450" i="11"/>
  <c r="O449" i="11"/>
  <c r="W449" i="11" s="1"/>
  <c r="Y449" i="11" s="1"/>
  <c r="AA449" i="11" s="1"/>
  <c r="O448" i="11"/>
  <c r="O447" i="11"/>
  <c r="O446" i="11"/>
  <c r="W446" i="11" s="1"/>
  <c r="Y446" i="11" s="1"/>
  <c r="AA446" i="11" s="1"/>
  <c r="O445" i="11"/>
  <c r="W444" i="11"/>
  <c r="O444" i="11"/>
  <c r="O443" i="11"/>
  <c r="W443" i="11" s="1"/>
  <c r="O442" i="11"/>
  <c r="W442" i="11" s="1"/>
  <c r="Y442" i="11" s="1"/>
  <c r="AA442" i="11" s="1"/>
  <c r="O441" i="11"/>
  <c r="O440" i="11"/>
  <c r="O439" i="11"/>
  <c r="O438" i="11"/>
  <c r="W438" i="11" s="1"/>
  <c r="X438" i="11" s="1"/>
  <c r="O437" i="11"/>
  <c r="W436" i="11"/>
  <c r="Y436" i="11" s="1"/>
  <c r="AA436" i="11" s="1"/>
  <c r="O436" i="11"/>
  <c r="W435" i="11"/>
  <c r="O435" i="11"/>
  <c r="O434" i="11"/>
  <c r="W434" i="11" s="1"/>
  <c r="W433" i="11"/>
  <c r="X433" i="11" s="1"/>
  <c r="O433" i="11"/>
  <c r="W432" i="11"/>
  <c r="O432" i="11"/>
  <c r="O431" i="11"/>
  <c r="O430" i="11"/>
  <c r="W430" i="11" s="1"/>
  <c r="O429" i="11"/>
  <c r="W428" i="11"/>
  <c r="O428" i="11"/>
  <c r="W427" i="11"/>
  <c r="O427" i="11"/>
  <c r="W426" i="11"/>
  <c r="O426" i="11"/>
  <c r="O425" i="11"/>
  <c r="W425" i="11" s="1"/>
  <c r="X425" i="11" s="1"/>
  <c r="W424" i="11"/>
  <c r="Y424" i="11" s="1"/>
  <c r="AA424" i="11" s="1"/>
  <c r="O424" i="11"/>
  <c r="O423" i="11"/>
  <c r="W423" i="11" s="1"/>
  <c r="O422" i="11"/>
  <c r="W422" i="11" s="1"/>
  <c r="Y421" i="11"/>
  <c r="AA421" i="11" s="1"/>
  <c r="W421" i="11"/>
  <c r="X421" i="11" s="1"/>
  <c r="O421" i="11"/>
  <c r="O420" i="11"/>
  <c r="W420" i="11" s="1"/>
  <c r="O419" i="11"/>
  <c r="W419" i="11" s="1"/>
  <c r="O418" i="11"/>
  <c r="O417" i="11"/>
  <c r="W417" i="11" s="1"/>
  <c r="X417" i="11" s="1"/>
  <c r="O416" i="11"/>
  <c r="W415" i="11"/>
  <c r="X415" i="11" s="1"/>
  <c r="O415" i="11"/>
  <c r="O414" i="11"/>
  <c r="O413" i="11"/>
  <c r="W413" i="11" s="1"/>
  <c r="X413" i="11" s="1"/>
  <c r="O412" i="11"/>
  <c r="O411" i="11"/>
  <c r="W411" i="11" s="1"/>
  <c r="W410" i="11"/>
  <c r="Y410" i="11" s="1"/>
  <c r="AA410" i="11" s="1"/>
  <c r="O410" i="11"/>
  <c r="X409" i="11"/>
  <c r="O409" i="11"/>
  <c r="W409" i="11" s="1"/>
  <c r="Y409" i="11" s="1"/>
  <c r="AA409" i="11" s="1"/>
  <c r="W408" i="11"/>
  <c r="O408" i="11"/>
  <c r="W407" i="11"/>
  <c r="X407" i="11" s="1"/>
  <c r="O407" i="11"/>
  <c r="Y406" i="11"/>
  <c r="AA406" i="11" s="1"/>
  <c r="AB406" i="11" s="1"/>
  <c r="X406" i="11"/>
  <c r="W406" i="11"/>
  <c r="O406" i="11"/>
  <c r="O405" i="11"/>
  <c r="W405" i="11" s="1"/>
  <c r="W404" i="11"/>
  <c r="O404" i="11"/>
  <c r="X403" i="11"/>
  <c r="O403" i="11"/>
  <c r="W403" i="11" s="1"/>
  <c r="Y403" i="11" s="1"/>
  <c r="AA403" i="11" s="1"/>
  <c r="Y402" i="11"/>
  <c r="AA402" i="11" s="1"/>
  <c r="W402" i="11"/>
  <c r="X402" i="11" s="1"/>
  <c r="O402" i="11"/>
  <c r="O401" i="11"/>
  <c r="W401" i="11" s="1"/>
  <c r="X400" i="11"/>
  <c r="W400" i="11"/>
  <c r="Y400" i="11" s="1"/>
  <c r="AA400" i="11" s="1"/>
  <c r="O400" i="11"/>
  <c r="Y399" i="11"/>
  <c r="AA399" i="11" s="1"/>
  <c r="AB399" i="11" s="1"/>
  <c r="O399" i="11"/>
  <c r="W399" i="11" s="1"/>
  <c r="X399" i="11" s="1"/>
  <c r="W398" i="11"/>
  <c r="Y398" i="11" s="1"/>
  <c r="AA398" i="11" s="1"/>
  <c r="O398" i="11"/>
  <c r="X397" i="11"/>
  <c r="O397" i="11"/>
  <c r="W397" i="11" s="1"/>
  <c r="Y397" i="11" s="1"/>
  <c r="AA397" i="11" s="1"/>
  <c r="W396" i="11"/>
  <c r="X396" i="11" s="1"/>
  <c r="O396" i="11"/>
  <c r="Y395" i="11"/>
  <c r="AA395" i="11" s="1"/>
  <c r="O395" i="11"/>
  <c r="W395" i="11" s="1"/>
  <c r="X395" i="11" s="1"/>
  <c r="W394" i="11"/>
  <c r="X394" i="11" s="1"/>
  <c r="O394" i="11"/>
  <c r="O393" i="11"/>
  <c r="X392" i="11"/>
  <c r="W392" i="11"/>
  <c r="Y392" i="11" s="1"/>
  <c r="AA392" i="11" s="1"/>
  <c r="O392" i="11"/>
  <c r="O391" i="11"/>
  <c r="W391" i="11" s="1"/>
  <c r="X391" i="11" s="1"/>
  <c r="O390" i="11"/>
  <c r="W390" i="11" s="1"/>
  <c r="AA389" i="11"/>
  <c r="AB389" i="11" s="1"/>
  <c r="X389" i="11"/>
  <c r="O389" i="11"/>
  <c r="W389" i="11" s="1"/>
  <c r="Y389" i="11" s="1"/>
  <c r="W388" i="11"/>
  <c r="O388" i="11"/>
  <c r="W387" i="11"/>
  <c r="Y387" i="11" s="1"/>
  <c r="AA387" i="11" s="1"/>
  <c r="O387" i="11"/>
  <c r="O386" i="11"/>
  <c r="O385" i="11"/>
  <c r="W385" i="11" s="1"/>
  <c r="Y385" i="11" s="1"/>
  <c r="AA385" i="11" s="1"/>
  <c r="O384" i="11"/>
  <c r="W383" i="11"/>
  <c r="Y383" i="11" s="1"/>
  <c r="AA383" i="11" s="1"/>
  <c r="O383" i="11"/>
  <c r="AA382" i="11"/>
  <c r="W382" i="11"/>
  <c r="Y382" i="11" s="1"/>
  <c r="O382" i="11"/>
  <c r="O381" i="11"/>
  <c r="O380" i="11"/>
  <c r="O379" i="11"/>
  <c r="O378" i="11"/>
  <c r="O377" i="11"/>
  <c r="W377" i="11" s="1"/>
  <c r="O376" i="11"/>
  <c r="O375" i="11"/>
  <c r="W375" i="11" s="1"/>
  <c r="X375" i="11" s="1"/>
  <c r="O374" i="11"/>
  <c r="O373" i="11"/>
  <c r="W373" i="11" s="1"/>
  <c r="Y373" i="11" s="1"/>
  <c r="AA373" i="11" s="1"/>
  <c r="O372" i="11"/>
  <c r="O371" i="11"/>
  <c r="O370" i="11"/>
  <c r="W369" i="11"/>
  <c r="O369" i="11"/>
  <c r="O368" i="11"/>
  <c r="X367" i="11"/>
  <c r="W367" i="11"/>
  <c r="Y367" i="11" s="1"/>
  <c r="AA367" i="11" s="1"/>
  <c r="O367" i="11"/>
  <c r="O366" i="11"/>
  <c r="W365" i="11"/>
  <c r="Y365" i="11" s="1"/>
  <c r="AA365" i="11" s="1"/>
  <c r="O365" i="11"/>
  <c r="Z364" i="11"/>
  <c r="W364" i="11"/>
  <c r="X364" i="11" s="1"/>
  <c r="O364" i="11"/>
  <c r="O363" i="11"/>
  <c r="W363" i="11" s="1"/>
  <c r="O362" i="11"/>
  <c r="W361" i="11"/>
  <c r="Y361" i="11" s="1"/>
  <c r="AA361" i="11" s="1"/>
  <c r="O361" i="11"/>
  <c r="O360" i="11"/>
  <c r="O359" i="11"/>
  <c r="W359" i="11" s="1"/>
  <c r="Y359" i="11" s="1"/>
  <c r="AA359" i="11" s="1"/>
  <c r="O358" i="11"/>
  <c r="W358" i="11" s="1"/>
  <c r="X358" i="11" s="1"/>
  <c r="O357" i="11"/>
  <c r="O356" i="11"/>
  <c r="W356" i="11" s="1"/>
  <c r="X356" i="11" s="1"/>
  <c r="O355" i="11"/>
  <c r="Y354" i="11"/>
  <c r="AA354" i="11" s="1"/>
  <c r="W354" i="11"/>
  <c r="X354" i="11" s="1"/>
  <c r="AB354" i="11" s="1"/>
  <c r="O354" i="11"/>
  <c r="O353" i="11"/>
  <c r="O352" i="11"/>
  <c r="W352" i="11" s="1"/>
  <c r="X352" i="11" s="1"/>
  <c r="O351" i="11"/>
  <c r="W351" i="11" s="1"/>
  <c r="O350" i="11"/>
  <c r="W350" i="11" s="1"/>
  <c r="O349" i="11"/>
  <c r="W349" i="11" s="1"/>
  <c r="X349" i="11" s="1"/>
  <c r="O348" i="11"/>
  <c r="W348" i="11" s="1"/>
  <c r="O347" i="11"/>
  <c r="W347" i="11" s="1"/>
  <c r="W346" i="11"/>
  <c r="X346" i="11" s="1"/>
  <c r="O346" i="11"/>
  <c r="W345" i="11"/>
  <c r="O345" i="11"/>
  <c r="X344" i="11"/>
  <c r="O344" i="11"/>
  <c r="W344" i="11" s="1"/>
  <c r="Y344" i="11" s="1"/>
  <c r="AA344" i="11" s="1"/>
  <c r="O343" i="11"/>
  <c r="AA342" i="11"/>
  <c r="X342" i="11"/>
  <c r="AB342" i="11" s="1"/>
  <c r="O342" i="11"/>
  <c r="W342" i="11" s="1"/>
  <c r="Y342" i="11" s="1"/>
  <c r="O341" i="11"/>
  <c r="AA340" i="11"/>
  <c r="O340" i="11"/>
  <c r="W340" i="11" s="1"/>
  <c r="Y340" i="11" s="1"/>
  <c r="O339" i="11"/>
  <c r="W339" i="11" s="1"/>
  <c r="O338" i="11"/>
  <c r="W338" i="11" s="1"/>
  <c r="W337" i="11"/>
  <c r="Y337" i="11" s="1"/>
  <c r="AA337" i="11" s="1"/>
  <c r="O337" i="11"/>
  <c r="Y336" i="11"/>
  <c r="AA336" i="11" s="1"/>
  <c r="AB336" i="11" s="1"/>
  <c r="O336" i="11"/>
  <c r="W336" i="11" s="1"/>
  <c r="X336" i="11" s="1"/>
  <c r="X335" i="11"/>
  <c r="W335" i="11"/>
  <c r="Y335" i="11" s="1"/>
  <c r="AA335" i="11" s="1"/>
  <c r="O335" i="11"/>
  <c r="O334" i="11"/>
  <c r="O333" i="11"/>
  <c r="O332" i="11"/>
  <c r="W332" i="11" s="1"/>
  <c r="Y332" i="11" s="1"/>
  <c r="AA332" i="11" s="1"/>
  <c r="O331" i="11"/>
  <c r="O330" i="11"/>
  <c r="W330" i="11" s="1"/>
  <c r="O329" i="11"/>
  <c r="Y328" i="11"/>
  <c r="AA328" i="11" s="1"/>
  <c r="O328" i="11"/>
  <c r="W328" i="11" s="1"/>
  <c r="X328" i="11" s="1"/>
  <c r="O327" i="11"/>
  <c r="O326" i="11"/>
  <c r="O325" i="11"/>
  <c r="O324" i="11"/>
  <c r="O323" i="11"/>
  <c r="X322" i="11"/>
  <c r="O322" i="11"/>
  <c r="W322" i="11" s="1"/>
  <c r="Y322" i="11" s="1"/>
  <c r="AA322" i="11" s="1"/>
  <c r="O321" i="11"/>
  <c r="W321" i="11" s="1"/>
  <c r="O320" i="11"/>
  <c r="W320" i="11" s="1"/>
  <c r="O319" i="11"/>
  <c r="X318" i="11"/>
  <c r="O318" i="11"/>
  <c r="W318" i="11" s="1"/>
  <c r="Y318" i="11" s="1"/>
  <c r="AA318" i="11" s="1"/>
  <c r="W317" i="11"/>
  <c r="Y317" i="11" s="1"/>
  <c r="AA317" i="11" s="1"/>
  <c r="O317" i="11"/>
  <c r="W316" i="11"/>
  <c r="Y316" i="11" s="1"/>
  <c r="AA316" i="11" s="1"/>
  <c r="O316" i="11"/>
  <c r="O315" i="11"/>
  <c r="O314" i="11"/>
  <c r="W314" i="11" s="1"/>
  <c r="W313" i="11"/>
  <c r="Y313" i="11" s="1"/>
  <c r="AA313" i="11" s="1"/>
  <c r="O313" i="11"/>
  <c r="O312" i="11"/>
  <c r="O311" i="11"/>
  <c r="W311" i="11" s="1"/>
  <c r="Y311" i="11" s="1"/>
  <c r="AA311" i="11" s="1"/>
  <c r="W310" i="11"/>
  <c r="Y310" i="11" s="1"/>
  <c r="AA310" i="11" s="1"/>
  <c r="O310" i="11"/>
  <c r="O309" i="11"/>
  <c r="W309" i="11" s="1"/>
  <c r="O308" i="11"/>
  <c r="W307" i="11"/>
  <c r="O307" i="11"/>
  <c r="O306" i="11"/>
  <c r="W306" i="11" s="1"/>
  <c r="O305" i="11"/>
  <c r="W305" i="11" s="1"/>
  <c r="Y305" i="11" s="1"/>
  <c r="AA305" i="11" s="1"/>
  <c r="O304" i="11"/>
  <c r="W304" i="11" s="1"/>
  <c r="O303" i="11"/>
  <c r="W302" i="11"/>
  <c r="Y302" i="11" s="1"/>
  <c r="AA302" i="11" s="1"/>
  <c r="O302" i="11"/>
  <c r="O301" i="11"/>
  <c r="O300" i="11"/>
  <c r="O299" i="11"/>
  <c r="W298" i="11"/>
  <c r="Y298" i="11" s="1"/>
  <c r="AA298" i="11" s="1"/>
  <c r="O298" i="11"/>
  <c r="W297" i="11"/>
  <c r="X297" i="11" s="1"/>
  <c r="O297" i="11"/>
  <c r="O296" i="11"/>
  <c r="O295" i="11"/>
  <c r="O294" i="11"/>
  <c r="O293" i="11"/>
  <c r="W292" i="11"/>
  <c r="O292" i="11"/>
  <c r="O291" i="11"/>
  <c r="X290" i="11"/>
  <c r="W290" i="11"/>
  <c r="Y290" i="11" s="1"/>
  <c r="AA290" i="11" s="1"/>
  <c r="O290" i="11"/>
  <c r="O289" i="11"/>
  <c r="Y288" i="11"/>
  <c r="AA288" i="11" s="1"/>
  <c r="X288" i="11"/>
  <c r="O288" i="11"/>
  <c r="W288" i="11" s="1"/>
  <c r="O287" i="11"/>
  <c r="O286" i="11"/>
  <c r="W286" i="11" s="1"/>
  <c r="O285" i="11"/>
  <c r="O284" i="11"/>
  <c r="W284" i="11" s="1"/>
  <c r="Y284" i="11" s="1"/>
  <c r="AA284" i="11" s="1"/>
  <c r="O283" i="11"/>
  <c r="W282" i="11"/>
  <c r="X282" i="11" s="1"/>
  <c r="O282" i="11"/>
  <c r="O281" i="11"/>
  <c r="W280" i="11"/>
  <c r="Y280" i="11" s="1"/>
  <c r="AA280" i="11" s="1"/>
  <c r="O280" i="11"/>
  <c r="O279" i="11"/>
  <c r="W279" i="11" s="1"/>
  <c r="O278" i="11"/>
  <c r="O277" i="11"/>
  <c r="O276" i="11"/>
  <c r="W276" i="11" s="1"/>
  <c r="W275" i="11"/>
  <c r="O275" i="11"/>
  <c r="O274" i="11"/>
  <c r="W274" i="11" s="1"/>
  <c r="O273" i="11"/>
  <c r="W273" i="11" s="1"/>
  <c r="Y273" i="11" s="1"/>
  <c r="AA273" i="11" s="1"/>
  <c r="W272" i="11"/>
  <c r="O272" i="11"/>
  <c r="W271" i="11"/>
  <c r="O271" i="11"/>
  <c r="O270" i="11"/>
  <c r="W269" i="11"/>
  <c r="O269" i="11"/>
  <c r="O268" i="11"/>
  <c r="W268" i="11" s="1"/>
  <c r="O267" i="11"/>
  <c r="W267" i="11" s="1"/>
  <c r="O266" i="11"/>
  <c r="Y265" i="11"/>
  <c r="AA265" i="11" s="1"/>
  <c r="AB265" i="11" s="1"/>
  <c r="W265" i="11"/>
  <c r="X265" i="11" s="1"/>
  <c r="O265" i="11"/>
  <c r="O264" i="11"/>
  <c r="W264" i="11" s="1"/>
  <c r="Y264" i="11" s="1"/>
  <c r="AA264" i="11" s="1"/>
  <c r="O263" i="11"/>
  <c r="W263" i="11" s="1"/>
  <c r="O262" i="11"/>
  <c r="W262" i="11" s="1"/>
  <c r="O261" i="11"/>
  <c r="Y260" i="11"/>
  <c r="AA260" i="11" s="1"/>
  <c r="W260" i="11"/>
  <c r="X260" i="11" s="1"/>
  <c r="O260" i="11"/>
  <c r="O259" i="11"/>
  <c r="W259" i="11" s="1"/>
  <c r="O258" i="11"/>
  <c r="W258" i="11" s="1"/>
  <c r="AB257" i="11"/>
  <c r="Y257" i="11"/>
  <c r="AA257" i="11" s="1"/>
  <c r="W257" i="11"/>
  <c r="X257" i="11" s="1"/>
  <c r="O257" i="11"/>
  <c r="W256" i="11"/>
  <c r="Y256" i="11" s="1"/>
  <c r="AA256" i="11" s="1"/>
  <c r="O256" i="11"/>
  <c r="W255" i="11"/>
  <c r="O255" i="11"/>
  <c r="O254" i="11"/>
  <c r="W254" i="11" s="1"/>
  <c r="Y254" i="11" s="1"/>
  <c r="AA254" i="11" s="1"/>
  <c r="O253" i="11"/>
  <c r="W253" i="11" s="1"/>
  <c r="X253" i="11" s="1"/>
  <c r="O252" i="11"/>
  <c r="W252" i="11" s="1"/>
  <c r="X251" i="11"/>
  <c r="W251" i="11"/>
  <c r="Y251" i="11" s="1"/>
  <c r="AA251" i="11" s="1"/>
  <c r="O251" i="11"/>
  <c r="O250" i="11"/>
  <c r="W250" i="11" s="1"/>
  <c r="W249" i="11"/>
  <c r="O249" i="11"/>
  <c r="W248" i="11"/>
  <c r="O248" i="11"/>
  <c r="O247" i="11"/>
  <c r="W247" i="11" s="1"/>
  <c r="O246" i="11"/>
  <c r="W246" i="11" s="1"/>
  <c r="O245" i="11"/>
  <c r="W245" i="11" s="1"/>
  <c r="O244" i="11"/>
  <c r="W244" i="11" s="1"/>
  <c r="O243" i="11"/>
  <c r="W243" i="11" s="1"/>
  <c r="Y243" i="11" s="1"/>
  <c r="AA243" i="11" s="1"/>
  <c r="O242" i="11"/>
  <c r="O241" i="11"/>
  <c r="O240" i="11"/>
  <c r="W240" i="11" s="1"/>
  <c r="O239" i="11"/>
  <c r="O238" i="11"/>
  <c r="W238" i="11" s="1"/>
  <c r="O237" i="11"/>
  <c r="W237" i="11" s="1"/>
  <c r="O236" i="11"/>
  <c r="W236" i="11" s="1"/>
  <c r="O235" i="11"/>
  <c r="W235" i="11" s="1"/>
  <c r="O234" i="11"/>
  <c r="O233" i="11"/>
  <c r="O232" i="11"/>
  <c r="O231" i="11"/>
  <c r="W231" i="11" s="1"/>
  <c r="Y231" i="11" s="1"/>
  <c r="AA231" i="11" s="1"/>
  <c r="O230" i="11"/>
  <c r="O229" i="11"/>
  <c r="W228" i="11"/>
  <c r="Y228" i="11" s="1"/>
  <c r="AA228" i="11" s="1"/>
  <c r="O228" i="11"/>
  <c r="O227" i="11"/>
  <c r="W226" i="11"/>
  <c r="O226" i="11"/>
  <c r="O225" i="11"/>
  <c r="Y224" i="11"/>
  <c r="AA224" i="11" s="1"/>
  <c r="AB224" i="11" s="1"/>
  <c r="W224" i="11"/>
  <c r="X224" i="11" s="1"/>
  <c r="O224" i="11"/>
  <c r="O223" i="11"/>
  <c r="O222" i="11"/>
  <c r="W222" i="11" s="1"/>
  <c r="Y222" i="11" s="1"/>
  <c r="AA222" i="11" s="1"/>
  <c r="W221" i="11"/>
  <c r="O221" i="11"/>
  <c r="X220" i="11"/>
  <c r="O220" i="11"/>
  <c r="W220" i="11" s="1"/>
  <c r="Y220" i="11" s="1"/>
  <c r="AA220" i="11" s="1"/>
  <c r="AB220" i="11" s="1"/>
  <c r="O219" i="11"/>
  <c r="W219" i="11" s="1"/>
  <c r="O218" i="11"/>
  <c r="W218" i="11" s="1"/>
  <c r="Y218" i="11" s="1"/>
  <c r="AA218" i="11" s="1"/>
  <c r="O217" i="11"/>
  <c r="O216" i="11"/>
  <c r="W216" i="11" s="1"/>
  <c r="Y216" i="11" s="1"/>
  <c r="AA216" i="11" s="1"/>
  <c r="W215" i="11"/>
  <c r="Y215" i="11" s="1"/>
  <c r="AA215" i="11" s="1"/>
  <c r="O215" i="11"/>
  <c r="Y214" i="11"/>
  <c r="AA214" i="11" s="1"/>
  <c r="X214" i="11"/>
  <c r="O214" i="11"/>
  <c r="W214" i="11" s="1"/>
  <c r="O213" i="11"/>
  <c r="W213" i="11" s="1"/>
  <c r="O212" i="11"/>
  <c r="W212" i="11" s="1"/>
  <c r="Y212" i="11" s="1"/>
  <c r="AA212" i="11" s="1"/>
  <c r="W211" i="11"/>
  <c r="O211" i="11"/>
  <c r="W210" i="11"/>
  <c r="Y210" i="11" s="1"/>
  <c r="AA210" i="11" s="1"/>
  <c r="O210" i="11"/>
  <c r="W209" i="11"/>
  <c r="Y209" i="11" s="1"/>
  <c r="AA209" i="11" s="1"/>
  <c r="O209" i="11"/>
  <c r="W208" i="11"/>
  <c r="Y208" i="11" s="1"/>
  <c r="AA208" i="11" s="1"/>
  <c r="O208" i="11"/>
  <c r="O207" i="11"/>
  <c r="O206" i="11"/>
  <c r="W206" i="11" s="1"/>
  <c r="X206" i="11" s="1"/>
  <c r="O205" i="11"/>
  <c r="O204" i="11"/>
  <c r="W204" i="11" s="1"/>
  <c r="Y204" i="11" s="1"/>
  <c r="AA204" i="11" s="1"/>
  <c r="O203" i="11"/>
  <c r="W202" i="11"/>
  <c r="O202" i="11"/>
  <c r="O201" i="11"/>
  <c r="O200" i="11"/>
  <c r="O199" i="11"/>
  <c r="X198" i="11"/>
  <c r="W198" i="11"/>
  <c r="Y198" i="11" s="1"/>
  <c r="AA198" i="11" s="1"/>
  <c r="O198" i="11"/>
  <c r="AB198" i="11" s="1"/>
  <c r="O197" i="11"/>
  <c r="O196" i="11"/>
  <c r="O195" i="11"/>
  <c r="O194" i="11"/>
  <c r="W194" i="11" s="1"/>
  <c r="W193" i="11"/>
  <c r="O193" i="11"/>
  <c r="O192" i="11"/>
  <c r="O191" i="11"/>
  <c r="W191" i="11" s="1"/>
  <c r="W190" i="11"/>
  <c r="X190" i="11" s="1"/>
  <c r="O190" i="11"/>
  <c r="O189" i="11"/>
  <c r="X188" i="11"/>
  <c r="AB188" i="11" s="1"/>
  <c r="O188" i="11"/>
  <c r="W188" i="11" s="1"/>
  <c r="Y188" i="11" s="1"/>
  <c r="AA188" i="11" s="1"/>
  <c r="O187" i="11"/>
  <c r="W187" i="11" s="1"/>
  <c r="O186" i="11"/>
  <c r="W186" i="11" s="1"/>
  <c r="O185" i="11"/>
  <c r="W185" i="11" s="1"/>
  <c r="O184" i="11"/>
  <c r="O183" i="11"/>
  <c r="W183" i="11" s="1"/>
  <c r="O182" i="11"/>
  <c r="W182" i="11" s="1"/>
  <c r="X182" i="11" s="1"/>
  <c r="O181" i="11"/>
  <c r="W181" i="11" s="1"/>
  <c r="Y181" i="11" s="1"/>
  <c r="AA181" i="11" s="1"/>
  <c r="W180" i="11"/>
  <c r="Y180" i="11" s="1"/>
  <c r="AA180" i="11" s="1"/>
  <c r="O180" i="11"/>
  <c r="O179" i="11"/>
  <c r="W179" i="11" s="1"/>
  <c r="Y179" i="11" s="1"/>
  <c r="AA179" i="11" s="1"/>
  <c r="O178" i="11"/>
  <c r="W178" i="11" s="1"/>
  <c r="O177" i="11"/>
  <c r="W177" i="11" s="1"/>
  <c r="X177" i="11" s="1"/>
  <c r="W176" i="11"/>
  <c r="O176" i="11"/>
  <c r="AA175" i="11"/>
  <c r="X175" i="11"/>
  <c r="O175" i="11"/>
  <c r="W175" i="11" s="1"/>
  <c r="Y175" i="11" s="1"/>
  <c r="O174" i="11"/>
  <c r="W174" i="11" s="1"/>
  <c r="O173" i="11"/>
  <c r="W173" i="11" s="1"/>
  <c r="Y173" i="11" s="1"/>
  <c r="AA173" i="11" s="1"/>
  <c r="O172" i="11"/>
  <c r="O171" i="11"/>
  <c r="W171" i="11" s="1"/>
  <c r="O170" i="11"/>
  <c r="O169" i="11"/>
  <c r="O168" i="11"/>
  <c r="O167" i="11"/>
  <c r="W167" i="11" s="1"/>
  <c r="Y167" i="11" s="1"/>
  <c r="AA167" i="11" s="1"/>
  <c r="O166" i="11"/>
  <c r="W166" i="11" s="1"/>
  <c r="X166" i="11" s="1"/>
  <c r="O165" i="11"/>
  <c r="W165" i="11" s="1"/>
  <c r="X165" i="11" s="1"/>
  <c r="O164" i="11"/>
  <c r="W164" i="11" s="1"/>
  <c r="O163" i="11"/>
  <c r="W163" i="11" s="1"/>
  <c r="Y163" i="11" s="1"/>
  <c r="AA163" i="11" s="1"/>
  <c r="O162" i="11"/>
  <c r="X161" i="11"/>
  <c r="O161" i="11"/>
  <c r="W161" i="11" s="1"/>
  <c r="Y161" i="11" s="1"/>
  <c r="AA161" i="11" s="1"/>
  <c r="X160" i="11"/>
  <c r="O160" i="11"/>
  <c r="W160" i="11" s="1"/>
  <c r="Y160" i="11" s="1"/>
  <c r="AA160" i="11" s="1"/>
  <c r="Y159" i="11"/>
  <c r="AA159" i="11" s="1"/>
  <c r="X159" i="11"/>
  <c r="O159" i="11"/>
  <c r="W159" i="11" s="1"/>
  <c r="O158" i="11"/>
  <c r="W158" i="11" s="1"/>
  <c r="Y158" i="11" s="1"/>
  <c r="AA158" i="11" s="1"/>
  <c r="W157" i="11"/>
  <c r="O157" i="11"/>
  <c r="W156" i="11"/>
  <c r="O156" i="11"/>
  <c r="O155" i="11"/>
  <c r="W155" i="11" s="1"/>
  <c r="W154" i="11"/>
  <c r="X154" i="11" s="1"/>
  <c r="O154" i="11"/>
  <c r="W153" i="11"/>
  <c r="O153" i="11"/>
  <c r="O152" i="11"/>
  <c r="O151" i="11"/>
  <c r="O150" i="11"/>
  <c r="W150" i="11" s="1"/>
  <c r="Y150" i="11" s="1"/>
  <c r="AA150" i="11" s="1"/>
  <c r="O149" i="11"/>
  <c r="O148" i="11"/>
  <c r="W148" i="11" s="1"/>
  <c r="X148" i="11" s="1"/>
  <c r="O147" i="11"/>
  <c r="W147" i="11" s="1"/>
  <c r="AB146" i="11"/>
  <c r="Y146" i="11"/>
  <c r="AA146" i="11" s="1"/>
  <c r="O146" i="11"/>
  <c r="W146" i="11" s="1"/>
  <c r="X146" i="11" s="1"/>
  <c r="W145" i="11"/>
  <c r="Y145" i="11" s="1"/>
  <c r="AA145" i="11" s="1"/>
  <c r="O145" i="11"/>
  <c r="O144" i="11"/>
  <c r="O143" i="11"/>
  <c r="O142" i="11"/>
  <c r="W141" i="11"/>
  <c r="X141" i="11" s="1"/>
  <c r="O141" i="11"/>
  <c r="O140" i="11"/>
  <c r="W140" i="11" s="1"/>
  <c r="O139" i="11"/>
  <c r="W139" i="11" s="1"/>
  <c r="Y139" i="11" s="1"/>
  <c r="AA139" i="11" s="1"/>
  <c r="W138" i="11"/>
  <c r="X138" i="11" s="1"/>
  <c r="O138" i="11"/>
  <c r="O137" i="11"/>
  <c r="O136" i="11"/>
  <c r="O135" i="11"/>
  <c r="O134" i="11"/>
  <c r="W134" i="11" s="1"/>
  <c r="Y134" i="11" s="1"/>
  <c r="AA134" i="11" s="1"/>
  <c r="W133" i="11"/>
  <c r="O133" i="11"/>
  <c r="AA132" i="11"/>
  <c r="O132" i="11"/>
  <c r="W132" i="11" s="1"/>
  <c r="Y132" i="11" s="1"/>
  <c r="O131" i="11"/>
  <c r="W131" i="11" s="1"/>
  <c r="X131" i="11" s="1"/>
  <c r="O130" i="11"/>
  <c r="W130" i="11" s="1"/>
  <c r="W129" i="11"/>
  <c r="Y129" i="11" s="1"/>
  <c r="AA129" i="11" s="1"/>
  <c r="O129" i="11"/>
  <c r="Y128" i="11"/>
  <c r="AA128" i="11" s="1"/>
  <c r="O128" i="11"/>
  <c r="W128" i="11" s="1"/>
  <c r="X128" i="11" s="1"/>
  <c r="Y127" i="11"/>
  <c r="AA127" i="11" s="1"/>
  <c r="X127" i="11"/>
  <c r="W127" i="11"/>
  <c r="O127" i="11"/>
  <c r="O126" i="11"/>
  <c r="W126" i="11" s="1"/>
  <c r="Y126" i="11" s="1"/>
  <c r="AA126" i="11" s="1"/>
  <c r="O125" i="11"/>
  <c r="W125" i="11" s="1"/>
  <c r="Y125" i="11" s="1"/>
  <c r="AA125" i="11" s="1"/>
  <c r="O124" i="11"/>
  <c r="W124" i="11" s="1"/>
  <c r="O123" i="11"/>
  <c r="W122" i="11"/>
  <c r="Y122" i="11" s="1"/>
  <c r="AA122" i="11" s="1"/>
  <c r="O122" i="11"/>
  <c r="O121" i="11"/>
  <c r="W121" i="11" s="1"/>
  <c r="Y121" i="11" s="1"/>
  <c r="AA121" i="11" s="1"/>
  <c r="O120" i="11"/>
  <c r="W120" i="11" s="1"/>
  <c r="O119" i="11"/>
  <c r="W119" i="11" s="1"/>
  <c r="O118" i="11"/>
  <c r="O117" i="11"/>
  <c r="W117" i="11" s="1"/>
  <c r="Y117" i="11" s="1"/>
  <c r="AA117" i="11" s="1"/>
  <c r="O116" i="11"/>
  <c r="W116" i="11" s="1"/>
  <c r="W115" i="11"/>
  <c r="Y115" i="11" s="1"/>
  <c r="AA115" i="11" s="1"/>
  <c r="O115" i="11"/>
  <c r="O114" i="11"/>
  <c r="W114" i="11" s="1"/>
  <c r="O113" i="11"/>
  <c r="W113" i="11" s="1"/>
  <c r="Y113" i="11" s="1"/>
  <c r="AA113" i="11" s="1"/>
  <c r="O112" i="11"/>
  <c r="O111" i="11"/>
  <c r="W111" i="11" s="1"/>
  <c r="Y111" i="11" s="1"/>
  <c r="AA111" i="11" s="1"/>
  <c r="O110" i="11"/>
  <c r="W110" i="11" s="1"/>
  <c r="O109" i="11"/>
  <c r="W109" i="11" s="1"/>
  <c r="X109" i="11" s="1"/>
  <c r="O108" i="11"/>
  <c r="W108" i="11" s="1"/>
  <c r="X108" i="11" s="1"/>
  <c r="O107" i="11"/>
  <c r="O106" i="11"/>
  <c r="W106" i="11" s="1"/>
  <c r="O105" i="11"/>
  <c r="O104" i="11"/>
  <c r="W104" i="11" s="1"/>
  <c r="O103" i="11"/>
  <c r="W103" i="11" s="1"/>
  <c r="X102" i="11"/>
  <c r="W102" i="11"/>
  <c r="Y102" i="11" s="1"/>
  <c r="AA102" i="11" s="1"/>
  <c r="O102" i="11"/>
  <c r="O101" i="11"/>
  <c r="W101" i="11" s="1"/>
  <c r="Y101" i="11" s="1"/>
  <c r="AA101" i="11" s="1"/>
  <c r="W100" i="11"/>
  <c r="X100" i="11" s="1"/>
  <c r="O100" i="11"/>
  <c r="O99" i="11"/>
  <c r="W99" i="11" s="1"/>
  <c r="Y99" i="11" s="1"/>
  <c r="AA99" i="11" s="1"/>
  <c r="O98" i="11"/>
  <c r="W98" i="11" s="1"/>
  <c r="Y98" i="11" s="1"/>
  <c r="AA98" i="11" s="1"/>
  <c r="W97" i="11"/>
  <c r="X97" i="11" s="1"/>
  <c r="O97" i="11"/>
  <c r="O96" i="11"/>
  <c r="W96" i="11" s="1"/>
  <c r="O95" i="11"/>
  <c r="W95" i="11" s="1"/>
  <c r="O94" i="11"/>
  <c r="W93" i="11"/>
  <c r="X93" i="11" s="1"/>
  <c r="O93" i="11"/>
  <c r="W92" i="11"/>
  <c r="Y92" i="11" s="1"/>
  <c r="AA92" i="11" s="1"/>
  <c r="O92" i="11"/>
  <c r="W91" i="11"/>
  <c r="O91" i="11"/>
  <c r="O90" i="11"/>
  <c r="W90" i="11" s="1"/>
  <c r="O89" i="11"/>
  <c r="O88" i="11"/>
  <c r="W88" i="11" s="1"/>
  <c r="O87" i="11"/>
  <c r="W87" i="11" s="1"/>
  <c r="O86" i="11"/>
  <c r="O85" i="11"/>
  <c r="O84" i="11"/>
  <c r="W84" i="11" s="1"/>
  <c r="O83" i="11"/>
  <c r="O82" i="11"/>
  <c r="O81" i="11"/>
  <c r="W81" i="11" s="1"/>
  <c r="O80" i="11"/>
  <c r="W80" i="11" s="1"/>
  <c r="X80" i="11" s="1"/>
  <c r="O79" i="11"/>
  <c r="W79" i="11" s="1"/>
  <c r="O78" i="11"/>
  <c r="W78" i="11" s="1"/>
  <c r="X78" i="11" s="1"/>
  <c r="O77" i="11"/>
  <c r="W77" i="11" s="1"/>
  <c r="Y77" i="11" s="1"/>
  <c r="AA77" i="11" s="1"/>
  <c r="O76" i="11"/>
  <c r="W76" i="11" s="1"/>
  <c r="Y76" i="11" s="1"/>
  <c r="AA76" i="11" s="1"/>
  <c r="O75" i="11"/>
  <c r="W75" i="11" s="1"/>
  <c r="O74" i="11"/>
  <c r="W74" i="11" s="1"/>
  <c r="X74" i="11" s="1"/>
  <c r="O73" i="11"/>
  <c r="W73" i="11" s="1"/>
  <c r="X73" i="11" s="1"/>
  <c r="O72" i="11"/>
  <c r="O71" i="11"/>
  <c r="W71" i="11" s="1"/>
  <c r="X71" i="11" s="1"/>
  <c r="O70" i="11"/>
  <c r="O69" i="11"/>
  <c r="W69" i="11" s="1"/>
  <c r="X69" i="11" s="1"/>
  <c r="O68" i="11"/>
  <c r="W68" i="11" s="1"/>
  <c r="X68" i="11" s="1"/>
  <c r="O67" i="11"/>
  <c r="W67" i="11" s="1"/>
  <c r="Y67" i="11" s="1"/>
  <c r="AA67" i="11" s="1"/>
  <c r="O66" i="11"/>
  <c r="W66" i="11" s="1"/>
  <c r="Y65" i="11"/>
  <c r="AA65" i="11" s="1"/>
  <c r="O65" i="11"/>
  <c r="W65" i="11" s="1"/>
  <c r="X65" i="11" s="1"/>
  <c r="O64" i="11"/>
  <c r="W64" i="11" s="1"/>
  <c r="Y64" i="11" s="1"/>
  <c r="AA64" i="11" s="1"/>
  <c r="O63" i="11"/>
  <c r="W63" i="11" s="1"/>
  <c r="O62" i="11"/>
  <c r="O61" i="11"/>
  <c r="W60" i="11"/>
  <c r="X60" i="11" s="1"/>
  <c r="O60" i="11"/>
  <c r="O59" i="11"/>
  <c r="W59" i="11" s="1"/>
  <c r="Y59" i="11" s="1"/>
  <c r="AA59" i="11" s="1"/>
  <c r="O58" i="11"/>
  <c r="W58" i="11" s="1"/>
  <c r="W57" i="11"/>
  <c r="X57" i="11" s="1"/>
  <c r="O57" i="11"/>
  <c r="O56" i="11"/>
  <c r="O55" i="11"/>
  <c r="O54" i="11"/>
  <c r="O53" i="11"/>
  <c r="O52" i="11"/>
  <c r="W52" i="11" s="1"/>
  <c r="O51" i="11"/>
  <c r="W51" i="11" s="1"/>
  <c r="O50" i="11"/>
  <c r="W50" i="11" s="1"/>
  <c r="Y50" i="11" s="1"/>
  <c r="AA50" i="11" s="1"/>
  <c r="O49" i="11"/>
  <c r="O48" i="11"/>
  <c r="W48" i="11" s="1"/>
  <c r="O47" i="11"/>
  <c r="O46" i="11"/>
  <c r="O45" i="11"/>
  <c r="O44" i="11"/>
  <c r="O43" i="11"/>
  <c r="W43" i="11" s="1"/>
  <c r="Y43" i="11" s="1"/>
  <c r="AA43" i="11" s="1"/>
  <c r="O42" i="11"/>
  <c r="O41" i="11"/>
  <c r="W41" i="11" s="1"/>
  <c r="X41" i="11" s="1"/>
  <c r="O40" i="11"/>
  <c r="Y39" i="11"/>
  <c r="AA39" i="11" s="1"/>
  <c r="X39" i="11"/>
  <c r="W39" i="11"/>
  <c r="O39" i="11"/>
  <c r="O38" i="11"/>
  <c r="O37" i="11"/>
  <c r="O36" i="11"/>
  <c r="O35" i="11"/>
  <c r="O34" i="11"/>
  <c r="W33" i="11"/>
  <c r="Y33" i="11" s="1"/>
  <c r="AA33" i="11" s="1"/>
  <c r="O33" i="11"/>
  <c r="O32" i="11"/>
  <c r="O31" i="11"/>
  <c r="O30" i="11"/>
  <c r="O29" i="11"/>
  <c r="O28" i="11"/>
  <c r="O27" i="11"/>
  <c r="W27" i="11" s="1"/>
  <c r="O26" i="11"/>
  <c r="W26" i="11" s="1"/>
  <c r="O25" i="11"/>
  <c r="O24" i="11"/>
  <c r="W24" i="11" s="1"/>
  <c r="O23" i="11"/>
  <c r="O22" i="11"/>
  <c r="W22" i="11" s="1"/>
  <c r="O21" i="11"/>
  <c r="O20" i="11"/>
  <c r="W20" i="11" s="1"/>
  <c r="O19" i="11"/>
  <c r="O18" i="11"/>
  <c r="W18" i="11" s="1"/>
  <c r="O17" i="11"/>
  <c r="O16" i="11"/>
  <c r="W16" i="11" s="1"/>
  <c r="O15" i="11"/>
  <c r="O14" i="11"/>
  <c r="W14" i="11" s="1"/>
  <c r="O13" i="11"/>
  <c r="Y12" i="11"/>
  <c r="AA12" i="11" s="1"/>
  <c r="W12" i="11"/>
  <c r="X12" i="11" s="1"/>
  <c r="O12" i="11"/>
  <c r="M11" i="11"/>
  <c r="O11" i="11" s="1"/>
  <c r="O10" i="11"/>
  <c r="W10" i="11" s="1"/>
  <c r="Y10" i="11" s="1"/>
  <c r="AA10" i="11" s="1"/>
  <c r="M10" i="11"/>
  <c r="M9" i="11"/>
  <c r="O9" i="11" s="1"/>
  <c r="O8" i="11"/>
  <c r="W8" i="11" s="1"/>
  <c r="O7" i="11"/>
  <c r="O6" i="11"/>
  <c r="W6" i="11" s="1"/>
  <c r="O5" i="11"/>
  <c r="O4" i="11"/>
  <c r="W4" i="11" s="1"/>
  <c r="O3" i="11"/>
  <c r="M2" i="11"/>
  <c r="O2" i="11" s="1"/>
  <c r="W2" i="11" s="1"/>
  <c r="X2" i="11" s="1"/>
  <c r="X781" i="13" l="1"/>
  <c r="AB781" i="13" s="1"/>
  <c r="Y781" i="13"/>
  <c r="AA781" i="13" s="1"/>
  <c r="X455" i="13"/>
  <c r="AB455" i="13" s="1"/>
  <c r="Y455" i="13"/>
  <c r="AA455" i="13" s="1"/>
  <c r="X181" i="13"/>
  <c r="AB181" i="13" s="1"/>
  <c r="Y181" i="13"/>
  <c r="AA181" i="13" s="1"/>
  <c r="X38" i="13"/>
  <c r="Y38" i="13"/>
  <c r="AA38" i="13" s="1"/>
  <c r="Y339" i="13"/>
  <c r="AA339" i="13" s="1"/>
  <c r="X339" i="13"/>
  <c r="Y731" i="13"/>
  <c r="AA731" i="13" s="1"/>
  <c r="X731" i="13"/>
  <c r="AB731" i="13" s="1"/>
  <c r="Y524" i="13"/>
  <c r="AA524" i="13" s="1"/>
  <c r="X524" i="13"/>
  <c r="AB524" i="13" s="1"/>
  <c r="Y258" i="13"/>
  <c r="AA258" i="13" s="1"/>
  <c r="X258" i="13"/>
  <c r="AB258" i="13" s="1"/>
  <c r="X429" i="13"/>
  <c r="AB429" i="13" s="1"/>
  <c r="Y429" i="13"/>
  <c r="AA429" i="13" s="1"/>
  <c r="AB162" i="13"/>
  <c r="X87" i="13"/>
  <c r="Y87" i="13"/>
  <c r="AA87" i="13" s="1"/>
  <c r="Y546" i="13"/>
  <c r="AA546" i="13" s="1"/>
  <c r="X546" i="13"/>
  <c r="AB546" i="13" s="1"/>
  <c r="Y124" i="13"/>
  <c r="AA124" i="13" s="1"/>
  <c r="X124" i="13"/>
  <c r="AB124" i="13" s="1"/>
  <c r="Y401" i="13"/>
  <c r="AA401" i="13" s="1"/>
  <c r="X401" i="13"/>
  <c r="AB401" i="13" s="1"/>
  <c r="X347" i="13"/>
  <c r="Y347" i="13"/>
  <c r="AA347" i="13" s="1"/>
  <c r="Y810" i="13"/>
  <c r="AA810" i="13" s="1"/>
  <c r="X810" i="13"/>
  <c r="AB810" i="13" s="1"/>
  <c r="X431" i="13"/>
  <c r="AB431" i="13" s="1"/>
  <c r="Y431" i="13"/>
  <c r="AA431" i="13" s="1"/>
  <c r="X42" i="13"/>
  <c r="AB42" i="13" s="1"/>
  <c r="Y42" i="13"/>
  <c r="AA42" i="13" s="1"/>
  <c r="AB274" i="13"/>
  <c r="Y233" i="13"/>
  <c r="AA233" i="13" s="1"/>
  <c r="X233" i="13"/>
  <c r="Y351" i="13"/>
  <c r="AA351" i="13" s="1"/>
  <c r="X351" i="13"/>
  <c r="AB351" i="13" s="1"/>
  <c r="Y396" i="13"/>
  <c r="AA396" i="13" s="1"/>
  <c r="X396" i="13"/>
  <c r="Y367" i="13"/>
  <c r="AA367" i="13" s="1"/>
  <c r="X367" i="13"/>
  <c r="AB367" i="13" s="1"/>
  <c r="X133" i="13"/>
  <c r="Y133" i="13"/>
  <c r="AA133" i="13" s="1"/>
  <c r="Y821" i="13"/>
  <c r="AA821" i="13" s="1"/>
  <c r="X821" i="13"/>
  <c r="AB821" i="13" s="1"/>
  <c r="X481" i="13"/>
  <c r="AB481" i="13" s="1"/>
  <c r="Y481" i="13"/>
  <c r="AA481" i="13" s="1"/>
  <c r="X384" i="13"/>
  <c r="AB384" i="13" s="1"/>
  <c r="Y384" i="13"/>
  <c r="AA384" i="13" s="1"/>
  <c r="W470" i="13"/>
  <c r="Y36" i="13"/>
  <c r="AA36" i="13" s="1"/>
  <c r="X36" i="13"/>
  <c r="AB36" i="13" s="1"/>
  <c r="Y213" i="13"/>
  <c r="AA213" i="13" s="1"/>
  <c r="X213" i="13"/>
  <c r="Y714" i="13"/>
  <c r="AA714" i="13" s="1"/>
  <c r="X714" i="13"/>
  <c r="AB714" i="13" s="1"/>
  <c r="Y724" i="13"/>
  <c r="AA724" i="13" s="1"/>
  <c r="X724" i="13"/>
  <c r="AB724" i="13" s="1"/>
  <c r="Y457" i="13"/>
  <c r="AA457" i="13" s="1"/>
  <c r="X457" i="13"/>
  <c r="AB457" i="13" s="1"/>
  <c r="Y450" i="13"/>
  <c r="AA450" i="13" s="1"/>
  <c r="X450" i="13"/>
  <c r="Y627" i="13"/>
  <c r="AA627" i="13" s="1"/>
  <c r="X627" i="13"/>
  <c r="AB835" i="13"/>
  <c r="Y25" i="13"/>
  <c r="AA25" i="13" s="1"/>
  <c r="X25" i="13"/>
  <c r="AB25" i="13" s="1"/>
  <c r="Y292" i="13"/>
  <c r="AA292" i="13" s="1"/>
  <c r="X292" i="13"/>
  <c r="AB292" i="13" s="1"/>
  <c r="Y148" i="13"/>
  <c r="AA148" i="13" s="1"/>
  <c r="X148" i="13"/>
  <c r="AB148" i="13" s="1"/>
  <c r="X552" i="13"/>
  <c r="Y552" i="13"/>
  <c r="AA552" i="13" s="1"/>
  <c r="Y695" i="13"/>
  <c r="AA695" i="13" s="1"/>
  <c r="X695" i="13"/>
  <c r="AB695" i="13" s="1"/>
  <c r="Y622" i="13"/>
  <c r="AA622" i="13" s="1"/>
  <c r="X622" i="13"/>
  <c r="Y730" i="13"/>
  <c r="AA730" i="13" s="1"/>
  <c r="X730" i="13"/>
  <c r="AB750" i="13"/>
  <c r="Y446" i="13"/>
  <c r="AA446" i="13" s="1"/>
  <c r="X446" i="13"/>
  <c r="AB488" i="13"/>
  <c r="Y787" i="13"/>
  <c r="AA787" i="13" s="1"/>
  <c r="X787" i="13"/>
  <c r="AB787" i="13" s="1"/>
  <c r="X358" i="13"/>
  <c r="Y358" i="13"/>
  <c r="AA358" i="13" s="1"/>
  <c r="Y666" i="13"/>
  <c r="AA666" i="13" s="1"/>
  <c r="X666" i="13"/>
  <c r="AB666" i="13" s="1"/>
  <c r="Y280" i="13"/>
  <c r="AA280" i="13" s="1"/>
  <c r="X280" i="13"/>
  <c r="AB280" i="13" s="1"/>
  <c r="Y603" i="13"/>
  <c r="AA603" i="13" s="1"/>
  <c r="X603" i="13"/>
  <c r="Y248" i="13"/>
  <c r="AA248" i="13" s="1"/>
  <c r="X248" i="13"/>
  <c r="Y320" i="13"/>
  <c r="AA320" i="13" s="1"/>
  <c r="X320" i="13"/>
  <c r="AB320" i="13" s="1"/>
  <c r="Y591" i="13"/>
  <c r="AA591" i="13" s="1"/>
  <c r="X591" i="13"/>
  <c r="AB591" i="13" s="1"/>
  <c r="Y289" i="13"/>
  <c r="AA289" i="13" s="1"/>
  <c r="X289" i="13"/>
  <c r="AB289" i="13" s="1"/>
  <c r="Y355" i="13"/>
  <c r="AA355" i="13" s="1"/>
  <c r="X355" i="13"/>
  <c r="AB355" i="13" s="1"/>
  <c r="Y319" i="13"/>
  <c r="AA319" i="13" s="1"/>
  <c r="X319" i="13"/>
  <c r="AB319" i="13" s="1"/>
  <c r="Y267" i="13"/>
  <c r="AA267" i="13" s="1"/>
  <c r="X267" i="13"/>
  <c r="AB267" i="13" s="1"/>
  <c r="Y869" i="13"/>
  <c r="AA869" i="13" s="1"/>
  <c r="X869" i="13"/>
  <c r="X101" i="13"/>
  <c r="AB101" i="13" s="1"/>
  <c r="Y101" i="13"/>
  <c r="AA101" i="13" s="1"/>
  <c r="Y408" i="13"/>
  <c r="AA408" i="13" s="1"/>
  <c r="X408" i="13"/>
  <c r="AB408" i="13" s="1"/>
  <c r="X851" i="13"/>
  <c r="Y851" i="13"/>
  <c r="AA851" i="13" s="1"/>
  <c r="Y638" i="13"/>
  <c r="AA638" i="13" s="1"/>
  <c r="X638" i="13"/>
  <c r="AB638" i="13" s="1"/>
  <c r="X562" i="13"/>
  <c r="Y562" i="13"/>
  <c r="AA562" i="13" s="1"/>
  <c r="Y752" i="13"/>
  <c r="AA752" i="13" s="1"/>
  <c r="X752" i="13"/>
  <c r="AB752" i="13" s="1"/>
  <c r="Y608" i="13"/>
  <c r="AA608" i="13" s="1"/>
  <c r="X608" i="13"/>
  <c r="AB608" i="13" s="1"/>
  <c r="X88" i="13"/>
  <c r="AB88" i="13" s="1"/>
  <c r="Y88" i="13"/>
  <c r="AA88" i="13" s="1"/>
  <c r="Y616" i="13"/>
  <c r="AA616" i="13" s="1"/>
  <c r="X616" i="13"/>
  <c r="Y708" i="13"/>
  <c r="AA708" i="13" s="1"/>
  <c r="X708" i="13"/>
  <c r="AB708" i="13" s="1"/>
  <c r="Y85" i="13"/>
  <c r="AA85" i="13" s="1"/>
  <c r="X85" i="13"/>
  <c r="AB85" i="13" s="1"/>
  <c r="AB310" i="13"/>
  <c r="Y245" i="13"/>
  <c r="AA245" i="13" s="1"/>
  <c r="X245" i="13"/>
  <c r="X625" i="13"/>
  <c r="Y625" i="13"/>
  <c r="AA625" i="13" s="1"/>
  <c r="X475" i="13"/>
  <c r="Y475" i="13"/>
  <c r="AA475" i="13" s="1"/>
  <c r="X671" i="13"/>
  <c r="Y671" i="13"/>
  <c r="AA671" i="13" s="1"/>
  <c r="AB600" i="13"/>
  <c r="Y634" i="13"/>
  <c r="AA634" i="13" s="1"/>
  <c r="X634" i="13"/>
  <c r="X673" i="13"/>
  <c r="Y673" i="13"/>
  <c r="AA673" i="13" s="1"/>
  <c r="AB398" i="13"/>
  <c r="Y223" i="13"/>
  <c r="AA223" i="13" s="1"/>
  <c r="X223" i="13"/>
  <c r="AB223" i="13" s="1"/>
  <c r="Y846" i="13"/>
  <c r="AA846" i="13" s="1"/>
  <c r="X846" i="13"/>
  <c r="Y685" i="13"/>
  <c r="AA685" i="13" s="1"/>
  <c r="X685" i="13"/>
  <c r="AB685" i="13" s="1"/>
  <c r="Y806" i="13"/>
  <c r="AA806" i="13" s="1"/>
  <c r="X806" i="13"/>
  <c r="AB806" i="13" s="1"/>
  <c r="Y657" i="13"/>
  <c r="AA657" i="13" s="1"/>
  <c r="X657" i="13"/>
  <c r="AB657" i="13" s="1"/>
  <c r="Y567" i="13"/>
  <c r="AA567" i="13" s="1"/>
  <c r="X567" i="13"/>
  <c r="X421" i="13"/>
  <c r="AB421" i="13" s="1"/>
  <c r="Y421" i="13"/>
  <c r="AA421" i="13" s="1"/>
  <c r="Y111" i="13"/>
  <c r="AA111" i="13" s="1"/>
  <c r="X111" i="13"/>
  <c r="Y478" i="13"/>
  <c r="AA478" i="13" s="1"/>
  <c r="X478" i="13"/>
  <c r="AB478" i="13" s="1"/>
  <c r="X402" i="13"/>
  <c r="AB402" i="13" s="1"/>
  <c r="Y402" i="13"/>
  <c r="AA402" i="13" s="1"/>
  <c r="X838" i="13"/>
  <c r="Y838" i="13"/>
  <c r="AA838" i="13" s="1"/>
  <c r="Y47" i="13"/>
  <c r="AA47" i="13" s="1"/>
  <c r="X47" i="13"/>
  <c r="AB47" i="13" s="1"/>
  <c r="Y139" i="13"/>
  <c r="AA139" i="13" s="1"/>
  <c r="X139" i="13"/>
  <c r="AB139" i="13" s="1"/>
  <c r="Y738" i="13"/>
  <c r="AA738" i="13" s="1"/>
  <c r="X738" i="13"/>
  <c r="Y775" i="13"/>
  <c r="AA775" i="13" s="1"/>
  <c r="X775" i="13"/>
  <c r="Y710" i="13"/>
  <c r="AA710" i="13" s="1"/>
  <c r="X710" i="13"/>
  <c r="X389" i="13"/>
  <c r="Y389" i="13"/>
  <c r="AA389" i="13" s="1"/>
  <c r="Y467" i="13"/>
  <c r="AA467" i="13" s="1"/>
  <c r="X467" i="13"/>
  <c r="Y143" i="13"/>
  <c r="AA143" i="13" s="1"/>
  <c r="X143" i="13"/>
  <c r="AB143" i="13" s="1"/>
  <c r="Y633" i="13"/>
  <c r="AA633" i="13" s="1"/>
  <c r="X633" i="13"/>
  <c r="AB633" i="13" s="1"/>
  <c r="Y716" i="13"/>
  <c r="AA716" i="13" s="1"/>
  <c r="X716" i="13"/>
  <c r="AB716" i="13" s="1"/>
  <c r="Y435" i="13"/>
  <c r="AA435" i="13" s="1"/>
  <c r="X435" i="13"/>
  <c r="Y390" i="13"/>
  <c r="AA390" i="13" s="1"/>
  <c r="X390" i="13"/>
  <c r="X98" i="13"/>
  <c r="AB98" i="13" s="1"/>
  <c r="Y98" i="13"/>
  <c r="AA98" i="13" s="1"/>
  <c r="Y103" i="13"/>
  <c r="AA103" i="13" s="1"/>
  <c r="X103" i="13"/>
  <c r="AB103" i="13" s="1"/>
  <c r="Y26" i="13"/>
  <c r="AA26" i="13" s="1"/>
  <c r="X26" i="13"/>
  <c r="Y820" i="13"/>
  <c r="AA820" i="13" s="1"/>
  <c r="X820" i="13"/>
  <c r="AB820" i="13" s="1"/>
  <c r="Y733" i="13"/>
  <c r="AA733" i="13" s="1"/>
  <c r="X733" i="13"/>
  <c r="AB733" i="13" s="1"/>
  <c r="Y800" i="13"/>
  <c r="AA800" i="13" s="1"/>
  <c r="X800" i="13"/>
  <c r="AB800" i="13" s="1"/>
  <c r="Y827" i="13"/>
  <c r="AA827" i="13" s="1"/>
  <c r="X827" i="13"/>
  <c r="Y381" i="13"/>
  <c r="AA381" i="13" s="1"/>
  <c r="X381" i="13"/>
  <c r="AB840" i="13"/>
  <c r="Y661" i="13"/>
  <c r="AA661" i="13" s="1"/>
  <c r="X661" i="13"/>
  <c r="AB661" i="13" s="1"/>
  <c r="Y536" i="13"/>
  <c r="AA536" i="13" s="1"/>
  <c r="X536" i="13"/>
  <c r="AB536" i="13" s="1"/>
  <c r="AB849" i="13"/>
  <c r="X669" i="13"/>
  <c r="Y669" i="13"/>
  <c r="AA669" i="13" s="1"/>
  <c r="Y580" i="13"/>
  <c r="AA580" i="13" s="1"/>
  <c r="X580" i="13"/>
  <c r="AB580" i="13" s="1"/>
  <c r="Y693" i="13"/>
  <c r="AA693" i="13" s="1"/>
  <c r="X693" i="13"/>
  <c r="AB693" i="13" s="1"/>
  <c r="X662" i="13"/>
  <c r="AB662" i="13" s="1"/>
  <c r="Y662" i="13"/>
  <c r="AA662" i="13" s="1"/>
  <c r="AB617" i="13"/>
  <c r="Y736" i="13"/>
  <c r="AA736" i="13" s="1"/>
  <c r="X736" i="13"/>
  <c r="AB736" i="13" s="1"/>
  <c r="Y463" i="13"/>
  <c r="AA463" i="13" s="1"/>
  <c r="X463" i="13"/>
  <c r="AB463" i="13" s="1"/>
  <c r="Y773" i="13"/>
  <c r="AA773" i="13" s="1"/>
  <c r="X773" i="13"/>
  <c r="AB773" i="13" s="1"/>
  <c r="Y399" i="13"/>
  <c r="AA399" i="13" s="1"/>
  <c r="X399" i="13"/>
  <c r="AB399" i="13" s="1"/>
  <c r="X224" i="13"/>
  <c r="Y224" i="13"/>
  <c r="AA224" i="13" s="1"/>
  <c r="X324" i="13"/>
  <c r="Y324" i="13"/>
  <c r="AA324" i="13" s="1"/>
  <c r="AB477" i="13"/>
  <c r="AB659" i="13"/>
  <c r="Y134" i="13"/>
  <c r="AA134" i="13" s="1"/>
  <c r="X134" i="13"/>
  <c r="AB261" i="13"/>
  <c r="Y180" i="13"/>
  <c r="AA180" i="13" s="1"/>
  <c r="X180" i="13"/>
  <c r="AB257" i="13"/>
  <c r="X54" i="13"/>
  <c r="Y54" i="13"/>
  <c r="AA54" i="13" s="1"/>
  <c r="Y84" i="13"/>
  <c r="AA84" i="13" s="1"/>
  <c r="X84" i="13"/>
  <c r="AB84" i="13" s="1"/>
  <c r="AB89" i="13"/>
  <c r="Y386" i="13"/>
  <c r="AA386" i="13" s="1"/>
  <c r="X386" i="13"/>
  <c r="AB386" i="13" s="1"/>
  <c r="AB281" i="13"/>
  <c r="AB132" i="13"/>
  <c r="X526" i="13"/>
  <c r="AB526" i="13" s="1"/>
  <c r="Y526" i="13"/>
  <c r="AA526" i="13" s="1"/>
  <c r="Y204" i="13"/>
  <c r="AA204" i="13" s="1"/>
  <c r="X204" i="13"/>
  <c r="Y692" i="13"/>
  <c r="AA692" i="13" s="1"/>
  <c r="X692" i="13"/>
  <c r="Y29" i="13"/>
  <c r="AA29" i="13" s="1"/>
  <c r="X29" i="13"/>
  <c r="AB29" i="13" s="1"/>
  <c r="Y428" i="13"/>
  <c r="AA428" i="13" s="1"/>
  <c r="X428" i="13"/>
  <c r="Y229" i="13"/>
  <c r="AA229" i="13" s="1"/>
  <c r="X229" i="13"/>
  <c r="AB229" i="13" s="1"/>
  <c r="X836" i="13"/>
  <c r="Y836" i="13"/>
  <c r="AA836" i="13" s="1"/>
  <c r="Y866" i="13"/>
  <c r="AA866" i="13" s="1"/>
  <c r="X866" i="13"/>
  <c r="AB866" i="13" s="1"/>
  <c r="Y513" i="13"/>
  <c r="AA513" i="13" s="1"/>
  <c r="X513" i="13"/>
  <c r="Y448" i="13"/>
  <c r="AA448" i="13" s="1"/>
  <c r="X448" i="13"/>
  <c r="Y44" i="13"/>
  <c r="AA44" i="13" s="1"/>
  <c r="X44" i="13"/>
  <c r="Y207" i="13"/>
  <c r="AA207" i="13" s="1"/>
  <c r="X207" i="13"/>
  <c r="AB207" i="13" s="1"/>
  <c r="Y273" i="13"/>
  <c r="AA273" i="13" s="1"/>
  <c r="X273" i="13"/>
  <c r="Y33" i="13"/>
  <c r="AA33" i="13" s="1"/>
  <c r="X33" i="13"/>
  <c r="AB33" i="13" s="1"/>
  <c r="Y130" i="13"/>
  <c r="AA130" i="13" s="1"/>
  <c r="X130" i="13"/>
  <c r="AB130" i="13" s="1"/>
  <c r="X331" i="13"/>
  <c r="Y331" i="13"/>
  <c r="AA331" i="13" s="1"/>
  <c r="Y58" i="13"/>
  <c r="AA58" i="13" s="1"/>
  <c r="X58" i="13"/>
  <c r="Y22" i="13"/>
  <c r="AA22" i="13" s="1"/>
  <c r="X22" i="13"/>
  <c r="Y682" i="13"/>
  <c r="AA682" i="13" s="1"/>
  <c r="X682" i="13"/>
  <c r="Y727" i="13"/>
  <c r="AA727" i="13" s="1"/>
  <c r="X727" i="13"/>
  <c r="AB727" i="13" s="1"/>
  <c r="Y332" i="13"/>
  <c r="AA332" i="13" s="1"/>
  <c r="X332" i="13"/>
  <c r="Y219" i="13"/>
  <c r="AA219" i="13" s="1"/>
  <c r="X219" i="13"/>
  <c r="AB219" i="13" s="1"/>
  <c r="Y674" i="13"/>
  <c r="AA674" i="13" s="1"/>
  <c r="X674" i="13"/>
  <c r="AB674" i="13" s="1"/>
  <c r="Y726" i="13"/>
  <c r="AA726" i="13" s="1"/>
  <c r="X726" i="13"/>
  <c r="AB726" i="13" s="1"/>
  <c r="X436" i="13"/>
  <c r="AB436" i="13" s="1"/>
  <c r="Y436" i="13"/>
  <c r="AA436" i="13" s="1"/>
  <c r="X452" i="13"/>
  <c r="AB452" i="13" s="1"/>
  <c r="Y452" i="13"/>
  <c r="AA452" i="13" s="1"/>
  <c r="Y550" i="13"/>
  <c r="AA550" i="13" s="1"/>
  <c r="X550" i="13"/>
  <c r="Y422" i="13"/>
  <c r="AA422" i="13" s="1"/>
  <c r="X422" i="13"/>
  <c r="AB422" i="13" s="1"/>
  <c r="Y651" i="13"/>
  <c r="AA651" i="13" s="1"/>
  <c r="X651" i="13"/>
  <c r="Y279" i="13"/>
  <c r="AA279" i="13" s="1"/>
  <c r="X279" i="13"/>
  <c r="AB279" i="13" s="1"/>
  <c r="X235" i="13"/>
  <c r="Y235" i="13"/>
  <c r="AA235" i="13" s="1"/>
  <c r="X254" i="13"/>
  <c r="Y254" i="13"/>
  <c r="AA254" i="13" s="1"/>
  <c r="X40" i="13"/>
  <c r="AB40" i="13" s="1"/>
  <c r="Y40" i="13"/>
  <c r="AA40" i="13" s="1"/>
  <c r="Y156" i="13"/>
  <c r="AA156" i="13" s="1"/>
  <c r="X156" i="13"/>
  <c r="X161" i="13"/>
  <c r="AB161" i="13" s="1"/>
  <c r="Y161" i="13"/>
  <c r="AA161" i="13" s="1"/>
  <c r="Y305" i="13"/>
  <c r="AA305" i="13" s="1"/>
  <c r="X305" i="13"/>
  <c r="AB305" i="13" s="1"/>
  <c r="Y74" i="13"/>
  <c r="AA74" i="13" s="1"/>
  <c r="X74" i="13"/>
  <c r="Y128" i="13"/>
  <c r="AA128" i="13" s="1"/>
  <c r="X128" i="13"/>
  <c r="AB128" i="13" s="1"/>
  <c r="Y360" i="13"/>
  <c r="AA360" i="13" s="1"/>
  <c r="X360" i="13"/>
  <c r="AB360" i="13" s="1"/>
  <c r="Y468" i="13"/>
  <c r="AA468" i="13" s="1"/>
  <c r="X468" i="13"/>
  <c r="AB468" i="13" s="1"/>
  <c r="Y208" i="13"/>
  <c r="AA208" i="13" s="1"/>
  <c r="X208" i="13"/>
  <c r="Y99" i="13"/>
  <c r="AA99" i="13" s="1"/>
  <c r="X99" i="13"/>
  <c r="Y535" i="13"/>
  <c r="AA535" i="13" s="1"/>
  <c r="X535" i="13"/>
  <c r="X327" i="13"/>
  <c r="Y327" i="13"/>
  <c r="AA327" i="13" s="1"/>
  <c r="X202" i="13"/>
  <c r="AB202" i="13" s="1"/>
  <c r="Y202" i="13"/>
  <c r="AA202" i="13" s="1"/>
  <c r="Y71" i="13"/>
  <c r="AA71" i="13" s="1"/>
  <c r="X71" i="13"/>
  <c r="AB71" i="13" s="1"/>
  <c r="Y418" i="13"/>
  <c r="AA418" i="13" s="1"/>
  <c r="X418" i="13"/>
  <c r="AB418" i="13" s="1"/>
  <c r="X113" i="13"/>
  <c r="Y113" i="13"/>
  <c r="AA113" i="13" s="1"/>
  <c r="Y687" i="13"/>
  <c r="AA687" i="13" s="1"/>
  <c r="X687" i="13"/>
  <c r="Y861" i="13"/>
  <c r="AA861" i="13" s="1"/>
  <c r="X861" i="13"/>
  <c r="X515" i="13"/>
  <c r="AB515" i="13" s="1"/>
  <c r="Y515" i="13"/>
  <c r="AA515" i="13" s="1"/>
  <c r="Y713" i="13"/>
  <c r="AA713" i="13" s="1"/>
  <c r="X713" i="13"/>
  <c r="AB713" i="13" s="1"/>
  <c r="Y226" i="13"/>
  <c r="AA226" i="13" s="1"/>
  <c r="X226" i="13"/>
  <c r="X32" i="13"/>
  <c r="Y32" i="13"/>
  <c r="AA32" i="13" s="1"/>
  <c r="X839" i="13"/>
  <c r="Y839" i="13"/>
  <c r="AA839" i="13" s="1"/>
  <c r="Y823" i="13"/>
  <c r="AA823" i="13" s="1"/>
  <c r="X823" i="13"/>
  <c r="AB823" i="13" s="1"/>
  <c r="X167" i="13"/>
  <c r="AB167" i="13" s="1"/>
  <c r="Y167" i="13"/>
  <c r="AA167" i="13" s="1"/>
  <c r="X86" i="13"/>
  <c r="AB86" i="13" s="1"/>
  <c r="Y86" i="13"/>
  <c r="AA86" i="13" s="1"/>
  <c r="Y555" i="13"/>
  <c r="AA555" i="13" s="1"/>
  <c r="X555" i="13"/>
  <c r="Y697" i="13"/>
  <c r="AA697" i="13" s="1"/>
  <c r="X697" i="13"/>
  <c r="AB697" i="13" s="1"/>
  <c r="Y231" i="13"/>
  <c r="AA231" i="13" s="1"/>
  <c r="X231" i="13"/>
  <c r="Y834" i="13"/>
  <c r="AA834" i="13" s="1"/>
  <c r="X834" i="13"/>
  <c r="AB834" i="13" s="1"/>
  <c r="Y826" i="13"/>
  <c r="AA826" i="13" s="1"/>
  <c r="X826" i="13"/>
  <c r="AB826" i="13" s="1"/>
  <c r="X378" i="13"/>
  <c r="Y378" i="13"/>
  <c r="AA378" i="13" s="1"/>
  <c r="Y41" i="13"/>
  <c r="AA41" i="13" s="1"/>
  <c r="X41" i="13"/>
  <c r="X391" i="13"/>
  <c r="AB391" i="13" s="1"/>
  <c r="Y391" i="13"/>
  <c r="AA391" i="13" s="1"/>
  <c r="Y354" i="13"/>
  <c r="AA354" i="13" s="1"/>
  <c r="X354" i="13"/>
  <c r="Y812" i="13"/>
  <c r="AA812" i="13" s="1"/>
  <c r="X812" i="13"/>
  <c r="AB812" i="13" s="1"/>
  <c r="Y168" i="13"/>
  <c r="AA168" i="13" s="1"/>
  <c r="X168" i="13"/>
  <c r="X270" i="13"/>
  <c r="Y270" i="13"/>
  <c r="AA270" i="13" s="1"/>
  <c r="Y183" i="13"/>
  <c r="AA183" i="13" s="1"/>
  <c r="X183" i="13"/>
  <c r="AB183" i="13" s="1"/>
  <c r="Y749" i="13"/>
  <c r="AA749" i="13" s="1"/>
  <c r="X749" i="13"/>
  <c r="AB749" i="13" s="1"/>
  <c r="Y404" i="13"/>
  <c r="AA404" i="13" s="1"/>
  <c r="X404" i="13"/>
  <c r="Y17" i="13"/>
  <c r="AA17" i="13" s="1"/>
  <c r="X17" i="13"/>
  <c r="Y614" i="13"/>
  <c r="AA614" i="13" s="1"/>
  <c r="X614" i="13"/>
  <c r="Y611" i="13"/>
  <c r="AA611" i="13" s="1"/>
  <c r="X611" i="13"/>
  <c r="AB611" i="13" s="1"/>
  <c r="X813" i="13"/>
  <c r="AB813" i="13" s="1"/>
  <c r="Y813" i="13"/>
  <c r="AA813" i="13" s="1"/>
  <c r="Y660" i="13"/>
  <c r="AA660" i="13" s="1"/>
  <c r="X660" i="13"/>
  <c r="AB660" i="13" s="1"/>
  <c r="Y789" i="13"/>
  <c r="AA789" i="13" s="1"/>
  <c r="X789" i="13"/>
  <c r="AB789" i="13" s="1"/>
  <c r="Y699" i="13"/>
  <c r="AA699" i="13" s="1"/>
  <c r="X699" i="13"/>
  <c r="AB699" i="13" s="1"/>
  <c r="Y867" i="13"/>
  <c r="AA867" i="13" s="1"/>
  <c r="X867" i="13"/>
  <c r="Y615" i="13"/>
  <c r="AA615" i="13" s="1"/>
  <c r="X615" i="13"/>
  <c r="Y809" i="13"/>
  <c r="AA809" i="13" s="1"/>
  <c r="X809" i="13"/>
  <c r="AB797" i="13"/>
  <c r="Y599" i="13"/>
  <c r="AA599" i="13" s="1"/>
  <c r="X599" i="13"/>
  <c r="AB599" i="13" s="1"/>
  <c r="AB743" i="13"/>
  <c r="X203" i="13"/>
  <c r="Y203" i="13"/>
  <c r="AA203" i="13" s="1"/>
  <c r="Y784" i="13"/>
  <c r="AA784" i="13" s="1"/>
  <c r="X784" i="13"/>
  <c r="AB784" i="13" s="1"/>
  <c r="X268" i="13"/>
  <c r="Y268" i="13"/>
  <c r="AA268" i="13" s="1"/>
  <c r="AB850" i="13"/>
  <c r="AB483" i="13"/>
  <c r="X276" i="13"/>
  <c r="AB276" i="13" s="1"/>
  <c r="Y276" i="13"/>
  <c r="AA276" i="13" s="1"/>
  <c r="Y175" i="13"/>
  <c r="AA175" i="13" s="1"/>
  <c r="X175" i="13"/>
  <c r="Y272" i="13"/>
  <c r="AA272" i="13" s="1"/>
  <c r="X272" i="13"/>
  <c r="AB272" i="13" s="1"/>
  <c r="Y118" i="13"/>
  <c r="AA118" i="13" s="1"/>
  <c r="X118" i="13"/>
  <c r="X350" i="13"/>
  <c r="Y350" i="13"/>
  <c r="AA350" i="13" s="1"/>
  <c r="Y559" i="13"/>
  <c r="AA559" i="13" s="1"/>
  <c r="X559" i="13"/>
  <c r="AB559" i="13" s="1"/>
  <c r="X318" i="13"/>
  <c r="Y318" i="13"/>
  <c r="AA318" i="13" s="1"/>
  <c r="X3" i="13"/>
  <c r="AB3" i="13" s="1"/>
  <c r="Y3" i="13"/>
  <c r="AA3" i="13" s="1"/>
  <c r="Y16" i="13"/>
  <c r="AA16" i="13" s="1"/>
  <c r="X16" i="13"/>
  <c r="Y746" i="13"/>
  <c r="AA746" i="13" s="1"/>
  <c r="X746" i="13"/>
  <c r="Y766" i="13"/>
  <c r="AA766" i="13" s="1"/>
  <c r="X766" i="13"/>
  <c r="AB766" i="13" s="1"/>
  <c r="X482" i="13"/>
  <c r="AB482" i="13" s="1"/>
  <c r="Y482" i="13"/>
  <c r="AA482" i="13" s="1"/>
  <c r="Y776" i="13"/>
  <c r="AA776" i="13" s="1"/>
  <c r="X776" i="13"/>
  <c r="AB776" i="13" s="1"/>
  <c r="Y818" i="13"/>
  <c r="AA818" i="13" s="1"/>
  <c r="X818" i="13"/>
  <c r="AB818" i="13" s="1"/>
  <c r="Y648" i="13"/>
  <c r="AA648" i="13" s="1"/>
  <c r="X648" i="13"/>
  <c r="AB648" i="13" s="1"/>
  <c r="X200" i="13"/>
  <c r="AB200" i="13" s="1"/>
  <c r="Y200" i="13"/>
  <c r="AA200" i="13" s="1"/>
  <c r="Y844" i="13"/>
  <c r="AA844" i="13" s="1"/>
  <c r="X844" i="13"/>
  <c r="Y689" i="13"/>
  <c r="AA689" i="13" s="1"/>
  <c r="X689" i="13"/>
  <c r="Y253" i="13"/>
  <c r="AA253" i="13" s="1"/>
  <c r="X253" i="13"/>
  <c r="AB253" i="13" s="1"/>
  <c r="Y663" i="13"/>
  <c r="AA663" i="13" s="1"/>
  <c r="X663" i="13"/>
  <c r="X609" i="13"/>
  <c r="Y609" i="13"/>
  <c r="AA609" i="13" s="1"/>
  <c r="Y410" i="13"/>
  <c r="AA410" i="13" s="1"/>
  <c r="X410" i="13"/>
  <c r="AB410" i="13" s="1"/>
  <c r="Y150" i="13"/>
  <c r="AA150" i="13" s="1"/>
  <c r="X150" i="13"/>
  <c r="AB150" i="13" s="1"/>
  <c r="Y362" i="13"/>
  <c r="AA362" i="13" s="1"/>
  <c r="X362" i="13"/>
  <c r="X484" i="13"/>
  <c r="AB484" i="13" s="1"/>
  <c r="Y484" i="13"/>
  <c r="AA484" i="13" s="1"/>
  <c r="X246" i="13"/>
  <c r="AB246" i="13" s="1"/>
  <c r="Y246" i="13"/>
  <c r="AA246" i="13" s="1"/>
  <c r="X553" i="13"/>
  <c r="Y553" i="13"/>
  <c r="AA553" i="13" s="1"/>
  <c r="Y295" i="13"/>
  <c r="AA295" i="13" s="1"/>
  <c r="X295" i="13"/>
  <c r="X59" i="13"/>
  <c r="Y59" i="13"/>
  <c r="AA59" i="13" s="1"/>
  <c r="Y24" i="13"/>
  <c r="AA24" i="13" s="1"/>
  <c r="X24" i="13"/>
  <c r="AB24" i="13" s="1"/>
  <c r="Y631" i="13"/>
  <c r="AA631" i="13" s="1"/>
  <c r="X631" i="13"/>
  <c r="AB631" i="13" s="1"/>
  <c r="Y739" i="13"/>
  <c r="AA739" i="13" s="1"/>
  <c r="X739" i="13"/>
  <c r="X769" i="13"/>
  <c r="AB769" i="13" s="1"/>
  <c r="Y769" i="13"/>
  <c r="AA769" i="13" s="1"/>
  <c r="AB748" i="13"/>
  <c r="X179" i="13"/>
  <c r="Y179" i="13"/>
  <c r="AA179" i="13" s="1"/>
  <c r="Y438" i="13"/>
  <c r="AA438" i="13" s="1"/>
  <c r="X438" i="13"/>
  <c r="AB438" i="13" s="1"/>
  <c r="Y291" i="13"/>
  <c r="AA291" i="13" s="1"/>
  <c r="X291" i="13"/>
  <c r="AB291" i="13" s="1"/>
  <c r="Y541" i="13"/>
  <c r="AA541" i="13" s="1"/>
  <c r="X541" i="13"/>
  <c r="AB541" i="13" s="1"/>
  <c r="Y802" i="13"/>
  <c r="AA802" i="13" s="1"/>
  <c r="X802" i="13"/>
  <c r="AB802" i="13" s="1"/>
  <c r="Y407" i="13"/>
  <c r="AA407" i="13" s="1"/>
  <c r="X407" i="13"/>
  <c r="Y365" i="13"/>
  <c r="AA365" i="13" s="1"/>
  <c r="X365" i="13"/>
  <c r="Y12" i="13"/>
  <c r="AA12" i="13" s="1"/>
  <c r="X12" i="13"/>
  <c r="AB12" i="13" s="1"/>
  <c r="X346" i="13"/>
  <c r="Y346" i="13"/>
  <c r="AA346" i="13" s="1"/>
  <c r="AB343" i="13"/>
  <c r="X288" i="13"/>
  <c r="AB288" i="13" s="1"/>
  <c r="Y288" i="13"/>
  <c r="AA288" i="13" s="1"/>
  <c r="Y37" i="13"/>
  <c r="AA37" i="13" s="1"/>
  <c r="X37" i="13"/>
  <c r="AB37" i="13" s="1"/>
  <c r="Y456" i="13"/>
  <c r="AA456" i="13" s="1"/>
  <c r="X456" i="13"/>
  <c r="AB456" i="13" s="1"/>
  <c r="Y618" i="13"/>
  <c r="AA618" i="13" s="1"/>
  <c r="X618" i="13"/>
  <c r="AB618" i="13" s="1"/>
  <c r="Y807" i="13"/>
  <c r="AA807" i="13" s="1"/>
  <c r="X807" i="13"/>
  <c r="Y639" i="13"/>
  <c r="AA639" i="13" s="1"/>
  <c r="X639" i="13"/>
  <c r="Y678" i="13"/>
  <c r="AA678" i="13" s="1"/>
  <c r="X678" i="13"/>
  <c r="Y721" i="13"/>
  <c r="AA721" i="13" s="1"/>
  <c r="X721" i="13"/>
  <c r="AB721" i="13" s="1"/>
  <c r="AB572" i="13"/>
  <c r="Y547" i="13"/>
  <c r="AA547" i="13" s="1"/>
  <c r="X547" i="13"/>
  <c r="AB547" i="13" s="1"/>
  <c r="Y530" i="13"/>
  <c r="AA530" i="13" s="1"/>
  <c r="X530" i="13"/>
  <c r="AB530" i="13" s="1"/>
  <c r="AB719" i="13"/>
  <c r="Y774" i="13"/>
  <c r="AA774" i="13" s="1"/>
  <c r="X774" i="13"/>
  <c r="AB774" i="13" s="1"/>
  <c r="X376" i="13"/>
  <c r="AB376" i="13" s="1"/>
  <c r="Y376" i="13"/>
  <c r="AA376" i="13" s="1"/>
  <c r="Y293" i="13"/>
  <c r="AA293" i="13" s="1"/>
  <c r="X293" i="13"/>
  <c r="Y255" i="13"/>
  <c r="AA255" i="13" s="1"/>
  <c r="X255" i="13"/>
  <c r="X251" i="13"/>
  <c r="Y251" i="13"/>
  <c r="AA251" i="13" s="1"/>
  <c r="Y116" i="13"/>
  <c r="AA116" i="13" s="1"/>
  <c r="X116" i="13"/>
  <c r="X49" i="13"/>
  <c r="Y49" i="13"/>
  <c r="AA49" i="13" s="1"/>
  <c r="Y322" i="13"/>
  <c r="AA322" i="13" s="1"/>
  <c r="X322" i="13"/>
  <c r="AB322" i="13" s="1"/>
  <c r="Y65" i="13"/>
  <c r="AA65" i="13" s="1"/>
  <c r="X65" i="13"/>
  <c r="AB65" i="13" s="1"/>
  <c r="AB414" i="13"/>
  <c r="AB486" i="13"/>
  <c r="X221" i="13"/>
  <c r="AB221" i="13" s="1"/>
  <c r="Y221" i="13"/>
  <c r="AA221" i="13" s="1"/>
  <c r="AB349" i="13"/>
  <c r="Y589" i="13"/>
  <c r="AA589" i="13" s="1"/>
  <c r="X589" i="13"/>
  <c r="AB589" i="13" s="1"/>
  <c r="Y445" i="13"/>
  <c r="AA445" i="13" s="1"/>
  <c r="X445" i="13"/>
  <c r="AB445" i="13" s="1"/>
  <c r="X640" i="13"/>
  <c r="Y640" i="13"/>
  <c r="AA640" i="13" s="1"/>
  <c r="Y239" i="13"/>
  <c r="AA239" i="13" s="1"/>
  <c r="X239" i="13"/>
  <c r="AB239" i="13" s="1"/>
  <c r="Y462" i="13"/>
  <c r="AA462" i="13" s="1"/>
  <c r="X462" i="13"/>
  <c r="AB462" i="13" s="1"/>
  <c r="X136" i="13"/>
  <c r="AB136" i="13" s="1"/>
  <c r="Y136" i="13"/>
  <c r="AA136" i="13" s="1"/>
  <c r="Y46" i="13"/>
  <c r="AA46" i="13" s="1"/>
  <c r="X46" i="13"/>
  <c r="Y868" i="13"/>
  <c r="AA868" i="13" s="1"/>
  <c r="X868" i="13"/>
  <c r="AB868" i="13" s="1"/>
  <c r="X9" i="13"/>
  <c r="Y9" i="13"/>
  <c r="AA9" i="13" s="1"/>
  <c r="Y842" i="13"/>
  <c r="AA842" i="13" s="1"/>
  <c r="X842" i="13"/>
  <c r="AB842" i="13" s="1"/>
  <c r="Y847" i="13"/>
  <c r="AA847" i="13" s="1"/>
  <c r="X847" i="13"/>
  <c r="AB847" i="13" s="1"/>
  <c r="Y368" i="13"/>
  <c r="AA368" i="13" s="1"/>
  <c r="X368" i="13"/>
  <c r="AB368" i="13" s="1"/>
  <c r="Y443" i="13"/>
  <c r="AA443" i="13" s="1"/>
  <c r="X443" i="13"/>
  <c r="AB443" i="13" s="1"/>
  <c r="Y755" i="13"/>
  <c r="AA755" i="13" s="1"/>
  <c r="X755" i="13"/>
  <c r="X804" i="13"/>
  <c r="AB804" i="13" s="1"/>
  <c r="Y804" i="13"/>
  <c r="AA804" i="13" s="1"/>
  <c r="Y426" i="13"/>
  <c r="AA426" i="13" s="1"/>
  <c r="X426" i="13"/>
  <c r="AB426" i="13" s="1"/>
  <c r="Y173" i="13"/>
  <c r="AA173" i="13" s="1"/>
  <c r="X173" i="13"/>
  <c r="AB173" i="13" s="1"/>
  <c r="Y454" i="13"/>
  <c r="AA454" i="13" s="1"/>
  <c r="X454" i="13"/>
  <c r="AB454" i="13" s="1"/>
  <c r="Y577" i="13"/>
  <c r="AA577" i="13" s="1"/>
  <c r="X577" i="13"/>
  <c r="AB577" i="13" s="1"/>
  <c r="Y828" i="13"/>
  <c r="AA828" i="13" s="1"/>
  <c r="X828" i="13"/>
  <c r="AB828" i="13" s="1"/>
  <c r="Y480" i="13"/>
  <c r="AA480" i="13" s="1"/>
  <c r="X480" i="13"/>
  <c r="AB480" i="13" s="1"/>
  <c r="Y521" i="13"/>
  <c r="AA521" i="13" s="1"/>
  <c r="X521" i="13"/>
  <c r="Y471" i="13"/>
  <c r="AA471" i="13" s="1"/>
  <c r="X471" i="13"/>
  <c r="X518" i="13"/>
  <c r="Y518" i="13"/>
  <c r="AA518" i="13" s="1"/>
  <c r="Y439" i="13"/>
  <c r="AA439" i="13" s="1"/>
  <c r="X439" i="13"/>
  <c r="AB439" i="13" s="1"/>
  <c r="Y51" i="13"/>
  <c r="AA51" i="13" s="1"/>
  <c r="X51" i="13"/>
  <c r="AB51" i="13" s="1"/>
  <c r="Y856" i="13"/>
  <c r="AA856" i="13" s="1"/>
  <c r="X856" i="13"/>
  <c r="AB856" i="13" s="1"/>
  <c r="X641" i="13"/>
  <c r="Y641" i="13"/>
  <c r="AA641" i="13" s="1"/>
  <c r="Y55" i="13"/>
  <c r="AA55" i="13" s="1"/>
  <c r="X55" i="13"/>
  <c r="AB55" i="13" s="1"/>
  <c r="Y19" i="13"/>
  <c r="AA19" i="13" s="1"/>
  <c r="X19" i="13"/>
  <c r="Y870" i="13"/>
  <c r="AA870" i="13" s="1"/>
  <c r="X870" i="13"/>
  <c r="AB792" i="13"/>
  <c r="Y43" i="13"/>
  <c r="AA43" i="13" s="1"/>
  <c r="X43" i="13"/>
  <c r="AB793" i="13"/>
  <c r="Y594" i="13"/>
  <c r="AA594" i="13" s="1"/>
  <c r="X594" i="13"/>
  <c r="AB594" i="13" s="1"/>
  <c r="AB751" i="13"/>
  <c r="Y642" i="13"/>
  <c r="AA642" i="13" s="1"/>
  <c r="X642" i="13"/>
  <c r="AB642" i="13" s="1"/>
  <c r="Y860" i="13"/>
  <c r="AA860" i="13" s="1"/>
  <c r="X860" i="13"/>
  <c r="AB860" i="13" s="1"/>
  <c r="Y538" i="13"/>
  <c r="AA538" i="13" s="1"/>
  <c r="X538" i="13"/>
  <c r="AB538" i="13" s="1"/>
  <c r="AB416" i="13"/>
  <c r="Y747" i="13"/>
  <c r="AA747" i="13" s="1"/>
  <c r="X747" i="13"/>
  <c r="Y691" i="13"/>
  <c r="AA691" i="13" s="1"/>
  <c r="X691" i="13"/>
  <c r="AB691" i="13" s="1"/>
  <c r="Y556" i="13"/>
  <c r="AA556" i="13" s="1"/>
  <c r="X556" i="13"/>
  <c r="AB556" i="13" s="1"/>
  <c r="X574" i="13"/>
  <c r="Y574" i="13"/>
  <c r="AA574" i="13" s="1"/>
  <c r="AB566" i="13"/>
  <c r="Y413" i="13"/>
  <c r="AA413" i="13" s="1"/>
  <c r="X413" i="13"/>
  <c r="AB413" i="13" s="1"/>
  <c r="X370" i="13"/>
  <c r="Y370" i="13"/>
  <c r="AA370" i="13" s="1"/>
  <c r="Y230" i="13"/>
  <c r="AA230" i="13" s="1"/>
  <c r="X230" i="13"/>
  <c r="AB230" i="13" s="1"/>
  <c r="X344" i="13"/>
  <c r="AB344" i="13" s="1"/>
  <c r="Y344" i="13"/>
  <c r="AA344" i="13" s="1"/>
  <c r="Y570" i="13"/>
  <c r="AA570" i="13" s="1"/>
  <c r="X570" i="13"/>
  <c r="Y303" i="13"/>
  <c r="AA303" i="13" s="1"/>
  <c r="X303" i="13"/>
  <c r="Y447" i="13"/>
  <c r="AA447" i="13" s="1"/>
  <c r="X447" i="13"/>
  <c r="AB447" i="13" s="1"/>
  <c r="Y236" i="13"/>
  <c r="AA236" i="13" s="1"/>
  <c r="X236" i="13"/>
  <c r="Y106" i="13"/>
  <c r="AA106" i="13" s="1"/>
  <c r="X106" i="13"/>
  <c r="AB106" i="13" s="1"/>
  <c r="X297" i="13"/>
  <c r="Y297" i="13"/>
  <c r="AA297" i="13" s="1"/>
  <c r="X487" i="13"/>
  <c r="Y487" i="13"/>
  <c r="AA487" i="13" s="1"/>
  <c r="Y63" i="13"/>
  <c r="AA63" i="13" s="1"/>
  <c r="X63" i="13"/>
  <c r="AB375" i="13"/>
  <c r="Y500" i="13"/>
  <c r="AA500" i="13" s="1"/>
  <c r="X500" i="13"/>
  <c r="AB500" i="13" s="1"/>
  <c r="X61" i="13"/>
  <c r="Y61" i="13"/>
  <c r="AA61" i="13" s="1"/>
  <c r="Y854" i="11"/>
  <c r="AA854" i="11" s="1"/>
  <c r="AB854" i="11" s="1"/>
  <c r="X854" i="11"/>
  <c r="Y164" i="11"/>
  <c r="AA164" i="11" s="1"/>
  <c r="AB164" i="11" s="1"/>
  <c r="X164" i="11"/>
  <c r="X479" i="11"/>
  <c r="Y479" i="11"/>
  <c r="AA479" i="11" s="1"/>
  <c r="AB479" i="11" s="1"/>
  <c r="Y883" i="11"/>
  <c r="AA883" i="11" s="1"/>
  <c r="X883" i="11"/>
  <c r="Y390" i="11"/>
  <c r="AA390" i="11" s="1"/>
  <c r="X390" i="11"/>
  <c r="AB390" i="11" s="1"/>
  <c r="Y755" i="11"/>
  <c r="AA755" i="11" s="1"/>
  <c r="X755" i="11"/>
  <c r="Y178" i="11"/>
  <c r="AA178" i="11" s="1"/>
  <c r="X178" i="11"/>
  <c r="AB178" i="11" s="1"/>
  <c r="X430" i="11"/>
  <c r="AB430" i="11" s="1"/>
  <c r="Y430" i="11"/>
  <c r="AA430" i="11" s="1"/>
  <c r="X471" i="11"/>
  <c r="Y471" i="11"/>
  <c r="AA471" i="11" s="1"/>
  <c r="X95" i="11"/>
  <c r="AB95" i="11" s="1"/>
  <c r="Y95" i="11"/>
  <c r="AA95" i="11" s="1"/>
  <c r="Y259" i="11"/>
  <c r="AA259" i="11" s="1"/>
  <c r="X259" i="11"/>
  <c r="X96" i="11"/>
  <c r="Y96" i="11"/>
  <c r="AA96" i="11" s="1"/>
  <c r="AB210" i="11"/>
  <c r="AB228" i="11"/>
  <c r="Y347" i="11"/>
  <c r="AA347" i="11" s="1"/>
  <c r="X347" i="11"/>
  <c r="AB347" i="11" s="1"/>
  <c r="Y103" i="11"/>
  <c r="AA103" i="11" s="1"/>
  <c r="X103" i="11"/>
  <c r="AB103" i="11" s="1"/>
  <c r="Y174" i="11"/>
  <c r="AA174" i="11" s="1"/>
  <c r="X174" i="11"/>
  <c r="Y250" i="11"/>
  <c r="AA250" i="11" s="1"/>
  <c r="AB250" i="11" s="1"/>
  <c r="X250" i="11"/>
  <c r="X481" i="11"/>
  <c r="Y481" i="11"/>
  <c r="AA481" i="11" s="1"/>
  <c r="AB134" i="11"/>
  <c r="X304" i="11"/>
  <c r="Y304" i="11"/>
  <c r="AA304" i="11" s="1"/>
  <c r="X124" i="11"/>
  <c r="AB124" i="11" s="1"/>
  <c r="Y124" i="11"/>
  <c r="AA124" i="11" s="1"/>
  <c r="Y550" i="11"/>
  <c r="AA550" i="11" s="1"/>
  <c r="X550" i="11"/>
  <c r="X186" i="11"/>
  <c r="Y186" i="11"/>
  <c r="AA186" i="11" s="1"/>
  <c r="Y501" i="11"/>
  <c r="AA501" i="11" s="1"/>
  <c r="X501" i="11"/>
  <c r="AB501" i="11" s="1"/>
  <c r="Y104" i="11"/>
  <c r="AA104" i="11" s="1"/>
  <c r="AB104" i="11" s="1"/>
  <c r="X104" i="11"/>
  <c r="Y155" i="11"/>
  <c r="AA155" i="11" s="1"/>
  <c r="X155" i="11"/>
  <c r="Y267" i="11"/>
  <c r="AA267" i="11" s="1"/>
  <c r="AB267" i="11" s="1"/>
  <c r="X267" i="11"/>
  <c r="Y537" i="11"/>
  <c r="AA537" i="11" s="1"/>
  <c r="X537" i="11"/>
  <c r="AB537" i="11" s="1"/>
  <c r="Y140" i="11"/>
  <c r="AA140" i="11" s="1"/>
  <c r="X140" i="11"/>
  <c r="AB140" i="11" s="1"/>
  <c r="Y147" i="11"/>
  <c r="AA147" i="11" s="1"/>
  <c r="X147" i="11"/>
  <c r="AB129" i="11"/>
  <c r="X489" i="11"/>
  <c r="Y489" i="11"/>
  <c r="AA489" i="11" s="1"/>
  <c r="AB489" i="11" s="1"/>
  <c r="X823" i="11"/>
  <c r="Y823" i="11"/>
  <c r="AA823" i="11" s="1"/>
  <c r="Y891" i="11"/>
  <c r="AA891" i="11" s="1"/>
  <c r="X891" i="11"/>
  <c r="Y119" i="11"/>
  <c r="AA119" i="11" s="1"/>
  <c r="X119" i="11"/>
  <c r="AB119" i="11" s="1"/>
  <c r="X350" i="11"/>
  <c r="Y350" i="11"/>
  <c r="AA350" i="11" s="1"/>
  <c r="Y517" i="11"/>
  <c r="AA517" i="11" s="1"/>
  <c r="AB517" i="11" s="1"/>
  <c r="X517" i="11"/>
  <c r="X14" i="11"/>
  <c r="Y14" i="11"/>
  <c r="AA14" i="11" s="1"/>
  <c r="Y782" i="11"/>
  <c r="AA782" i="11" s="1"/>
  <c r="X782" i="11"/>
  <c r="AB782" i="11" s="1"/>
  <c r="AB846" i="11"/>
  <c r="Y858" i="11"/>
  <c r="AA858" i="11" s="1"/>
  <c r="X858" i="11"/>
  <c r="Y63" i="11"/>
  <c r="AA63" i="11" s="1"/>
  <c r="X63" i="11"/>
  <c r="Y106" i="11"/>
  <c r="AA106" i="11" s="1"/>
  <c r="AB106" i="11" s="1"/>
  <c r="X106" i="11"/>
  <c r="Y247" i="11"/>
  <c r="AA247" i="11" s="1"/>
  <c r="AB247" i="11" s="1"/>
  <c r="X247" i="11"/>
  <c r="Y314" i="11"/>
  <c r="AA314" i="11" s="1"/>
  <c r="X314" i="11"/>
  <c r="Y246" i="11"/>
  <c r="AA246" i="11" s="1"/>
  <c r="X246" i="11"/>
  <c r="X274" i="11"/>
  <c r="Y274" i="11"/>
  <c r="AA274" i="11" s="1"/>
  <c r="AB274" i="11" s="1"/>
  <c r="Y268" i="11"/>
  <c r="AA268" i="11" s="1"/>
  <c r="X268" i="11"/>
  <c r="Y513" i="11"/>
  <c r="AA513" i="11" s="1"/>
  <c r="X513" i="11"/>
  <c r="AB513" i="11" s="1"/>
  <c r="AB128" i="11"/>
  <c r="AB322" i="11"/>
  <c r="Y369" i="11"/>
  <c r="AA369" i="11" s="1"/>
  <c r="X369" i="11"/>
  <c r="Y666" i="11"/>
  <c r="AA666" i="11" s="1"/>
  <c r="X666" i="11"/>
  <c r="Y708" i="11"/>
  <c r="AA708" i="11" s="1"/>
  <c r="X708" i="11"/>
  <c r="AB708" i="11" s="1"/>
  <c r="AB907" i="11"/>
  <c r="AB924" i="11"/>
  <c r="W958" i="11"/>
  <c r="Y1072" i="11"/>
  <c r="AA1072" i="11" s="1"/>
  <c r="X1072" i="11"/>
  <c r="Y1165" i="11"/>
  <c r="AA1165" i="11" s="1"/>
  <c r="X1165" i="11"/>
  <c r="Y41" i="11"/>
  <c r="AA41" i="11" s="1"/>
  <c r="X64" i="11"/>
  <c r="AB64" i="11" s="1"/>
  <c r="Y93" i="11"/>
  <c r="AA93" i="11" s="1"/>
  <c r="Y97" i="11"/>
  <c r="AA97" i="11" s="1"/>
  <c r="AB97" i="11" s="1"/>
  <c r="X180" i="11"/>
  <c r="AB180" i="11" s="1"/>
  <c r="X218" i="11"/>
  <c r="AB218" i="11" s="1"/>
  <c r="X228" i="11"/>
  <c r="X273" i="11"/>
  <c r="X302" i="11"/>
  <c r="AB302" i="11" s="1"/>
  <c r="Y375" i="11"/>
  <c r="AA375" i="11" s="1"/>
  <c r="AB375" i="11" s="1"/>
  <c r="Y391" i="11"/>
  <c r="AA391" i="11" s="1"/>
  <c r="AB391" i="11" s="1"/>
  <c r="X408" i="11"/>
  <c r="Y408" i="11"/>
  <c r="AA408" i="11" s="1"/>
  <c r="X498" i="11"/>
  <c r="Y502" i="11"/>
  <c r="AA502" i="11" s="1"/>
  <c r="AB502" i="11" s="1"/>
  <c r="AB554" i="11"/>
  <c r="X632" i="11"/>
  <c r="AB632" i="11" s="1"/>
  <c r="X701" i="11"/>
  <c r="Y740" i="11"/>
  <c r="AA740" i="11" s="1"/>
  <c r="X740" i="11"/>
  <c r="Y751" i="11"/>
  <c r="AA751" i="11" s="1"/>
  <c r="AB751" i="11" s="1"/>
  <c r="Y794" i="11"/>
  <c r="AA794" i="11" s="1"/>
  <c r="X794" i="11"/>
  <c r="Y799" i="11"/>
  <c r="AA799" i="11" s="1"/>
  <c r="AB799" i="11" s="1"/>
  <c r="Y867" i="11"/>
  <c r="AA867" i="11" s="1"/>
  <c r="X867" i="11"/>
  <c r="AB867" i="11" s="1"/>
  <c r="X877" i="11"/>
  <c r="AB877" i="11" s="1"/>
  <c r="X907" i="11"/>
  <c r="X918" i="11"/>
  <c r="AB918" i="11" s="1"/>
  <c r="Y918" i="11"/>
  <c r="AA918" i="11" s="1"/>
  <c r="Y924" i="11"/>
  <c r="AA924" i="11" s="1"/>
  <c r="Y993" i="11"/>
  <c r="AA993" i="11" s="1"/>
  <c r="X993" i="11"/>
  <c r="X1021" i="11"/>
  <c r="Y1021" i="11"/>
  <c r="X1106" i="11"/>
  <c r="Y1106" i="11"/>
  <c r="Y1213" i="11"/>
  <c r="AA1213" i="11" s="1"/>
  <c r="X1213" i="11"/>
  <c r="AB214" i="11"/>
  <c r="AB290" i="11"/>
  <c r="X404" i="11"/>
  <c r="AB404" i="11" s="1"/>
  <c r="Y404" i="11"/>
  <c r="AA404" i="11" s="1"/>
  <c r="AB463" i="11"/>
  <c r="X648" i="11"/>
  <c r="AB648" i="11" s="1"/>
  <c r="Y648" i="11"/>
  <c r="AA648" i="11" s="1"/>
  <c r="AB657" i="11"/>
  <c r="Y662" i="11"/>
  <c r="AA662" i="11" s="1"/>
  <c r="X662" i="11"/>
  <c r="Y757" i="11"/>
  <c r="X757" i="11"/>
  <c r="Y1293" i="11"/>
  <c r="AA1293" i="11" s="1"/>
  <c r="X1293" i="11"/>
  <c r="Y1096" i="11"/>
  <c r="AA1096" i="11" s="1"/>
  <c r="X1096" i="11"/>
  <c r="AB1096" i="11" s="1"/>
  <c r="X726" i="11"/>
  <c r="Y726" i="11"/>
  <c r="AA726" i="11" s="1"/>
  <c r="AB726" i="11" s="1"/>
  <c r="X824" i="11"/>
  <c r="AB824" i="11" s="1"/>
  <c r="Y824" i="11"/>
  <c r="AA824" i="11" s="1"/>
  <c r="Y843" i="11"/>
  <c r="AA843" i="11" s="1"/>
  <c r="X843" i="11"/>
  <c r="X10" i="11"/>
  <c r="Y60" i="11"/>
  <c r="AA60" i="11" s="1"/>
  <c r="X129" i="11"/>
  <c r="Y138" i="11"/>
  <c r="AA138" i="11" s="1"/>
  <c r="AB161" i="11"/>
  <c r="X173" i="11"/>
  <c r="AB173" i="11" s="1"/>
  <c r="Y190" i="11"/>
  <c r="AA190" i="11" s="1"/>
  <c r="AB190" i="11" s="1"/>
  <c r="AB206" i="11"/>
  <c r="X210" i="11"/>
  <c r="X345" i="11"/>
  <c r="Y345" i="11"/>
  <c r="AA345" i="11" s="1"/>
  <c r="Y349" i="11"/>
  <c r="AA349" i="11" s="1"/>
  <c r="AB349" i="11" s="1"/>
  <c r="Y396" i="11"/>
  <c r="AA396" i="11" s="1"/>
  <c r="AB396" i="11" s="1"/>
  <c r="Y494" i="11"/>
  <c r="AA494" i="11" s="1"/>
  <c r="AB494" i="11" s="1"/>
  <c r="Y568" i="11"/>
  <c r="AA568" i="11" s="1"/>
  <c r="X649" i="11"/>
  <c r="Y649" i="11"/>
  <c r="AA649" i="11" s="1"/>
  <c r="X693" i="11"/>
  <c r="Y747" i="11"/>
  <c r="AA747" i="11" s="1"/>
  <c r="AB834" i="11"/>
  <c r="X838" i="11"/>
  <c r="AB838" i="11" s="1"/>
  <c r="X873" i="11"/>
  <c r="Y902" i="11"/>
  <c r="AA902" i="11" s="1"/>
  <c r="AB902" i="11" s="1"/>
  <c r="X902" i="11"/>
  <c r="X949" i="11"/>
  <c r="Y949" i="11"/>
  <c r="AA949" i="11" s="1"/>
  <c r="AB949" i="11" s="1"/>
  <c r="Y1027" i="11"/>
  <c r="AA1027" i="11" s="1"/>
  <c r="X1027" i="11"/>
  <c r="AB1027" i="11" s="1"/>
  <c r="X1033" i="11"/>
  <c r="Y1033" i="11"/>
  <c r="AA1033" i="11" s="1"/>
  <c r="AB1033" i="11" s="1"/>
  <c r="AB318" i="11"/>
  <c r="X638" i="11"/>
  <c r="Y638" i="11"/>
  <c r="AA638" i="11" s="1"/>
  <c r="Y206" i="11"/>
  <c r="AA206" i="11" s="1"/>
  <c r="AB260" i="11"/>
  <c r="X330" i="11"/>
  <c r="Y330" i="11"/>
  <c r="AA330" i="11" s="1"/>
  <c r="Y401" i="11"/>
  <c r="AA401" i="11" s="1"/>
  <c r="AB401" i="11" s="1"/>
  <c r="X401" i="11"/>
  <c r="AB421" i="11"/>
  <c r="X585" i="11"/>
  <c r="AB649" i="11"/>
  <c r="X732" i="11"/>
  <c r="AB732" i="11" s="1"/>
  <c r="Y732" i="11"/>
  <c r="AA732" i="11" s="1"/>
  <c r="AB747" i="11"/>
  <c r="X944" i="11"/>
  <c r="AB944" i="11" s="1"/>
  <c r="Y944" i="11"/>
  <c r="AA944" i="11" s="1"/>
  <c r="Y1087" i="11"/>
  <c r="AA1087" i="11" s="1"/>
  <c r="X1087" i="11"/>
  <c r="W1135" i="11"/>
  <c r="Y1192" i="11"/>
  <c r="AA1192" i="11" s="1"/>
  <c r="X1192" i="11"/>
  <c r="AB1192" i="11" s="1"/>
  <c r="Y1233" i="11"/>
  <c r="AA1233" i="11" s="1"/>
  <c r="AB1233" i="11" s="1"/>
  <c r="X1233" i="11"/>
  <c r="Y1167" i="11"/>
  <c r="AA1167" i="11" s="1"/>
  <c r="X1167" i="11"/>
  <c r="Y1295" i="11"/>
  <c r="AA1295" i="11" s="1"/>
  <c r="X1295" i="11"/>
  <c r="AB1295" i="11" s="1"/>
  <c r="AB251" i="11"/>
  <c r="Y1092" i="11"/>
  <c r="AA1092" i="11" s="1"/>
  <c r="X1092" i="11"/>
  <c r="X43" i="11"/>
  <c r="AB43" i="11" s="1"/>
  <c r="X134" i="11"/>
  <c r="X181" i="11"/>
  <c r="X215" i="11"/>
  <c r="AB215" i="11" s="1"/>
  <c r="Y415" i="11"/>
  <c r="AA415" i="11" s="1"/>
  <c r="X449" i="11"/>
  <c r="AB449" i="11" s="1"/>
  <c r="Y454" i="11"/>
  <c r="AA454" i="11" s="1"/>
  <c r="AB454" i="11" s="1"/>
  <c r="X674" i="11"/>
  <c r="Y674" i="11"/>
  <c r="AA674" i="11" s="1"/>
  <c r="X717" i="11"/>
  <c r="AB717" i="11" s="1"/>
  <c r="AB844" i="11"/>
  <c r="AB850" i="11"/>
  <c r="Y971" i="11"/>
  <c r="AA971" i="11" s="1"/>
  <c r="X971" i="11"/>
  <c r="Y990" i="11"/>
  <c r="AA990" i="11" s="1"/>
  <c r="Y1028" i="11"/>
  <c r="AA1028" i="11" s="1"/>
  <c r="X1028" i="11"/>
  <c r="AB1028" i="11" s="1"/>
  <c r="Y1047" i="11"/>
  <c r="AA1047" i="11" s="1"/>
  <c r="X1047" i="11"/>
  <c r="X1282" i="11"/>
  <c r="Y1282" i="11"/>
  <c r="AA1282" i="11" s="1"/>
  <c r="AB1282" i="11" s="1"/>
  <c r="Y248" i="11"/>
  <c r="AA248" i="11" s="1"/>
  <c r="AB248" i="11" s="1"/>
  <c r="X248" i="11"/>
  <c r="AB415" i="11"/>
  <c r="Y813" i="11"/>
  <c r="AA813" i="11" s="1"/>
  <c r="X813" i="11"/>
  <c r="AB813" i="11" s="1"/>
  <c r="Y78" i="11"/>
  <c r="AA78" i="11" s="1"/>
  <c r="AB78" i="11" s="1"/>
  <c r="Y346" i="11"/>
  <c r="AA346" i="11" s="1"/>
  <c r="AB346" i="11" s="1"/>
  <c r="Y655" i="11"/>
  <c r="AA655" i="11" s="1"/>
  <c r="X655" i="11"/>
  <c r="AB655" i="11" s="1"/>
  <c r="Y711" i="11"/>
  <c r="AA711" i="11" s="1"/>
  <c r="Y1053" i="11"/>
  <c r="AA1053" i="11" s="1"/>
  <c r="X1053" i="11"/>
  <c r="AB1053" i="11" s="1"/>
  <c r="Y1074" i="11"/>
  <c r="AA1074" i="11" s="1"/>
  <c r="X1074" i="11"/>
  <c r="AB1074" i="11" s="1"/>
  <c r="AB10" i="11"/>
  <c r="AB568" i="11"/>
  <c r="Y654" i="11"/>
  <c r="AA654" i="11" s="1"/>
  <c r="X654" i="11"/>
  <c r="Y785" i="11"/>
  <c r="AA785" i="11" s="1"/>
  <c r="X785" i="11"/>
  <c r="AB785" i="11" s="1"/>
  <c r="Y885" i="11"/>
  <c r="AA885" i="11" s="1"/>
  <c r="X885" i="11"/>
  <c r="AB885" i="11" s="1"/>
  <c r="AB12" i="11"/>
  <c r="AB181" i="11"/>
  <c r="Y226" i="11"/>
  <c r="AA226" i="11" s="1"/>
  <c r="AB226" i="11" s="1"/>
  <c r="X226" i="11"/>
  <c r="Y320" i="11"/>
  <c r="AA320" i="11" s="1"/>
  <c r="X320" i="11"/>
  <c r="X432" i="11"/>
  <c r="Y432" i="11"/>
  <c r="AA432" i="11" s="1"/>
  <c r="AB500" i="11"/>
  <c r="Y626" i="11"/>
  <c r="AA626" i="11" s="1"/>
  <c r="X626" i="11"/>
  <c r="AB626" i="11" s="1"/>
  <c r="AB650" i="11"/>
  <c r="AB679" i="11"/>
  <c r="X728" i="11"/>
  <c r="Y728" i="11"/>
  <c r="AA728" i="11" s="1"/>
  <c r="AB840" i="11"/>
  <c r="Y910" i="11"/>
  <c r="AA910" i="11" s="1"/>
  <c r="X910" i="11"/>
  <c r="AB910" i="11" s="1"/>
  <c r="Y915" i="11"/>
  <c r="AA915" i="11" s="1"/>
  <c r="X915" i="11"/>
  <c r="AB932" i="11"/>
  <c r="Y962" i="11"/>
  <c r="X962" i="11"/>
  <c r="Y1173" i="11"/>
  <c r="AA1173" i="11" s="1"/>
  <c r="X1173" i="11"/>
  <c r="X444" i="11"/>
  <c r="Y444" i="11"/>
  <c r="AA444" i="11" s="1"/>
  <c r="AB444" i="11" s="1"/>
  <c r="AB609" i="11"/>
  <c r="Y616" i="11"/>
  <c r="AA616" i="11" s="1"/>
  <c r="X616" i="11"/>
  <c r="AB616" i="11" s="1"/>
  <c r="Y749" i="11"/>
  <c r="AA749" i="11" s="1"/>
  <c r="X749" i="11"/>
  <c r="X759" i="11"/>
  <c r="Y759" i="11"/>
  <c r="AA759" i="11" s="1"/>
  <c r="Y875" i="11"/>
  <c r="AA875" i="11" s="1"/>
  <c r="AB875" i="11" s="1"/>
  <c r="X875" i="11"/>
  <c r="X967" i="11"/>
  <c r="Y967" i="11"/>
  <c r="AA967" i="11" s="1"/>
  <c r="X986" i="11"/>
  <c r="Y986" i="11"/>
  <c r="AA986" i="11" s="1"/>
  <c r="AB986" i="11" s="1"/>
  <c r="Y1168" i="11"/>
  <c r="AA1168" i="11" s="1"/>
  <c r="X1168" i="11"/>
  <c r="AB1168" i="11" s="1"/>
  <c r="X1220" i="11"/>
  <c r="Y1220" i="11"/>
  <c r="AA1220" i="11" s="1"/>
  <c r="AB851" i="11"/>
  <c r="Y922" i="11"/>
  <c r="AA922" i="11" s="1"/>
  <c r="X922" i="11"/>
  <c r="Y933" i="11"/>
  <c r="AA933" i="11" s="1"/>
  <c r="X933" i="11"/>
  <c r="AB933" i="11" s="1"/>
  <c r="X1131" i="11"/>
  <c r="Y1131" i="11"/>
  <c r="AA1131" i="11" s="1"/>
  <c r="Y100" i="11"/>
  <c r="AA100" i="11" s="1"/>
  <c r="X150" i="11"/>
  <c r="AB150" i="11" s="1"/>
  <c r="X316" i="11"/>
  <c r="AB316" i="11" s="1"/>
  <c r="X385" i="11"/>
  <c r="Y394" i="11"/>
  <c r="AA394" i="11" s="1"/>
  <c r="X428" i="11"/>
  <c r="AB428" i="11" s="1"/>
  <c r="Y428" i="11"/>
  <c r="AA428" i="11" s="1"/>
  <c r="Y456" i="11"/>
  <c r="AA456" i="11" s="1"/>
  <c r="Y646" i="11"/>
  <c r="AA646" i="11" s="1"/>
  <c r="X665" i="11"/>
  <c r="AB734" i="11"/>
  <c r="Y744" i="11"/>
  <c r="AA744" i="11" s="1"/>
  <c r="X827" i="11"/>
  <c r="X846" i="11"/>
  <c r="X851" i="11"/>
  <c r="Y946" i="11"/>
  <c r="AA946" i="11" s="1"/>
  <c r="X946" i="11"/>
  <c r="AB1194" i="11"/>
  <c r="Y1200" i="11"/>
  <c r="AA1200" i="11" s="1"/>
  <c r="X1200" i="11"/>
  <c r="AB311" i="11"/>
  <c r="X67" i="11"/>
  <c r="X337" i="11"/>
  <c r="AB385" i="11"/>
  <c r="Y438" i="11"/>
  <c r="AA438" i="11" s="1"/>
  <c r="AB438" i="11" s="1"/>
  <c r="AB665" i="11"/>
  <c r="W680" i="11"/>
  <c r="X695" i="11"/>
  <c r="W793" i="11"/>
  <c r="Y832" i="11"/>
  <c r="AA832" i="11" s="1"/>
  <c r="AB832" i="11" s="1"/>
  <c r="W887" i="11"/>
  <c r="Y911" i="11"/>
  <c r="AA911" i="11" s="1"/>
  <c r="Y928" i="11"/>
  <c r="AA928" i="11" s="1"/>
  <c r="X992" i="11"/>
  <c r="AB992" i="11" s="1"/>
  <c r="AB337" i="11"/>
  <c r="X212" i="11"/>
  <c r="X311" i="11"/>
  <c r="AB456" i="11"/>
  <c r="AB462" i="11"/>
  <c r="X605" i="11"/>
  <c r="AB605" i="11" s="1"/>
  <c r="Y605" i="11"/>
  <c r="AA605" i="11" s="1"/>
  <c r="Y724" i="11"/>
  <c r="AA724" i="11" s="1"/>
  <c r="X724" i="11"/>
  <c r="AB724" i="11" s="1"/>
  <c r="Y777" i="11"/>
  <c r="AA777" i="11" s="1"/>
  <c r="X777" i="11"/>
  <c r="W852" i="11"/>
  <c r="Y1138" i="11"/>
  <c r="AA1138" i="11" s="1"/>
  <c r="X1138" i="11"/>
  <c r="AB1138" i="11" s="1"/>
  <c r="AB159" i="11"/>
  <c r="X221" i="11"/>
  <c r="AB221" i="11" s="1"/>
  <c r="Y221" i="11"/>
  <c r="AA221" i="11" s="1"/>
  <c r="X216" i="11"/>
  <c r="AB216" i="11" s="1"/>
  <c r="Y108" i="11"/>
  <c r="AA108" i="11" s="1"/>
  <c r="X132" i="11"/>
  <c r="AB132" i="11" s="1"/>
  <c r="AB160" i="11"/>
  <c r="AB175" i="11"/>
  <c r="X209" i="11"/>
  <c r="AB328" i="11"/>
  <c r="Y413" i="11"/>
  <c r="AA413" i="11" s="1"/>
  <c r="AB413" i="11" s="1"/>
  <c r="Y462" i="11"/>
  <c r="AA462" i="11" s="1"/>
  <c r="X548" i="11"/>
  <c r="Y548" i="11"/>
  <c r="AA548" i="11" s="1"/>
  <c r="Y553" i="11"/>
  <c r="AA553" i="11" s="1"/>
  <c r="X553" i="11"/>
  <c r="X577" i="11"/>
  <c r="AB577" i="11" s="1"/>
  <c r="X623" i="11"/>
  <c r="AB623" i="11" s="1"/>
  <c r="Y623" i="11"/>
  <c r="AA623" i="11" s="1"/>
  <c r="X627" i="11"/>
  <c r="AB627" i="11" s="1"/>
  <c r="X642" i="11"/>
  <c r="AB642" i="11" s="1"/>
  <c r="W652" i="11"/>
  <c r="Y676" i="11"/>
  <c r="AA676" i="11" s="1"/>
  <c r="AB676" i="11" s="1"/>
  <c r="X719" i="11"/>
  <c r="AB719" i="11" s="1"/>
  <c r="Y805" i="11"/>
  <c r="AA805" i="11" s="1"/>
  <c r="AB805" i="11" s="1"/>
  <c r="Y968" i="11"/>
  <c r="AA968" i="11" s="1"/>
  <c r="Y1004" i="11"/>
  <c r="AA1004" i="11" s="1"/>
  <c r="X1004" i="11"/>
  <c r="Y1095" i="11"/>
  <c r="AA1095" i="11" s="1"/>
  <c r="X1095" i="11"/>
  <c r="X1207" i="11"/>
  <c r="Y1207" i="11"/>
  <c r="AA1207" i="11" s="1"/>
  <c r="AB1207" i="11" s="1"/>
  <c r="AB1201" i="11"/>
  <c r="Y1206" i="11"/>
  <c r="AA1206" i="11" s="1"/>
  <c r="X1206" i="11"/>
  <c r="AB1206" i="11" s="1"/>
  <c r="AA1276" i="11"/>
  <c r="AB1300" i="11"/>
  <c r="Y1287" i="11"/>
  <c r="AA1287" i="11" s="1"/>
  <c r="X1287" i="11"/>
  <c r="W1100" i="11"/>
  <c r="X1100" i="11" s="1"/>
  <c r="X1187" i="11"/>
  <c r="Y1187" i="11"/>
  <c r="AA1187" i="11" s="1"/>
  <c r="Y1202" i="11"/>
  <c r="AA1202" i="11" s="1"/>
  <c r="X1202" i="11"/>
  <c r="Y716" i="11"/>
  <c r="AA716" i="11" s="1"/>
  <c r="X716" i="11"/>
  <c r="AB716" i="11" s="1"/>
  <c r="Y1212" i="11"/>
  <c r="AA1212" i="11" s="1"/>
  <c r="X1212" i="11"/>
  <c r="Y1306" i="11"/>
  <c r="AA1306" i="11" s="1"/>
  <c r="X1306" i="11"/>
  <c r="AB720" i="11"/>
  <c r="X787" i="11"/>
  <c r="AB787" i="11" s="1"/>
  <c r="Y1034" i="11"/>
  <c r="AA1034" i="11" s="1"/>
  <c r="AB1034" i="11" s="1"/>
  <c r="AA1075" i="11"/>
  <c r="AB1075" i="11" s="1"/>
  <c r="Y1150" i="11"/>
  <c r="AA1150" i="11" s="1"/>
  <c r="X1150" i="11"/>
  <c r="Y1169" i="11"/>
  <c r="AA1169" i="11" s="1"/>
  <c r="X1169" i="11"/>
  <c r="Y1208" i="11"/>
  <c r="AA1208" i="11" s="1"/>
  <c r="X1208" i="11"/>
  <c r="AB1208" i="11" s="1"/>
  <c r="X1260" i="11"/>
  <c r="Y1260" i="11"/>
  <c r="AA1260" i="11" s="1"/>
  <c r="Y1283" i="11"/>
  <c r="AA1283" i="11" s="1"/>
  <c r="X1283" i="11"/>
  <c r="AB1283" i="11" s="1"/>
  <c r="Y1301" i="11"/>
  <c r="AA1301" i="11" s="1"/>
  <c r="AB1301" i="11" s="1"/>
  <c r="X1332" i="11"/>
  <c r="AB1332" i="11" s="1"/>
  <c r="X1289" i="11"/>
  <c r="X1296" i="11"/>
  <c r="Y1296" i="11"/>
  <c r="AA1296" i="11" s="1"/>
  <c r="AB1296" i="11" s="1"/>
  <c r="X707" i="11"/>
  <c r="AB707" i="11" s="1"/>
  <c r="Y707" i="11"/>
  <c r="AA707" i="11" s="1"/>
  <c r="Y1130" i="11"/>
  <c r="AA1130" i="11" s="1"/>
  <c r="X1130" i="11"/>
  <c r="X1279" i="11"/>
  <c r="Y1279" i="11"/>
  <c r="AB995" i="11"/>
  <c r="X1140" i="11"/>
  <c r="W1162" i="11"/>
  <c r="W1170" i="11"/>
  <c r="X1198" i="11"/>
  <c r="AB1198" i="11" s="1"/>
  <c r="AA1279" i="11"/>
  <c r="X1333" i="11"/>
  <c r="Y1333" i="11"/>
  <c r="AA1333" i="11" s="1"/>
  <c r="AB1333" i="11" s="1"/>
  <c r="W1184" i="11"/>
  <c r="AB1204" i="11"/>
  <c r="Y1297" i="11"/>
  <c r="AA1297" i="11" s="1"/>
  <c r="X1297" i="11"/>
  <c r="X825" i="11"/>
  <c r="Y825" i="11"/>
  <c r="AA825" i="11" s="1"/>
  <c r="X1280" i="11"/>
  <c r="AB1280" i="11" s="1"/>
  <c r="Y1280" i="11"/>
  <c r="AA1280" i="11" s="1"/>
  <c r="Y1291" i="11"/>
  <c r="AA1291" i="11" s="1"/>
  <c r="X1291" i="11"/>
  <c r="AB1291" i="11" s="1"/>
  <c r="W634" i="11"/>
  <c r="AB659" i="11"/>
  <c r="AA757" i="11"/>
  <c r="AB757" i="11" s="1"/>
  <c r="W860" i="11"/>
  <c r="AB1005" i="11"/>
  <c r="X1051" i="11"/>
  <c r="AB1051" i="11" s="1"/>
  <c r="X1085" i="11"/>
  <c r="AB1085" i="11" s="1"/>
  <c r="W1093" i="11"/>
  <c r="Y1190" i="11"/>
  <c r="AA1190" i="11" s="1"/>
  <c r="AB1190" i="11" s="1"/>
  <c r="X1190" i="11"/>
  <c r="X1194" i="11"/>
  <c r="X1262" i="11"/>
  <c r="X1298" i="11"/>
  <c r="Y1298" i="11"/>
  <c r="AA1298" i="11" s="1"/>
  <c r="AB1298" i="11" s="1"/>
  <c r="Y1309" i="11"/>
  <c r="AA1309" i="11" s="1"/>
  <c r="AB1309" i="11" s="1"/>
  <c r="Y1326" i="11"/>
  <c r="AA1326" i="11" s="1"/>
  <c r="X1326" i="11"/>
  <c r="Y1330" i="11"/>
  <c r="AA1330" i="11" s="1"/>
  <c r="X1330" i="11"/>
  <c r="AB1330" i="11" s="1"/>
  <c r="Y753" i="11"/>
  <c r="AA753" i="11" s="1"/>
  <c r="X753" i="11"/>
  <c r="W872" i="11"/>
  <c r="AB397" i="11"/>
  <c r="AB521" i="11"/>
  <c r="AB677" i="11"/>
  <c r="X681" i="11"/>
  <c r="Y681" i="11"/>
  <c r="AA681" i="11" s="1"/>
  <c r="Y685" i="11"/>
  <c r="AA685" i="11" s="1"/>
  <c r="AB685" i="11" s="1"/>
  <c r="Y789" i="11"/>
  <c r="AA789" i="11" s="1"/>
  <c r="AB789" i="11" s="1"/>
  <c r="X943" i="11"/>
  <c r="Y943" i="11"/>
  <c r="AA943" i="11" s="1"/>
  <c r="AB943" i="11" s="1"/>
  <c r="Y964" i="11"/>
  <c r="AA964" i="11" s="1"/>
  <c r="AB964" i="11" s="1"/>
  <c r="AB968" i="11"/>
  <c r="X1011" i="11"/>
  <c r="X1098" i="11"/>
  <c r="AB1098" i="11" s="1"/>
  <c r="Y1116" i="11"/>
  <c r="AA1116" i="11" s="1"/>
  <c r="Y1137" i="11"/>
  <c r="AA1137" i="11" s="1"/>
  <c r="X1137" i="11"/>
  <c r="AB1171" i="11"/>
  <c r="W1205" i="11"/>
  <c r="Y1251" i="11"/>
  <c r="AA1251" i="11" s="1"/>
  <c r="X1251" i="11"/>
  <c r="AB1251" i="11" s="1"/>
  <c r="W1299" i="11"/>
  <c r="AB656" i="11"/>
  <c r="X736" i="11"/>
  <c r="Y736" i="11"/>
  <c r="AA736" i="11" s="1"/>
  <c r="AB736" i="11" s="1"/>
  <c r="AB794" i="11"/>
  <c r="AB853" i="11"/>
  <c r="X868" i="11"/>
  <c r="Y868" i="11"/>
  <c r="AA868" i="11" s="1"/>
  <c r="AB979" i="11"/>
  <c r="Y1082" i="11"/>
  <c r="AA1082" i="11" s="1"/>
  <c r="X1082" i="11"/>
  <c r="X1147" i="11"/>
  <c r="Y1147" i="11"/>
  <c r="AA1147" i="11" s="1"/>
  <c r="Y1252" i="11"/>
  <c r="AA1252" i="11" s="1"/>
  <c r="X1252" i="11"/>
  <c r="Y1331" i="11"/>
  <c r="AA1331" i="11" s="1"/>
  <c r="X1331" i="11"/>
  <c r="W1343" i="11"/>
  <c r="AA1224" i="11"/>
  <c r="AB1224" i="11" s="1"/>
  <c r="AB660" i="11"/>
  <c r="X1113" i="11"/>
  <c r="AB1113" i="11" s="1"/>
  <c r="Y1181" i="11"/>
  <c r="AA1181" i="11" s="1"/>
  <c r="X1154" i="11"/>
  <c r="AB1154" i="11" s="1"/>
  <c r="X1237" i="11"/>
  <c r="X1259" i="11"/>
  <c r="X1276" i="11"/>
  <c r="Y1348" i="11"/>
  <c r="AA1348" i="11" s="1"/>
  <c r="AB1348" i="11" s="1"/>
  <c r="AB1341" i="11"/>
  <c r="AB1145" i="11"/>
  <c r="Y1248" i="11"/>
  <c r="AA1248" i="11" s="1"/>
  <c r="AB1248" i="11" s="1"/>
  <c r="X1319" i="11"/>
  <c r="AB1175" i="11"/>
  <c r="AA1179" i="11"/>
  <c r="AB1223" i="11"/>
  <c r="X1281" i="11"/>
  <c r="AB1281" i="11" s="1"/>
  <c r="X1239" i="11"/>
  <c r="AB41" i="11"/>
  <c r="AB93" i="11"/>
  <c r="X88" i="11"/>
  <c r="Y88" i="11"/>
  <c r="AA88" i="11" s="1"/>
  <c r="Y469" i="11"/>
  <c r="AA469" i="11" s="1"/>
  <c r="X469" i="11"/>
  <c r="AB469" i="11" s="1"/>
  <c r="Y455" i="11"/>
  <c r="AA455" i="11" s="1"/>
  <c r="X455" i="11"/>
  <c r="Y75" i="11"/>
  <c r="AA75" i="11" s="1"/>
  <c r="X75" i="11"/>
  <c r="AB75" i="11" s="1"/>
  <c r="Y48" i="11"/>
  <c r="AA48" i="11" s="1"/>
  <c r="X48" i="11"/>
  <c r="AB14" i="11"/>
  <c r="Y90" i="11"/>
  <c r="AA90" i="11" s="1"/>
  <c r="X90" i="11"/>
  <c r="AB90" i="11" s="1"/>
  <c r="Y307" i="11"/>
  <c r="AA307" i="11" s="1"/>
  <c r="X307" i="11"/>
  <c r="Y351" i="11"/>
  <c r="AA351" i="11" s="1"/>
  <c r="X351" i="11"/>
  <c r="W440" i="11"/>
  <c r="X503" i="11"/>
  <c r="Y503" i="11"/>
  <c r="AA503" i="11" s="1"/>
  <c r="Y569" i="11"/>
  <c r="AA569" i="11" s="1"/>
  <c r="X569" i="11"/>
  <c r="X81" i="11"/>
  <c r="AB81" i="11" s="1"/>
  <c r="Y81" i="11"/>
  <c r="AA81" i="11" s="1"/>
  <c r="W227" i="11"/>
  <c r="Y258" i="11"/>
  <c r="AA258" i="11" s="1"/>
  <c r="X258" i="11"/>
  <c r="AB258" i="11" s="1"/>
  <c r="Y279" i="11"/>
  <c r="AA279" i="11" s="1"/>
  <c r="X279" i="11"/>
  <c r="AB279" i="11" s="1"/>
  <c r="Y407" i="11"/>
  <c r="AA407" i="11" s="1"/>
  <c r="AB407" i="11" s="1"/>
  <c r="W412" i="11"/>
  <c r="AB435" i="11"/>
  <c r="W565" i="11"/>
  <c r="Y114" i="11"/>
  <c r="AA114" i="11" s="1"/>
  <c r="X114" i="11"/>
  <c r="W324" i="11"/>
  <c r="Y110" i="11"/>
  <c r="AA110" i="11" s="1"/>
  <c r="X110" i="11"/>
  <c r="W53" i="11"/>
  <c r="Y57" i="11"/>
  <c r="AA57" i="11" s="1"/>
  <c r="AB57" i="11" s="1"/>
  <c r="Y237" i="11"/>
  <c r="AA237" i="11" s="1"/>
  <c r="X237" i="11"/>
  <c r="X77" i="11"/>
  <c r="AB77" i="11" s="1"/>
  <c r="X122" i="11"/>
  <c r="AB122" i="11" s="1"/>
  <c r="Y4" i="11"/>
  <c r="AA4" i="11" s="1"/>
  <c r="X4" i="11"/>
  <c r="Y8" i="11"/>
  <c r="AA8" i="11" s="1"/>
  <c r="X8" i="11"/>
  <c r="AB8" i="11" s="1"/>
  <c r="W11" i="11"/>
  <c r="W31" i="11"/>
  <c r="W35" i="11"/>
  <c r="W42" i="11"/>
  <c r="W46" i="11"/>
  <c r="W62" i="11"/>
  <c r="W86" i="11"/>
  <c r="X171" i="11"/>
  <c r="AB171" i="11" s="1"/>
  <c r="Y171" i="11"/>
  <c r="AA171" i="11" s="1"/>
  <c r="X204" i="11"/>
  <c r="AB204" i="11" s="1"/>
  <c r="Y271" i="11"/>
  <c r="AA271" i="11" s="1"/>
  <c r="X271" i="11"/>
  <c r="AB271" i="11" s="1"/>
  <c r="W371" i="11"/>
  <c r="AB27" i="11"/>
  <c r="AB39" i="11"/>
  <c r="X50" i="11"/>
  <c r="AB50" i="11" s="1"/>
  <c r="Y69" i="11"/>
  <c r="AA69" i="11" s="1"/>
  <c r="AB69" i="11" s="1"/>
  <c r="W94" i="11"/>
  <c r="AB138" i="11"/>
  <c r="X153" i="11"/>
  <c r="AB153" i="11" s="1"/>
  <c r="Y153" i="11"/>
  <c r="AA153" i="11" s="1"/>
  <c r="X208" i="11"/>
  <c r="AB208" i="11" s="1"/>
  <c r="X348" i="11"/>
  <c r="Y348" i="11"/>
  <c r="AA348" i="11" s="1"/>
  <c r="X254" i="11"/>
  <c r="AB254" i="11" s="1"/>
  <c r="Y133" i="11"/>
  <c r="AA133" i="11" s="1"/>
  <c r="X133" i="11"/>
  <c r="AB133" i="11" s="1"/>
  <c r="W149" i="11"/>
  <c r="Y219" i="11"/>
  <c r="AA219" i="11" s="1"/>
  <c r="X219" i="11"/>
  <c r="W232" i="11"/>
  <c r="X435" i="11"/>
  <c r="Y435" i="11"/>
  <c r="AA435" i="11" s="1"/>
  <c r="Y460" i="11"/>
  <c r="AA460" i="11" s="1"/>
  <c r="X460" i="11"/>
  <c r="AB460" i="11" s="1"/>
  <c r="W523" i="11"/>
  <c r="W15" i="11"/>
  <c r="W19" i="11"/>
  <c r="W23" i="11"/>
  <c r="Y27" i="11"/>
  <c r="AA27" i="11" s="1"/>
  <c r="X27" i="11"/>
  <c r="X58" i="11"/>
  <c r="AB58" i="11" s="1"/>
  <c r="Y58" i="11"/>
  <c r="AA58" i="11" s="1"/>
  <c r="AB65" i="11"/>
  <c r="W107" i="11"/>
  <c r="W123" i="11"/>
  <c r="X263" i="11"/>
  <c r="AB263" i="11" s="1"/>
  <c r="Y263" i="11"/>
  <c r="AA263" i="11" s="1"/>
  <c r="W293" i="11"/>
  <c r="X321" i="11"/>
  <c r="AB321" i="11" s="1"/>
  <c r="Y321" i="11"/>
  <c r="AA321" i="11" s="1"/>
  <c r="X427" i="11"/>
  <c r="Y427" i="11"/>
  <c r="AA427" i="11" s="1"/>
  <c r="Y490" i="11"/>
  <c r="AA490" i="11" s="1"/>
  <c r="X490" i="11"/>
  <c r="AB490" i="11" s="1"/>
  <c r="Y514" i="11"/>
  <c r="AA514" i="11" s="1"/>
  <c r="AB514" i="11" s="1"/>
  <c r="Y194" i="11"/>
  <c r="AA194" i="11" s="1"/>
  <c r="X194" i="11"/>
  <c r="W355" i="11"/>
  <c r="Y411" i="11"/>
  <c r="AA411" i="11" s="1"/>
  <c r="X411" i="11"/>
  <c r="AB411" i="11" s="1"/>
  <c r="Y26" i="11"/>
  <c r="AA26" i="11" s="1"/>
  <c r="X26" i="11"/>
  <c r="Y530" i="11"/>
  <c r="AA530" i="11" s="1"/>
  <c r="X530" i="11"/>
  <c r="X387" i="11"/>
  <c r="AB387" i="11" s="1"/>
  <c r="X423" i="11"/>
  <c r="Y423" i="11"/>
  <c r="AA423" i="11" s="1"/>
  <c r="W465" i="11"/>
  <c r="X125" i="11"/>
  <c r="W329" i="11"/>
  <c r="W381" i="11"/>
  <c r="Y880" i="11"/>
  <c r="AA880" i="11" s="1"/>
  <c r="X880" i="11"/>
  <c r="AB880" i="11" s="1"/>
  <c r="Y87" i="11"/>
  <c r="AA87" i="11" s="1"/>
  <c r="X87" i="11"/>
  <c r="W233" i="11"/>
  <c r="Y309" i="11"/>
  <c r="AA309" i="11" s="1"/>
  <c r="X309" i="11"/>
  <c r="Y20" i="11"/>
  <c r="AA20" i="11" s="1"/>
  <c r="X20" i="11"/>
  <c r="W192" i="11"/>
  <c r="W234" i="11"/>
  <c r="Y363" i="11"/>
  <c r="AA363" i="11" s="1"/>
  <c r="X363" i="11"/>
  <c r="X452" i="11"/>
  <c r="AB452" i="11" s="1"/>
  <c r="W55" i="11"/>
  <c r="W112" i="11"/>
  <c r="W201" i="11"/>
  <c r="X59" i="11"/>
  <c r="AB59" i="11" s="1"/>
  <c r="AB92" i="11"/>
  <c r="Y116" i="11"/>
  <c r="AA116" i="11" s="1"/>
  <c r="X116" i="11"/>
  <c r="AB116" i="11" s="1"/>
  <c r="Y252" i="11"/>
  <c r="AA252" i="11" s="1"/>
  <c r="X252" i="11"/>
  <c r="X264" i="11"/>
  <c r="W384" i="11"/>
  <c r="W448" i="11"/>
  <c r="W497" i="11"/>
  <c r="Y587" i="11"/>
  <c r="AA587" i="11" s="1"/>
  <c r="X587" i="11"/>
  <c r="Y598" i="11"/>
  <c r="AA598" i="11" s="1"/>
  <c r="X598" i="11"/>
  <c r="AB598" i="11" s="1"/>
  <c r="W196" i="11"/>
  <c r="Y183" i="11"/>
  <c r="AA183" i="11" s="1"/>
  <c r="X183" i="11"/>
  <c r="AB88" i="11"/>
  <c r="W184" i="11"/>
  <c r="Y388" i="11"/>
  <c r="AA388" i="11" s="1"/>
  <c r="X388" i="11"/>
  <c r="Y6" i="11"/>
  <c r="AA6" i="11" s="1"/>
  <c r="X6" i="11"/>
  <c r="X33" i="11"/>
  <c r="AB33" i="11" s="1"/>
  <c r="AB63" i="11"/>
  <c r="Y120" i="11"/>
  <c r="AA120" i="11" s="1"/>
  <c r="X120" i="11"/>
  <c r="AB120" i="11" s="1"/>
  <c r="Y235" i="11"/>
  <c r="AA235" i="11" s="1"/>
  <c r="X235" i="11"/>
  <c r="AB235" i="11" s="1"/>
  <c r="X310" i="11"/>
  <c r="W478" i="11"/>
  <c r="Y483" i="11"/>
  <c r="AA483" i="11" s="1"/>
  <c r="X483" i="11"/>
  <c r="Y18" i="11"/>
  <c r="AA18" i="11" s="1"/>
  <c r="X18" i="11"/>
  <c r="AB18" i="11" s="1"/>
  <c r="Y91" i="11"/>
  <c r="AA91" i="11" s="1"/>
  <c r="X91" i="11"/>
  <c r="W633" i="11"/>
  <c r="W9" i="11"/>
  <c r="Y24" i="11"/>
  <c r="AA24" i="11" s="1"/>
  <c r="X24" i="11"/>
  <c r="W83" i="11"/>
  <c r="Y2" i="11"/>
  <c r="AA2" i="11" s="1"/>
  <c r="AB2" i="11" s="1"/>
  <c r="W29" i="11"/>
  <c r="W37" i="11"/>
  <c r="Y52" i="11"/>
  <c r="AA52" i="11" s="1"/>
  <c r="X52" i="11"/>
  <c r="AB52" i="11" s="1"/>
  <c r="X84" i="11"/>
  <c r="AB84" i="11" s="1"/>
  <c r="Y84" i="11"/>
  <c r="AA84" i="11" s="1"/>
  <c r="AB96" i="11"/>
  <c r="Y109" i="11"/>
  <c r="AA109" i="11" s="1"/>
  <c r="AB109" i="11" s="1"/>
  <c r="W135" i="11"/>
  <c r="AB155" i="11"/>
  <c r="W168" i="11"/>
  <c r="Y213" i="11"/>
  <c r="AA213" i="11" s="1"/>
  <c r="X213" i="11"/>
  <c r="W229" i="11"/>
  <c r="W241" i="11"/>
  <c r="Y282" i="11"/>
  <c r="AA282" i="11" s="1"/>
  <c r="AB282" i="11" s="1"/>
  <c r="W333" i="11"/>
  <c r="X359" i="11"/>
  <c r="AB359" i="11" s="1"/>
  <c r="W379" i="11"/>
  <c r="Y420" i="11"/>
  <c r="AA420" i="11" s="1"/>
  <c r="X420" i="11"/>
  <c r="W582" i="11"/>
  <c r="W709" i="11"/>
  <c r="W152" i="11"/>
  <c r="W7" i="11"/>
  <c r="W416" i="11"/>
  <c r="X635" i="11"/>
  <c r="AB635" i="11" s="1"/>
  <c r="X158" i="11"/>
  <c r="AB158" i="11" s="1"/>
  <c r="X66" i="11"/>
  <c r="Y66" i="11"/>
  <c r="AA66" i="11" s="1"/>
  <c r="X98" i="11"/>
  <c r="AB98" i="11" s="1"/>
  <c r="AB48" i="11"/>
  <c r="X419" i="11"/>
  <c r="Y419" i="11"/>
  <c r="AA419" i="11" s="1"/>
  <c r="Y443" i="11"/>
  <c r="AA443" i="11" s="1"/>
  <c r="X443" i="11"/>
  <c r="W17" i="11"/>
  <c r="W21" i="11"/>
  <c r="W25" i="11"/>
  <c r="AB100" i="11"/>
  <c r="W144" i="11"/>
  <c r="Y202" i="11"/>
  <c r="AA202" i="11" s="1"/>
  <c r="X202" i="11"/>
  <c r="Y306" i="11"/>
  <c r="AA306" i="11" s="1"/>
  <c r="X306" i="11"/>
  <c r="AB306" i="11" s="1"/>
  <c r="W578" i="11"/>
  <c r="X692" i="11"/>
  <c r="Y692" i="11"/>
  <c r="AA692" i="11" s="1"/>
  <c r="AB700" i="11"/>
  <c r="W3" i="11"/>
  <c r="Y22" i="11"/>
  <c r="AA22" i="11" s="1"/>
  <c r="X22" i="11"/>
  <c r="AB22" i="11" s="1"/>
  <c r="W473" i="11"/>
  <c r="X480" i="11"/>
  <c r="Y480" i="11"/>
  <c r="AA480" i="11" s="1"/>
  <c r="X130" i="11"/>
  <c r="Y130" i="11"/>
  <c r="AA130" i="11" s="1"/>
  <c r="W5" i="11"/>
  <c r="Y16" i="11"/>
  <c r="AA16" i="11" s="1"/>
  <c r="X16" i="11"/>
  <c r="AB16" i="11" s="1"/>
  <c r="X51" i="11"/>
  <c r="AB51" i="11" s="1"/>
  <c r="Y51" i="11"/>
  <c r="AA51" i="11" s="1"/>
  <c r="Y79" i="11"/>
  <c r="AA79" i="11" s="1"/>
  <c r="X79" i="11"/>
  <c r="AB79" i="11" s="1"/>
  <c r="W105" i="11"/>
  <c r="Y286" i="11"/>
  <c r="AA286" i="11" s="1"/>
  <c r="X286" i="11"/>
  <c r="AB60" i="11"/>
  <c r="AB67" i="11"/>
  <c r="W72" i="11"/>
  <c r="Y80" i="11"/>
  <c r="AA80" i="11" s="1"/>
  <c r="AB80" i="11" s="1"/>
  <c r="X117" i="11"/>
  <c r="AB117" i="11" s="1"/>
  <c r="AB125" i="11"/>
  <c r="Y185" i="11"/>
  <c r="AA185" i="11" s="1"/>
  <c r="X185" i="11"/>
  <c r="AB185" i="11" s="1"/>
  <c r="W261" i="11"/>
  <c r="W278" i="11"/>
  <c r="W287" i="11"/>
  <c r="W380" i="11"/>
  <c r="Y543" i="11"/>
  <c r="AA543" i="11" s="1"/>
  <c r="X543" i="11"/>
  <c r="AB543" i="11" s="1"/>
  <c r="W696" i="11"/>
  <c r="Y487" i="11"/>
  <c r="AA487" i="11" s="1"/>
  <c r="X487" i="11"/>
  <c r="AB487" i="11" s="1"/>
  <c r="AB508" i="11"/>
  <c r="Y519" i="11"/>
  <c r="AA519" i="11" s="1"/>
  <c r="X519" i="11"/>
  <c r="AB525" i="11"/>
  <c r="Y547" i="11"/>
  <c r="AA547" i="11" s="1"/>
  <c r="X547" i="11"/>
  <c r="W560" i="11"/>
  <c r="Y574" i="11"/>
  <c r="AA574" i="11" s="1"/>
  <c r="X574" i="11"/>
  <c r="W673" i="11"/>
  <c r="Y245" i="11"/>
  <c r="AA245" i="11" s="1"/>
  <c r="X245" i="11"/>
  <c r="AB245" i="11" s="1"/>
  <c r="Y272" i="11"/>
  <c r="AA272" i="11" s="1"/>
  <c r="X272" i="11"/>
  <c r="AB408" i="11"/>
  <c r="W13" i="11"/>
  <c r="W44" i="11"/>
  <c r="W70" i="11"/>
  <c r="W89" i="11"/>
  <c r="X115" i="11"/>
  <c r="AB115" i="11" s="1"/>
  <c r="Y141" i="11"/>
  <c r="AA141" i="11" s="1"/>
  <c r="AB141" i="11" s="1"/>
  <c r="Y165" i="11"/>
  <c r="AA165" i="11" s="1"/>
  <c r="AB165" i="11" s="1"/>
  <c r="W205" i="11"/>
  <c r="Y211" i="11"/>
  <c r="AA211" i="11" s="1"/>
  <c r="X211" i="11"/>
  <c r="W217" i="11"/>
  <c r="Y255" i="11"/>
  <c r="AA255" i="11" s="1"/>
  <c r="X255" i="11"/>
  <c r="AB255" i="11" s="1"/>
  <c r="W294" i="11"/>
  <c r="AB307" i="11"/>
  <c r="W341" i="11"/>
  <c r="Y356" i="11"/>
  <c r="AA356" i="11" s="1"/>
  <c r="AB356" i="11" s="1"/>
  <c r="Y364" i="11"/>
  <c r="AA364" i="11" s="1"/>
  <c r="X405" i="11"/>
  <c r="Y405" i="11"/>
  <c r="AA405" i="11" s="1"/>
  <c r="W470" i="11"/>
  <c r="Y474" i="11"/>
  <c r="AA474" i="11" s="1"/>
  <c r="X474" i="11"/>
  <c r="W617" i="11"/>
  <c r="W637" i="11"/>
  <c r="W32" i="11"/>
  <c r="W34" i="11"/>
  <c r="W36" i="11"/>
  <c r="W38" i="11"/>
  <c r="W40" i="11"/>
  <c r="W49" i="11"/>
  <c r="W56" i="11"/>
  <c r="Y73" i="11"/>
  <c r="AA73" i="11" s="1"/>
  <c r="AB73" i="11" s="1"/>
  <c r="X101" i="11"/>
  <c r="AB101" i="11" s="1"/>
  <c r="X113" i="11"/>
  <c r="AB113" i="11" s="1"/>
  <c r="W118" i="11"/>
  <c r="X126" i="11"/>
  <c r="X139" i="11"/>
  <c r="AB139" i="11" s="1"/>
  <c r="X179" i="11"/>
  <c r="AB179" i="11" s="1"/>
  <c r="Y249" i="11"/>
  <c r="AA249" i="11" s="1"/>
  <c r="X249" i="11"/>
  <c r="W353" i="11"/>
  <c r="W376" i="11"/>
  <c r="Y425" i="11"/>
  <c r="AA425" i="11" s="1"/>
  <c r="AB425" i="11" s="1"/>
  <c r="AB442" i="11"/>
  <c r="W445" i="11"/>
  <c r="W466" i="11"/>
  <c r="X509" i="11"/>
  <c r="AB509" i="11" s="1"/>
  <c r="W535" i="11"/>
  <c r="W552" i="11"/>
  <c r="Y562" i="11"/>
  <c r="AA562" i="11" s="1"/>
  <c r="X562" i="11"/>
  <c r="AB638" i="11"/>
  <c r="W549" i="11"/>
  <c r="Y556" i="11"/>
  <c r="AA556" i="11" s="1"/>
  <c r="X556" i="11"/>
  <c r="AB556" i="11" s="1"/>
  <c r="AB585" i="11"/>
  <c r="W612" i="11"/>
  <c r="Y804" i="11"/>
  <c r="AA804" i="11" s="1"/>
  <c r="X804" i="11"/>
  <c r="AB804" i="11" s="1"/>
  <c r="W189" i="11"/>
  <c r="W331" i="11"/>
  <c r="W357" i="11"/>
  <c r="W28" i="11"/>
  <c r="W30" i="11"/>
  <c r="W54" i="11"/>
  <c r="Y68" i="11"/>
  <c r="AA68" i="11" s="1"/>
  <c r="AB68" i="11" s="1"/>
  <c r="X76" i="11"/>
  <c r="AB76" i="11" s="1"/>
  <c r="X92" i="11"/>
  <c r="X99" i="11"/>
  <c r="AB99" i="11" s="1"/>
  <c r="X121" i="11"/>
  <c r="AB121" i="11" s="1"/>
  <c r="Y131" i="11"/>
  <c r="AA131" i="11" s="1"/>
  <c r="AB131" i="11" s="1"/>
  <c r="X145" i="11"/>
  <c r="AB145" i="11" s="1"/>
  <c r="X163" i="11"/>
  <c r="Y182" i="11"/>
  <c r="AA182" i="11" s="1"/>
  <c r="AB182" i="11" s="1"/>
  <c r="AB186" i="11"/>
  <c r="X243" i="11"/>
  <c r="AB243" i="11" s="1"/>
  <c r="AB259" i="11"/>
  <c r="X284" i="11"/>
  <c r="AB284" i="11" s="1"/>
  <c r="W300" i="11"/>
  <c r="X361" i="11"/>
  <c r="AB361" i="11" s="1"/>
  <c r="X373" i="11"/>
  <c r="AB373" i="11" s="1"/>
  <c r="X442" i="11"/>
  <c r="W531" i="11"/>
  <c r="W580" i="11"/>
  <c r="Y599" i="11"/>
  <c r="AA599" i="11" s="1"/>
  <c r="X599" i="11"/>
  <c r="AB599" i="11" s="1"/>
  <c r="X630" i="11"/>
  <c r="Y630" i="11"/>
  <c r="AA630" i="11" s="1"/>
  <c r="AB252" i="11"/>
  <c r="Y262" i="11"/>
  <c r="AA262" i="11" s="1"/>
  <c r="X262" i="11"/>
  <c r="W504" i="11"/>
  <c r="AB87" i="11"/>
  <c r="W199" i="11"/>
  <c r="AB212" i="11"/>
  <c r="W61" i="11"/>
  <c r="AB108" i="11"/>
  <c r="X111" i="11"/>
  <c r="AB111" i="11" s="1"/>
  <c r="AB126" i="11"/>
  <c r="W137" i="11"/>
  <c r="Y166" i="11"/>
  <c r="AA166" i="11" s="1"/>
  <c r="AB166" i="11" s="1"/>
  <c r="W170" i="11"/>
  <c r="X231" i="11"/>
  <c r="AB231" i="11" s="1"/>
  <c r="AB288" i="11"/>
  <c r="W296" i="11"/>
  <c r="W312" i="11"/>
  <c r="Y377" i="11"/>
  <c r="AA377" i="11" s="1"/>
  <c r="X377" i="11"/>
  <c r="W386" i="11"/>
  <c r="W414" i="11"/>
  <c r="Y422" i="11"/>
  <c r="AA422" i="11" s="1"/>
  <c r="X422" i="11"/>
  <c r="Y433" i="11"/>
  <c r="AA433" i="11" s="1"/>
  <c r="AB433" i="11" s="1"/>
  <c r="W467" i="11"/>
  <c r="W541" i="11"/>
  <c r="W563" i="11"/>
  <c r="Y608" i="11"/>
  <c r="AA608" i="11" s="1"/>
  <c r="X608" i="11"/>
  <c r="AB608" i="11" s="1"/>
  <c r="W670" i="11"/>
  <c r="W326" i="11"/>
  <c r="W47" i="11"/>
  <c r="W142" i="11"/>
  <c r="X156" i="11"/>
  <c r="Y156" i="11"/>
  <c r="AA156" i="11" s="1"/>
  <c r="W45" i="11"/>
  <c r="Y71" i="11"/>
  <c r="AA71" i="11" s="1"/>
  <c r="AB71" i="11" s="1"/>
  <c r="W82" i="11"/>
  <c r="Y148" i="11"/>
  <c r="AA148" i="11" s="1"/>
  <c r="AB148" i="11" s="1"/>
  <c r="W151" i="11"/>
  <c r="Y157" i="11"/>
  <c r="AA157" i="11" s="1"/>
  <c r="X157" i="11"/>
  <c r="Y193" i="11"/>
  <c r="AA193" i="11" s="1"/>
  <c r="X193" i="11"/>
  <c r="W225" i="11"/>
  <c r="W239" i="11"/>
  <c r="W270" i="11"/>
  <c r="W319" i="11"/>
  <c r="W366" i="11"/>
  <c r="W418" i="11"/>
  <c r="W450" i="11"/>
  <c r="Y545" i="11"/>
  <c r="AA545" i="11" s="1"/>
  <c r="X545" i="11"/>
  <c r="W572" i="11"/>
  <c r="W595" i="11"/>
  <c r="X768" i="11"/>
  <c r="AB768" i="11" s="1"/>
  <c r="W136" i="11"/>
  <c r="W169" i="11"/>
  <c r="AB102" i="11"/>
  <c r="AB127" i="11"/>
  <c r="AB163" i="11"/>
  <c r="AB174" i="11"/>
  <c r="W323" i="11"/>
  <c r="AB498" i="11"/>
  <c r="W614" i="11"/>
  <c r="X639" i="11"/>
  <c r="Y639" i="11"/>
  <c r="AA639" i="11" s="1"/>
  <c r="W230" i="11"/>
  <c r="AB246" i="11"/>
  <c r="W303" i="11"/>
  <c r="W488" i="11"/>
  <c r="Y176" i="11"/>
  <c r="AA176" i="11" s="1"/>
  <c r="X176" i="11"/>
  <c r="AB176" i="11" s="1"/>
  <c r="W266" i="11"/>
  <c r="Y74" i="11"/>
  <c r="AA74" i="11" s="1"/>
  <c r="AB74" i="11" s="1"/>
  <c r="W85" i="11"/>
  <c r="W143" i="11"/>
  <c r="Y154" i="11"/>
  <c r="AA154" i="11" s="1"/>
  <c r="AB154" i="11" s="1"/>
  <c r="W197" i="11"/>
  <c r="W200" i="11"/>
  <c r="W207" i="11"/>
  <c r="X222" i="11"/>
  <c r="AB222" i="11" s="1"/>
  <c r="Y240" i="11"/>
  <c r="AA240" i="11" s="1"/>
  <c r="X240" i="11"/>
  <c r="AB264" i="11"/>
  <c r="Y292" i="11"/>
  <c r="AA292" i="11" s="1"/>
  <c r="X292" i="11"/>
  <c r="AB292" i="11" s="1"/>
  <c r="X305" i="11"/>
  <c r="AB305" i="11" s="1"/>
  <c r="W374" i="11"/>
  <c r="X383" i="11"/>
  <c r="AB383" i="11" s="1"/>
  <c r="W459" i="11"/>
  <c r="Y472" i="11"/>
  <c r="AA472" i="11" s="1"/>
  <c r="X472" i="11"/>
  <c r="W477" i="11"/>
  <c r="W558" i="11"/>
  <c r="Y643" i="11"/>
  <c r="AA643" i="11" s="1"/>
  <c r="X643" i="11"/>
  <c r="Y191" i="11"/>
  <c r="AA191" i="11" s="1"/>
  <c r="X191" i="11"/>
  <c r="Y238" i="11"/>
  <c r="AA238" i="11" s="1"/>
  <c r="X238" i="11"/>
  <c r="Y269" i="11"/>
  <c r="AA269" i="11" s="1"/>
  <c r="X269" i="11"/>
  <c r="AB269" i="11" s="1"/>
  <c r="AB367" i="11"/>
  <c r="AB392" i="11"/>
  <c r="AB402" i="11"/>
  <c r="Y505" i="11"/>
  <c r="AA505" i="11" s="1"/>
  <c r="X505" i="11"/>
  <c r="AB505" i="11" s="1"/>
  <c r="Y522" i="11"/>
  <c r="AA522" i="11" s="1"/>
  <c r="X522" i="11"/>
  <c r="W526" i="11"/>
  <c r="W538" i="11"/>
  <c r="AB550" i="11"/>
  <c r="X865" i="11"/>
  <c r="Y865" i="11"/>
  <c r="AA865" i="11" s="1"/>
  <c r="X244" i="11"/>
  <c r="AB244" i="11" s="1"/>
  <c r="Y244" i="11"/>
  <c r="AA244" i="11" s="1"/>
  <c r="Y275" i="11"/>
  <c r="AA275" i="11" s="1"/>
  <c r="X275" i="11"/>
  <c r="AB310" i="11"/>
  <c r="X338" i="11"/>
  <c r="AB338" i="11" s="1"/>
  <c r="Y338" i="11"/>
  <c r="AA338" i="11" s="1"/>
  <c r="AB364" i="11"/>
  <c r="Y426" i="11"/>
  <c r="AA426" i="11" s="1"/>
  <c r="X426" i="11"/>
  <c r="AB426" i="11" s="1"/>
  <c r="W603" i="11"/>
  <c r="Y713" i="11"/>
  <c r="AA713" i="11" s="1"/>
  <c r="X713" i="11"/>
  <c r="Y729" i="11"/>
  <c r="AA729" i="11" s="1"/>
  <c r="X729" i="11"/>
  <c r="Y236" i="11"/>
  <c r="AA236" i="11" s="1"/>
  <c r="X236" i="11"/>
  <c r="AB236" i="11" s="1"/>
  <c r="AB273" i="11"/>
  <c r="Y276" i="11"/>
  <c r="AA276" i="11" s="1"/>
  <c r="X276" i="11"/>
  <c r="AB276" i="11" s="1"/>
  <c r="W291" i="11"/>
  <c r="Y339" i="11"/>
  <c r="AA339" i="11" s="1"/>
  <c r="X339" i="11"/>
  <c r="W393" i="11"/>
  <c r="W506" i="11"/>
  <c r="Y604" i="11"/>
  <c r="AA604" i="11" s="1"/>
  <c r="X604" i="11"/>
  <c r="AB604" i="11" s="1"/>
  <c r="AB658" i="11"/>
  <c r="Y689" i="11"/>
  <c r="AA689" i="11" s="1"/>
  <c r="AB689" i="11" s="1"/>
  <c r="W162" i="11"/>
  <c r="X167" i="11"/>
  <c r="W172" i="11"/>
  <c r="Y177" i="11"/>
  <c r="AA177" i="11" s="1"/>
  <c r="AC178" i="11" s="1"/>
  <c r="W195" i="11"/>
  <c r="W203" i="11"/>
  <c r="W223" i="11"/>
  <c r="W242" i="11"/>
  <c r="Y253" i="11"/>
  <c r="AA253" i="11" s="1"/>
  <c r="AB253" i="11" s="1"/>
  <c r="X256" i="11"/>
  <c r="AB256" i="11" s="1"/>
  <c r="W301" i="11"/>
  <c r="AB400" i="11"/>
  <c r="AB403" i="11"/>
  <c r="W437" i="11"/>
  <c r="W447" i="11"/>
  <c r="W475" i="11"/>
  <c r="W492" i="11"/>
  <c r="W495" i="11"/>
  <c r="Y516" i="11"/>
  <c r="AA516" i="11" s="1"/>
  <c r="AB516" i="11" s="1"/>
  <c r="W540" i="11"/>
  <c r="Y567" i="11"/>
  <c r="AA567" i="11" s="1"/>
  <c r="X567" i="11"/>
  <c r="W575" i="11"/>
  <c r="W618" i="11"/>
  <c r="Y658" i="11"/>
  <c r="AA658" i="11" s="1"/>
  <c r="W675" i="11"/>
  <c r="W765" i="11"/>
  <c r="Y790" i="11"/>
  <c r="AA790" i="11" s="1"/>
  <c r="X790" i="11"/>
  <c r="X801" i="11"/>
  <c r="Y801" i="11"/>
  <c r="AA801" i="11" s="1"/>
  <c r="AB801" i="11" s="1"/>
  <c r="AB211" i="11"/>
  <c r="AB280" i="11"/>
  <c r="W343" i="11"/>
  <c r="AB394" i="11"/>
  <c r="W457" i="11"/>
  <c r="Y485" i="11"/>
  <c r="AA485" i="11" s="1"/>
  <c r="AB485" i="11" s="1"/>
  <c r="W532" i="11"/>
  <c r="X559" i="11"/>
  <c r="AB559" i="11" s="1"/>
  <c r="W591" i="11"/>
  <c r="W596" i="11"/>
  <c r="Y629" i="11"/>
  <c r="AA629" i="11" s="1"/>
  <c r="X629" i="11"/>
  <c r="AB629" i="11" s="1"/>
  <c r="W295" i="11"/>
  <c r="W308" i="11"/>
  <c r="W334" i="11"/>
  <c r="Y434" i="11"/>
  <c r="AA434" i="11" s="1"/>
  <c r="X434" i="11"/>
  <c r="AB434" i="11" s="1"/>
  <c r="AB672" i="11"/>
  <c r="AB167" i="11"/>
  <c r="Y187" i="11"/>
  <c r="AA187" i="11" s="1"/>
  <c r="X187" i="11"/>
  <c r="AB209" i="11"/>
  <c r="W277" i="11"/>
  <c r="X280" i="11"/>
  <c r="X298" i="11"/>
  <c r="AB298" i="11" s="1"/>
  <c r="X340" i="11"/>
  <c r="AB340" i="11" s="1"/>
  <c r="Y352" i="11"/>
  <c r="AA352" i="11" s="1"/>
  <c r="AB352" i="11" s="1"/>
  <c r="W362" i="11"/>
  <c r="W372" i="11"/>
  <c r="W378" i="11"/>
  <c r="AB388" i="11"/>
  <c r="AB409" i="11"/>
  <c r="W464" i="11"/>
  <c r="W482" i="11"/>
  <c r="Y496" i="11"/>
  <c r="AA496" i="11" s="1"/>
  <c r="X496" i="11"/>
  <c r="W507" i="11"/>
  <c r="Y511" i="11"/>
  <c r="AA511" i="11" s="1"/>
  <c r="X511" i="11"/>
  <c r="X520" i="11"/>
  <c r="AB520" i="11" s="1"/>
  <c r="Y528" i="11"/>
  <c r="AA528" i="11" s="1"/>
  <c r="AB528" i="11" s="1"/>
  <c r="Y555" i="11"/>
  <c r="AA555" i="11" s="1"/>
  <c r="AB555" i="11" s="1"/>
  <c r="Y667" i="11"/>
  <c r="AA667" i="11" s="1"/>
  <c r="X667" i="11"/>
  <c r="X748" i="11"/>
  <c r="Y748" i="11"/>
  <c r="AA748" i="11" s="1"/>
  <c r="W289" i="11"/>
  <c r="Y588" i="11"/>
  <c r="AA588" i="11" s="1"/>
  <c r="X588" i="11"/>
  <c r="AB588" i="11" s="1"/>
  <c r="W815" i="11"/>
  <c r="W285" i="11"/>
  <c r="W360" i="11"/>
  <c r="AB395" i="11"/>
  <c r="AB398" i="11"/>
  <c r="W431" i="11"/>
  <c r="Y493" i="11"/>
  <c r="AA493" i="11" s="1"/>
  <c r="X493" i="11"/>
  <c r="AB493" i="11" s="1"/>
  <c r="AB512" i="11"/>
  <c r="X529" i="11"/>
  <c r="Y529" i="11"/>
  <c r="AA529" i="11" s="1"/>
  <c r="Y606" i="11"/>
  <c r="AA606" i="11" s="1"/>
  <c r="X606" i="11"/>
  <c r="AB606" i="11" s="1"/>
  <c r="AB647" i="11"/>
  <c r="Y600" i="11"/>
  <c r="AA600" i="11" s="1"/>
  <c r="X600" i="11"/>
  <c r="AB600" i="11" s="1"/>
  <c r="X640" i="11"/>
  <c r="Y640" i="11"/>
  <c r="AA640" i="11" s="1"/>
  <c r="W897" i="11"/>
  <c r="W283" i="11"/>
  <c r="W299" i="11"/>
  <c r="W315" i="11"/>
  <c r="X317" i="11"/>
  <c r="AB317" i="11" s="1"/>
  <c r="W327" i="11"/>
  <c r="X332" i="11"/>
  <c r="AB332" i="11" s="1"/>
  <c r="X365" i="11"/>
  <c r="AB365" i="11" s="1"/>
  <c r="W370" i="11"/>
  <c r="X398" i="11"/>
  <c r="X410" i="11"/>
  <c r="AB410" i="11" s="1"/>
  <c r="Y417" i="11"/>
  <c r="AA417" i="11" s="1"/>
  <c r="AB417" i="11" s="1"/>
  <c r="X424" i="11"/>
  <c r="AB424" i="11" s="1"/>
  <c r="X436" i="11"/>
  <c r="AB436" i="11" s="1"/>
  <c r="W441" i="11"/>
  <c r="X446" i="11"/>
  <c r="AB446" i="11" s="1"/>
  <c r="W451" i="11"/>
  <c r="X453" i="11"/>
  <c r="AB453" i="11" s="1"/>
  <c r="X458" i="11"/>
  <c r="AB458" i="11" s="1"/>
  <c r="Y468" i="11"/>
  <c r="AA468" i="11" s="1"/>
  <c r="X468" i="11"/>
  <c r="X510" i="11"/>
  <c r="Y515" i="11"/>
  <c r="AA515" i="11" s="1"/>
  <c r="AB515" i="11" s="1"/>
  <c r="W518" i="11"/>
  <c r="W542" i="11"/>
  <c r="W557" i="11"/>
  <c r="X593" i="11"/>
  <c r="AB593" i="11" s="1"/>
  <c r="W622" i="11"/>
  <c r="X625" i="11"/>
  <c r="AB625" i="11" s="1"/>
  <c r="AB644" i="11"/>
  <c r="W686" i="11"/>
  <c r="W706" i="11"/>
  <c r="X714" i="11"/>
  <c r="AB714" i="11" s="1"/>
  <c r="Y737" i="11"/>
  <c r="AA737" i="11" s="1"/>
  <c r="X737" i="11"/>
  <c r="W779" i="11"/>
  <c r="Y810" i="11"/>
  <c r="AA810" i="11" s="1"/>
  <c r="X810" i="11"/>
  <c r="W429" i="11"/>
  <c r="W476" i="11"/>
  <c r="W486" i="11"/>
  <c r="Y491" i="11"/>
  <c r="AA491" i="11" s="1"/>
  <c r="X491" i="11"/>
  <c r="AB548" i="11"/>
  <c r="AB551" i="11"/>
  <c r="Y579" i="11"/>
  <c r="AA579" i="11" s="1"/>
  <c r="AB579" i="11" s="1"/>
  <c r="AB611" i="11"/>
  <c r="AB651" i="11"/>
  <c r="X807" i="11"/>
  <c r="AB807" i="11" s="1"/>
  <c r="Y807" i="11"/>
  <c r="AA807" i="11" s="1"/>
  <c r="W281" i="11"/>
  <c r="W536" i="11"/>
  <c r="Y539" i="11"/>
  <c r="AA539" i="11" s="1"/>
  <c r="X539" i="11"/>
  <c r="AB539" i="11" s="1"/>
  <c r="W570" i="11"/>
  <c r="W573" i="11"/>
  <c r="Y590" i="11"/>
  <c r="AA590" i="11" s="1"/>
  <c r="X590" i="11"/>
  <c r="Y597" i="11"/>
  <c r="AA597" i="11" s="1"/>
  <c r="X597" i="11"/>
  <c r="Y615" i="11"/>
  <c r="AA615" i="11" s="1"/>
  <c r="X615" i="11"/>
  <c r="Y641" i="11"/>
  <c r="AA641" i="11" s="1"/>
  <c r="X641" i="11"/>
  <c r="AB641" i="11" s="1"/>
  <c r="W645" i="11"/>
  <c r="Y651" i="11"/>
  <c r="AA651" i="11" s="1"/>
  <c r="X651" i="11"/>
  <c r="Y669" i="11"/>
  <c r="AA669" i="11" s="1"/>
  <c r="X669" i="11"/>
  <c r="X750" i="11"/>
  <c r="Y750" i="11"/>
  <c r="AA750" i="11" s="1"/>
  <c r="Y816" i="11"/>
  <c r="AA816" i="11" s="1"/>
  <c r="X816" i="11"/>
  <c r="Y297" i="11"/>
  <c r="AA297" i="11" s="1"/>
  <c r="AB297" i="11" s="1"/>
  <c r="X313" i="11"/>
  <c r="AB313" i="11" s="1"/>
  <c r="W325" i="11"/>
  <c r="AB335" i="11"/>
  <c r="AB344" i="11"/>
  <c r="Y358" i="11"/>
  <c r="AA358" i="11" s="1"/>
  <c r="AB358" i="11" s="1"/>
  <c r="W368" i="11"/>
  <c r="X382" i="11"/>
  <c r="AB382" i="11" s="1"/>
  <c r="W439" i="11"/>
  <c r="W484" i="11"/>
  <c r="Y499" i="11"/>
  <c r="AA499" i="11" s="1"/>
  <c r="AB499" i="11" s="1"/>
  <c r="AB510" i="11"/>
  <c r="W524" i="11"/>
  <c r="Y527" i="11"/>
  <c r="AA527" i="11" s="1"/>
  <c r="AB527" i="11" s="1"/>
  <c r="Y533" i="11"/>
  <c r="AA533" i="11" s="1"/>
  <c r="AB533" i="11" s="1"/>
  <c r="W583" i="11"/>
  <c r="Y611" i="11"/>
  <c r="AA611" i="11" s="1"/>
  <c r="X619" i="11"/>
  <c r="AB619" i="11" s="1"/>
  <c r="X684" i="11"/>
  <c r="Y684" i="11"/>
  <c r="AA684" i="11" s="1"/>
  <c r="W776" i="11"/>
  <c r="AB783" i="11"/>
  <c r="W819" i="11"/>
  <c r="W881" i="11"/>
  <c r="Y620" i="11"/>
  <c r="AA620" i="11" s="1"/>
  <c r="X620" i="11"/>
  <c r="Y663" i="11"/>
  <c r="AA663" i="11" s="1"/>
  <c r="X663" i="11"/>
  <c r="AB678" i="11"/>
  <c r="Y723" i="11"/>
  <c r="AA723" i="11" s="1"/>
  <c r="X723" i="11"/>
  <c r="AB740" i="11"/>
  <c r="W756" i="11"/>
  <c r="X811" i="11"/>
  <c r="AB811" i="11" s="1"/>
  <c r="W847" i="11"/>
  <c r="Y914" i="11"/>
  <c r="AA914" i="11" s="1"/>
  <c r="X914" i="11"/>
  <c r="AB646" i="11"/>
  <c r="Y769" i="11"/>
  <c r="AA769" i="11" s="1"/>
  <c r="X769" i="11"/>
  <c r="W889" i="11"/>
  <c r="Y975" i="11"/>
  <c r="AA975" i="11" s="1"/>
  <c r="X975" i="11"/>
  <c r="W1221" i="11"/>
  <c r="Y1086" i="11"/>
  <c r="AA1086" i="11" s="1"/>
  <c r="X1086" i="11"/>
  <c r="AB1086" i="11" s="1"/>
  <c r="W745" i="11"/>
  <c r="AB763" i="11"/>
  <c r="W770" i="11"/>
  <c r="W781" i="11"/>
  <c r="Y784" i="11"/>
  <c r="AA784" i="11" s="1"/>
  <c r="X784" i="11"/>
  <c r="W812" i="11"/>
  <c r="W841" i="11"/>
  <c r="Y870" i="11"/>
  <c r="AA870" i="11" s="1"/>
  <c r="X870" i="11"/>
  <c r="AB870" i="11" s="1"/>
  <c r="W903" i="11"/>
  <c r="X935" i="11"/>
  <c r="Y935" i="11"/>
  <c r="AA935" i="11" s="1"/>
  <c r="W1018" i="11"/>
  <c r="Y1094" i="11"/>
  <c r="AA1094" i="11" s="1"/>
  <c r="X1094" i="11"/>
  <c r="AB1094" i="11" s="1"/>
  <c r="Y687" i="11"/>
  <c r="AA687" i="11" s="1"/>
  <c r="X687" i="11"/>
  <c r="Y727" i="11"/>
  <c r="AA727" i="11" s="1"/>
  <c r="X727" i="11"/>
  <c r="W731" i="11"/>
  <c r="Y791" i="11"/>
  <c r="AA791" i="11" s="1"/>
  <c r="X791" i="11"/>
  <c r="X863" i="11"/>
  <c r="Y863" i="11"/>
  <c r="AA863" i="11" s="1"/>
  <c r="AB863" i="11" s="1"/>
  <c r="W546" i="11"/>
  <c r="W561" i="11"/>
  <c r="AB576" i="11"/>
  <c r="Y586" i="11"/>
  <c r="AA586" i="11" s="1"/>
  <c r="X586" i="11"/>
  <c r="AB586" i="11" s="1"/>
  <c r="AB589" i="11"/>
  <c r="W607" i="11"/>
  <c r="Y661" i="11"/>
  <c r="AA661" i="11" s="1"/>
  <c r="AB661" i="11" s="1"/>
  <c r="W682" i="11"/>
  <c r="Y700" i="11"/>
  <c r="AA700" i="11" s="1"/>
  <c r="X763" i="11"/>
  <c r="W788" i="11"/>
  <c r="Y953" i="11"/>
  <c r="AA953" i="11" s="1"/>
  <c r="X953" i="11"/>
  <c r="Y594" i="11"/>
  <c r="AA594" i="11" s="1"/>
  <c r="X594" i="11"/>
  <c r="AB594" i="11" s="1"/>
  <c r="Y760" i="11"/>
  <c r="AA760" i="11" s="1"/>
  <c r="X760" i="11"/>
  <c r="AB760" i="11" s="1"/>
  <c r="Y878" i="11"/>
  <c r="AA878" i="11" s="1"/>
  <c r="X878" i="11"/>
  <c r="AB544" i="11"/>
  <c r="W564" i="11"/>
  <c r="X566" i="11"/>
  <c r="AB566" i="11" s="1"/>
  <c r="X576" i="11"/>
  <c r="X581" i="11"/>
  <c r="AB581" i="11" s="1"/>
  <c r="X589" i="11"/>
  <c r="Y602" i="11"/>
  <c r="AA602" i="11" s="1"/>
  <c r="X602" i="11"/>
  <c r="W613" i="11"/>
  <c r="X621" i="11"/>
  <c r="AB621" i="11" s="1"/>
  <c r="X624" i="11"/>
  <c r="AB624" i="11" s="1"/>
  <c r="X631" i="11"/>
  <c r="AB631" i="11" s="1"/>
  <c r="X653" i="11"/>
  <c r="AB653" i="11" s="1"/>
  <c r="AB674" i="11"/>
  <c r="X691" i="11"/>
  <c r="AB691" i="11" s="1"/>
  <c r="W721" i="11"/>
  <c r="W738" i="11"/>
  <c r="Y742" i="11"/>
  <c r="AA742" i="11" s="1"/>
  <c r="AB742" i="11" s="1"/>
  <c r="W746" i="11"/>
  <c r="Y795" i="11"/>
  <c r="AA795" i="11" s="1"/>
  <c r="AB795" i="11" s="1"/>
  <c r="Y798" i="11"/>
  <c r="AA798" i="11" s="1"/>
  <c r="X798" i="11"/>
  <c r="AB798" i="11" s="1"/>
  <c r="W802" i="11"/>
  <c r="X817" i="11"/>
  <c r="AB817" i="11" s="1"/>
  <c r="Y871" i="11"/>
  <c r="AA871" i="11" s="1"/>
  <c r="X871" i="11"/>
  <c r="W942" i="11"/>
  <c r="Y610" i="11"/>
  <c r="AA610" i="11" s="1"/>
  <c r="AB610" i="11" s="1"/>
  <c r="X610" i="11"/>
  <c r="Y636" i="11"/>
  <c r="AA636" i="11" s="1"/>
  <c r="X636" i="11"/>
  <c r="AB636" i="11" s="1"/>
  <c r="W671" i="11"/>
  <c r="X694" i="11"/>
  <c r="Y694" i="11"/>
  <c r="AA694" i="11" s="1"/>
  <c r="Y704" i="11"/>
  <c r="AA704" i="11" s="1"/>
  <c r="X704" i="11"/>
  <c r="AB735" i="11"/>
  <c r="Y774" i="11"/>
  <c r="AA774" i="11" s="1"/>
  <c r="X774" i="11"/>
  <c r="AB835" i="11"/>
  <c r="W861" i="11"/>
  <c r="W1003" i="11"/>
  <c r="X534" i="11"/>
  <c r="AB534" i="11" s="1"/>
  <c r="Y584" i="11"/>
  <c r="AA584" i="11" s="1"/>
  <c r="AB584" i="11" s="1"/>
  <c r="X668" i="11"/>
  <c r="AB668" i="11" s="1"/>
  <c r="W712" i="11"/>
  <c r="W715" i="11"/>
  <c r="Y718" i="11"/>
  <c r="AA718" i="11" s="1"/>
  <c r="AB718" i="11" s="1"/>
  <c r="Y735" i="11"/>
  <c r="AA735" i="11" s="1"/>
  <c r="X735" i="11"/>
  <c r="X771" i="11"/>
  <c r="AB771" i="11" s="1"/>
  <c r="Y849" i="11"/>
  <c r="AA849" i="11" s="1"/>
  <c r="AB849" i="11" s="1"/>
  <c r="Y864" i="11"/>
  <c r="AA864" i="11" s="1"/>
  <c r="X864" i="11"/>
  <c r="AB864" i="11" s="1"/>
  <c r="AB698" i="11"/>
  <c r="W705" i="11"/>
  <c r="W758" i="11"/>
  <c r="Y814" i="11"/>
  <c r="AA814" i="11" s="1"/>
  <c r="X814" i="11"/>
  <c r="X829" i="11"/>
  <c r="Y829" i="11"/>
  <c r="AA829" i="11" s="1"/>
  <c r="AB891" i="11"/>
  <c r="W896" i="11"/>
  <c r="X929" i="11"/>
  <c r="Y929" i="11"/>
  <c r="AA929" i="11" s="1"/>
  <c r="W722" i="11"/>
  <c r="Y725" i="11"/>
  <c r="AA725" i="11" s="1"/>
  <c r="X725" i="11"/>
  <c r="AB725" i="11" s="1"/>
  <c r="Y739" i="11"/>
  <c r="AA739" i="11" s="1"/>
  <c r="X739" i="11"/>
  <c r="AB739" i="11" s="1"/>
  <c r="X752" i="11"/>
  <c r="AB752" i="11" s="1"/>
  <c r="Y752" i="11"/>
  <c r="AA752" i="11" s="1"/>
  <c r="AB755" i="11"/>
  <c r="Y761" i="11"/>
  <c r="AA761" i="11" s="1"/>
  <c r="X761" i="11"/>
  <c r="W833" i="11"/>
  <c r="W884" i="11"/>
  <c r="W921" i="11"/>
  <c r="W936" i="11"/>
  <c r="Y969" i="11"/>
  <c r="AA969" i="11" s="1"/>
  <c r="X969" i="11"/>
  <c r="AA1021" i="11"/>
  <c r="AB1021" i="11" s="1"/>
  <c r="Y1006" i="11"/>
  <c r="AA1006" i="11" s="1"/>
  <c r="X1006" i="11"/>
  <c r="W988" i="11"/>
  <c r="Y1037" i="11"/>
  <c r="AA1037" i="11" s="1"/>
  <c r="X1037" i="11"/>
  <c r="AB1037" i="11" s="1"/>
  <c r="AB774" i="11"/>
  <c r="AB791" i="11"/>
  <c r="Y821" i="11"/>
  <c r="AA821" i="11" s="1"/>
  <c r="X821" i="11"/>
  <c r="X980" i="11"/>
  <c r="Y980" i="11"/>
  <c r="AA980" i="11" s="1"/>
  <c r="W1069" i="11"/>
  <c r="W1185" i="11"/>
  <c r="W985" i="11"/>
  <c r="W996" i="11"/>
  <c r="W766" i="11"/>
  <c r="Y818" i="11"/>
  <c r="AA818" i="11" s="1"/>
  <c r="X818" i="11"/>
  <c r="AB818" i="11" s="1"/>
  <c r="W892" i="11"/>
  <c r="X927" i="11"/>
  <c r="AB927" i="11" s="1"/>
  <c r="W931" i="11"/>
  <c r="W954" i="11"/>
  <c r="W699" i="11"/>
  <c r="W730" i="11"/>
  <c r="W741" i="11"/>
  <c r="AB744" i="11"/>
  <c r="AB772" i="11"/>
  <c r="W780" i="11"/>
  <c r="W831" i="11"/>
  <c r="X845" i="11"/>
  <c r="AB845" i="11" s="1"/>
  <c r="W901" i="11"/>
  <c r="X919" i="11"/>
  <c r="Y919" i="11"/>
  <c r="AA919" i="11" s="1"/>
  <c r="Y923" i="11"/>
  <c r="AA923" i="11" s="1"/>
  <c r="X923" i="11"/>
  <c r="W981" i="11"/>
  <c r="AB993" i="11"/>
  <c r="AB1004" i="11"/>
  <c r="Y1008" i="11"/>
  <c r="AA1008" i="11" s="1"/>
  <c r="X1008" i="11"/>
  <c r="AB1008" i="11" s="1"/>
  <c r="Y1012" i="11"/>
  <c r="AA1012" i="11" s="1"/>
  <c r="X1012" i="11"/>
  <c r="W1031" i="11"/>
  <c r="Y733" i="11"/>
  <c r="AA733" i="11" s="1"/>
  <c r="X733" i="11"/>
  <c r="Y800" i="11"/>
  <c r="AA800" i="11" s="1"/>
  <c r="X800" i="11"/>
  <c r="Y803" i="11"/>
  <c r="AA803" i="11" s="1"/>
  <c r="X803" i="11"/>
  <c r="AB803" i="11" s="1"/>
  <c r="Y806" i="11"/>
  <c r="AA806" i="11" s="1"/>
  <c r="X806" i="11"/>
  <c r="AB806" i="11" s="1"/>
  <c r="W912" i="11"/>
  <c r="Y948" i="11"/>
  <c r="AA948" i="11" s="1"/>
  <c r="X948" i="11"/>
  <c r="W702" i="11"/>
  <c r="Y710" i="11"/>
  <c r="AA710" i="11" s="1"/>
  <c r="AB710" i="11" s="1"/>
  <c r="AB713" i="11"/>
  <c r="X754" i="11"/>
  <c r="AB754" i="11" s="1"/>
  <c r="Y754" i="11"/>
  <c r="AA754" i="11" s="1"/>
  <c r="AB759" i="11"/>
  <c r="Y783" i="11"/>
  <c r="AA783" i="11" s="1"/>
  <c r="X786" i="11"/>
  <c r="AB786" i="11" s="1"/>
  <c r="W792" i="11"/>
  <c r="AB800" i="11"/>
  <c r="Y886" i="11"/>
  <c r="AA886" i="11" s="1"/>
  <c r="X886" i="11"/>
  <c r="W893" i="11"/>
  <c r="X905" i="11"/>
  <c r="AB905" i="11" s="1"/>
  <c r="Y977" i="11"/>
  <c r="AA977" i="11" s="1"/>
  <c r="X977" i="11"/>
  <c r="X1066" i="11"/>
  <c r="AB1066" i="11" s="1"/>
  <c r="AB962" i="11"/>
  <c r="AA962" i="11"/>
  <c r="Y1062" i="11"/>
  <c r="AA1062" i="11" s="1"/>
  <c r="X1062" i="11"/>
  <c r="AB1062" i="11" s="1"/>
  <c r="X826" i="11"/>
  <c r="Y826" i="11"/>
  <c r="AA826" i="11" s="1"/>
  <c r="W857" i="11"/>
  <c r="Y890" i="11"/>
  <c r="AA890" i="11" s="1"/>
  <c r="X890" i="11"/>
  <c r="W898" i="11"/>
  <c r="Y909" i="11"/>
  <c r="AA909" i="11" s="1"/>
  <c r="X909" i="11"/>
  <c r="Y916" i="11"/>
  <c r="AA916" i="11" s="1"/>
  <c r="X916" i="11"/>
  <c r="AB916" i="11" s="1"/>
  <c r="AB928" i="11"/>
  <c r="Y940" i="11"/>
  <c r="AA940" i="11" s="1"/>
  <c r="X940" i="11"/>
  <c r="AB940" i="11" s="1"/>
  <c r="W894" i="11"/>
  <c r="AB945" i="11"/>
  <c r="AB956" i="11"/>
  <c r="W959" i="11"/>
  <c r="AB681" i="11"/>
  <c r="AB823" i="11"/>
  <c r="AB866" i="11"/>
  <c r="Y869" i="11"/>
  <c r="AA869" i="11" s="1"/>
  <c r="X869" i="11"/>
  <c r="AB869" i="11" s="1"/>
  <c r="Y899" i="11"/>
  <c r="AA899" i="11" s="1"/>
  <c r="AB899" i="11" s="1"/>
  <c r="X899" i="11"/>
  <c r="Y906" i="11"/>
  <c r="AA906" i="11" s="1"/>
  <c r="X906" i="11"/>
  <c r="AB906" i="11" s="1"/>
  <c r="X913" i="11"/>
  <c r="AB913" i="11" s="1"/>
  <c r="W978" i="11"/>
  <c r="W991" i="11"/>
  <c r="W904" i="11"/>
  <c r="W1024" i="11"/>
  <c r="Y1049" i="11"/>
  <c r="AA1049" i="11" s="1"/>
  <c r="X1049" i="11"/>
  <c r="AB923" i="11"/>
  <c r="AB929" i="11"/>
  <c r="Y950" i="11"/>
  <c r="AA950" i="11" s="1"/>
  <c r="AB950" i="11" s="1"/>
  <c r="W961" i="11"/>
  <c r="X974" i="11"/>
  <c r="AB974" i="11" s="1"/>
  <c r="X984" i="11"/>
  <c r="AB984" i="11" s="1"/>
  <c r="AB990" i="11"/>
  <c r="W999" i="11"/>
  <c r="X1002" i="11"/>
  <c r="W1041" i="11"/>
  <c r="W1057" i="11"/>
  <c r="X1107" i="11"/>
  <c r="Y1107" i="11"/>
  <c r="AA1107" i="11" s="1"/>
  <c r="W1240" i="11"/>
  <c r="AB810" i="11"/>
  <c r="AB873" i="11"/>
  <c r="W939" i="11"/>
  <c r="X945" i="11"/>
  <c r="Y945" i="11"/>
  <c r="AA945" i="11" s="1"/>
  <c r="Y1125" i="11"/>
  <c r="AA1125" i="11" s="1"/>
  <c r="X1125" i="11"/>
  <c r="W895" i="11"/>
  <c r="X908" i="11"/>
  <c r="AB908" i="11" s="1"/>
  <c r="AB911" i="11"/>
  <c r="X982" i="11"/>
  <c r="AB982" i="11" s="1"/>
  <c r="Y1015" i="11"/>
  <c r="AA1015" i="11" s="1"/>
  <c r="X1015" i="11"/>
  <c r="X1133" i="11"/>
  <c r="AB1133" i="11" s="1"/>
  <c r="W1156" i="11"/>
  <c r="Y1255" i="11"/>
  <c r="AA1255" i="11" s="1"/>
  <c r="X1255" i="11"/>
  <c r="Y1009" i="11"/>
  <c r="AA1009" i="11" s="1"/>
  <c r="X1009" i="11"/>
  <c r="AB1009" i="11" s="1"/>
  <c r="W1054" i="11"/>
  <c r="AB703" i="11"/>
  <c r="W876" i="11"/>
  <c r="W879" i="11"/>
  <c r="Y925" i="11"/>
  <c r="AA925" i="11" s="1"/>
  <c r="X925" i="11"/>
  <c r="AB925" i="11" s="1"/>
  <c r="AB967" i="11"/>
  <c r="Y972" i="11"/>
  <c r="AA972" i="11" s="1"/>
  <c r="X972" i="11"/>
  <c r="W1032" i="11"/>
  <c r="W764" i="11"/>
  <c r="Y796" i="11"/>
  <c r="AA796" i="11" s="1"/>
  <c r="X796" i="11"/>
  <c r="AB796" i="11" s="1"/>
  <c r="Y808" i="11"/>
  <c r="AA808" i="11" s="1"/>
  <c r="X808" i="11"/>
  <c r="AB808" i="11" s="1"/>
  <c r="AB827" i="11"/>
  <c r="AB871" i="11"/>
  <c r="AB989" i="11"/>
  <c r="X1055" i="11"/>
  <c r="AB1055" i="11" s="1"/>
  <c r="Y1055" i="11"/>
  <c r="AA1055" i="11" s="1"/>
  <c r="X1122" i="11"/>
  <c r="Y1122" i="11"/>
  <c r="AA1122" i="11" s="1"/>
  <c r="X1126" i="11"/>
  <c r="Y1126" i="11"/>
  <c r="AA1126" i="11" s="1"/>
  <c r="Y989" i="11"/>
  <c r="AA989" i="11" s="1"/>
  <c r="X989" i="11"/>
  <c r="W1010" i="11"/>
  <c r="Y1023" i="11"/>
  <c r="AA1023" i="11" s="1"/>
  <c r="X1023" i="11"/>
  <c r="AB1023" i="11" s="1"/>
  <c r="AB1026" i="11"/>
  <c r="AB1048" i="11"/>
  <c r="X1110" i="11"/>
  <c r="AB1110" i="11" s="1"/>
  <c r="Y1110" i="11"/>
  <c r="AA1110" i="11" s="1"/>
  <c r="X973" i="11"/>
  <c r="Y973" i="11"/>
  <c r="AA973" i="11" s="1"/>
  <c r="Y998" i="11"/>
  <c r="AA998" i="11" s="1"/>
  <c r="X998" i="11"/>
  <c r="W1029" i="11"/>
  <c r="Y1048" i="11"/>
  <c r="AA1048" i="11" s="1"/>
  <c r="X1048" i="11"/>
  <c r="Y1148" i="11"/>
  <c r="AA1148" i="11" s="1"/>
  <c r="X1148" i="11"/>
  <c r="W874" i="11"/>
  <c r="X917" i="11"/>
  <c r="AB917" i="11" s="1"/>
  <c r="Y926" i="11"/>
  <c r="AA926" i="11" s="1"/>
  <c r="AB926" i="11" s="1"/>
  <c r="W937" i="11"/>
  <c r="W965" i="11"/>
  <c r="W983" i="11"/>
  <c r="X1026" i="11"/>
  <c r="Y1036" i="11"/>
  <c r="AA1036" i="11" s="1"/>
  <c r="X1036" i="11"/>
  <c r="AB1036" i="11" s="1"/>
  <c r="Y1040" i="11"/>
  <c r="AA1040" i="11" s="1"/>
  <c r="AB1040" i="11" s="1"/>
  <c r="W1060" i="11"/>
  <c r="Y1064" i="11"/>
  <c r="AA1064" i="11" s="1"/>
  <c r="X1064" i="11"/>
  <c r="X839" i="11"/>
  <c r="AB839" i="11" s="1"/>
  <c r="X855" i="11"/>
  <c r="AB855" i="11" s="1"/>
  <c r="W888" i="11"/>
  <c r="X952" i="11"/>
  <c r="AB952" i="11" s="1"/>
  <c r="W955" i="11"/>
  <c r="AB998" i="11"/>
  <c r="W1007" i="11"/>
  <c r="W1056" i="11"/>
  <c r="W1123" i="11"/>
  <c r="AB693" i="11"/>
  <c r="AB695" i="11"/>
  <c r="W697" i="11"/>
  <c r="AB711" i="11"/>
  <c r="W778" i="11"/>
  <c r="Y822" i="11"/>
  <c r="AA822" i="11" s="1"/>
  <c r="AB822" i="11" s="1"/>
  <c r="X920" i="11"/>
  <c r="AB920" i="11" s="1"/>
  <c r="W941" i="11"/>
  <c r="W947" i="11"/>
  <c r="W963" i="11"/>
  <c r="AB1002" i="11"/>
  <c r="W1081" i="11"/>
  <c r="W1278" i="11"/>
  <c r="AA1019" i="11"/>
  <c r="AB1019" i="11" s="1"/>
  <c r="X1046" i="11"/>
  <c r="AB1046" i="11" s="1"/>
  <c r="Y1046" i="11"/>
  <c r="AA1046" i="11" s="1"/>
  <c r="AB1072" i="11"/>
  <c r="X1079" i="11"/>
  <c r="Y1079" i="11"/>
  <c r="AA1079" i="11" s="1"/>
  <c r="AB1140" i="11"/>
  <c r="X1286" i="11"/>
  <c r="Y1286" i="11"/>
  <c r="AA1286" i="11" s="1"/>
  <c r="Y1016" i="11"/>
  <c r="AA1016" i="11" s="1"/>
  <c r="X1016" i="11"/>
  <c r="AB1016" i="11" s="1"/>
  <c r="AB1070" i="11"/>
  <c r="Y1073" i="11"/>
  <c r="AA1073" i="11" s="1"/>
  <c r="X1073" i="11"/>
  <c r="W957" i="11"/>
  <c r="W987" i="11"/>
  <c r="W997" i="11"/>
  <c r="X1013" i="11"/>
  <c r="AB1013" i="11" s="1"/>
  <c r="X1038" i="11"/>
  <c r="Y1038" i="11"/>
  <c r="AA1038" i="11" s="1"/>
  <c r="Y1050" i="11"/>
  <c r="AA1050" i="11" s="1"/>
  <c r="X1050" i="11"/>
  <c r="W1061" i="11"/>
  <c r="X1083" i="11"/>
  <c r="AB1083" i="11" s="1"/>
  <c r="AB1087" i="11"/>
  <c r="Y1101" i="11"/>
  <c r="AA1101" i="11" s="1"/>
  <c r="W1180" i="11"/>
  <c r="W1022" i="11"/>
  <c r="W1035" i="11"/>
  <c r="W1141" i="11"/>
  <c r="Y1176" i="11"/>
  <c r="AA1176" i="11" s="1"/>
  <c r="X1176" i="11"/>
  <c r="AB1176" i="11" s="1"/>
  <c r="AB971" i="11"/>
  <c r="W1030" i="11"/>
  <c r="Y1058" i="11"/>
  <c r="AA1058" i="11" s="1"/>
  <c r="X1058" i="11"/>
  <c r="AB1058" i="11" s="1"/>
  <c r="Y1068" i="11"/>
  <c r="AA1068" i="11" s="1"/>
  <c r="X1068" i="11"/>
  <c r="W1084" i="11"/>
  <c r="AB701" i="11"/>
  <c r="AB762" i="11"/>
  <c r="W882" i="11"/>
  <c r="Y930" i="11"/>
  <c r="AA930" i="11" s="1"/>
  <c r="AB930" i="11" s="1"/>
  <c r="AB953" i="11"/>
  <c r="AB1025" i="11"/>
  <c r="W1039" i="11"/>
  <c r="X1071" i="11"/>
  <c r="Y1071" i="11"/>
  <c r="AA1071" i="11" s="1"/>
  <c r="Y1166" i="11"/>
  <c r="AA1166" i="11" s="1"/>
  <c r="X1166" i="11"/>
  <c r="AB1166" i="11" s="1"/>
  <c r="W1188" i="11"/>
  <c r="Y1308" i="11"/>
  <c r="AA1308" i="11" s="1"/>
  <c r="X1308" i="11"/>
  <c r="AB1011" i="11"/>
  <c r="W1020" i="11"/>
  <c r="Y1078" i="11"/>
  <c r="AA1078" i="11" s="1"/>
  <c r="X1078" i="11"/>
  <c r="AB1078" i="11" s="1"/>
  <c r="W1164" i="11"/>
  <c r="X1132" i="11"/>
  <c r="Y1132" i="11"/>
  <c r="AA1132" i="11" s="1"/>
  <c r="W1149" i="11"/>
  <c r="W1294" i="11"/>
  <c r="W1244" i="11"/>
  <c r="AB1104" i="11"/>
  <c r="W1121" i="11"/>
  <c r="W1129" i="11"/>
  <c r="Y1182" i="11"/>
  <c r="AA1182" i="11" s="1"/>
  <c r="X1182" i="11"/>
  <c r="Y1261" i="11"/>
  <c r="AA1261" i="11" s="1"/>
  <c r="X1261" i="11"/>
  <c r="AB1261" i="11" s="1"/>
  <c r="Y1052" i="11"/>
  <c r="AA1052" i="11" s="1"/>
  <c r="X1052" i="11"/>
  <c r="AB1105" i="11"/>
  <c r="W1118" i="11"/>
  <c r="Y1253" i="11"/>
  <c r="AA1253" i="11" s="1"/>
  <c r="X1253" i="11"/>
  <c r="AB1253" i="11" s="1"/>
  <c r="AB1288" i="11"/>
  <c r="Y828" i="11"/>
  <c r="AA828" i="11" s="1"/>
  <c r="AB828" i="11" s="1"/>
  <c r="Y934" i="11"/>
  <c r="AA934" i="11" s="1"/>
  <c r="AB934" i="11" s="1"/>
  <c r="AB951" i="11"/>
  <c r="W976" i="11"/>
  <c r="W1000" i="11"/>
  <c r="AB1049" i="11"/>
  <c r="W1102" i="11"/>
  <c r="AB1115" i="11"/>
  <c r="W1143" i="11"/>
  <c r="Y1183" i="11"/>
  <c r="AA1183" i="11" s="1"/>
  <c r="X1183" i="11"/>
  <c r="W1323" i="11"/>
  <c r="W1254" i="11"/>
  <c r="W1099" i="11"/>
  <c r="AB1050" i="11"/>
  <c r="W1103" i="11"/>
  <c r="W1108" i="11"/>
  <c r="X1112" i="11"/>
  <c r="AB1112" i="11" s="1"/>
  <c r="X1144" i="11"/>
  <c r="Y1144" i="11"/>
  <c r="AA1144" i="11" s="1"/>
  <c r="X1152" i="11"/>
  <c r="AB1152" i="11" s="1"/>
  <c r="W1215" i="11"/>
  <c r="Y1218" i="11"/>
  <c r="AA1218" i="11" s="1"/>
  <c r="X1218" i="11"/>
  <c r="AB1218" i="11" s="1"/>
  <c r="W1271" i="11"/>
  <c r="W1264" i="11"/>
  <c r="Y1312" i="11"/>
  <c r="AA1312" i="11" s="1"/>
  <c r="X1312" i="11"/>
  <c r="W1209" i="11"/>
  <c r="Y1229" i="11"/>
  <c r="AA1229" i="11" s="1"/>
  <c r="X1229" i="11"/>
  <c r="AB1229" i="11" s="1"/>
  <c r="W1316" i="11"/>
  <c r="W1153" i="11"/>
  <c r="W1172" i="11"/>
  <c r="W1195" i="11"/>
  <c r="AB1226" i="11"/>
  <c r="W1257" i="11"/>
  <c r="Y1313" i="11"/>
  <c r="AA1313" i="11" s="1"/>
  <c r="X1313" i="11"/>
  <c r="W1199" i="11"/>
  <c r="Y1230" i="11"/>
  <c r="AA1230" i="11" s="1"/>
  <c r="X1230" i="11"/>
  <c r="X1337" i="11"/>
  <c r="AB1337" i="11" s="1"/>
  <c r="W1067" i="11"/>
  <c r="W1088" i="11"/>
  <c r="Y1091" i="11"/>
  <c r="AA1091" i="11" s="1"/>
  <c r="X1091" i="11"/>
  <c r="AB1091" i="11" s="1"/>
  <c r="W1097" i="11"/>
  <c r="W1119" i="11"/>
  <c r="Y1136" i="11"/>
  <c r="AA1136" i="11" s="1"/>
  <c r="X1136" i="11"/>
  <c r="W1158" i="11"/>
  <c r="AB1173" i="11"/>
  <c r="W1231" i="11"/>
  <c r="X1290" i="11"/>
  <c r="Y1290" i="11"/>
  <c r="AA1290" i="11" s="1"/>
  <c r="W1277" i="11"/>
  <c r="X970" i="11"/>
  <c r="AB970" i="11" s="1"/>
  <c r="AB1080" i="11"/>
  <c r="AB1092" i="11"/>
  <c r="AB1131" i="11"/>
  <c r="W1174" i="11"/>
  <c r="AB1181" i="11"/>
  <c r="X1243" i="11"/>
  <c r="AB1243" i="11" s="1"/>
  <c r="X1274" i="11"/>
  <c r="AB1274" i="11" s="1"/>
  <c r="X1320" i="11"/>
  <c r="AB1320" i="11" s="1"/>
  <c r="AB1047" i="11"/>
  <c r="X1065" i="11"/>
  <c r="Y1065" i="11"/>
  <c r="AA1065" i="11" s="1"/>
  <c r="W1077" i="11"/>
  <c r="AB1101" i="11"/>
  <c r="W1197" i="11"/>
  <c r="W1318" i="11"/>
  <c r="AB1144" i="11"/>
  <c r="AB1258" i="11"/>
  <c r="W1275" i="11"/>
  <c r="Y1352" i="11"/>
  <c r="AA1352" i="11" s="1"/>
  <c r="X1352" i="11"/>
  <c r="AB1352" i="11" s="1"/>
  <c r="W1189" i="11"/>
  <c r="Y1268" i="11"/>
  <c r="AA1268" i="11" s="1"/>
  <c r="X1268" i="11"/>
  <c r="W1310" i="11"/>
  <c r="W1321" i="11"/>
  <c r="AB1116" i="11"/>
  <c r="AB1124" i="11"/>
  <c r="Y1134" i="11"/>
  <c r="AA1134" i="11" s="1"/>
  <c r="X1134" i="11"/>
  <c r="W1159" i="11"/>
  <c r="AB1327" i="11"/>
  <c r="AB1065" i="11"/>
  <c r="AA1106" i="11"/>
  <c r="AB1106" i="11" s="1"/>
  <c r="X1234" i="11"/>
  <c r="AB1234" i="11" s="1"/>
  <c r="AB1255" i="11"/>
  <c r="Y1272" i="11"/>
  <c r="AA1272" i="11" s="1"/>
  <c r="AB1272" i="11" s="1"/>
  <c r="Y1288" i="11"/>
  <c r="AA1288" i="11" s="1"/>
  <c r="Y1335" i="11"/>
  <c r="AA1335" i="11" s="1"/>
  <c r="X1335" i="11"/>
  <c r="AB1335" i="11" s="1"/>
  <c r="X1345" i="11"/>
  <c r="AB1345" i="11" s="1"/>
  <c r="Y1325" i="11"/>
  <c r="AA1325" i="11" s="1"/>
  <c r="X1325" i="11"/>
  <c r="AB1325" i="11" s="1"/>
  <c r="X1349" i="11"/>
  <c r="AB1349" i="11" s="1"/>
  <c r="W1063" i="11"/>
  <c r="Y1238" i="11"/>
  <c r="AA1238" i="11" s="1"/>
  <c r="X1238" i="11"/>
  <c r="AB1252" i="11"/>
  <c r="Y1307" i="11"/>
  <c r="AA1307" i="11" s="1"/>
  <c r="X1307" i="11"/>
  <c r="W1211" i="11"/>
  <c r="W1219" i="11"/>
  <c r="W1228" i="11"/>
  <c r="W1311" i="11"/>
  <c r="AB1076" i="11"/>
  <c r="X1089" i="11"/>
  <c r="AB1089" i="11" s="1"/>
  <c r="X1109" i="11"/>
  <c r="AB1109" i="11" s="1"/>
  <c r="Y1127" i="11"/>
  <c r="AA1127" i="11" s="1"/>
  <c r="AB1127" i="11" s="1"/>
  <c r="Y1142" i="11"/>
  <c r="AA1142" i="11" s="1"/>
  <c r="AB1142" i="11" s="1"/>
  <c r="X1157" i="11"/>
  <c r="Y1157" i="11"/>
  <c r="AA1157" i="11" s="1"/>
  <c r="X1160" i="11"/>
  <c r="AB1160" i="11" s="1"/>
  <c r="AB1179" i="11"/>
  <c r="X1225" i="11"/>
  <c r="AB1225" i="11" s="1"/>
  <c r="W1235" i="11"/>
  <c r="Y1269" i="11"/>
  <c r="AA1269" i="11" s="1"/>
  <c r="X1269" i="11"/>
  <c r="AB1269" i="11" s="1"/>
  <c r="W1328" i="11"/>
  <c r="Y1100" i="11"/>
  <c r="AA1100" i="11" s="1"/>
  <c r="AB1100" i="11" s="1"/>
  <c r="AB1246" i="11"/>
  <c r="AB1286" i="11"/>
  <c r="Y1304" i="11"/>
  <c r="AA1304" i="11" s="1"/>
  <c r="X1304" i="11"/>
  <c r="AB1304" i="11" s="1"/>
  <c r="AB1187" i="11"/>
  <c r="AB1260" i="11"/>
  <c r="Y1263" i="11"/>
  <c r="AA1263" i="11" s="1"/>
  <c r="X1263" i="11"/>
  <c r="AB1293" i="11"/>
  <c r="W1334" i="11"/>
  <c r="W1353" i="11"/>
  <c r="W1314" i="11"/>
  <c r="W1338" i="11"/>
  <c r="W1347" i="11"/>
  <c r="Y1250" i="11"/>
  <c r="AA1250" i="11" s="1"/>
  <c r="X1250" i="11"/>
  <c r="Y1305" i="11"/>
  <c r="AA1305" i="11" s="1"/>
  <c r="X1305" i="11"/>
  <c r="AB1305" i="11" s="1"/>
  <c r="W1241" i="11"/>
  <c r="X1247" i="11"/>
  <c r="W1256" i="11"/>
  <c r="X1267" i="11"/>
  <c r="AB1267" i="11" s="1"/>
  <c r="W1273" i="11"/>
  <c r="W1284" i="11"/>
  <c r="Y1302" i="11"/>
  <c r="AA1302" i="11" s="1"/>
  <c r="AB1302" i="11" s="1"/>
  <c r="W1329" i="11"/>
  <c r="AB1250" i="11"/>
  <c r="AB1262" i="11"/>
  <c r="AB1289" i="11"/>
  <c r="W1292" i="11"/>
  <c r="AB1319" i="11"/>
  <c r="X1151" i="11"/>
  <c r="Y1151" i="11"/>
  <c r="AA1151" i="11" s="1"/>
  <c r="AB1259" i="11"/>
  <c r="X1270" i="11"/>
  <c r="AB1270" i="11" s="1"/>
  <c r="Y1270" i="11"/>
  <c r="AA1270" i="11" s="1"/>
  <c r="W1322" i="11"/>
  <c r="W1342" i="11"/>
  <c r="AB1146" i="11"/>
  <c r="Y1177" i="11"/>
  <c r="AA1177" i="11" s="1"/>
  <c r="X1177" i="11"/>
  <c r="AB1177" i="11" s="1"/>
  <c r="AB1193" i="11"/>
  <c r="AB1331" i="11"/>
  <c r="AB1247" i="11"/>
  <c r="AB1285" i="11"/>
  <c r="AB1276" i="11"/>
  <c r="W1336" i="11"/>
  <c r="X1346" i="11"/>
  <c r="AB1346" i="11" s="1"/>
  <c r="Y1354" i="11"/>
  <c r="AA1354" i="11" s="1"/>
  <c r="X1354" i="11"/>
  <c r="AB1213" i="11"/>
  <c r="W1227" i="11"/>
  <c r="AB1237" i="11"/>
  <c r="W1245" i="11"/>
  <c r="AB1297" i="11"/>
  <c r="Y1315" i="11"/>
  <c r="AA1315" i="11" s="1"/>
  <c r="X1315" i="11"/>
  <c r="W1339" i="11"/>
  <c r="W1351" i="11"/>
  <c r="X1303" i="11"/>
  <c r="AB1303" i="11" s="1"/>
  <c r="AB1317" i="11"/>
  <c r="W1324" i="11"/>
  <c r="W1340" i="11"/>
  <c r="AB1239" i="11"/>
  <c r="AB1279" i="11"/>
  <c r="X1344" i="11"/>
  <c r="AB1344" i="11" s="1"/>
  <c r="W1350" i="11"/>
  <c r="AB331" i="13" l="1"/>
  <c r="AB324" i="13"/>
  <c r="AB297" i="13"/>
  <c r="AB370" i="13"/>
  <c r="AB839" i="13"/>
  <c r="AB235" i="13"/>
  <c r="AB836" i="13"/>
  <c r="AB475" i="13"/>
  <c r="AB133" i="13"/>
  <c r="AB641" i="13"/>
  <c r="AB224" i="13"/>
  <c r="AB552" i="13"/>
  <c r="AB347" i="13"/>
  <c r="AB49" i="13"/>
  <c r="AB59" i="13"/>
  <c r="AB609" i="13"/>
  <c r="AB350" i="13"/>
  <c r="AB203" i="13"/>
  <c r="AB270" i="13"/>
  <c r="AB32" i="13"/>
  <c r="AB669" i="13"/>
  <c r="AB838" i="13"/>
  <c r="AB625" i="13"/>
  <c r="AB236" i="13"/>
  <c r="AB640" i="13"/>
  <c r="AB116" i="13"/>
  <c r="AB295" i="13"/>
  <c r="AB663" i="13"/>
  <c r="AB118" i="13"/>
  <c r="AB168" i="13"/>
  <c r="AB231" i="13"/>
  <c r="AB226" i="13"/>
  <c r="AB74" i="13"/>
  <c r="AB651" i="13"/>
  <c r="AB332" i="13"/>
  <c r="AB273" i="13"/>
  <c r="AB428" i="13"/>
  <c r="AB26" i="13"/>
  <c r="AB467" i="13"/>
  <c r="AB846" i="13"/>
  <c r="AB245" i="13"/>
  <c r="AB562" i="13"/>
  <c r="AB358" i="13"/>
  <c r="AB213" i="13"/>
  <c r="AB396" i="13"/>
  <c r="AB339" i="13"/>
  <c r="AB54" i="13"/>
  <c r="AB251" i="13"/>
  <c r="AB61" i="13"/>
  <c r="AB303" i="13"/>
  <c r="AB43" i="13"/>
  <c r="AB9" i="13"/>
  <c r="AB255" i="13"/>
  <c r="AB678" i="13"/>
  <c r="AB346" i="13"/>
  <c r="AB179" i="13"/>
  <c r="AB689" i="13"/>
  <c r="AB746" i="13"/>
  <c r="AB175" i="13"/>
  <c r="AB809" i="13"/>
  <c r="AB614" i="13"/>
  <c r="AB354" i="13"/>
  <c r="AB555" i="13"/>
  <c r="AB535" i="13"/>
  <c r="AB550" i="13"/>
  <c r="AB682" i="13"/>
  <c r="AB44" i="13"/>
  <c r="AB692" i="13"/>
  <c r="AB180" i="13"/>
  <c r="AB710" i="13"/>
  <c r="AB111" i="13"/>
  <c r="AB851" i="13"/>
  <c r="AB446" i="13"/>
  <c r="Y470" i="13"/>
  <c r="AA470" i="13" s="1"/>
  <c r="X470" i="13"/>
  <c r="AB470" i="13" s="1"/>
  <c r="AB233" i="13"/>
  <c r="AB268" i="13"/>
  <c r="AB254" i="13"/>
  <c r="AB553" i="13"/>
  <c r="AB487" i="13"/>
  <c r="AB671" i="13"/>
  <c r="AB327" i="13"/>
  <c r="AB389" i="13"/>
  <c r="AB38" i="13"/>
  <c r="AB570" i="13"/>
  <c r="AB518" i="13"/>
  <c r="AB293" i="13"/>
  <c r="AB639" i="13"/>
  <c r="AB844" i="13"/>
  <c r="AB16" i="13"/>
  <c r="AB615" i="13"/>
  <c r="AB17" i="13"/>
  <c r="AB861" i="13"/>
  <c r="AB99" i="13"/>
  <c r="AB156" i="13"/>
  <c r="AB22" i="13"/>
  <c r="AB448" i="13"/>
  <c r="AB204" i="13"/>
  <c r="AB381" i="13"/>
  <c r="AB390" i="13"/>
  <c r="AB775" i="13"/>
  <c r="AB673" i="13"/>
  <c r="AB627" i="13"/>
  <c r="AB87" i="13"/>
  <c r="AB747" i="13"/>
  <c r="AB870" i="13"/>
  <c r="AB471" i="13"/>
  <c r="AB46" i="13"/>
  <c r="AB365" i="13"/>
  <c r="AB134" i="13"/>
  <c r="AB634" i="13"/>
  <c r="AB616" i="13"/>
  <c r="AB248" i="13"/>
  <c r="AB730" i="13"/>
  <c r="AB378" i="13"/>
  <c r="AB574" i="13"/>
  <c r="AB63" i="13"/>
  <c r="AB807" i="13"/>
  <c r="AB739" i="13"/>
  <c r="AB362" i="13"/>
  <c r="AB867" i="13"/>
  <c r="AB404" i="13"/>
  <c r="AB41" i="13"/>
  <c r="AB687" i="13"/>
  <c r="AB208" i="13"/>
  <c r="AB58" i="13"/>
  <c r="AB513" i="13"/>
  <c r="AB827" i="13"/>
  <c r="AB435" i="13"/>
  <c r="AB738" i="13"/>
  <c r="AB567" i="13"/>
  <c r="AB450" i="13"/>
  <c r="AB318" i="13"/>
  <c r="AB113" i="13"/>
  <c r="AB19" i="13"/>
  <c r="AB521" i="13"/>
  <c r="AB755" i="13"/>
  <c r="AB407" i="13"/>
  <c r="AB869" i="13"/>
  <c r="AB603" i="13"/>
  <c r="AB622" i="13"/>
  <c r="AB1071" i="11"/>
  <c r="AB262" i="11"/>
  <c r="AB922" i="11"/>
  <c r="AB749" i="11"/>
  <c r="Y1343" i="11"/>
  <c r="AA1343" i="11" s="1"/>
  <c r="X1343" i="11"/>
  <c r="AB419" i="11"/>
  <c r="AB728" i="11"/>
  <c r="AB147" i="11"/>
  <c r="AB826" i="11"/>
  <c r="X634" i="11"/>
  <c r="AB634" i="11" s="1"/>
  <c r="Y634" i="11"/>
  <c r="AA634" i="11" s="1"/>
  <c r="AB1167" i="11"/>
  <c r="AB345" i="11"/>
  <c r="Y1184" i="11"/>
  <c r="AA1184" i="11" s="1"/>
  <c r="X1184" i="11"/>
  <c r="AB1184" i="11" s="1"/>
  <c r="X652" i="11"/>
  <c r="Y652" i="11"/>
  <c r="AA652" i="11" s="1"/>
  <c r="AB1263" i="11"/>
  <c r="AB1134" i="11"/>
  <c r="AB1230" i="11"/>
  <c r="AB1312" i="11"/>
  <c r="AB1132" i="11"/>
  <c r="AB1073" i="11"/>
  <c r="AB733" i="11"/>
  <c r="AB935" i="11"/>
  <c r="AB975" i="11"/>
  <c r="AB663" i="11"/>
  <c r="AB816" i="11"/>
  <c r="AB590" i="11"/>
  <c r="AB177" i="11"/>
  <c r="AB729" i="11"/>
  <c r="AB238" i="11"/>
  <c r="AB630" i="11"/>
  <c r="AB574" i="11"/>
  <c r="AB587" i="11"/>
  <c r="Y1299" i="11"/>
  <c r="AA1299" i="11" s="1"/>
  <c r="X1299" i="11"/>
  <c r="AB1326" i="11"/>
  <c r="AB1306" i="11"/>
  <c r="AB1220" i="11"/>
  <c r="AB654" i="11"/>
  <c r="AB666" i="11"/>
  <c r="Y860" i="11"/>
  <c r="AA860" i="11" s="1"/>
  <c r="X860" i="11"/>
  <c r="AB860" i="11" s="1"/>
  <c r="AB1148" i="11"/>
  <c r="AB1015" i="11"/>
  <c r="AB969" i="11"/>
  <c r="AB748" i="11"/>
  <c r="AB427" i="11"/>
  <c r="AB314" i="11"/>
  <c r="AB972" i="11"/>
  <c r="AB602" i="11"/>
  <c r="AB769" i="11"/>
  <c r="AB547" i="11"/>
  <c r="AB202" i="11"/>
  <c r="AB213" i="11"/>
  <c r="AB24" i="11"/>
  <c r="AB110" i="11"/>
  <c r="AB455" i="11"/>
  <c r="AB1147" i="11"/>
  <c r="X1170" i="11"/>
  <c r="Y1170" i="11"/>
  <c r="AA1170" i="11" s="1"/>
  <c r="AB1212" i="11"/>
  <c r="AB553" i="11"/>
  <c r="AB1200" i="11"/>
  <c r="AB330" i="11"/>
  <c r="AB369" i="11"/>
  <c r="AB350" i="11"/>
  <c r="AB304" i="11"/>
  <c r="AB1313" i="11"/>
  <c r="X1162" i="11"/>
  <c r="AB1162" i="11" s="1"/>
  <c r="Y1162" i="11"/>
  <c r="AA1162" i="11" s="1"/>
  <c r="Y1135" i="11"/>
  <c r="AA1135" i="11" s="1"/>
  <c r="X1135" i="11"/>
  <c r="AB1135" i="11" s="1"/>
  <c r="AB1126" i="11"/>
  <c r="Y1205" i="11"/>
  <c r="AA1205" i="11" s="1"/>
  <c r="X1205" i="11"/>
  <c r="AB1205" i="11" s="1"/>
  <c r="AB1095" i="11"/>
  <c r="X852" i="11"/>
  <c r="AB852" i="11" s="1"/>
  <c r="Y852" i="11"/>
  <c r="AA852" i="11" s="1"/>
  <c r="AB946" i="11"/>
  <c r="AB432" i="11"/>
  <c r="AB662" i="11"/>
  <c r="AB883" i="11"/>
  <c r="AB519" i="11"/>
  <c r="AB130" i="11"/>
  <c r="AB503" i="11"/>
  <c r="AB1082" i="11"/>
  <c r="AB825" i="11"/>
  <c r="AB1202" i="11"/>
  <c r="Y887" i="11"/>
  <c r="AA887" i="11" s="1"/>
  <c r="X887" i="11"/>
  <c r="AB887" i="11" s="1"/>
  <c r="AB1308" i="11"/>
  <c r="AB977" i="11"/>
  <c r="AB948" i="11"/>
  <c r="AB727" i="11"/>
  <c r="AB784" i="11"/>
  <c r="AB914" i="11"/>
  <c r="AB480" i="11"/>
  <c r="AB91" i="11"/>
  <c r="AB309" i="11"/>
  <c r="AB26" i="11"/>
  <c r="AB1137" i="11"/>
  <c r="AB777" i="11"/>
  <c r="AB320" i="11"/>
  <c r="AB1165" i="11"/>
  <c r="AB481" i="11"/>
  <c r="AB1125" i="11"/>
  <c r="AB761" i="11"/>
  <c r="AB814" i="11"/>
  <c r="AB511" i="11"/>
  <c r="AB339" i="11"/>
  <c r="AB351" i="11"/>
  <c r="Y1093" i="11"/>
  <c r="AA1093" i="11" s="1"/>
  <c r="X1093" i="11"/>
  <c r="AB1169" i="11"/>
  <c r="AB915" i="11"/>
  <c r="Y793" i="11"/>
  <c r="AA793" i="11" s="1"/>
  <c r="X793" i="11"/>
  <c r="AB793" i="11" s="1"/>
  <c r="AB1038" i="11"/>
  <c r="AB973" i="11"/>
  <c r="AB868" i="11"/>
  <c r="Y872" i="11"/>
  <c r="AA872" i="11" s="1"/>
  <c r="X872" i="11"/>
  <c r="AB872" i="11" s="1"/>
  <c r="AB1130" i="11"/>
  <c r="AB1150" i="11"/>
  <c r="AB843" i="11"/>
  <c r="Y958" i="11"/>
  <c r="AA958" i="11" s="1"/>
  <c r="X958" i="11"/>
  <c r="AB958" i="11" s="1"/>
  <c r="AB858" i="11"/>
  <c r="AB471" i="11"/>
  <c r="AB890" i="11"/>
  <c r="AB496" i="11"/>
  <c r="AB275" i="11"/>
  <c r="AB156" i="11"/>
  <c r="AB377" i="11"/>
  <c r="AB272" i="11"/>
  <c r="AB286" i="11"/>
  <c r="AB443" i="11"/>
  <c r="AB420" i="11"/>
  <c r="AB483" i="11"/>
  <c r="AB183" i="11"/>
  <c r="AB4" i="11"/>
  <c r="AB753" i="11"/>
  <c r="AB1287" i="11"/>
  <c r="Y680" i="11"/>
  <c r="AA680" i="11" s="1"/>
  <c r="X680" i="11"/>
  <c r="AB268" i="11"/>
  <c r="X1336" i="11"/>
  <c r="Y1336" i="11"/>
  <c r="AA1336" i="11" s="1"/>
  <c r="Y1338" i="11"/>
  <c r="AA1338" i="11" s="1"/>
  <c r="X1338" i="11"/>
  <c r="X1284" i="11"/>
  <c r="Y1284" i="11"/>
  <c r="AA1284" i="11" s="1"/>
  <c r="AB1122" i="11"/>
  <c r="Y959" i="11"/>
  <c r="AA959" i="11" s="1"/>
  <c r="X959" i="11"/>
  <c r="AB959" i="11" s="1"/>
  <c r="X847" i="11"/>
  <c r="Y847" i="11"/>
  <c r="AA847" i="11" s="1"/>
  <c r="Y486" i="11"/>
  <c r="AA486" i="11" s="1"/>
  <c r="X486" i="11"/>
  <c r="X295" i="11"/>
  <c r="Y295" i="11"/>
  <c r="AA295" i="11" s="1"/>
  <c r="Y540" i="11"/>
  <c r="AA540" i="11" s="1"/>
  <c r="X540" i="11"/>
  <c r="Y143" i="11"/>
  <c r="AA143" i="11" s="1"/>
  <c r="X143" i="11"/>
  <c r="AB143" i="11" s="1"/>
  <c r="Y326" i="11"/>
  <c r="AA326" i="11" s="1"/>
  <c r="X326" i="11"/>
  <c r="AB326" i="11" s="1"/>
  <c r="X414" i="11"/>
  <c r="Y414" i="11"/>
  <c r="AA414" i="11" s="1"/>
  <c r="Y137" i="11"/>
  <c r="AA137" i="11" s="1"/>
  <c r="X137" i="11"/>
  <c r="AB137" i="11" s="1"/>
  <c r="X300" i="11"/>
  <c r="Y300" i="11"/>
  <c r="AA300" i="11" s="1"/>
  <c r="Y293" i="11"/>
  <c r="AA293" i="11" s="1"/>
  <c r="X293" i="11"/>
  <c r="X19" i="11"/>
  <c r="Y19" i="11"/>
  <c r="AA19" i="11" s="1"/>
  <c r="Y94" i="11"/>
  <c r="AA94" i="11" s="1"/>
  <c r="X94" i="11"/>
  <c r="Y412" i="11"/>
  <c r="AA412" i="11" s="1"/>
  <c r="X412" i="11"/>
  <c r="AB412" i="11" s="1"/>
  <c r="Y1350" i="11"/>
  <c r="AA1350" i="11" s="1"/>
  <c r="X1350" i="11"/>
  <c r="AB1350" i="11" s="1"/>
  <c r="AB1315" i="11"/>
  <c r="Y1273" i="11"/>
  <c r="AA1273" i="11" s="1"/>
  <c r="X1273" i="11"/>
  <c r="AB1273" i="11" s="1"/>
  <c r="AB1238" i="11"/>
  <c r="Y1257" i="11"/>
  <c r="AA1257" i="11" s="1"/>
  <c r="X1257" i="11"/>
  <c r="AB1257" i="11" s="1"/>
  <c r="AB1012" i="11"/>
  <c r="Y931" i="11"/>
  <c r="AA931" i="11" s="1"/>
  <c r="X931" i="11"/>
  <c r="Y1069" i="11"/>
  <c r="AA1069" i="11" s="1"/>
  <c r="X1069" i="11"/>
  <c r="AB1069" i="11" s="1"/>
  <c r="Y705" i="11"/>
  <c r="AA705" i="11" s="1"/>
  <c r="X705" i="11"/>
  <c r="AB694" i="11"/>
  <c r="Y613" i="11"/>
  <c r="AA613" i="11" s="1"/>
  <c r="X613" i="11"/>
  <c r="AB613" i="11" s="1"/>
  <c r="Y607" i="11"/>
  <c r="AA607" i="11" s="1"/>
  <c r="X607" i="11"/>
  <c r="AB687" i="11"/>
  <c r="X819" i="11"/>
  <c r="Y819" i="11"/>
  <c r="AA819" i="11" s="1"/>
  <c r="AB597" i="11"/>
  <c r="X476" i="11"/>
  <c r="Y476" i="11"/>
  <c r="AA476" i="11" s="1"/>
  <c r="Y622" i="11"/>
  <c r="AA622" i="11" s="1"/>
  <c r="X622" i="11"/>
  <c r="X289" i="11"/>
  <c r="AB289" i="11" s="1"/>
  <c r="Y289" i="11"/>
  <c r="AA289" i="11" s="1"/>
  <c r="Y464" i="11"/>
  <c r="AA464" i="11" s="1"/>
  <c r="X464" i="11"/>
  <c r="AB464" i="11" s="1"/>
  <c r="AB187" i="11"/>
  <c r="Y291" i="11"/>
  <c r="AA291" i="11" s="1"/>
  <c r="X291" i="11"/>
  <c r="Y538" i="11"/>
  <c r="AA538" i="11" s="1"/>
  <c r="X538" i="11"/>
  <c r="AB538" i="11" s="1"/>
  <c r="Y230" i="11"/>
  <c r="AA230" i="11" s="1"/>
  <c r="X230" i="11"/>
  <c r="AB230" i="11" s="1"/>
  <c r="X450" i="11"/>
  <c r="Y450" i="11"/>
  <c r="AA450" i="11" s="1"/>
  <c r="AB157" i="11"/>
  <c r="Y386" i="11"/>
  <c r="AA386" i="11" s="1"/>
  <c r="X386" i="11"/>
  <c r="Y470" i="11"/>
  <c r="AA470" i="11" s="1"/>
  <c r="X470" i="11"/>
  <c r="X673" i="11"/>
  <c r="Y673" i="11"/>
  <c r="AA673" i="11" s="1"/>
  <c r="X5" i="11"/>
  <c r="Y5" i="11"/>
  <c r="AA5" i="11" s="1"/>
  <c r="AB692" i="11"/>
  <c r="X17" i="11"/>
  <c r="Y17" i="11"/>
  <c r="AA17" i="11" s="1"/>
  <c r="X7" i="11"/>
  <c r="Y7" i="11"/>
  <c r="AA7" i="11" s="1"/>
  <c r="AB363" i="11"/>
  <c r="Y381" i="11"/>
  <c r="AA381" i="11" s="1"/>
  <c r="X381" i="11"/>
  <c r="Y149" i="11"/>
  <c r="AA149" i="11" s="1"/>
  <c r="X149" i="11"/>
  <c r="Y62" i="11"/>
  <c r="AA62" i="11" s="1"/>
  <c r="X62" i="11"/>
  <c r="AB237" i="11"/>
  <c r="X1180" i="11"/>
  <c r="Y1180" i="11"/>
  <c r="AA1180" i="11" s="1"/>
  <c r="X1185" i="11"/>
  <c r="Y1185" i="11"/>
  <c r="AA1185" i="11" s="1"/>
  <c r="Y897" i="11"/>
  <c r="AA897" i="11" s="1"/>
  <c r="X897" i="11"/>
  <c r="AB897" i="11" s="1"/>
  <c r="Y384" i="11"/>
  <c r="AA384" i="11" s="1"/>
  <c r="X384" i="11"/>
  <c r="AB384" i="11" s="1"/>
  <c r="Y978" i="11"/>
  <c r="AA978" i="11" s="1"/>
  <c r="X978" i="11"/>
  <c r="X1314" i="11"/>
  <c r="Y1314" i="11"/>
  <c r="AA1314" i="11" s="1"/>
  <c r="X1077" i="11"/>
  <c r="Y1077" i="11"/>
  <c r="AA1077" i="11" s="1"/>
  <c r="Y1264" i="11"/>
  <c r="AA1264" i="11" s="1"/>
  <c r="X1264" i="11"/>
  <c r="Y702" i="11"/>
  <c r="AA702" i="11" s="1"/>
  <c r="X702" i="11"/>
  <c r="AB702" i="11" s="1"/>
  <c r="Y429" i="11"/>
  <c r="AA429" i="11" s="1"/>
  <c r="X429" i="11"/>
  <c r="Y85" i="11"/>
  <c r="AA85" i="11" s="1"/>
  <c r="X85" i="11"/>
  <c r="AB85" i="11" s="1"/>
  <c r="Y549" i="11"/>
  <c r="AA549" i="11" s="1"/>
  <c r="X549" i="11"/>
  <c r="AB549" i="11" s="1"/>
  <c r="Y56" i="11"/>
  <c r="AA56" i="11" s="1"/>
  <c r="X56" i="11"/>
  <c r="X241" i="11"/>
  <c r="Y241" i="11"/>
  <c r="AA241" i="11" s="1"/>
  <c r="Y1000" i="11"/>
  <c r="AA1000" i="11" s="1"/>
  <c r="X1000" i="11"/>
  <c r="AB1000" i="11" s="1"/>
  <c r="X1123" i="11"/>
  <c r="Y1123" i="11"/>
  <c r="AA1123" i="11" s="1"/>
  <c r="X894" i="11"/>
  <c r="Y894" i="11"/>
  <c r="AA894" i="11" s="1"/>
  <c r="X892" i="11"/>
  <c r="Y892" i="11"/>
  <c r="AA892" i="11" s="1"/>
  <c r="X936" i="11"/>
  <c r="Y936" i="11"/>
  <c r="AA936" i="11" s="1"/>
  <c r="Y671" i="11"/>
  <c r="AA671" i="11" s="1"/>
  <c r="X671" i="11"/>
  <c r="AB671" i="11" s="1"/>
  <c r="Y841" i="11"/>
  <c r="AA841" i="11" s="1"/>
  <c r="X841" i="11"/>
  <c r="X484" i="11"/>
  <c r="Y484" i="11"/>
  <c r="AA484" i="11" s="1"/>
  <c r="Y526" i="11"/>
  <c r="AA526" i="11" s="1"/>
  <c r="X526" i="11"/>
  <c r="AB526" i="11" s="1"/>
  <c r="AB639" i="11"/>
  <c r="Y418" i="11"/>
  <c r="AA418" i="11" s="1"/>
  <c r="X418" i="11"/>
  <c r="AB418" i="11" s="1"/>
  <c r="Y670" i="11"/>
  <c r="AA670" i="11" s="1"/>
  <c r="X670" i="11"/>
  <c r="AB670" i="11" s="1"/>
  <c r="Y49" i="11"/>
  <c r="AA49" i="11" s="1"/>
  <c r="X49" i="11"/>
  <c r="Y229" i="11"/>
  <c r="AA229" i="11" s="1"/>
  <c r="X229" i="11"/>
  <c r="AB229" i="11" s="1"/>
  <c r="Y196" i="11"/>
  <c r="AA196" i="11" s="1"/>
  <c r="X196" i="11"/>
  <c r="AB196" i="11" s="1"/>
  <c r="Y329" i="11"/>
  <c r="AA329" i="11" s="1"/>
  <c r="X329" i="11"/>
  <c r="Y440" i="11"/>
  <c r="AA440" i="11" s="1"/>
  <c r="X440" i="11"/>
  <c r="AB440" i="11" s="1"/>
  <c r="Y1353" i="11"/>
  <c r="AA1353" i="11" s="1"/>
  <c r="X1353" i="11"/>
  <c r="AB1290" i="11"/>
  <c r="Y1067" i="11"/>
  <c r="AA1067" i="11" s="1"/>
  <c r="X1067" i="11"/>
  <c r="AB1067" i="11" s="1"/>
  <c r="Y1195" i="11"/>
  <c r="AA1195" i="11" s="1"/>
  <c r="X1195" i="11"/>
  <c r="Y1271" i="11"/>
  <c r="AA1271" i="11" s="1"/>
  <c r="X1271" i="11"/>
  <c r="AB1271" i="11" s="1"/>
  <c r="Y1099" i="11"/>
  <c r="AA1099" i="11" s="1"/>
  <c r="X1099" i="11"/>
  <c r="AB1099" i="11" s="1"/>
  <c r="Y976" i="11"/>
  <c r="AA976" i="11" s="1"/>
  <c r="X976" i="11"/>
  <c r="AB1182" i="11"/>
  <c r="Y879" i="11"/>
  <c r="AA879" i="11" s="1"/>
  <c r="X879" i="11"/>
  <c r="AB879" i="11" s="1"/>
  <c r="AB1107" i="11"/>
  <c r="Y893" i="11"/>
  <c r="AA893" i="11" s="1"/>
  <c r="X893" i="11"/>
  <c r="X780" i="11"/>
  <c r="Y780" i="11"/>
  <c r="AA780" i="11" s="1"/>
  <c r="AB980" i="11"/>
  <c r="Y722" i="11"/>
  <c r="AA722" i="11" s="1"/>
  <c r="X722" i="11"/>
  <c r="Y812" i="11"/>
  <c r="AA812" i="11" s="1"/>
  <c r="X812" i="11"/>
  <c r="AB812" i="11" s="1"/>
  <c r="AB750" i="11"/>
  <c r="Y542" i="11"/>
  <c r="AA542" i="11" s="1"/>
  <c r="X542" i="11"/>
  <c r="AB640" i="11"/>
  <c r="Y431" i="11"/>
  <c r="AA431" i="11" s="1"/>
  <c r="X431" i="11"/>
  <c r="AB431" i="11" s="1"/>
  <c r="X378" i="11"/>
  <c r="AB378" i="11" s="1"/>
  <c r="Y378" i="11"/>
  <c r="AA378" i="11" s="1"/>
  <c r="Y614" i="11"/>
  <c r="AA614" i="11" s="1"/>
  <c r="X614" i="11"/>
  <c r="AB614" i="11" s="1"/>
  <c r="Y312" i="11"/>
  <c r="AA312" i="11" s="1"/>
  <c r="X312" i="11"/>
  <c r="Y28" i="11"/>
  <c r="AA28" i="11" s="1"/>
  <c r="X28" i="11"/>
  <c r="Y353" i="11"/>
  <c r="AA353" i="11" s="1"/>
  <c r="X353" i="11"/>
  <c r="AB353" i="11" s="1"/>
  <c r="X40" i="11"/>
  <c r="Y40" i="11"/>
  <c r="AA40" i="11" s="1"/>
  <c r="Y89" i="11"/>
  <c r="AA89" i="11" s="1"/>
  <c r="X89" i="11"/>
  <c r="Y152" i="11"/>
  <c r="AA152" i="11" s="1"/>
  <c r="X152" i="11"/>
  <c r="AB152" i="11" s="1"/>
  <c r="Y234" i="11"/>
  <c r="AA234" i="11" s="1"/>
  <c r="X234" i="11"/>
  <c r="Y355" i="11"/>
  <c r="AA355" i="11" s="1"/>
  <c r="X355" i="11"/>
  <c r="AB355" i="11" s="1"/>
  <c r="Y42" i="11"/>
  <c r="AA42" i="11" s="1"/>
  <c r="X42" i="11"/>
  <c r="X53" i="11"/>
  <c r="Y53" i="11"/>
  <c r="AA53" i="11" s="1"/>
  <c r="Y888" i="11"/>
  <c r="AA888" i="11" s="1"/>
  <c r="X888" i="11"/>
  <c r="AB888" i="11" s="1"/>
  <c r="X881" i="11"/>
  <c r="Y881" i="11"/>
  <c r="AA881" i="11" s="1"/>
  <c r="Y1102" i="11"/>
  <c r="AA1102" i="11" s="1"/>
  <c r="X1102" i="11"/>
  <c r="Y1088" i="11"/>
  <c r="AA1088" i="11" s="1"/>
  <c r="X1088" i="11"/>
  <c r="AB1088" i="11" s="1"/>
  <c r="X1030" i="11"/>
  <c r="AB1030" i="11" s="1"/>
  <c r="Y1030" i="11"/>
  <c r="AA1030" i="11" s="1"/>
  <c r="Y242" i="11"/>
  <c r="AA242" i="11" s="1"/>
  <c r="X242" i="11"/>
  <c r="AB242" i="11" s="1"/>
  <c r="X374" i="11"/>
  <c r="Y374" i="11"/>
  <c r="AA374" i="11" s="1"/>
  <c r="Y54" i="11"/>
  <c r="AA54" i="11" s="1"/>
  <c r="X54" i="11"/>
  <c r="X72" i="11"/>
  <c r="Y72" i="11"/>
  <c r="AA72" i="11" s="1"/>
  <c r="Y578" i="11"/>
  <c r="AA578" i="11" s="1"/>
  <c r="X578" i="11"/>
  <c r="AB578" i="11" s="1"/>
  <c r="Y37" i="11"/>
  <c r="AA37" i="11" s="1"/>
  <c r="X37" i="11"/>
  <c r="Y1256" i="11"/>
  <c r="AA1256" i="11" s="1"/>
  <c r="X1256" i="11"/>
  <c r="AB1256" i="11" s="1"/>
  <c r="Y1039" i="11"/>
  <c r="AA1039" i="11" s="1"/>
  <c r="X1039" i="11"/>
  <c r="X1278" i="11"/>
  <c r="Y1278" i="11"/>
  <c r="AA1278" i="11" s="1"/>
  <c r="Y857" i="11"/>
  <c r="AA857" i="11" s="1"/>
  <c r="X857" i="11"/>
  <c r="Y776" i="11"/>
  <c r="AA776" i="11" s="1"/>
  <c r="X776" i="11"/>
  <c r="Y557" i="11"/>
  <c r="AA557" i="11" s="1"/>
  <c r="X557" i="11"/>
  <c r="AB557" i="11" s="1"/>
  <c r="Y495" i="11"/>
  <c r="AA495" i="11" s="1"/>
  <c r="X495" i="11"/>
  <c r="AB495" i="11" s="1"/>
  <c r="Y151" i="11"/>
  <c r="AA151" i="11" s="1"/>
  <c r="X151" i="11"/>
  <c r="Y30" i="11"/>
  <c r="AA30" i="11" s="1"/>
  <c r="X30" i="11"/>
  <c r="AB30" i="11" s="1"/>
  <c r="X376" i="11"/>
  <c r="AB376" i="11" s="1"/>
  <c r="Y376" i="11"/>
  <c r="AA376" i="11" s="1"/>
  <c r="AB405" i="11"/>
  <c r="Y29" i="11"/>
  <c r="AA29" i="11" s="1"/>
  <c r="X29" i="11"/>
  <c r="AB29" i="11" s="1"/>
  <c r="X1245" i="11"/>
  <c r="Y1245" i="11"/>
  <c r="AA1245" i="11" s="1"/>
  <c r="AB1151" i="11"/>
  <c r="X1241" i="11"/>
  <c r="Y1241" i="11"/>
  <c r="AA1241" i="11" s="1"/>
  <c r="X1328" i="11"/>
  <c r="Y1328" i="11"/>
  <c r="AA1328" i="11" s="1"/>
  <c r="Y1063" i="11"/>
  <c r="AA1063" i="11" s="1"/>
  <c r="X1063" i="11"/>
  <c r="X1159" i="11"/>
  <c r="Y1159" i="11"/>
  <c r="AA1159" i="11" s="1"/>
  <c r="Y1231" i="11"/>
  <c r="AA1231" i="11" s="1"/>
  <c r="X1231" i="11"/>
  <c r="X1172" i="11"/>
  <c r="Y1172" i="11"/>
  <c r="AA1172" i="11" s="1"/>
  <c r="X1164" i="11"/>
  <c r="Y1164" i="11"/>
  <c r="AA1164" i="11" s="1"/>
  <c r="X1081" i="11"/>
  <c r="Y1081" i="11"/>
  <c r="AA1081" i="11" s="1"/>
  <c r="Y1056" i="11"/>
  <c r="AA1056" i="11" s="1"/>
  <c r="X1056" i="11"/>
  <c r="AB1056" i="11" s="1"/>
  <c r="AB1064" i="11"/>
  <c r="Y874" i="11"/>
  <c r="AA874" i="11" s="1"/>
  <c r="X874" i="11"/>
  <c r="AB886" i="11"/>
  <c r="AB821" i="11"/>
  <c r="X921" i="11"/>
  <c r="Y921" i="11"/>
  <c r="AA921" i="11" s="1"/>
  <c r="Y746" i="11"/>
  <c r="AA746" i="11" s="1"/>
  <c r="X746" i="11"/>
  <c r="AB723" i="11"/>
  <c r="Y439" i="11"/>
  <c r="AA439" i="11" s="1"/>
  <c r="X439" i="11"/>
  <c r="AB669" i="11"/>
  <c r="X518" i="11"/>
  <c r="Y518" i="11"/>
  <c r="AA518" i="11" s="1"/>
  <c r="AB667" i="11"/>
  <c r="X372" i="11"/>
  <c r="Y372" i="11"/>
  <c r="AA372" i="11" s="1"/>
  <c r="Y596" i="11"/>
  <c r="AA596" i="11" s="1"/>
  <c r="X596" i="11"/>
  <c r="AB790" i="11"/>
  <c r="Y492" i="11"/>
  <c r="AA492" i="11" s="1"/>
  <c r="X492" i="11"/>
  <c r="Y223" i="11"/>
  <c r="AA223" i="11" s="1"/>
  <c r="X223" i="11"/>
  <c r="AB522" i="11"/>
  <c r="AB191" i="11"/>
  <c r="Y61" i="11"/>
  <c r="AA61" i="11" s="1"/>
  <c r="X61" i="11"/>
  <c r="Y357" i="11"/>
  <c r="AA357" i="11" s="1"/>
  <c r="X357" i="11"/>
  <c r="AB357" i="11" s="1"/>
  <c r="AB562" i="11"/>
  <c r="X38" i="11"/>
  <c r="Y38" i="11"/>
  <c r="AA38" i="11" s="1"/>
  <c r="X560" i="11"/>
  <c r="Y560" i="11"/>
  <c r="AA560" i="11" s="1"/>
  <c r="Y380" i="11"/>
  <c r="AA380" i="11" s="1"/>
  <c r="X380" i="11"/>
  <c r="AB380" i="11" s="1"/>
  <c r="X709" i="11"/>
  <c r="AB709" i="11" s="1"/>
  <c r="Y709" i="11"/>
  <c r="AA709" i="11" s="1"/>
  <c r="Y465" i="11"/>
  <c r="AA465" i="11" s="1"/>
  <c r="X465" i="11"/>
  <c r="AB465" i="11" s="1"/>
  <c r="Y123" i="11"/>
  <c r="AA123" i="11" s="1"/>
  <c r="X123" i="11"/>
  <c r="Y523" i="11"/>
  <c r="AA523" i="11" s="1"/>
  <c r="X523" i="11"/>
  <c r="Y35" i="11"/>
  <c r="AA35" i="11" s="1"/>
  <c r="X35" i="11"/>
  <c r="AB35" i="11" s="1"/>
  <c r="Y802" i="11"/>
  <c r="AA802" i="11" s="1"/>
  <c r="X802" i="11"/>
  <c r="AB802" i="11" s="1"/>
  <c r="Y333" i="11"/>
  <c r="AA333" i="11" s="1"/>
  <c r="X333" i="11"/>
  <c r="X1149" i="11"/>
  <c r="Y1149" i="11"/>
  <c r="AA1149" i="11" s="1"/>
  <c r="Y1061" i="11"/>
  <c r="AA1061" i="11" s="1"/>
  <c r="X1061" i="11"/>
  <c r="X876" i="11"/>
  <c r="Y876" i="11"/>
  <c r="AA876" i="11" s="1"/>
  <c r="Y1057" i="11"/>
  <c r="AA1057" i="11" s="1"/>
  <c r="X1057" i="11"/>
  <c r="Y561" i="11"/>
  <c r="AA561" i="11" s="1"/>
  <c r="X561" i="11"/>
  <c r="Y889" i="11"/>
  <c r="AA889" i="11" s="1"/>
  <c r="X889" i="11"/>
  <c r="AB889" i="11" s="1"/>
  <c r="X370" i="11"/>
  <c r="Y370" i="11"/>
  <c r="AA370" i="11" s="1"/>
  <c r="Y475" i="11"/>
  <c r="AA475" i="11" s="1"/>
  <c r="X475" i="11"/>
  <c r="Y203" i="11"/>
  <c r="AA203" i="11" s="1"/>
  <c r="X203" i="11"/>
  <c r="AB203" i="11" s="1"/>
  <c r="Y266" i="11"/>
  <c r="AA266" i="11" s="1"/>
  <c r="X266" i="11"/>
  <c r="Y366" i="11"/>
  <c r="AA366" i="11" s="1"/>
  <c r="X366" i="11"/>
  <c r="AB366" i="11" s="1"/>
  <c r="Y296" i="11"/>
  <c r="AA296" i="11" s="1"/>
  <c r="X296" i="11"/>
  <c r="X580" i="11"/>
  <c r="Y580" i="11"/>
  <c r="AA580" i="11" s="1"/>
  <c r="Y36" i="11"/>
  <c r="AA36" i="11" s="1"/>
  <c r="X36" i="11"/>
  <c r="Y341" i="11"/>
  <c r="AA341" i="11" s="1"/>
  <c r="X341" i="11"/>
  <c r="AB341" i="11" s="1"/>
  <c r="X70" i="11"/>
  <c r="Y70" i="11"/>
  <c r="AA70" i="11" s="1"/>
  <c r="Y478" i="11"/>
  <c r="AA478" i="11" s="1"/>
  <c r="X478" i="11"/>
  <c r="AB478" i="11" s="1"/>
  <c r="Y192" i="11"/>
  <c r="AA192" i="11" s="1"/>
  <c r="X192" i="11"/>
  <c r="Y31" i="11"/>
  <c r="AA31" i="11" s="1"/>
  <c r="X31" i="11"/>
  <c r="AB31" i="11" s="1"/>
  <c r="Y898" i="11"/>
  <c r="AA898" i="11" s="1"/>
  <c r="X898" i="11"/>
  <c r="Y603" i="11"/>
  <c r="AA603" i="11" s="1"/>
  <c r="X603" i="11"/>
  <c r="X416" i="11"/>
  <c r="Y416" i="11"/>
  <c r="AA416" i="11" s="1"/>
  <c r="X1221" i="11"/>
  <c r="Y1221" i="11"/>
  <c r="AA1221" i="11" s="1"/>
  <c r="Y963" i="11"/>
  <c r="AA963" i="11" s="1"/>
  <c r="X963" i="11"/>
  <c r="X1060" i="11"/>
  <c r="Y1060" i="11"/>
  <c r="AA1060" i="11" s="1"/>
  <c r="Y1041" i="11"/>
  <c r="AA1041" i="11" s="1"/>
  <c r="X1041" i="11"/>
  <c r="X766" i="11"/>
  <c r="Y766" i="11"/>
  <c r="AA766" i="11" s="1"/>
  <c r="Y1003" i="11"/>
  <c r="AA1003" i="11" s="1"/>
  <c r="X1003" i="11"/>
  <c r="Y738" i="11"/>
  <c r="AA738" i="11" s="1"/>
  <c r="X738" i="11"/>
  <c r="Y546" i="11"/>
  <c r="AA546" i="11" s="1"/>
  <c r="X546" i="11"/>
  <c r="AB546" i="11" s="1"/>
  <c r="AB684" i="11"/>
  <c r="Y368" i="11"/>
  <c r="AA368" i="11" s="1"/>
  <c r="X368" i="11"/>
  <c r="Y573" i="11"/>
  <c r="AA573" i="11" s="1"/>
  <c r="X573" i="11"/>
  <c r="Y362" i="11"/>
  <c r="AA362" i="11" s="1"/>
  <c r="X362" i="11"/>
  <c r="Y591" i="11"/>
  <c r="AA591" i="11" s="1"/>
  <c r="X591" i="11"/>
  <c r="Y765" i="11"/>
  <c r="AA765" i="11" s="1"/>
  <c r="X765" i="11"/>
  <c r="AB765" i="11" s="1"/>
  <c r="AB643" i="11"/>
  <c r="AB240" i="11"/>
  <c r="Y169" i="11"/>
  <c r="AA169" i="11" s="1"/>
  <c r="X169" i="11"/>
  <c r="AB169" i="11" s="1"/>
  <c r="X82" i="11"/>
  <c r="Y82" i="11"/>
  <c r="AA82" i="11" s="1"/>
  <c r="Y563" i="11"/>
  <c r="AA563" i="11" s="1"/>
  <c r="X563" i="11"/>
  <c r="X531" i="11"/>
  <c r="Y531" i="11"/>
  <c r="AA531" i="11" s="1"/>
  <c r="Y331" i="11"/>
  <c r="AA331" i="11" s="1"/>
  <c r="X331" i="11"/>
  <c r="X552" i="11"/>
  <c r="AB552" i="11" s="1"/>
  <c r="Y552" i="11"/>
  <c r="AA552" i="11" s="1"/>
  <c r="AB249" i="11"/>
  <c r="Y34" i="11"/>
  <c r="AA34" i="11" s="1"/>
  <c r="X34" i="11"/>
  <c r="Y44" i="11"/>
  <c r="AA44" i="11" s="1"/>
  <c r="X44" i="11"/>
  <c r="Y287" i="11"/>
  <c r="AA287" i="11" s="1"/>
  <c r="X287" i="11"/>
  <c r="AB287" i="11" s="1"/>
  <c r="Y168" i="11"/>
  <c r="AA168" i="11" s="1"/>
  <c r="X168" i="11"/>
  <c r="AB168" i="11" s="1"/>
  <c r="Y83" i="11"/>
  <c r="AA83" i="11" s="1"/>
  <c r="X83" i="11"/>
  <c r="AB6" i="11"/>
  <c r="AB20" i="11"/>
  <c r="AB194" i="11"/>
  <c r="X107" i="11"/>
  <c r="AB107" i="11" s="1"/>
  <c r="Y107" i="11"/>
  <c r="AA107" i="11" s="1"/>
  <c r="Y371" i="11"/>
  <c r="AA371" i="11" s="1"/>
  <c r="X371" i="11"/>
  <c r="AB371" i="11" s="1"/>
  <c r="X11" i="11"/>
  <c r="Y11" i="11"/>
  <c r="AA11" i="11" s="1"/>
  <c r="Y1108" i="11"/>
  <c r="AA1108" i="11" s="1"/>
  <c r="X1108" i="11"/>
  <c r="AB1108" i="11" s="1"/>
  <c r="X697" i="11"/>
  <c r="Y697" i="11"/>
  <c r="AA697" i="11" s="1"/>
  <c r="Y712" i="11"/>
  <c r="AA712" i="11" s="1"/>
  <c r="X712" i="11"/>
  <c r="X745" i="11"/>
  <c r="Y745" i="11"/>
  <c r="AA745" i="11" s="1"/>
  <c r="Y205" i="11"/>
  <c r="AA205" i="11" s="1"/>
  <c r="X205" i="11"/>
  <c r="X21" i="11"/>
  <c r="AB21" i="11" s="1"/>
  <c r="Y21" i="11"/>
  <c r="AA21" i="11" s="1"/>
  <c r="AB1157" i="11"/>
  <c r="Y441" i="11"/>
  <c r="AA441" i="11" s="1"/>
  <c r="X441" i="11"/>
  <c r="X281" i="11"/>
  <c r="Y281" i="11"/>
  <c r="AA281" i="11" s="1"/>
  <c r="X15" i="11"/>
  <c r="Y15" i="11"/>
  <c r="AA15" i="11" s="1"/>
  <c r="X912" i="11"/>
  <c r="Y912" i="11"/>
  <c r="AA912" i="11" s="1"/>
  <c r="Y1054" i="11"/>
  <c r="AA1054" i="11" s="1"/>
  <c r="X1054" i="11"/>
  <c r="Y861" i="11"/>
  <c r="AA861" i="11" s="1"/>
  <c r="X861" i="11"/>
  <c r="AB861" i="11" s="1"/>
  <c r="Y779" i="11"/>
  <c r="AA779" i="11" s="1"/>
  <c r="X779" i="11"/>
  <c r="Y360" i="11"/>
  <c r="AA360" i="11" s="1"/>
  <c r="X360" i="11"/>
  <c r="AB360" i="11" s="1"/>
  <c r="X675" i="11"/>
  <c r="Y675" i="11"/>
  <c r="AA675" i="11" s="1"/>
  <c r="Y447" i="11"/>
  <c r="AA447" i="11" s="1"/>
  <c r="X447" i="11"/>
  <c r="Y195" i="11"/>
  <c r="AA195" i="11" s="1"/>
  <c r="X195" i="11"/>
  <c r="AB195" i="11" s="1"/>
  <c r="Y319" i="11"/>
  <c r="AA319" i="11" s="1"/>
  <c r="X319" i="11"/>
  <c r="AB319" i="11" s="1"/>
  <c r="X535" i="11"/>
  <c r="Y535" i="11"/>
  <c r="AA535" i="11" s="1"/>
  <c r="X32" i="11"/>
  <c r="Y32" i="11"/>
  <c r="AA32" i="11" s="1"/>
  <c r="X294" i="11"/>
  <c r="AB294" i="11" s="1"/>
  <c r="Y294" i="11"/>
  <c r="AA294" i="11" s="1"/>
  <c r="Y13" i="11"/>
  <c r="AA13" i="11" s="1"/>
  <c r="X13" i="11"/>
  <c r="AB13" i="11" s="1"/>
  <c r="Y473" i="11"/>
  <c r="AA473" i="11" s="1"/>
  <c r="X473" i="11"/>
  <c r="AB423" i="11"/>
  <c r="AB348" i="11"/>
  <c r="Y1007" i="11"/>
  <c r="AA1007" i="11" s="1"/>
  <c r="X1007" i="11"/>
  <c r="AB1007" i="11" s="1"/>
  <c r="Y1158" i="11"/>
  <c r="AA1158" i="11" s="1"/>
  <c r="X1158" i="11"/>
  <c r="AB1158" i="11" s="1"/>
  <c r="X1316" i="11"/>
  <c r="Y1316" i="11"/>
  <c r="AA1316" i="11" s="1"/>
  <c r="X1215" i="11"/>
  <c r="Y1215" i="11"/>
  <c r="AA1215" i="11" s="1"/>
  <c r="Y792" i="11"/>
  <c r="AA792" i="11" s="1"/>
  <c r="X792" i="11"/>
  <c r="X741" i="11"/>
  <c r="Y741" i="11"/>
  <c r="AA741" i="11" s="1"/>
  <c r="Y833" i="11"/>
  <c r="AA833" i="11" s="1"/>
  <c r="X833" i="11"/>
  <c r="Y896" i="11"/>
  <c r="AA896" i="11" s="1"/>
  <c r="X896" i="11"/>
  <c r="Y788" i="11"/>
  <c r="AA788" i="11" s="1"/>
  <c r="X788" i="11"/>
  <c r="AB788" i="11" s="1"/>
  <c r="X781" i="11"/>
  <c r="Y781" i="11"/>
  <c r="AA781" i="11" s="1"/>
  <c r="Y327" i="11"/>
  <c r="AA327" i="11" s="1"/>
  <c r="X327" i="11"/>
  <c r="Y532" i="11"/>
  <c r="AA532" i="11" s="1"/>
  <c r="X532" i="11"/>
  <c r="AB532" i="11" s="1"/>
  <c r="Y437" i="11"/>
  <c r="AA437" i="11" s="1"/>
  <c r="X437" i="11"/>
  <c r="X506" i="11"/>
  <c r="Y506" i="11"/>
  <c r="AA506" i="11" s="1"/>
  <c r="Y136" i="11"/>
  <c r="AA136" i="11" s="1"/>
  <c r="X136" i="11"/>
  <c r="X45" i="11"/>
  <c r="Y45" i="11"/>
  <c r="AA45" i="11" s="1"/>
  <c r="Y541" i="11"/>
  <c r="AA541" i="11" s="1"/>
  <c r="X541" i="11"/>
  <c r="AB541" i="11" s="1"/>
  <c r="Y199" i="11"/>
  <c r="AA199" i="11" s="1"/>
  <c r="X199" i="11"/>
  <c r="AB199" i="11" s="1"/>
  <c r="X637" i="11"/>
  <c r="Y637" i="11"/>
  <c r="AA637" i="11" s="1"/>
  <c r="Y278" i="11"/>
  <c r="AA278" i="11" s="1"/>
  <c r="X278" i="11"/>
  <c r="AB278" i="11" s="1"/>
  <c r="Y105" i="11"/>
  <c r="AA105" i="11" s="1"/>
  <c r="X105" i="11"/>
  <c r="Y135" i="11"/>
  <c r="AA135" i="11" s="1"/>
  <c r="X135" i="11"/>
  <c r="AB135" i="11" s="1"/>
  <c r="X497" i="11"/>
  <c r="Y497" i="11"/>
  <c r="AA497" i="11" s="1"/>
  <c r="X227" i="11"/>
  <c r="Y227" i="11"/>
  <c r="AA227" i="11" s="1"/>
  <c r="Y957" i="11"/>
  <c r="AA957" i="11" s="1"/>
  <c r="X957" i="11"/>
  <c r="AB957" i="11" s="1"/>
  <c r="Y961" i="11"/>
  <c r="AA961" i="11" s="1"/>
  <c r="X961" i="11"/>
  <c r="AB961" i="11" s="1"/>
  <c r="X1277" i="11"/>
  <c r="Y1277" i="11"/>
  <c r="AA1277" i="11" s="1"/>
  <c r="X831" i="11"/>
  <c r="Y831" i="11"/>
  <c r="AA831" i="11" s="1"/>
  <c r="Y1141" i="11"/>
  <c r="AA1141" i="11" s="1"/>
  <c r="X1141" i="11"/>
  <c r="AB1354" i="11"/>
  <c r="Y1235" i="11"/>
  <c r="AA1235" i="11" s="1"/>
  <c r="X1235" i="11"/>
  <c r="AB1235" i="11" s="1"/>
  <c r="Y1174" i="11"/>
  <c r="AA1174" i="11" s="1"/>
  <c r="X1174" i="11"/>
  <c r="AB1136" i="11"/>
  <c r="AB1183" i="11"/>
  <c r="X941" i="11"/>
  <c r="Y941" i="11"/>
  <c r="AA941" i="11" s="1"/>
  <c r="Y955" i="11"/>
  <c r="AA955" i="11" s="1"/>
  <c r="X955" i="11"/>
  <c r="X764" i="11"/>
  <c r="Y764" i="11"/>
  <c r="AA764" i="11" s="1"/>
  <c r="X730" i="11"/>
  <c r="Y730" i="11"/>
  <c r="AA730" i="11" s="1"/>
  <c r="Y721" i="11"/>
  <c r="AA721" i="11" s="1"/>
  <c r="X721" i="11"/>
  <c r="X1018" i="11"/>
  <c r="Y1018" i="11"/>
  <c r="AA1018" i="11" s="1"/>
  <c r="X645" i="11"/>
  <c r="Y645" i="11"/>
  <c r="AA645" i="11" s="1"/>
  <c r="AB737" i="11"/>
  <c r="AB468" i="11"/>
  <c r="Y285" i="11"/>
  <c r="AA285" i="11" s="1"/>
  <c r="X285" i="11"/>
  <c r="AB285" i="11" s="1"/>
  <c r="Y558" i="11"/>
  <c r="AA558" i="11" s="1"/>
  <c r="X558" i="11"/>
  <c r="Y270" i="11"/>
  <c r="AA270" i="11" s="1"/>
  <c r="X270" i="11"/>
  <c r="Y189" i="11"/>
  <c r="AA189" i="11" s="1"/>
  <c r="X189" i="11"/>
  <c r="Y144" i="11"/>
  <c r="AA144" i="11" s="1"/>
  <c r="X144" i="11"/>
  <c r="Y9" i="11"/>
  <c r="AA9" i="11" s="1"/>
  <c r="X9" i="11"/>
  <c r="Y201" i="11"/>
  <c r="AA201" i="11" s="1"/>
  <c r="X201" i="11"/>
  <c r="X482" i="11"/>
  <c r="Y482" i="11"/>
  <c r="AA482" i="11" s="1"/>
  <c r="Y1103" i="11"/>
  <c r="AA1103" i="11" s="1"/>
  <c r="X1103" i="11"/>
  <c r="AB1103" i="11" s="1"/>
  <c r="AB529" i="11"/>
  <c r="X1240" i="11"/>
  <c r="Y1240" i="11"/>
  <c r="AA1240" i="11" s="1"/>
  <c r="Y1334" i="11"/>
  <c r="AA1334" i="11" s="1"/>
  <c r="X1334" i="11"/>
  <c r="AB1334" i="11" s="1"/>
  <c r="X1254" i="11"/>
  <c r="AB1254" i="11" s="1"/>
  <c r="Y1254" i="11"/>
  <c r="AA1254" i="11" s="1"/>
  <c r="X1324" i="11"/>
  <c r="Y1324" i="11"/>
  <c r="AA1324" i="11" s="1"/>
  <c r="Y1227" i="11"/>
  <c r="AA1227" i="11" s="1"/>
  <c r="X1227" i="11"/>
  <c r="X895" i="11"/>
  <c r="Y895" i="11"/>
  <c r="AA895" i="11" s="1"/>
  <c r="X882" i="11"/>
  <c r="Y882" i="11"/>
  <c r="AA882" i="11" s="1"/>
  <c r="X1342" i="11"/>
  <c r="Y1342" i="11"/>
  <c r="AA1342" i="11" s="1"/>
  <c r="Y1219" i="11"/>
  <c r="AA1219" i="11" s="1"/>
  <c r="X1219" i="11"/>
  <c r="X1321" i="11"/>
  <c r="Y1321" i="11"/>
  <c r="AA1321" i="11" s="1"/>
  <c r="Y1199" i="11"/>
  <c r="AA1199" i="11" s="1"/>
  <c r="X1199" i="11"/>
  <c r="Y1244" i="11"/>
  <c r="AA1244" i="11" s="1"/>
  <c r="X1244" i="11"/>
  <c r="AB1244" i="11" s="1"/>
  <c r="Y1035" i="11"/>
  <c r="AA1035" i="11" s="1"/>
  <c r="X1035" i="11"/>
  <c r="X999" i="11"/>
  <c r="Y999" i="11"/>
  <c r="AA999" i="11" s="1"/>
  <c r="X996" i="11"/>
  <c r="Y996" i="11"/>
  <c r="AA996" i="11" s="1"/>
  <c r="Y988" i="11"/>
  <c r="AA988" i="11" s="1"/>
  <c r="X988" i="11"/>
  <c r="AB988" i="11" s="1"/>
  <c r="Y942" i="11"/>
  <c r="AA942" i="11" s="1"/>
  <c r="X942" i="11"/>
  <c r="Y564" i="11"/>
  <c r="AA564" i="11" s="1"/>
  <c r="X564" i="11"/>
  <c r="AB564" i="11" s="1"/>
  <c r="X770" i="11"/>
  <c r="AB770" i="11" s="1"/>
  <c r="Y770" i="11"/>
  <c r="AA770" i="11" s="1"/>
  <c r="Y315" i="11"/>
  <c r="AA315" i="11" s="1"/>
  <c r="X315" i="11"/>
  <c r="AB315" i="11" s="1"/>
  <c r="Y457" i="11"/>
  <c r="AA457" i="11" s="1"/>
  <c r="X457" i="11"/>
  <c r="X618" i="11"/>
  <c r="Y618" i="11"/>
  <c r="AA618" i="11" s="1"/>
  <c r="X172" i="11"/>
  <c r="Y172" i="11"/>
  <c r="AA172" i="11" s="1"/>
  <c r="Y477" i="11"/>
  <c r="AA477" i="11" s="1"/>
  <c r="X477" i="11"/>
  <c r="AB477" i="11" s="1"/>
  <c r="X207" i="11"/>
  <c r="Y207" i="11"/>
  <c r="AA207" i="11" s="1"/>
  <c r="Y488" i="11"/>
  <c r="AA488" i="11" s="1"/>
  <c r="X488" i="11"/>
  <c r="AB488" i="11" s="1"/>
  <c r="X595" i="11"/>
  <c r="AB595" i="11" s="1"/>
  <c r="Y595" i="11"/>
  <c r="AA595" i="11" s="1"/>
  <c r="Y239" i="11"/>
  <c r="AA239" i="11" s="1"/>
  <c r="X239" i="11"/>
  <c r="AB239" i="11" s="1"/>
  <c r="Y467" i="11"/>
  <c r="AA467" i="11" s="1"/>
  <c r="X467" i="11"/>
  <c r="Y617" i="11"/>
  <c r="AA617" i="11" s="1"/>
  <c r="X617" i="11"/>
  <c r="AB66" i="11"/>
  <c r="Y184" i="11"/>
  <c r="AA184" i="11" s="1"/>
  <c r="X184" i="11"/>
  <c r="AB184" i="11" s="1"/>
  <c r="Y448" i="11"/>
  <c r="AA448" i="11" s="1"/>
  <c r="X448" i="11"/>
  <c r="Y233" i="11"/>
  <c r="AA233" i="11" s="1"/>
  <c r="X233" i="11"/>
  <c r="X324" i="11"/>
  <c r="Y324" i="11"/>
  <c r="AA324" i="11" s="1"/>
  <c r="Y696" i="11"/>
  <c r="AA696" i="11" s="1"/>
  <c r="X696" i="11"/>
  <c r="X937" i="11"/>
  <c r="Y937" i="11"/>
  <c r="AA937" i="11" s="1"/>
  <c r="Y46" i="11"/>
  <c r="AA46" i="11" s="1"/>
  <c r="X46" i="11"/>
  <c r="Y1311" i="11"/>
  <c r="AA1311" i="11" s="1"/>
  <c r="X1311" i="11"/>
  <c r="AB1311" i="11" s="1"/>
  <c r="Y1129" i="11"/>
  <c r="AA1129" i="11" s="1"/>
  <c r="X1129" i="11"/>
  <c r="AB1129" i="11" s="1"/>
  <c r="X1292" i="11"/>
  <c r="Y1292" i="11"/>
  <c r="AA1292" i="11" s="1"/>
  <c r="X1153" i="11"/>
  <c r="Y1153" i="11"/>
  <c r="AA1153" i="11" s="1"/>
  <c r="Y981" i="11"/>
  <c r="AA981" i="11" s="1"/>
  <c r="X981" i="11"/>
  <c r="X947" i="11"/>
  <c r="AB947" i="11" s="1"/>
  <c r="Y947" i="11"/>
  <c r="AA947" i="11" s="1"/>
  <c r="Y1318" i="11"/>
  <c r="AA1318" i="11" s="1"/>
  <c r="X1318" i="11"/>
  <c r="Y1118" i="11"/>
  <c r="AA1118" i="11" s="1"/>
  <c r="X1118" i="11"/>
  <c r="AB1079" i="11"/>
  <c r="Y983" i="11"/>
  <c r="AA983" i="11" s="1"/>
  <c r="X983" i="11"/>
  <c r="AB983" i="11" s="1"/>
  <c r="Y1029" i="11"/>
  <c r="AA1029" i="11" s="1"/>
  <c r="X1029" i="11"/>
  <c r="AB1029" i="11" s="1"/>
  <c r="Y904" i="11"/>
  <c r="AA904" i="11" s="1"/>
  <c r="X904" i="11"/>
  <c r="AB909" i="11"/>
  <c r="AB919" i="11"/>
  <c r="X699" i="11"/>
  <c r="AB699" i="11" s="1"/>
  <c r="Y699" i="11"/>
  <c r="AA699" i="11" s="1"/>
  <c r="Y985" i="11"/>
  <c r="AA985" i="11" s="1"/>
  <c r="X985" i="11"/>
  <c r="AB985" i="11" s="1"/>
  <c r="AB1006" i="11"/>
  <c r="AB829" i="11"/>
  <c r="AB620" i="11"/>
  <c r="Y583" i="11"/>
  <c r="AA583" i="11" s="1"/>
  <c r="X583" i="11"/>
  <c r="AB583" i="11" s="1"/>
  <c r="X536" i="11"/>
  <c r="Y536" i="11"/>
  <c r="AA536" i="11" s="1"/>
  <c r="Y299" i="11"/>
  <c r="AA299" i="11" s="1"/>
  <c r="X299" i="11"/>
  <c r="Y507" i="11"/>
  <c r="AA507" i="11" s="1"/>
  <c r="X507" i="11"/>
  <c r="AB472" i="11"/>
  <c r="Y200" i="11"/>
  <c r="AA200" i="11" s="1"/>
  <c r="X200" i="11"/>
  <c r="Y170" i="11"/>
  <c r="AA170" i="11" s="1"/>
  <c r="X170" i="11"/>
  <c r="AB170" i="11" s="1"/>
  <c r="Y217" i="11"/>
  <c r="AA217" i="11" s="1"/>
  <c r="X217" i="11"/>
  <c r="Y261" i="11"/>
  <c r="AA261" i="11" s="1"/>
  <c r="X261" i="11"/>
  <c r="Y379" i="11"/>
  <c r="AA379" i="11" s="1"/>
  <c r="X379" i="11"/>
  <c r="Y633" i="11"/>
  <c r="AA633" i="11" s="1"/>
  <c r="X633" i="11"/>
  <c r="AB633" i="11" s="1"/>
  <c r="Y232" i="11"/>
  <c r="AA232" i="11" s="1"/>
  <c r="X232" i="11"/>
  <c r="AB114" i="11"/>
  <c r="X1189" i="11"/>
  <c r="Y1189" i="11"/>
  <c r="AA1189" i="11" s="1"/>
  <c r="Y758" i="11"/>
  <c r="AA758" i="11" s="1"/>
  <c r="X758" i="11"/>
  <c r="X756" i="11"/>
  <c r="Y756" i="11"/>
  <c r="AA756" i="11" s="1"/>
  <c r="X884" i="11"/>
  <c r="Y884" i="11"/>
  <c r="AA884" i="11" s="1"/>
  <c r="Y1275" i="11"/>
  <c r="AA1275" i="11" s="1"/>
  <c r="X1275" i="11"/>
  <c r="AB1275" i="11" s="1"/>
  <c r="Y1228" i="11"/>
  <c r="AA1228" i="11" s="1"/>
  <c r="X1228" i="11"/>
  <c r="AB1228" i="11" s="1"/>
  <c r="Y1323" i="11"/>
  <c r="AA1323" i="11" s="1"/>
  <c r="X1323" i="11"/>
  <c r="X570" i="11"/>
  <c r="Y570" i="11"/>
  <c r="AA570" i="11" s="1"/>
  <c r="X582" i="11"/>
  <c r="Y582" i="11"/>
  <c r="AA582" i="11" s="1"/>
  <c r="Y1351" i="11"/>
  <c r="AA1351" i="11" s="1"/>
  <c r="X1351" i="11"/>
  <c r="Y1322" i="11"/>
  <c r="AA1322" i="11" s="1"/>
  <c r="X1322" i="11"/>
  <c r="Y1211" i="11"/>
  <c r="AA1211" i="11" s="1"/>
  <c r="X1211" i="11"/>
  <c r="Y1310" i="11"/>
  <c r="AA1310" i="11" s="1"/>
  <c r="X1310" i="11"/>
  <c r="AB1310" i="11" s="1"/>
  <c r="Y1119" i="11"/>
  <c r="AA1119" i="11" s="1"/>
  <c r="X1119" i="11"/>
  <c r="AB1119" i="11" s="1"/>
  <c r="Y1209" i="11"/>
  <c r="AA1209" i="11" s="1"/>
  <c r="X1209" i="11"/>
  <c r="Y1143" i="11"/>
  <c r="AA1143" i="11" s="1"/>
  <c r="X1143" i="11"/>
  <c r="X1294" i="11"/>
  <c r="Y1294" i="11"/>
  <c r="AA1294" i="11" s="1"/>
  <c r="Y1084" i="11"/>
  <c r="AA1084" i="11" s="1"/>
  <c r="X1084" i="11"/>
  <c r="Y1022" i="11"/>
  <c r="AA1022" i="11" s="1"/>
  <c r="X1022" i="11"/>
  <c r="Y997" i="11"/>
  <c r="AA997" i="11" s="1"/>
  <c r="X997" i="11"/>
  <c r="X778" i="11"/>
  <c r="Y778" i="11"/>
  <c r="AA778" i="11" s="1"/>
  <c r="X1032" i="11"/>
  <c r="Y1032" i="11"/>
  <c r="AA1032" i="11" s="1"/>
  <c r="Y901" i="11"/>
  <c r="AA901" i="11" s="1"/>
  <c r="X901" i="11"/>
  <c r="Y715" i="11"/>
  <c r="AA715" i="11" s="1"/>
  <c r="X715" i="11"/>
  <c r="Y731" i="11"/>
  <c r="AA731" i="11" s="1"/>
  <c r="X731" i="11"/>
  <c r="Y325" i="11"/>
  <c r="AA325" i="11" s="1"/>
  <c r="X325" i="11"/>
  <c r="Y706" i="11"/>
  <c r="AA706" i="11" s="1"/>
  <c r="X706" i="11"/>
  <c r="AB706" i="11" s="1"/>
  <c r="Y283" i="11"/>
  <c r="AA283" i="11" s="1"/>
  <c r="X283" i="11"/>
  <c r="Y815" i="11"/>
  <c r="AA815" i="11" s="1"/>
  <c r="X815" i="11"/>
  <c r="AB815" i="11" s="1"/>
  <c r="Y334" i="11"/>
  <c r="AA334" i="11" s="1"/>
  <c r="X334" i="11"/>
  <c r="AB334" i="11" s="1"/>
  <c r="X575" i="11"/>
  <c r="Y575" i="11"/>
  <c r="AA575" i="11" s="1"/>
  <c r="Y301" i="11"/>
  <c r="AA301" i="11" s="1"/>
  <c r="X301" i="11"/>
  <c r="X162" i="11"/>
  <c r="Y162" i="11"/>
  <c r="AA162" i="11" s="1"/>
  <c r="Y197" i="11"/>
  <c r="AA197" i="11" s="1"/>
  <c r="X197" i="11"/>
  <c r="Y303" i="11"/>
  <c r="AA303" i="11" s="1"/>
  <c r="X303" i="11"/>
  <c r="Y323" i="11"/>
  <c r="AA323" i="11" s="1"/>
  <c r="X323" i="11"/>
  <c r="X572" i="11"/>
  <c r="Y572" i="11"/>
  <c r="AA572" i="11" s="1"/>
  <c r="Y225" i="11"/>
  <c r="AA225" i="11" s="1"/>
  <c r="X225" i="11"/>
  <c r="AB225" i="11" s="1"/>
  <c r="Y142" i="11"/>
  <c r="AA142" i="11" s="1"/>
  <c r="X142" i="11"/>
  <c r="Y504" i="11"/>
  <c r="AA504" i="11" s="1"/>
  <c r="X504" i="11"/>
  <c r="Y612" i="11"/>
  <c r="AA612" i="11" s="1"/>
  <c r="X612" i="11"/>
  <c r="Y466" i="11"/>
  <c r="AA466" i="11" s="1"/>
  <c r="X466" i="11"/>
  <c r="X3" i="11"/>
  <c r="Y3" i="11"/>
  <c r="AA3" i="11" s="1"/>
  <c r="X25" i="11"/>
  <c r="Y25" i="11"/>
  <c r="AA25" i="11" s="1"/>
  <c r="Y112" i="11"/>
  <c r="AA112" i="11" s="1"/>
  <c r="X112" i="11"/>
  <c r="AB112" i="11" s="1"/>
  <c r="Y1031" i="11"/>
  <c r="AA1031" i="11" s="1"/>
  <c r="X1031" i="11"/>
  <c r="AB1031" i="11" s="1"/>
  <c r="X524" i="11"/>
  <c r="Y524" i="11"/>
  <c r="AA524" i="11" s="1"/>
  <c r="X1340" i="11"/>
  <c r="Y1340" i="11"/>
  <c r="AA1340" i="11" s="1"/>
  <c r="Y1020" i="11"/>
  <c r="AA1020" i="11" s="1"/>
  <c r="X1020" i="11"/>
  <c r="Y1010" i="11"/>
  <c r="AA1010" i="11" s="1"/>
  <c r="X1010" i="11"/>
  <c r="Y1024" i="11"/>
  <c r="AA1024" i="11" s="1"/>
  <c r="X1024" i="11"/>
  <c r="Y1121" i="11"/>
  <c r="AA1121" i="11" s="1"/>
  <c r="X1121" i="11"/>
  <c r="Y1339" i="11"/>
  <c r="AA1339" i="11" s="1"/>
  <c r="X1339" i="11"/>
  <c r="AB1339" i="11" s="1"/>
  <c r="Y1329" i="11"/>
  <c r="AA1329" i="11" s="1"/>
  <c r="X1329" i="11"/>
  <c r="AB1329" i="11" s="1"/>
  <c r="Y1347" i="11"/>
  <c r="AA1347" i="11" s="1"/>
  <c r="X1347" i="11"/>
  <c r="AB1307" i="11"/>
  <c r="AB1268" i="11"/>
  <c r="Y1197" i="11"/>
  <c r="AA1197" i="11" s="1"/>
  <c r="X1197" i="11"/>
  <c r="AB1197" i="11" s="1"/>
  <c r="Y1097" i="11"/>
  <c r="AA1097" i="11" s="1"/>
  <c r="X1097" i="11"/>
  <c r="AB1052" i="11"/>
  <c r="X1188" i="11"/>
  <c r="Y1188" i="11"/>
  <c r="AA1188" i="11" s="1"/>
  <c r="AB1068" i="11"/>
  <c r="Y987" i="11"/>
  <c r="AA987" i="11" s="1"/>
  <c r="X987" i="11"/>
  <c r="AB987" i="11" s="1"/>
  <c r="Y965" i="11"/>
  <c r="AA965" i="11" s="1"/>
  <c r="X965" i="11"/>
  <c r="AB965" i="11" s="1"/>
  <c r="Y1156" i="11"/>
  <c r="AA1156" i="11" s="1"/>
  <c r="X1156" i="11"/>
  <c r="X939" i="11"/>
  <c r="Y939" i="11"/>
  <c r="AA939" i="11" s="1"/>
  <c r="Y991" i="11"/>
  <c r="AA991" i="11" s="1"/>
  <c r="X991" i="11"/>
  <c r="AB991" i="11" s="1"/>
  <c r="Y954" i="11"/>
  <c r="AA954" i="11" s="1"/>
  <c r="X954" i="11"/>
  <c r="AB704" i="11"/>
  <c r="AB878" i="11"/>
  <c r="X682" i="11"/>
  <c r="Y682" i="11"/>
  <c r="AA682" i="11" s="1"/>
  <c r="Y903" i="11"/>
  <c r="AA903" i="11" s="1"/>
  <c r="X903" i="11"/>
  <c r="AB903" i="11" s="1"/>
  <c r="AB615" i="11"/>
  <c r="AB491" i="11"/>
  <c r="X686" i="11"/>
  <c r="Y686" i="11"/>
  <c r="AA686" i="11" s="1"/>
  <c r="Y451" i="11"/>
  <c r="AA451" i="11" s="1"/>
  <c r="X451" i="11"/>
  <c r="Y277" i="11"/>
  <c r="AA277" i="11" s="1"/>
  <c r="X277" i="11"/>
  <c r="AB277" i="11" s="1"/>
  <c r="Y308" i="11"/>
  <c r="AA308" i="11" s="1"/>
  <c r="X308" i="11"/>
  <c r="Y343" i="11"/>
  <c r="AA343" i="11" s="1"/>
  <c r="X343" i="11"/>
  <c r="AB567" i="11"/>
  <c r="Y393" i="11"/>
  <c r="AA393" i="11" s="1"/>
  <c r="X393" i="11"/>
  <c r="AB865" i="11"/>
  <c r="X459" i="11"/>
  <c r="Y459" i="11"/>
  <c r="AA459" i="11" s="1"/>
  <c r="AB545" i="11"/>
  <c r="AB193" i="11"/>
  <c r="Y47" i="11"/>
  <c r="AA47" i="11" s="1"/>
  <c r="X47" i="11"/>
  <c r="AB422" i="11"/>
  <c r="Y445" i="11"/>
  <c r="AA445" i="11" s="1"/>
  <c r="X445" i="11"/>
  <c r="Y118" i="11"/>
  <c r="AA118" i="11" s="1"/>
  <c r="X118" i="11"/>
  <c r="AB118" i="11" s="1"/>
  <c r="AB474" i="11"/>
  <c r="Y55" i="11"/>
  <c r="AA55" i="11" s="1"/>
  <c r="X55" i="11"/>
  <c r="AB530" i="11"/>
  <c r="X23" i="11"/>
  <c r="Y23" i="11"/>
  <c r="AA23" i="11" s="1"/>
  <c r="AB219" i="11"/>
  <c r="X86" i="11"/>
  <c r="Y86" i="11"/>
  <c r="AA86" i="11" s="1"/>
  <c r="Y565" i="11"/>
  <c r="AA565" i="11" s="1"/>
  <c r="X565" i="11"/>
  <c r="AB569" i="11"/>
  <c r="AB379" i="11" l="1"/>
  <c r="AB36" i="11"/>
  <c r="AB1170" i="11"/>
  <c r="AB617" i="11"/>
  <c r="AB896" i="11"/>
  <c r="AB447" i="11"/>
  <c r="AB44" i="11"/>
  <c r="AB738" i="11"/>
  <c r="AB603" i="11"/>
  <c r="AB561" i="11"/>
  <c r="AB523" i="11"/>
  <c r="AB776" i="11"/>
  <c r="AB54" i="11"/>
  <c r="AB28" i="11"/>
  <c r="AB722" i="11"/>
  <c r="AB49" i="11"/>
  <c r="AB607" i="11"/>
  <c r="AB682" i="11"/>
  <c r="AB25" i="11"/>
  <c r="AB884" i="11"/>
  <c r="AB217" i="11"/>
  <c r="AB467" i="11"/>
  <c r="AB457" i="11"/>
  <c r="AB1035" i="11"/>
  <c r="AB1227" i="11"/>
  <c r="AB645" i="11"/>
  <c r="AB136" i="11"/>
  <c r="AB833" i="11"/>
  <c r="AB473" i="11"/>
  <c r="AB441" i="11"/>
  <c r="AB11" i="11"/>
  <c r="AB34" i="11"/>
  <c r="AB1003" i="11"/>
  <c r="AB898" i="11"/>
  <c r="AB296" i="11"/>
  <c r="AB1057" i="11"/>
  <c r="AB123" i="11"/>
  <c r="AB439" i="11"/>
  <c r="AB1245" i="11"/>
  <c r="AB857" i="11"/>
  <c r="AB42" i="11"/>
  <c r="AB312" i="11"/>
  <c r="AB892" i="11"/>
  <c r="AB1185" i="11"/>
  <c r="AB1284" i="11"/>
  <c r="AB1338" i="11"/>
  <c r="AB1123" i="11"/>
  <c r="AB1336" i="11"/>
  <c r="AB1299" i="11"/>
  <c r="AB1343" i="11"/>
  <c r="AB1020" i="11"/>
  <c r="AB612" i="11"/>
  <c r="AB731" i="11"/>
  <c r="AB981" i="11"/>
  <c r="AB189" i="11"/>
  <c r="AB205" i="11"/>
  <c r="AB331" i="11"/>
  <c r="AB362" i="11"/>
  <c r="AB492" i="11"/>
  <c r="AB149" i="11"/>
  <c r="AB386" i="11"/>
  <c r="AB622" i="11"/>
  <c r="AB680" i="11"/>
  <c r="AB1093" i="11"/>
  <c r="AB939" i="11"/>
  <c r="AB1340" i="11"/>
  <c r="AB570" i="11"/>
  <c r="AB1153" i="11"/>
  <c r="AB764" i="11"/>
  <c r="AB745" i="11"/>
  <c r="AB531" i="11"/>
  <c r="AB484" i="11"/>
  <c r="AB241" i="11"/>
  <c r="AB1314" i="11"/>
  <c r="AB1156" i="11"/>
  <c r="AB1347" i="11"/>
  <c r="AB142" i="11"/>
  <c r="AB901" i="11"/>
  <c r="AB1209" i="11"/>
  <c r="AB1323" i="11"/>
  <c r="AB299" i="11"/>
  <c r="AB448" i="11"/>
  <c r="AB207" i="11"/>
  <c r="AB1240" i="11"/>
  <c r="AB558" i="11"/>
  <c r="AB955" i="11"/>
  <c r="AB1277" i="11"/>
  <c r="AB637" i="11"/>
  <c r="AB1316" i="11"/>
  <c r="AB535" i="11"/>
  <c r="AB712" i="11"/>
  <c r="AB563" i="11"/>
  <c r="AB368" i="11"/>
  <c r="AB70" i="11"/>
  <c r="AB560" i="11"/>
  <c r="AB874" i="11"/>
  <c r="AB542" i="11"/>
  <c r="AB976" i="11"/>
  <c r="AB841" i="11"/>
  <c r="AB56" i="11"/>
  <c r="AB978" i="11"/>
  <c r="AB476" i="11"/>
  <c r="AB652" i="11"/>
  <c r="AB162" i="11"/>
  <c r="AB1294" i="11"/>
  <c r="AB582" i="11"/>
  <c r="AB1189" i="11"/>
  <c r="AB324" i="11"/>
  <c r="AB730" i="11"/>
  <c r="AB921" i="11"/>
  <c r="AB1077" i="11"/>
  <c r="AB565" i="11"/>
  <c r="AB47" i="11"/>
  <c r="AB451" i="11"/>
  <c r="AB504" i="11"/>
  <c r="AB301" i="11"/>
  <c r="AB715" i="11"/>
  <c r="AB1143" i="11"/>
  <c r="AB507" i="11"/>
  <c r="AB233" i="11"/>
  <c r="AB1321" i="11"/>
  <c r="AB270" i="11"/>
  <c r="AB831" i="11"/>
  <c r="AB1215" i="11"/>
  <c r="AB32" i="11"/>
  <c r="AB573" i="11"/>
  <c r="AB1060" i="11"/>
  <c r="AB1149" i="11"/>
  <c r="AB1159" i="11"/>
  <c r="AB931" i="11"/>
  <c r="AB19" i="11"/>
  <c r="AB295" i="11"/>
  <c r="AB232" i="11"/>
  <c r="AB904" i="11"/>
  <c r="AB942" i="11"/>
  <c r="AB1219" i="11"/>
  <c r="AB327" i="11"/>
  <c r="AB1054" i="11"/>
  <c r="AB83" i="11"/>
  <c r="AB963" i="11"/>
  <c r="AB475" i="11"/>
  <c r="AB333" i="11"/>
  <c r="AB596" i="11"/>
  <c r="AB1063" i="11"/>
  <c r="AB151" i="11"/>
  <c r="AB37" i="11"/>
  <c r="AB1102" i="11"/>
  <c r="AB89" i="11"/>
  <c r="AB329" i="11"/>
  <c r="AB381" i="11"/>
  <c r="AB293" i="11"/>
  <c r="AB486" i="11"/>
  <c r="AB86" i="11"/>
  <c r="AB1221" i="11"/>
  <c r="AB372" i="11"/>
  <c r="AB82" i="11"/>
  <c r="AB172" i="11"/>
  <c r="AB882" i="11"/>
  <c r="AB1241" i="11"/>
  <c r="AB72" i="11"/>
  <c r="AB393" i="11"/>
  <c r="AB572" i="11"/>
  <c r="AB778" i="11"/>
  <c r="AB261" i="11"/>
  <c r="AB482" i="11"/>
  <c r="AB518" i="11"/>
  <c r="AB936" i="11"/>
  <c r="AB17" i="11"/>
  <c r="AB7" i="11"/>
  <c r="AB55" i="11"/>
  <c r="AB1121" i="11"/>
  <c r="AB323" i="11"/>
  <c r="AB283" i="11"/>
  <c r="AB997" i="11"/>
  <c r="AB1211" i="11"/>
  <c r="AB1118" i="11"/>
  <c r="AB46" i="11"/>
  <c r="AB618" i="11"/>
  <c r="AB999" i="11"/>
  <c r="AB895" i="11"/>
  <c r="AB201" i="11"/>
  <c r="AB1174" i="11"/>
  <c r="AB227" i="11"/>
  <c r="AB45" i="11"/>
  <c r="AB281" i="11"/>
  <c r="AB580" i="11"/>
  <c r="AB61" i="11"/>
  <c r="AB1081" i="11"/>
  <c r="AB53" i="11"/>
  <c r="AB1195" i="11"/>
  <c r="AB429" i="11"/>
  <c r="AB291" i="11"/>
  <c r="AB414" i="11"/>
  <c r="AB686" i="11"/>
  <c r="AB1292" i="11"/>
  <c r="AB450" i="11"/>
  <c r="AB370" i="11"/>
  <c r="AB300" i="11"/>
  <c r="AB459" i="11"/>
  <c r="AB697" i="11"/>
  <c r="AB343" i="11"/>
  <c r="AB1188" i="11"/>
  <c r="AB1024" i="11"/>
  <c r="AB303" i="11"/>
  <c r="AB1022" i="11"/>
  <c r="AB1322" i="11"/>
  <c r="AB1318" i="11"/>
  <c r="AB9" i="11"/>
  <c r="AB497" i="11"/>
  <c r="AB675" i="11"/>
  <c r="AB1164" i="11"/>
  <c r="AB374" i="11"/>
  <c r="AB5" i="11"/>
  <c r="AB575" i="11"/>
  <c r="AB781" i="11"/>
  <c r="AB847" i="11"/>
  <c r="AB1032" i="11"/>
  <c r="AB536" i="11"/>
  <c r="AB819" i="11"/>
  <c r="AB416" i="11"/>
  <c r="AB3" i="11"/>
  <c r="AB756" i="11"/>
  <c r="AB937" i="11"/>
  <c r="AB1018" i="11"/>
  <c r="AB780" i="11"/>
  <c r="AB894" i="11"/>
  <c r="AB1180" i="11"/>
  <c r="AB524" i="11"/>
  <c r="AB1342" i="11"/>
  <c r="AB912" i="11"/>
  <c r="AB1328" i="11"/>
  <c r="AB881" i="11"/>
  <c r="AB941" i="11"/>
  <c r="AB23" i="11"/>
  <c r="AB996" i="11"/>
  <c r="AB308" i="11"/>
  <c r="AB954" i="11"/>
  <c r="AB1097" i="11"/>
  <c r="AB1010" i="11"/>
  <c r="AB466" i="11"/>
  <c r="AB197" i="11"/>
  <c r="AB325" i="11"/>
  <c r="AB1084" i="11"/>
  <c r="AB1351" i="11"/>
  <c r="AB758" i="11"/>
  <c r="AB696" i="11"/>
  <c r="AB1324" i="11"/>
  <c r="AB144" i="11"/>
  <c r="AB721" i="11"/>
  <c r="AB506" i="11"/>
  <c r="AB741" i="11"/>
  <c r="AB591" i="11"/>
  <c r="AB766" i="11"/>
  <c r="AB876" i="11"/>
  <c r="AB223" i="11"/>
  <c r="AB746" i="11"/>
  <c r="AB1172" i="11"/>
  <c r="AB1278" i="11"/>
  <c r="AB893" i="11"/>
  <c r="AB1264" i="11"/>
  <c r="AB673" i="11"/>
  <c r="AB705" i="11"/>
  <c r="AB38" i="11"/>
  <c r="AB40" i="11"/>
  <c r="AB15" i="11"/>
  <c r="AB445" i="11"/>
  <c r="AB200" i="11"/>
  <c r="AB1199" i="11"/>
  <c r="AB1141" i="11"/>
  <c r="AB105" i="11"/>
  <c r="AB437" i="11"/>
  <c r="AB792" i="11"/>
  <c r="AB779" i="11"/>
  <c r="AB1041" i="11"/>
  <c r="AB192" i="11"/>
  <c r="AB266" i="11"/>
  <c r="AB1061" i="11"/>
  <c r="AB1231" i="11"/>
  <c r="AB1039" i="11"/>
  <c r="AB234" i="11"/>
  <c r="AB1353" i="11"/>
  <c r="AB62" i="11"/>
  <c r="AB470" i="11"/>
  <c r="AB94" i="11"/>
  <c r="AB540" i="11"/>
  <c r="M763" i="5" l="1"/>
  <c r="M762" i="5"/>
  <c r="M752" i="5"/>
  <c r="L752" i="5"/>
  <c r="M751" i="5"/>
  <c r="L751" i="5"/>
  <c r="M736" i="5"/>
  <c r="M725" i="5"/>
  <c r="M724" i="5"/>
  <c r="M723" i="5"/>
  <c r="M633" i="5"/>
  <c r="M632" i="5"/>
  <c r="M631" i="5"/>
  <c r="M414" i="5"/>
  <c r="M413" i="5"/>
  <c r="M412" i="5"/>
  <c r="M203" i="5"/>
  <c r="L203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M43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N2" i="5"/>
  <c r="A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Byer</author>
  </authors>
  <commentList>
    <comment ref="U1168" authorId="0" shapeId="0" xr:uid="{D27D2415-BE33-4723-84BD-F5E00CCBF792}">
      <text>
        <r>
          <rPr>
            <sz val="11"/>
            <color theme="1"/>
            <rFont val="Calibri"/>
            <family val="2"/>
            <scheme val="minor"/>
          </rPr>
          <t>======
ID#AAABuwtIt4k
Sandro Manuel Souza Valdez    (2025-12-09 20:51:01)
TAPICERIA DE ASIENTO DE CONDUCTOR</t>
        </r>
      </text>
    </comment>
    <comment ref="U1349" authorId="1" shapeId="0" xr:uid="{AAC76EE7-C35B-48BE-BA07-CBAFC63AF66C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ANTICONGELANTE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Byer</author>
    <author>user</author>
    <author>tc={02C9048D-1876-4681-9E9C-A94CF34434F4}</author>
    <author>tc={E40FE768-AEB6-4593-961C-898AC99007BD}</author>
    <author>tc={86AB6DCB-CF17-4E69-A6B7-A9F309099024}</author>
    <author>tc={332F2ABF-0875-48FE-93ED-67F023AD76A6}</author>
    <author>tc={42148E51-EF45-4416-9BE0-246EAA49F1BB}</author>
    <author>tc={FDFD2FA3-604C-4A8F-8AF8-5D649CF59EE5}</author>
    <author>tc={B1E72808-F117-485D-A3E1-BA0A6817012C}</author>
  </authors>
  <commentList>
    <comment ref="Z2" authorId="0" shapeId="0" xr:uid="{1AAB198F-B343-4BB5-A874-583FB6D2CF2A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ver si pagó esa cantidad o es parte de la condonación
</t>
        </r>
      </text>
    </comment>
    <comment ref="T164" authorId="1" shapeId="0" xr:uid="{FEB8952B-69A6-4796-BF87-23475673E4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quita la hojalateria que nunca pago
</t>
        </r>
      </text>
    </comment>
    <comment ref="AD219" authorId="2" shapeId="0" xr:uid="{02C9048D-1876-4681-9E9C-A94CF34434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CON ELI, PAG DE 1500</t>
      </text>
    </comment>
    <comment ref="Q243" authorId="3" shapeId="0" xr:uid="{E40FE768-AEB6-4593-961C-898AC9900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A FAV SEM PASADA</t>
      </text>
    </comment>
    <comment ref="Q257" authorId="4" shapeId="0" xr:uid="{86AB6DCB-CF17-4E69-A6B7-A9F309099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DE MAS
</t>
      </text>
    </comment>
    <comment ref="P258" authorId="5" shapeId="0" xr:uid="{332F2ABF-0875-48FE-93ED-67F023AD76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cobran 4 días</t>
      </text>
    </comment>
    <comment ref="U285" authorId="1" shapeId="0" xr:uid="{D7F5E1F5-CE5C-439C-B8FB-8ADE115AFD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Gasolina 05/02 pago con tar DIDI</t>
        </r>
      </text>
    </comment>
    <comment ref="Q341" authorId="6" shapeId="0" xr:uid="{42148E51-EF45-4416-9BE0-246EAA49F1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Hojalateria sem pasada</t>
      </text>
    </comment>
    <comment ref="P558" authorId="7" shapeId="0" xr:uid="{FDFD2FA3-604C-4A8F-8AF8-5D649CF59E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ACUERDO</t>
      </text>
    </comment>
    <comment ref="N581" authorId="8" shapeId="0" xr:uid="{B1E72808-F117-485D-A3E1-BA0A681701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CRUZA DOS TAG</t>
      </text>
    </comment>
    <comment ref="Q626" authorId="1" shapeId="0" xr:uid="{57C899A9-5FCA-45FC-B94D-C646302DBF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le calculo sobre el TAG no sobre el saldo del convenio que serían 431 mas 12%
</t>
        </r>
      </text>
    </comment>
    <comment ref="E677" authorId="0" shapeId="0" xr:uid="{B380EF0C-F091-4F39-BC3B-431C5AE361B0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42" authorId="1" shapeId="0" xr:uid="{CF8E5CC9-0366-44C2-A720-CCF94C4EBC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Sin adeudo ya que debió pagar $1,169 y pago 1,665 ya que se le pidió lo del TAG
</t>
        </r>
      </text>
    </comment>
  </commentList>
</comments>
</file>

<file path=xl/sharedStrings.xml><?xml version="1.0" encoding="utf-8"?>
<sst xmlns="http://schemas.openxmlformats.org/spreadsheetml/2006/main" count="34804" uniqueCount="3454">
  <si>
    <t>Semana</t>
  </si>
  <si>
    <t>MES</t>
  </si>
  <si>
    <t>Fecha</t>
  </si>
  <si>
    <t>Solicitante</t>
  </si>
  <si>
    <t>CONCEPTO</t>
  </si>
  <si>
    <t>DETALLE</t>
  </si>
  <si>
    <t>CONDUCTOR</t>
  </si>
  <si>
    <t>PTTO</t>
  </si>
  <si>
    <t>SOCIO</t>
  </si>
  <si>
    <t>METODO DE PAGO</t>
  </si>
  <si>
    <t>REAL</t>
  </si>
  <si>
    <t>INGRESOS</t>
  </si>
  <si>
    <t>COMERCIO</t>
  </si>
  <si>
    <t>COMENTARIOS</t>
  </si>
  <si>
    <t>ADICIONAL</t>
  </si>
  <si>
    <t>NAYE</t>
  </si>
  <si>
    <t>PAGO DE GESTORIA JG</t>
  </si>
  <si>
    <t>VENTO|2019|BLANCO|MGC410C</t>
  </si>
  <si>
    <t>JGD</t>
  </si>
  <si>
    <t>PAGA SANTIAGO CON BBVA ORO</t>
  </si>
  <si>
    <t>-</t>
  </si>
  <si>
    <t>VENTO|2020|GRIS|MGC414C</t>
  </si>
  <si>
    <t>MARCH|2021|BLANCO|MGC417C</t>
  </si>
  <si>
    <t>SOLDADURA DEL PEDAL DEL CLUTCH</t>
  </si>
  <si>
    <t>MARCH|2020|TURQ|NI5BKD</t>
  </si>
  <si>
    <t>ASHC</t>
  </si>
  <si>
    <t>PENDIENTE NAYE</t>
  </si>
  <si>
    <t>BASURA</t>
  </si>
  <si>
    <t>ADMINISTRATIVO</t>
  </si>
  <si>
    <t>PAGO DE HOJALATERIA</t>
  </si>
  <si>
    <t>CAMIONETA SUSUKI EXTERNA</t>
  </si>
  <si>
    <t>SE PAGA CON EL SALDO DE SANTIAGO</t>
  </si>
  <si>
    <t>GASOLINA PARA MOTO VENTO OP.</t>
  </si>
  <si>
    <t>MOTO OPERATIVA</t>
  </si>
  <si>
    <t>PENDIENTE A GABRIEL</t>
  </si>
  <si>
    <t>VENTA DE GASOLINA +10%</t>
  </si>
  <si>
    <t>VERSA|2023|PLATA|NCT814A</t>
  </si>
  <si>
    <t>REPARACIÓN DE LLANTA</t>
  </si>
  <si>
    <t>MARCH|2020|TURQ|MAY737C</t>
  </si>
  <si>
    <t>BYER</t>
  </si>
  <si>
    <t>DESCUENTO A YOSHUA</t>
  </si>
  <si>
    <t>BALERO DELANTERO IZQUIERDO</t>
  </si>
  <si>
    <t>VERSA|2020|ROJO|NLP172B</t>
  </si>
  <si>
    <t>PENDIENTE A ANGEL</t>
  </si>
  <si>
    <t>FOCO PARA DIRECCIONAL</t>
  </si>
  <si>
    <t>TALACHA DE LLANTA TRASERA</t>
  </si>
  <si>
    <t>AVEO|2018|GRIS|X59AWG</t>
  </si>
  <si>
    <t>GASOLINA UBER GABRIEL</t>
  </si>
  <si>
    <t>PAGO DE FACTURAS DE GASOLINA</t>
  </si>
  <si>
    <t>PENDIENTE YUL</t>
  </si>
  <si>
    <t>VENTA DE GASOLINA + 10%</t>
  </si>
  <si>
    <t>VERSA|2021|BLANCO|MEE228C</t>
  </si>
  <si>
    <t>COMPRA DE AVEO 2022 PARTICULAR</t>
  </si>
  <si>
    <t>AVEO|2023|VINO|R22BMR</t>
  </si>
  <si>
    <t>COMPRA DE AVEO 2023 PARTICULAR</t>
  </si>
  <si>
    <t>AVEO|2022|VINO|P62BHW</t>
  </si>
  <si>
    <t>PAGO DE GESTORIA ALTA Y BAJA</t>
  </si>
  <si>
    <t>VENTO|2017|GRIS|NZV7888</t>
  </si>
  <si>
    <t>TOMA DE AGUA VW</t>
  </si>
  <si>
    <t>VENTO|2018|AMARILLO|PED1652</t>
  </si>
  <si>
    <t>21,060 PPTO</t>
  </si>
  <si>
    <t>ADESIVO EN AEROSOL</t>
  </si>
  <si>
    <t>TALLER</t>
  </si>
  <si>
    <t>PAGO DE DEDUCIBLE RECUPERACION</t>
  </si>
  <si>
    <t>AVEO|2022|AZUL|NZY685B</t>
  </si>
  <si>
    <t>PAGO DE GASOLINA MOTO</t>
  </si>
  <si>
    <t>LLANTA 175/65 R14</t>
  </si>
  <si>
    <t>LLANTA 185/65 R15</t>
  </si>
  <si>
    <t>HYUNDAI|2022|PLATA|D40BKD</t>
  </si>
  <si>
    <t>LLANTA 175/65 R15</t>
  </si>
  <si>
    <t>330 EFECT FERNANDO</t>
  </si>
  <si>
    <t>MASA DE BALERO IZQUIERDO</t>
  </si>
  <si>
    <t>500 EFECT YUL</t>
  </si>
  <si>
    <t>MANO DE OBRA DE BALERO</t>
  </si>
  <si>
    <t>HORQUILLA IZQUIERDA DELANTERA</t>
  </si>
  <si>
    <t>1500 EFECTIVO YUL</t>
  </si>
  <si>
    <t>BALERO DOBLE IZQUIERDO DELANTERDO</t>
  </si>
  <si>
    <t>MANO DE OBRA CAMBIO DE BALERO</t>
  </si>
  <si>
    <t>AFINACION</t>
  </si>
  <si>
    <t>LIQUIDO DE FRENOS</t>
  </si>
  <si>
    <t>KIA RIO|2020|AZUL|LUE960C</t>
  </si>
  <si>
    <t>GOMAS DE PISTON CALPIS TRASERO DERECHO</t>
  </si>
  <si>
    <t>TALACHA DE LLANTA TRASERA Y REFACCION</t>
  </si>
  <si>
    <t>AMORTIGUADOR IZQUIERDO</t>
  </si>
  <si>
    <t>20 LITROS DE GASOLINA</t>
  </si>
  <si>
    <t>AVEO|2021|GRIS|MLC126A</t>
  </si>
  <si>
    <t>BBVA</t>
  </si>
  <si>
    <t>15,100 PPTO</t>
  </si>
  <si>
    <t>GALON DE ACEITE</t>
  </si>
  <si>
    <t xml:space="preserve"> BBVA SE REALIZA CAMBIO EL 12 DE SEP</t>
  </si>
  <si>
    <t>BUJIAS</t>
  </si>
  <si>
    <t>BBVA SE CAMBIAN POR MAS REFACCIONES (EN 3 MESES)</t>
  </si>
  <si>
    <t>FILTRO DE AIRE</t>
  </si>
  <si>
    <t>EN TALLER</t>
  </si>
  <si>
    <t>SE REALIZA CAMBIO EL 12 DE SEP</t>
  </si>
  <si>
    <t>FILTRO DE ACEITE</t>
  </si>
  <si>
    <t>BBVA SE REALIZA CAMBIO EL 12 DE SEP</t>
  </si>
  <si>
    <t>BALATAS DELANTERAS</t>
  </si>
  <si>
    <t>BALATAS TRASERAS</t>
  </si>
  <si>
    <t>BBVA EN 3 MESES</t>
  </si>
  <si>
    <t>MARCH|2021|ROJO|NZU5163</t>
  </si>
  <si>
    <t>AVEO|2020|AZUL|D28BET</t>
  </si>
  <si>
    <t>FACTURAS DE GASOLINA</t>
  </si>
  <si>
    <t>ELECTRICO REVISION</t>
  </si>
  <si>
    <t>VENTO|2017|GRIS|MMA672C</t>
  </si>
  <si>
    <t xml:space="preserve">VERIFICACIÓN </t>
  </si>
  <si>
    <t>ELECTRICO CARGA DE BATERIA</t>
  </si>
  <si>
    <t>FOCOS PARA DIRECCIONAL</t>
  </si>
  <si>
    <t>MANGUERA DE VACIO</t>
  </si>
  <si>
    <t>DOS TALACHAS</t>
  </si>
  <si>
    <t>VENTO|2019|BLANCO|LUE965C</t>
  </si>
  <si>
    <t>TALACHA</t>
  </si>
  <si>
    <t>FOCOS AMBAR</t>
  </si>
  <si>
    <t>ALTERNADOR</t>
  </si>
  <si>
    <t>PROPINA DE REFACCIONARIA</t>
  </si>
  <si>
    <t>PAGO DE FACTURAS</t>
  </si>
  <si>
    <t>ADMINISTRACIÓN</t>
  </si>
  <si>
    <t>PAGO DE POLICIA MUF</t>
  </si>
  <si>
    <t>OPERACIÓN</t>
  </si>
  <si>
    <t>CAFÉ PARA OPERACIÓN</t>
  </si>
  <si>
    <t>KIA RIO|2020|GRIS|NCK475B</t>
  </si>
  <si>
    <t>NO SE REQUERIAN</t>
  </si>
  <si>
    <t>MASA DE BALERO</t>
  </si>
  <si>
    <t>AVEO|2018|ROJO|R51BKD</t>
  </si>
  <si>
    <t>BALERO DOBLE IZQUIERDO</t>
  </si>
  <si>
    <t>GASOLINA APOYO</t>
  </si>
  <si>
    <t>PRENSA DE BALERO</t>
  </si>
  <si>
    <t>GASOLINA</t>
  </si>
  <si>
    <t>BRINCO POR NO ENCENDER</t>
  </si>
  <si>
    <t>GASOLINA DE ASISTENCIA</t>
  </si>
  <si>
    <t>KIA|2020|AZUL|LUE960C</t>
  </si>
  <si>
    <t>GASOLINA PARA GPS</t>
  </si>
  <si>
    <t>AUTOLAVADO</t>
  </si>
  <si>
    <t>ELECTRICO</t>
  </si>
  <si>
    <t>DEDUCIBLE DE PARABRISAS</t>
  </si>
  <si>
    <t>KIA RIO|2021|ROJO|MFP751C</t>
  </si>
  <si>
    <t>REVISION DE BATERIA</t>
  </si>
  <si>
    <t>REPARACIÓN DE MARCHA</t>
  </si>
  <si>
    <t>ABRAZADERAS DE MANGERA ANTICONGELANTE</t>
  </si>
  <si>
    <t>CARBONES PARA ALTERNADOR</t>
  </si>
  <si>
    <t>LLAVE DE CRUZ</t>
  </si>
  <si>
    <t>3,914 JG</t>
  </si>
  <si>
    <t>RETROVISOR</t>
  </si>
  <si>
    <t>CAUTIN PARA BATERIAS</t>
  </si>
  <si>
    <t>CLOUCH COMPLETO</t>
  </si>
  <si>
    <t>2,000 FIANZA DE GONZALO EFECT + 1,600 CUENTA JUAN DIEGO EFECT</t>
  </si>
  <si>
    <t>CUENTA JUAN DIEGO EFECT</t>
  </si>
  <si>
    <t xml:space="preserve">2 PLUMAS 16¨ </t>
  </si>
  <si>
    <t>PENSION DE CORRALON</t>
  </si>
  <si>
    <t>GASOLINA CORRALON</t>
  </si>
  <si>
    <t>MARCH|2020|TURQ|N15BKD</t>
  </si>
  <si>
    <t>GASOLINA MODULO</t>
  </si>
  <si>
    <t>BEAT|2019|OCRE|MAY730C</t>
  </si>
  <si>
    <t>FOCO DE DIRECCIONAL</t>
  </si>
  <si>
    <t>COPIAS MP</t>
  </si>
  <si>
    <t>GASOLINA DE APOYO MP</t>
  </si>
  <si>
    <t>MODULO</t>
  </si>
  <si>
    <t>DEPOSITO ASHC 7,000</t>
  </si>
  <si>
    <t>REPARACIÓN DE DIRECCIÓN</t>
  </si>
  <si>
    <t>SALDO BBVA NAYE</t>
  </si>
  <si>
    <t xml:space="preserve">GASOLINA PARA RECOGER COCHE </t>
  </si>
  <si>
    <t>PILA PARA CONTROL</t>
  </si>
  <si>
    <t>CABLES PARA CORRIENTE</t>
  </si>
  <si>
    <t>BOBINAS (2)</t>
  </si>
  <si>
    <t xml:space="preserve">2,114 PAGO JUAN DIEGO EFECTIVO </t>
  </si>
  <si>
    <t>SET DE BUJES</t>
  </si>
  <si>
    <t>ACEITE PARA TRANSMISION</t>
  </si>
  <si>
    <t>COLLARIN</t>
  </si>
  <si>
    <t>BATERIA</t>
  </si>
  <si>
    <t>KIA RIO|2017|ROJO|MYE912A</t>
  </si>
  <si>
    <t>2,000 FIANZA GONZALO - 10 CUENTA JUAN DIEGO EFECT</t>
  </si>
  <si>
    <t>COLA LOKA</t>
  </si>
  <si>
    <t>LIMONES</t>
  </si>
  <si>
    <t>FOCOS PARA FARO</t>
  </si>
  <si>
    <t>NOMINA JAIME</t>
  </si>
  <si>
    <t>HORQUILLAS (2)</t>
  </si>
  <si>
    <t>EFECT YUL PENDIENTE</t>
  </si>
  <si>
    <t>FACTURAS SEP JAIME</t>
  </si>
  <si>
    <t>YUL BBVA</t>
  </si>
  <si>
    <t>FACTURAS ASHC-BYER</t>
  </si>
  <si>
    <t>CUERPO DE ACELERACIÓN</t>
  </si>
  <si>
    <t>PERMISO PARA MOTO VENTO</t>
  </si>
  <si>
    <t>PAGO DE DERECHOS TARJETA DE CIRCULACION</t>
  </si>
  <si>
    <t>VENTO|2020|GRIS|R66BER</t>
  </si>
  <si>
    <t>RECARGA OPERACIÓN</t>
  </si>
  <si>
    <t>GASOLINA OPERACIÓN</t>
  </si>
  <si>
    <t>PLAZA VIAJE</t>
  </si>
  <si>
    <t>FILTRO DE ACEITE (2)</t>
  </si>
  <si>
    <t>JAC CAMIONETA</t>
  </si>
  <si>
    <t>PAGA YUL</t>
  </si>
  <si>
    <t>FILTO DE AIRE (2)</t>
  </si>
  <si>
    <t>FILTRO (2)</t>
  </si>
  <si>
    <t>ANTICIPO REFACCIONES</t>
  </si>
  <si>
    <t>HOJALATERIA</t>
  </si>
  <si>
    <t xml:space="preserve">PAGA SANTIAGO  </t>
  </si>
  <si>
    <t>BEAT|2020|GRIS|NFN014B</t>
  </si>
  <si>
    <t>GASOLINA MOTO OP.</t>
  </si>
  <si>
    <t>BANDA DE ACCESORIOS</t>
  </si>
  <si>
    <t>8 LITROS DE ACEITE 15W40</t>
  </si>
  <si>
    <t>RECTIFICACION DE DISCOS</t>
  </si>
  <si>
    <t>CAMBIO DE BALERO (PRENSA)</t>
  </si>
  <si>
    <t>GASOLINA PARA APOYO</t>
  </si>
  <si>
    <t>PROPINA GAS</t>
  </si>
  <si>
    <t>NAYE PEND</t>
  </si>
  <si>
    <t>PPTO 800 EXTRA</t>
  </si>
  <si>
    <t>PPTO 9,700</t>
  </si>
  <si>
    <t>SENSOR DE CIGÜEÑAL</t>
  </si>
  <si>
    <t>PPTO 800 EXTRA + 113 PPTO 9,700</t>
  </si>
  <si>
    <t>10 FOCOS DE PELLIZCO</t>
  </si>
  <si>
    <t>10 FOCOS DE 1 POLO AMBAR</t>
  </si>
  <si>
    <t>4 LITROS DE ACEITE PARA CAJA</t>
  </si>
  <si>
    <t>LLANTA 185/65 R15 TORNEL</t>
  </si>
  <si>
    <t>LLANTA 175/70 R14 LAUFREN</t>
  </si>
  <si>
    <t>MARCH|2019|TURQ|MAY737C</t>
  </si>
  <si>
    <t>REVISION Y DIAGNOSTICO DE BATERIA</t>
  </si>
  <si>
    <t>700 EFECTIVO YUL A ROUS</t>
  </si>
  <si>
    <t>ANTICONGELANTE</t>
  </si>
  <si>
    <t>GASOLINA DISEL</t>
  </si>
  <si>
    <t>GAS ROSA</t>
  </si>
  <si>
    <t>DEPOSITO DE ANTICONGELANTE</t>
  </si>
  <si>
    <t>AMORTIGUADORES DELANTEROS</t>
  </si>
  <si>
    <t>BASES DE AMORTIGUADORES DELANTEROS</t>
  </si>
  <si>
    <t>PAGA SANTIAGO</t>
  </si>
  <si>
    <t>ABRAZADERAS MINI</t>
  </si>
  <si>
    <t>CILINDRO CLOUCH</t>
  </si>
  <si>
    <t>GOMAS  ESTABILIZADORA</t>
  </si>
  <si>
    <t>TALACHAS (2)</t>
  </si>
  <si>
    <t>ABONO ANGEL ALCANTARA</t>
  </si>
  <si>
    <t>GASOLINA PRUEBAS OP</t>
  </si>
  <si>
    <t>PEND ISMAEL</t>
  </si>
  <si>
    <t>ALINEACIÓN Y BALANCEO</t>
  </si>
  <si>
    <t>CACAHUATES (2)</t>
  </si>
  <si>
    <t>ROTULAS (2)</t>
  </si>
  <si>
    <t>CAMBIO DE LLAVE</t>
  </si>
  <si>
    <t>500 EFECT YUL A ISMAEL</t>
  </si>
  <si>
    <t>BUJE</t>
  </si>
  <si>
    <t>BOMBA DE LIQUIDO</t>
  </si>
  <si>
    <t>BATERIAS (4)</t>
  </si>
  <si>
    <t>3 M DE CINTA NEGRA</t>
  </si>
  <si>
    <t>38,862 NAYE BBVA</t>
  </si>
  <si>
    <t>PENDIENTES AGOSTO</t>
  </si>
  <si>
    <t>NICO</t>
  </si>
  <si>
    <t>GABRIEL</t>
  </si>
  <si>
    <t>ANGEL</t>
  </si>
  <si>
    <t>ROUS</t>
  </si>
  <si>
    <t>YUL</t>
  </si>
  <si>
    <t>(2) IMPERMEABLES</t>
  </si>
  <si>
    <t>ESCANER</t>
  </si>
  <si>
    <t>GATO HIDRAULICO</t>
  </si>
  <si>
    <t>PIZARRON</t>
  </si>
  <si>
    <t>CASETA</t>
  </si>
  <si>
    <t>LLANTA DE REFACCIÓN</t>
  </si>
  <si>
    <t>FUNDA DE VOLANTE</t>
  </si>
  <si>
    <t xml:space="preserve">MULTA  </t>
  </si>
  <si>
    <t>TUERCAS</t>
  </si>
  <si>
    <t>CAMIONETAS JAC</t>
  </si>
  <si>
    <t>KIA RIO|2023|ROJO|H99BLC</t>
  </si>
  <si>
    <t>VERSA|2020|BLANCO|A35BHD</t>
  </si>
  <si>
    <t>SE COMPRA DEL PPTO DE SANTIAGO</t>
  </si>
  <si>
    <t>FOCOS PARA DIRECCIONAL AMBAR</t>
  </si>
  <si>
    <t>FOCOS PARA DIRECCIONAL AMBAR MINI</t>
  </si>
  <si>
    <t>FOCO FRONTAL IZQUIERDO</t>
  </si>
  <si>
    <t>FOCO FRONTAL IZQUIERDO MINI</t>
  </si>
  <si>
    <t>BALERO DELANTERO IZQUIERDO DOBLE</t>
  </si>
  <si>
    <t>1,555 PPTO EXTRA ASHC</t>
  </si>
  <si>
    <t>BALLONETA</t>
  </si>
  <si>
    <t>BIRLO</t>
  </si>
  <si>
    <t>TUERCAS (5)</t>
  </si>
  <si>
    <t>1,555 PPTO EXTRA ASHC DEV A YUL 55</t>
  </si>
  <si>
    <t xml:space="preserve">CINTA DE AISLAR NEGRA </t>
  </si>
  <si>
    <t>SINCHOS NEGROS CHICOS</t>
  </si>
  <si>
    <t>SINCHOS NEGROS GRANDES</t>
  </si>
  <si>
    <t>PENDIENTE JG FRANCISCO GOMEZ</t>
  </si>
  <si>
    <t>PENDIENTE DE DEV SANTIAGO</t>
  </si>
  <si>
    <t>GASOLINA IR A RONDA</t>
  </si>
  <si>
    <t>12,800 NAYE BBVA</t>
  </si>
  <si>
    <t>CHISGUETERO</t>
  </si>
  <si>
    <t>DEFENSA DELANTERA</t>
  </si>
  <si>
    <t>COFRE</t>
  </si>
  <si>
    <t>PARRILLA CENTRAL</t>
  </si>
  <si>
    <t>SALPICADERA DERECHA</t>
  </si>
  <si>
    <t>REJILLA CENTRAL</t>
  </si>
  <si>
    <t>BISAGRA DE COFRE</t>
  </si>
  <si>
    <t>FARO DERECHO</t>
  </si>
  <si>
    <t>MARCO RADIADOR</t>
  </si>
  <si>
    <t>RICARDO HERNANDEZ</t>
  </si>
  <si>
    <t>GRAPA (2) GUIA DE SOPORTE DE FARO</t>
  </si>
  <si>
    <t>GUIA DE DEFENSA</t>
  </si>
  <si>
    <t xml:space="preserve">CACAHUATE  </t>
  </si>
  <si>
    <t>500 EFECTIVO YUL</t>
  </si>
  <si>
    <t>LIGA DE GASOLINA</t>
  </si>
  <si>
    <t>PAGO A GUSTAVO</t>
  </si>
  <si>
    <t>SOPORTE TRASERO</t>
  </si>
  <si>
    <t>RESTANTE DE BALATAS</t>
  </si>
  <si>
    <t>REJILLA INFERIOR DERECHA</t>
  </si>
  <si>
    <t>MOTOVENTILADOR</t>
  </si>
  <si>
    <t>12,800 NAYE BBVA + 616 38,862</t>
  </si>
  <si>
    <t>RECOGER MAÑANA</t>
  </si>
  <si>
    <t>BALERO</t>
  </si>
  <si>
    <t>GASOLINA TAXI ISAMEL RONDA</t>
  </si>
  <si>
    <t>PENDIENTE TICKET</t>
  </si>
  <si>
    <t>YUL EFECT</t>
  </si>
  <si>
    <t>ESTACIONAMIENTO MP</t>
  </si>
  <si>
    <t>PERMISO PARA CIRCULAR</t>
  </si>
  <si>
    <t>AVEO|2025|PERSU|</t>
  </si>
  <si>
    <t>GABO PENDIENTES DE RONDA</t>
  </si>
  <si>
    <t>ESTEREO</t>
  </si>
  <si>
    <t>DEPOSITO LIMPIADOR</t>
  </si>
  <si>
    <t>POLISH BLANCO</t>
  </si>
  <si>
    <t>CERA LIQUIDA</t>
  </si>
  <si>
    <t>FARO DE NIEBLA</t>
  </si>
  <si>
    <t>S/C</t>
  </si>
  <si>
    <t>2 GARRAFAS DE ANTICONGELANTE</t>
  </si>
  <si>
    <t xml:space="preserve">CALAVERA </t>
  </si>
  <si>
    <t xml:space="preserve">CABLE </t>
  </si>
  <si>
    <t>GASOLINA RONDA</t>
  </si>
  <si>
    <t>GAS OPERACIÓN</t>
  </si>
  <si>
    <t>ADMINISTRACION</t>
  </si>
  <si>
    <t>MOTO HONDA OP</t>
  </si>
  <si>
    <t>UBER HOJALATERO</t>
  </si>
  <si>
    <t>PAOLA</t>
  </si>
  <si>
    <t>MODULO DE MOTOVENTILADOR</t>
  </si>
  <si>
    <t>PEND GABO</t>
  </si>
  <si>
    <t>9,000 EFECT CAJA</t>
  </si>
  <si>
    <t>TOMA DE AIRE DE REGILLA</t>
  </si>
  <si>
    <t>PENDIENTE</t>
  </si>
  <si>
    <t>PEND</t>
  </si>
  <si>
    <t>TERMINAL EXTERIOR</t>
  </si>
  <si>
    <t>TERMINAL INTERIOR</t>
  </si>
  <si>
    <t>HORQUILLA</t>
  </si>
  <si>
    <t>BALATAS</t>
  </si>
  <si>
    <t xml:space="preserve">ELECTRICO </t>
  </si>
  <si>
    <t>GAS PRUEBA</t>
  </si>
  <si>
    <t>CLUTCH</t>
  </si>
  <si>
    <t>AVEO|2021|GRIS|D51BHV</t>
  </si>
  <si>
    <t xml:space="preserve">GAS </t>
  </si>
  <si>
    <t>LAVADO</t>
  </si>
  <si>
    <t>(2) FOCOS</t>
  </si>
  <si>
    <t>PRUEBA</t>
  </si>
  <si>
    <t>BOBINA</t>
  </si>
  <si>
    <t>TARJETA NU JORGE</t>
  </si>
  <si>
    <t>REPARACION DE MANGUERAS</t>
  </si>
  <si>
    <t>PERMISOS (2)</t>
  </si>
  <si>
    <t>AVEO|2025|PERSUACION|SP</t>
  </si>
  <si>
    <t>PEND PAOLA</t>
  </si>
  <si>
    <t>FILTRO DE GASOLINA</t>
  </si>
  <si>
    <t xml:space="preserve">ROTULA </t>
  </si>
  <si>
    <t>AVEO|2019|BLANCO|NBS225A</t>
  </si>
  <si>
    <t>GAS DE MANGUERAS</t>
  </si>
  <si>
    <t xml:space="preserve">ALINEACION </t>
  </si>
  <si>
    <t>PAGO DE CHIP</t>
  </si>
  <si>
    <t>PEND ROUS</t>
  </si>
  <si>
    <t xml:space="preserve">PLACAS </t>
  </si>
  <si>
    <t>4,744 EFECT YUL</t>
  </si>
  <si>
    <t>FOCOS HELLA (2)</t>
  </si>
  <si>
    <t>MONTAJE DE LLANTAS(2)</t>
  </si>
  <si>
    <t>TRASLADO</t>
  </si>
  <si>
    <t>AVEO|2025|PERSUASION|MXM503C</t>
  </si>
  <si>
    <t>DIDI ASHC</t>
  </si>
  <si>
    <t>DIDI CARD</t>
  </si>
  <si>
    <t>AVEO|2025|PERSUASION|MXM510C</t>
  </si>
  <si>
    <t>AVEO|2025|PERSUASION|MXM502C</t>
  </si>
  <si>
    <t>PROPINA DE GASERA</t>
  </si>
  <si>
    <t>AVEOS</t>
  </si>
  <si>
    <t>EFECTIVO</t>
  </si>
  <si>
    <t>TAXI DE UNIDAD A MIXCOAC</t>
  </si>
  <si>
    <t>PEND ELEC</t>
  </si>
  <si>
    <t>MUDANZA</t>
  </si>
  <si>
    <t>CINTAS CANELA (4)</t>
  </si>
  <si>
    <t>TRANSFERENCIA</t>
  </si>
  <si>
    <t>PPTO 853 SWIFT</t>
  </si>
  <si>
    <t>ALFONSO GONZALEZ</t>
  </si>
  <si>
    <t>SWIFT|2017|ROJO|X89ALV</t>
  </si>
  <si>
    <t>PENDIENTES ALFONSO</t>
  </si>
  <si>
    <t>PAGADO</t>
  </si>
  <si>
    <t>NU TDC</t>
  </si>
  <si>
    <t>MANTENIMIENTO</t>
  </si>
  <si>
    <t>BALERO DELANTERO DERECHO DOBLE</t>
  </si>
  <si>
    <t>CILINDRO</t>
  </si>
  <si>
    <t>RAUL CORTE</t>
  </si>
  <si>
    <t>TDD</t>
  </si>
  <si>
    <t>REFACCIONARIA FRANCO</t>
  </si>
  <si>
    <t>PEND FERNANDO</t>
  </si>
  <si>
    <t>SILICÓN NEGRO</t>
  </si>
  <si>
    <t>TOMA DE AGUA</t>
  </si>
  <si>
    <t>FOCO (1)</t>
  </si>
  <si>
    <t>ADALBERTO BELLO</t>
  </si>
  <si>
    <t>3000 EFECTIVO DE YUL A ROSA</t>
  </si>
  <si>
    <t>G500</t>
  </si>
  <si>
    <t>GO GAS</t>
  </si>
  <si>
    <t>SINIESTRO</t>
  </si>
  <si>
    <t>PARABRISAS</t>
  </si>
  <si>
    <t>BBVA BYER</t>
  </si>
  <si>
    <t>CRISTAFACIL</t>
  </si>
  <si>
    <t>TRANSFERENCIA YUL</t>
  </si>
  <si>
    <t>CALCOMANIAS</t>
  </si>
  <si>
    <t>LONAS</t>
  </si>
  <si>
    <t>PLATA ASHC</t>
  </si>
  <si>
    <t>MERCADO LIBRE</t>
  </si>
  <si>
    <t>REFACCIONARIA VOLKS PASSANT</t>
  </si>
  <si>
    <t>TORNILLO</t>
  </si>
  <si>
    <t>CILINDRO DE CLUTCH</t>
  </si>
  <si>
    <t>TINTAS PARA IMPRESORA (3)</t>
  </si>
  <si>
    <t>OFFICE MAX</t>
  </si>
  <si>
    <t>PROMOCION 3X2</t>
  </si>
  <si>
    <t>CABLE PARA IMPRESORA USB</t>
  </si>
  <si>
    <t>RUBI RUBLES</t>
  </si>
  <si>
    <t>FOCO PELLISCO</t>
  </si>
  <si>
    <t>JOSE JUAN HERNANDEZ MEJIA</t>
  </si>
  <si>
    <t>AVEO|2019|PLATA|NEL860A</t>
  </si>
  <si>
    <t>PEND AGUSTIN</t>
  </si>
  <si>
    <t>FOCO</t>
  </si>
  <si>
    <t>BOBINA (2)</t>
  </si>
  <si>
    <t>LLANTAS (2)</t>
  </si>
  <si>
    <t>SHOPTIRE</t>
  </si>
  <si>
    <t>LIMPIADOR DE CUERPO</t>
  </si>
  <si>
    <t>BALERO DELANTERO</t>
  </si>
  <si>
    <t>MAZA DE RUEDA DELANTERO</t>
  </si>
  <si>
    <t>FERNANDO FUENTES</t>
  </si>
  <si>
    <t>RETO</t>
  </si>
  <si>
    <t>ADRIAN CRUZ</t>
  </si>
  <si>
    <t>TRASNFERENCIA YUL A ADRIAN</t>
  </si>
  <si>
    <t>GPS</t>
  </si>
  <si>
    <t>CHIPS</t>
  </si>
  <si>
    <t>OXXO</t>
  </si>
  <si>
    <t>DAVID GONZALEZ</t>
  </si>
  <si>
    <t>AVEO|2022|AZUL|MUF515A</t>
  </si>
  <si>
    <t>TRANSFERENCIA YUL A RUBI</t>
  </si>
  <si>
    <t>REVISIÓN DE FUGAS</t>
  </si>
  <si>
    <t>AUTOCLIMAS RADIADORES</t>
  </si>
  <si>
    <t>ACEITE AL COMPRESOR</t>
  </si>
  <si>
    <t>CARGA DE GAS</t>
  </si>
  <si>
    <t>4893 TRANSFERENCIA DE ASHC A NAYE</t>
  </si>
  <si>
    <t>GASOFAC</t>
  </si>
  <si>
    <t>ROTACION Y MONTAJE DE LLANTAS</t>
  </si>
  <si>
    <t>VULCANIZADORA LEO</t>
  </si>
  <si>
    <t>SE TOMAN LLANTAS DE INVENTARIO</t>
  </si>
  <si>
    <t>FOCO FELLISCO (2)</t>
  </si>
  <si>
    <t>FOCO UVA (2)</t>
  </si>
  <si>
    <t>FOCOS (2)</t>
  </si>
  <si>
    <t>BULB. ACEITE</t>
  </si>
  <si>
    <t>HOJALATERO</t>
  </si>
  <si>
    <t>1500 TRANSFERENCIA JGD A NAYE</t>
  </si>
  <si>
    <t>CABLES DE BUJIAS</t>
  </si>
  <si>
    <t>CACAHUATE ESTABILIZADOR</t>
  </si>
  <si>
    <t>ANGEL ALCANTARA</t>
  </si>
  <si>
    <t>LIMPIEZA</t>
  </si>
  <si>
    <t>FERNANDO OSORNIO</t>
  </si>
  <si>
    <t>PETROMAX</t>
  </si>
  <si>
    <t>PEND A FERNANDO</t>
  </si>
  <si>
    <t>LLANTA</t>
  </si>
  <si>
    <t>MIGUEL TORRES</t>
  </si>
  <si>
    <t>OSCAR BLANCAS</t>
  </si>
  <si>
    <t>EXTRAORDINARIO</t>
  </si>
  <si>
    <t>LLANTERA TREJO</t>
  </si>
  <si>
    <t>TRANSFERENCIA DE ASHC A CUENTA MERCADO PAGO</t>
  </si>
  <si>
    <t>FUSIBLE</t>
  </si>
  <si>
    <t>FERNANDO FUENTES OTERO</t>
  </si>
  <si>
    <t>ISMAEL SE LOS DA FERNANDO DE RESERVA, YA QUE LOS QUEMA</t>
  </si>
  <si>
    <t>ACEITE DE TRASMISIÓN (3)</t>
  </si>
  <si>
    <t>ISMAEL HERNANDEZ</t>
  </si>
  <si>
    <t>CHIP</t>
  </si>
  <si>
    <t xml:space="preserve">FERNANDO </t>
  </si>
  <si>
    <t>OPERACION</t>
  </si>
  <si>
    <t>DESAYUNO</t>
  </si>
  <si>
    <t>4000 DE YUL A ROUS</t>
  </si>
  <si>
    <t>REGULADOR</t>
  </si>
  <si>
    <t>PAGA ISMAEL, QUEDA PENDIENTE.</t>
  </si>
  <si>
    <t>SIN COMPROBANTE</t>
  </si>
  <si>
    <t>BALEROS (2)</t>
  </si>
  <si>
    <t>MANO DE OBRA</t>
  </si>
  <si>
    <t>SOPORTE</t>
  </si>
  <si>
    <t>TRANSFERENCIA DE YUL</t>
  </si>
  <si>
    <t>?</t>
  </si>
  <si>
    <t>ALFREDO MANCERA JIMENEZ</t>
  </si>
  <si>
    <t>EN INVENTARIO, REPARADAS</t>
  </si>
  <si>
    <t>JESUS ROSALES</t>
  </si>
  <si>
    <t>DERECHOS</t>
  </si>
  <si>
    <t>BRINCO</t>
  </si>
  <si>
    <t>ACEITE</t>
  </si>
  <si>
    <t>AVEO|2025|PERSUASION|MZN057C</t>
  </si>
  <si>
    <t>EN INVENTARIO</t>
  </si>
  <si>
    <t>REFACCIONARIA AVILA</t>
  </si>
  <si>
    <t xml:space="preserve">GALON DE ACEITE </t>
  </si>
  <si>
    <t>JOSE GUILLERMO HERNANDEZ RAMIREZ</t>
  </si>
  <si>
    <t>BUJIAS (4)</t>
  </si>
  <si>
    <t>DYLAN</t>
  </si>
  <si>
    <t>COMPRA DE REFACCIONES</t>
  </si>
  <si>
    <t>FERNANDO</t>
  </si>
  <si>
    <t>VERIFICACIÓN Y VISITA DOMICILIARIA</t>
  </si>
  <si>
    <t xml:space="preserve">MANTENIMIENTO </t>
  </si>
  <si>
    <t xml:space="preserve">SOPORTE DE MOTOR </t>
  </si>
  <si>
    <t>SOPORTE DE CAJA</t>
  </si>
  <si>
    <t>JUAN PABLO</t>
  </si>
  <si>
    <t>PENDIENTES A JUAN PABLO</t>
  </si>
  <si>
    <t>REPARACION DE BALATAS</t>
  </si>
  <si>
    <t>BOMBA DE GASOLINA</t>
  </si>
  <si>
    <t>ALEJANDRO PAZ</t>
  </si>
  <si>
    <t>SOPORTE DE MOTOR DERECHO</t>
  </si>
  <si>
    <t>FOCO DE CALAVERA (4)</t>
  </si>
  <si>
    <t>BOBINA ENCENDIDO</t>
  </si>
  <si>
    <t>FIT DE AFINACIÓN</t>
  </si>
  <si>
    <t>JOSE LUIS HERNANDEZ</t>
  </si>
  <si>
    <t>AUTOPARTES ELECTRICAS ROMERO</t>
  </si>
  <si>
    <t>SERGIO BAEZ</t>
  </si>
  <si>
    <t>REPARACION DE MOTOR</t>
  </si>
  <si>
    <t>TRANSFIERE 4500 ASHC</t>
  </si>
  <si>
    <t>BIRLOS DE SEGURIDAD</t>
  </si>
  <si>
    <t>REFACCIONARIA MENDOZA</t>
  </si>
  <si>
    <t>AUTOLAVADO SANBERNABE</t>
  </si>
  <si>
    <t>2000 DE YUL A ROUS</t>
  </si>
  <si>
    <t>ACEITE DE TRANSMISIÓN (3)</t>
  </si>
  <si>
    <t>2825 DE VALE</t>
  </si>
  <si>
    <t>SE DA UN VALE POR EL TOTAL 2,825 QUEDAN PENDIENTES 1573</t>
  </si>
  <si>
    <t>CLUTCH Y COLLARIN</t>
  </si>
  <si>
    <t>RICARDO HERNANDEZ ARIAS</t>
  </si>
  <si>
    <t>COPIAS (100)</t>
  </si>
  <si>
    <t>COPIAS LAS TORRES</t>
  </si>
  <si>
    <t>IMPRESIONES (8)</t>
  </si>
  <si>
    <t>PEGAMENTO</t>
  </si>
  <si>
    <t xml:space="preserve">BALATAS </t>
  </si>
  <si>
    <t>BOCINAS</t>
  </si>
  <si>
    <t>TOLENTINO PEREZ</t>
  </si>
  <si>
    <t>ANTICONGELANTE ROSA</t>
  </si>
  <si>
    <t>FRANISCO GOMEZ URQUIZA</t>
  </si>
  <si>
    <t>ACEITE DE TRANSMISIÓN (4)</t>
  </si>
  <si>
    <t>HIDROSINA</t>
  </si>
  <si>
    <t>VISITA DE MECANICO A TLANEPANTLA</t>
  </si>
  <si>
    <t>PENDIENTE A GABRIEL, TDD.</t>
  </si>
  <si>
    <t>VISITAS DOMICILIARIAS</t>
  </si>
  <si>
    <t>TRANSFIERE ASHC</t>
  </si>
  <si>
    <t>PLATA CARD</t>
  </si>
  <si>
    <t>AUTOPARTES</t>
  </si>
  <si>
    <t>NU JDG</t>
  </si>
  <si>
    <t>MT262 (2)</t>
  </si>
  <si>
    <t>ISMAEL</t>
  </si>
  <si>
    <t>DUPLICADOR DE CRUZ (2)</t>
  </si>
  <si>
    <t>DUPLICADO</t>
  </si>
  <si>
    <t xml:space="preserve">FRANISCO GOMEZ </t>
  </si>
  <si>
    <t>HORQUILLA DERECHA</t>
  </si>
  <si>
    <t>REFACCIONARIA GARCIA</t>
  </si>
  <si>
    <t>HORQUILLA IZQUIERDA</t>
  </si>
  <si>
    <t>AMORTIGUADORES DELANTEROS (2)</t>
  </si>
  <si>
    <t>EFECTIFACTURA</t>
  </si>
  <si>
    <t>COMPRA DE REFACCIONES DE JGD</t>
  </si>
  <si>
    <t>LINEAS ELECTRICAS</t>
  </si>
  <si>
    <t>CAPUCHON AMORTIGUADOR (2)</t>
  </si>
  <si>
    <t>REFACCIONES AMERICANAS Y JAPONESAS</t>
  </si>
  <si>
    <t>REPARACION DE CHAPAS CON COPIAS (6)</t>
  </si>
  <si>
    <t>CERRAJERIA MAY</t>
  </si>
  <si>
    <t>DUPLICADOS (2)</t>
  </si>
  <si>
    <t>AMORTIGUADOR DERECHO</t>
  </si>
  <si>
    <t>BASE DE AMORTIGUADOR (2)</t>
  </si>
  <si>
    <t>GOMA DE AMORTIGUADOR (2)</t>
  </si>
  <si>
    <t>COMPRA DE REFACCIONES JGD</t>
  </si>
  <si>
    <t>BOBINA (4)</t>
  </si>
  <si>
    <t xml:space="preserve">BATERIA </t>
  </si>
  <si>
    <t xml:space="preserve">JOSE LUIS HERNANDEZ </t>
  </si>
  <si>
    <t>SERVICIO ELECTRICO ALEX</t>
  </si>
  <si>
    <t>VERIFICACIÓN</t>
  </si>
  <si>
    <t>GOBIERNO EDOMEX</t>
  </si>
  <si>
    <t>HATCHBACK|2024|BLANCO|MWV156C</t>
  </si>
  <si>
    <t>GABRIEL JIMENEZ</t>
  </si>
  <si>
    <t>VENTO|2020|GRIS|A19BDY</t>
  </si>
  <si>
    <t xml:space="preserve">COMPRA DE MEMBRESÍA </t>
  </si>
  <si>
    <t>TDD ASHC</t>
  </si>
  <si>
    <t>SUBASTAS VENTURA</t>
  </si>
  <si>
    <t>PAGA ASHC</t>
  </si>
  <si>
    <t xml:space="preserve">ACEITE </t>
  </si>
  <si>
    <t>ARMANDO MARTINEZ</t>
  </si>
  <si>
    <t>FRANCISCO ISLAS</t>
  </si>
  <si>
    <t>AVEO|2024|GRIS|LRL009C</t>
  </si>
  <si>
    <t>CACAHUATE ESTABILIZADOR (2)</t>
  </si>
  <si>
    <t>KIA RIO|2020|ROJO|MFP751C</t>
  </si>
  <si>
    <t>REFACCIONARIA CALIFORNIA</t>
  </si>
  <si>
    <t>CASA FELIX</t>
  </si>
  <si>
    <t>TORNILLOS (6)</t>
  </si>
  <si>
    <t>DISTRIBUIDORA DE TORNILLOS</t>
  </si>
  <si>
    <t>PAGA JUAN PABLO, PENDIENTE.</t>
  </si>
  <si>
    <t>PLACA DE BATERIA</t>
  </si>
  <si>
    <t>REFACCIONARIA PONY</t>
  </si>
  <si>
    <t>DA 200 YULIANA</t>
  </si>
  <si>
    <t>GPS (10)</t>
  </si>
  <si>
    <t xml:space="preserve">JUAN JOSE </t>
  </si>
  <si>
    <t>TRANSFIERE SKIJ</t>
  </si>
  <si>
    <t>ADOLFO LOPEZ MARTINEZ</t>
  </si>
  <si>
    <t>GOBIERNO CDMX</t>
  </si>
  <si>
    <t>TRANSFIERE BYER</t>
  </si>
  <si>
    <t>CABLES DE DE CORRIENTE</t>
  </si>
  <si>
    <t>VDR EXPRESS SUR</t>
  </si>
  <si>
    <t>TAPETE ROJO (4)</t>
  </si>
  <si>
    <t>TAPETE NEGRO (4)</t>
  </si>
  <si>
    <t>TAPETE GRUESO (2)</t>
  </si>
  <si>
    <t>SHELL</t>
  </si>
  <si>
    <t>MARCO ANTONIO</t>
  </si>
  <si>
    <t xml:space="preserve">JUAN PABLO </t>
  </si>
  <si>
    <t>VERSA|2024|GRIS|MWN453C</t>
  </si>
  <si>
    <t>DIFERENCIA ROUS, PENDIENTE.</t>
  </si>
  <si>
    <t>BANDA</t>
  </si>
  <si>
    <t>JDG</t>
  </si>
  <si>
    <t>TUERCAS (4)</t>
  </si>
  <si>
    <t>TORNILLOS Y FRENOS</t>
  </si>
  <si>
    <t>PAGA ROUS, PENDIENTE.</t>
  </si>
  <si>
    <t>GOLPE</t>
  </si>
  <si>
    <t>ANGEL ALCANTARA CRUZ</t>
  </si>
  <si>
    <t>AVEO|2025|PERSUASION|MZN091C</t>
  </si>
  <si>
    <t>ALINEACION, BALANCEO, REVISIÓN, 4 BALANCEOS, 2 MONTAJES.</t>
  </si>
  <si>
    <t>COMPRA DE VEHICULO</t>
  </si>
  <si>
    <t>VERSA|2021|BLANCO|</t>
  </si>
  <si>
    <t>REFACCIOANRIA PUEBLA</t>
  </si>
  <si>
    <t>FT200||NEGRA|SIN PLACAS</t>
  </si>
  <si>
    <t xml:space="preserve">CACAHUATE ESTABILIZADOR </t>
  </si>
  <si>
    <t>FRANCISCO GOMEZ URQUIZA SILVA</t>
  </si>
  <si>
    <t>AUTOESPECIALIDADES FRANCO</t>
  </si>
  <si>
    <t>FOCO 7443 (4)</t>
  </si>
  <si>
    <t>REFACCIONES ELECTRICAS Y AUTOMOTRICES</t>
  </si>
  <si>
    <t>FOCO 150 (2)</t>
  </si>
  <si>
    <t xml:space="preserve">FOCO HII </t>
  </si>
  <si>
    <t>AUTOREFACCIONES ALEMANAS Y JAPONESAS</t>
  </si>
  <si>
    <t>FOCO H11</t>
  </si>
  <si>
    <t>FRANCISCO ISLAS CHAVEZ</t>
  </si>
  <si>
    <t>PAGA CONDUCTOR, SE LE RESTA A SU CUENTA</t>
  </si>
  <si>
    <t>FRANCISCO RODOLFO GOMEZ URQUIZA</t>
  </si>
  <si>
    <t>TRANSFIERE JGD</t>
  </si>
  <si>
    <t>JOSE LUIS HERNANDEZ  MEDINA</t>
  </si>
  <si>
    <t>GOBIERNO DE CDMX</t>
  </si>
  <si>
    <t>VULCANIZADORA EL NEGRO</t>
  </si>
  <si>
    <t>REVISÓN DE SUSPENSIÓN</t>
  </si>
  <si>
    <t>MANGO IZQUIERDO</t>
  </si>
  <si>
    <t>ITALIKA|?|NEGRA|SIN PLACAS</t>
  </si>
  <si>
    <t>MANGO</t>
  </si>
  <si>
    <t>DAR PORTALES</t>
  </si>
  <si>
    <t xml:space="preserve">ISMAEL HERNANDEZ </t>
  </si>
  <si>
    <t>TORNILLO HEX FINO</t>
  </si>
  <si>
    <t>SE TOMA EFECTIVO DE LA CUENTA DE 15 DE DICIEMBRE, JUAN PABLO</t>
  </si>
  <si>
    <t>RONDANA PLANA</t>
  </si>
  <si>
    <t>TORNILLOS 10X60 (2)</t>
  </si>
  <si>
    <t>TORNILLOS 10 MM (2)</t>
  </si>
  <si>
    <t>BOBINA Y MANGO</t>
  </si>
  <si>
    <t>MANTENIMIENTO INDUSTRIAL</t>
  </si>
  <si>
    <t>SE TOMA 150 DE LA CAJA DE OCTUBRE RESTANTES, Y QUEDAN 50 SE PAGAN 50 A NAYE POR TRANSFERENCIA</t>
  </si>
  <si>
    <t>TERMINAL EXTERIOR DERECHA</t>
  </si>
  <si>
    <t>SE COMPRA UNA Y SE REALIZA EL CAMBIO, PAG DIFERENCIA DE 48 PESOS.</t>
  </si>
  <si>
    <t>MARCH|2022|GRIS|</t>
  </si>
  <si>
    <t>TDD BYER</t>
  </si>
  <si>
    <t>VERSA|2022|GRIS|NES596C</t>
  </si>
  <si>
    <t>VENTO|2020|GRIS|</t>
  </si>
  <si>
    <t>LENIGAS</t>
  </si>
  <si>
    <t>REVISIÓN DE SUSPENSIÓN</t>
  </si>
  <si>
    <t xml:space="preserve">TORNILLO ESTABILIZADOR </t>
  </si>
  <si>
    <t>REFACCIONARIA DAR</t>
  </si>
  <si>
    <t>TERMINAL EXTERIOR IZQUIERDA</t>
  </si>
  <si>
    <t>TERMINAL EXTERIOR DERECHO</t>
  </si>
  <si>
    <t>TORNILLO ESTABILIZADOR (2)</t>
  </si>
  <si>
    <t>BASE DE AMORTIGUADORES DELANTEROS (2)</t>
  </si>
  <si>
    <t>CUBREPOLVO DELANTERO</t>
  </si>
  <si>
    <t>AMORTIGUADOR DERECHO DELANTERO</t>
  </si>
  <si>
    <t>AMORTIGUADOR IZQUIERDO DELANTERO</t>
  </si>
  <si>
    <t>MACHETA DE RUEDA</t>
  </si>
  <si>
    <t>HORQUILLA INFERIOR</t>
  </si>
  <si>
    <t xml:space="preserve">BASE DE AMORTIGUADORES DELANTEROS </t>
  </si>
  <si>
    <t>AMORTIGUADOR DELANTERO IZQUIERDO</t>
  </si>
  <si>
    <t>AMORTIGUADOR DELANTERO DERECHO</t>
  </si>
  <si>
    <t>PLACAS</t>
  </si>
  <si>
    <t>MARCH|2020|GRIS|</t>
  </si>
  <si>
    <t>EFECTIVO, 10531</t>
  </si>
  <si>
    <t>VERSA|2021|GRIS</t>
  </si>
  <si>
    <t>AVEO|2026|ACERO</t>
  </si>
  <si>
    <t>SEGUROS</t>
  </si>
  <si>
    <t>AXA</t>
  </si>
  <si>
    <t>V DRIVE|2023|GRIS|MXW453C</t>
  </si>
  <si>
    <t>TRANSFIERE YUL</t>
  </si>
  <si>
    <t>AVEOH|2024|BLANCO|MWV156C</t>
  </si>
  <si>
    <t>BBVA ASHC</t>
  </si>
  <si>
    <t>GRASA BAT 3</t>
  </si>
  <si>
    <t>GRASA SUPERLUBRICANTE</t>
  </si>
  <si>
    <t>RECTIFICACIÓN DE VOLANTE</t>
  </si>
  <si>
    <t>CASA GOMEZ</t>
  </si>
  <si>
    <t>PAGA JUAN PABLO MARTINEZ ALMARAZ</t>
  </si>
  <si>
    <t>ARNES DE REVERSA</t>
  </si>
  <si>
    <t>EL PORTAL DEL ÁRNES</t>
  </si>
  <si>
    <t>BULBO DE REVERSA</t>
  </si>
  <si>
    <t>REICH VOLKSWAGEN</t>
  </si>
  <si>
    <t>ALINEACION</t>
  </si>
  <si>
    <t>CORRECIONES DE CAMBER, ALINEACION.</t>
  </si>
  <si>
    <t>CORRECIONES DE CAMBER, ALINEACION, BALONES, REVISADA.</t>
  </si>
  <si>
    <t>EFECTIVO, 4763</t>
  </si>
  <si>
    <t>TRANSFIERE NAYE</t>
  </si>
  <si>
    <t>PENDIENTE A NAYELI</t>
  </si>
  <si>
    <t>PERMISO</t>
  </si>
  <si>
    <t>AMORTIGUADORES (2)</t>
  </si>
  <si>
    <t>REFACCIONES AMERICA</t>
  </si>
  <si>
    <t>BOMBA DE FRENO</t>
  </si>
  <si>
    <t>MONCAR FRENOS</t>
  </si>
  <si>
    <t>CABLE HDMI</t>
  </si>
  <si>
    <t>STEREN</t>
  </si>
  <si>
    <t>PAGA TOLO, PENDIENTE DE PAGO</t>
  </si>
  <si>
    <t>GRAPA FIBRA OPTICA</t>
  </si>
  <si>
    <t>MARIA ROCIO DEL PEÑA</t>
  </si>
  <si>
    <t>PAGA BYER</t>
  </si>
  <si>
    <t>COMPUTADORA</t>
  </si>
  <si>
    <t>JORGE ANTONIO</t>
  </si>
  <si>
    <t>SE ARREGLA LA COMPUTADORA</t>
  </si>
  <si>
    <t>ACEITE DE MOTOR</t>
  </si>
  <si>
    <t>MIGUEL TORRES INOCENTE</t>
  </si>
  <si>
    <t>TDD NAYE</t>
  </si>
  <si>
    <t>PAGA NAYE, PENDIENTE DE PAGO</t>
  </si>
  <si>
    <t>ACEITE DE CAJA</t>
  </si>
  <si>
    <t>GRUA</t>
  </si>
  <si>
    <t>GRUAS ROCA</t>
  </si>
  <si>
    <t>LUCERO VAZQUEZ CARRISOSA</t>
  </si>
  <si>
    <t>AVEO|2018|BLANCO|</t>
  </si>
  <si>
    <t>ALFA AUTOPARTES</t>
  </si>
  <si>
    <t>FARO IZQUIERDO</t>
  </si>
  <si>
    <t xml:space="preserve">DEFENSA TRASERA </t>
  </si>
  <si>
    <t>MOLDURA TRASERA IZQUIERDA</t>
  </si>
  <si>
    <t>MOLDURA TRASERA DERECHA</t>
  </si>
  <si>
    <t xml:space="preserve">MOLDURA CENTRAL </t>
  </si>
  <si>
    <t>CUARTO TRASERO DERECHO</t>
  </si>
  <si>
    <t>CUARTO TRASERO IZQUIERDO</t>
  </si>
  <si>
    <t>CALAVERA IZQUIERDA</t>
  </si>
  <si>
    <t>PILAS AA</t>
  </si>
  <si>
    <t>WALMART</t>
  </si>
  <si>
    <t>ENCHUFE DE TERMINAL HEMBRA</t>
  </si>
  <si>
    <t>RADIADORES UNIDOS</t>
  </si>
  <si>
    <t xml:space="preserve">PAGA CUENTA </t>
  </si>
  <si>
    <t>EFECTIVO DE LOS 1125 RECIBIDOS EL DÍA 22 DE DIC</t>
  </si>
  <si>
    <t>TORNILLOS 6X20 (3)</t>
  </si>
  <si>
    <t>EFECTIVO $200</t>
  </si>
  <si>
    <t>PIDE ROUS A YUL</t>
  </si>
  <si>
    <t>TORNILLO 8 (2)</t>
  </si>
  <si>
    <t>GRAPAS (10)</t>
  </si>
  <si>
    <t>SOPORTES Y HULES ULLI</t>
  </si>
  <si>
    <t>FACTURAGAS</t>
  </si>
  <si>
    <t>EFECTIVO $250</t>
  </si>
  <si>
    <t>PIDE JUAN PABLO A YUL</t>
  </si>
  <si>
    <t>DIDI MOTO</t>
  </si>
  <si>
    <t>DIDI</t>
  </si>
  <si>
    <t>PEND A NAYE</t>
  </si>
  <si>
    <t>TRANS 8000</t>
  </si>
  <si>
    <t>VENTO|2020|GRIS</t>
  </si>
  <si>
    <t>TARJETA DE CIRCULACIÓN</t>
  </si>
  <si>
    <t>EDUARDO LICONA GODINEZ</t>
  </si>
  <si>
    <t>EFECTIVO 809</t>
  </si>
  <si>
    <t>ROSA BLANCA</t>
  </si>
  <si>
    <t>QUEDAN PENDIENTES 10 PESOS A GABRIEL</t>
  </si>
  <si>
    <t>TERMOSTATO</t>
  </si>
  <si>
    <t>MARCO ANTONIO FARIAS AVILES</t>
  </si>
  <si>
    <t>REFACCIONES G.M</t>
  </si>
  <si>
    <t>KRISTOPHER ALEXANDER TORREALBA RAMOS</t>
  </si>
  <si>
    <t>REPARACIONES AUTOMOTRICES AR.</t>
  </si>
  <si>
    <t>SE OCUPA PARA LIMPIEZA INTERIOR</t>
  </si>
  <si>
    <t>BARDAL</t>
  </si>
  <si>
    <t>EFECTIVO 130</t>
  </si>
  <si>
    <t>130 DE YUL A JUAN, REGRESA CAMBIO</t>
  </si>
  <si>
    <t>LLANTAS</t>
  </si>
  <si>
    <t>OUTLET TIRES</t>
  </si>
  <si>
    <t xml:space="preserve">LAVADO </t>
  </si>
  <si>
    <t xml:space="preserve">LLAVE </t>
  </si>
  <si>
    <t>CUBREASIENTOS</t>
  </si>
  <si>
    <t>BYD|2026|VERDE|78F032</t>
  </si>
  <si>
    <t>TRASLADO DE PLACAS</t>
  </si>
  <si>
    <t>UBER MOTO</t>
  </si>
  <si>
    <t>200 EN EFECTIVO</t>
  </si>
  <si>
    <t>ALTA DE PLACAS</t>
  </si>
  <si>
    <t>EFECTIVO 3994</t>
  </si>
  <si>
    <t>ASHC TRANS A PAOLA</t>
  </si>
  <si>
    <t>AVEO|2026|ACERO|NEJ996C</t>
  </si>
  <si>
    <t>EFECTIVO, TRANSFIERE ASHC</t>
  </si>
  <si>
    <t>AVEO|2026|ACERO|NEJ990C</t>
  </si>
  <si>
    <t>AVEO|2026|ACERO|NEJ971C</t>
  </si>
  <si>
    <t>TORNILLO 6X16</t>
  </si>
  <si>
    <t>EFECTIVO, TRANSFIERE ASHC $200</t>
  </si>
  <si>
    <t>PIJA HEXAGONAL 14X3/4</t>
  </si>
  <si>
    <t>VENTO|2020|GRIS|NES586C</t>
  </si>
  <si>
    <t>SE PAGAN 3142 CON TARJETA, SE CANEJA VALE 1573</t>
  </si>
  <si>
    <t>FILTRO DE ACIETE</t>
  </si>
  <si>
    <t>MARCHA COMPLETA</t>
  </si>
  <si>
    <t>INTERTENIC</t>
  </si>
  <si>
    <t>TDC</t>
  </si>
  <si>
    <t>PAGA FERNANDO, PEND DE PAGO.</t>
  </si>
  <si>
    <t>RIN DE ALUMINIO</t>
  </si>
  <si>
    <t>RINES BARRERA</t>
  </si>
  <si>
    <t>CONTRATACION (CAMBIA POLIZA ERROR DE GUADALUPE)</t>
  </si>
  <si>
    <t>PAGA PAO, TDC</t>
  </si>
  <si>
    <t>REEMBOLSA ASHC</t>
  </si>
  <si>
    <t>CUERPO DE ACELERACION</t>
  </si>
  <si>
    <t>REFACCIONARIA YAELITA</t>
  </si>
  <si>
    <t>TUERCAS (3)</t>
  </si>
  <si>
    <t>GOMAS DE RADIADOR</t>
  </si>
  <si>
    <t>HULES DE PORTALES</t>
  </si>
  <si>
    <t>RONDANAS (20)</t>
  </si>
  <si>
    <t>TLAPALERIA EL MISHTU</t>
  </si>
  <si>
    <t>BROCHAS</t>
  </si>
  <si>
    <t>RUNSA PORTALES</t>
  </si>
  <si>
    <t>RADIADOR</t>
  </si>
  <si>
    <t>SE GUARDA GARANTIA EN CARPETA</t>
  </si>
  <si>
    <t>CASCO DE BATERIA</t>
  </si>
  <si>
    <t>MARCH|2020|GRIS|NEJ984C</t>
  </si>
  <si>
    <t>HORQUILLA INFERIOR DERECHA</t>
  </si>
  <si>
    <t>REFACCIONES VERTIZ</t>
  </si>
  <si>
    <t>HORQUILLA INFERIOR IZQUIERDA</t>
  </si>
  <si>
    <t>ABRAZADERA 3/4</t>
  </si>
  <si>
    <t>ITALIKA|2024|NEGRA|?</t>
  </si>
  <si>
    <t>PAGA NAYE, PEND</t>
  </si>
  <si>
    <t>LIMPIADOR DE CARBURADOR</t>
  </si>
  <si>
    <t>SERVICIO FERNANDEZ</t>
  </si>
  <si>
    <t>PAGA ROUSS, PEND.</t>
  </si>
  <si>
    <t>FRANCISCO JAVIER</t>
  </si>
  <si>
    <t>PAGA EMANUEL, SE LE TRANSFIERE.</t>
  </si>
  <si>
    <t xml:space="preserve">JORGE ANTONIO </t>
  </si>
  <si>
    <t>RESTANTE DE LA COMPUTADORA</t>
  </si>
  <si>
    <t>REPARACION</t>
  </si>
  <si>
    <t>COMPRESOR DE AIRE</t>
  </si>
  <si>
    <t>VERSA|2021|BLANCO|NEJ957C</t>
  </si>
  <si>
    <t>MULTA</t>
  </si>
  <si>
    <t>ESTADO DE EDOMEX</t>
  </si>
  <si>
    <t>REEMBOLSO</t>
  </si>
  <si>
    <t>AFINACION DE SWIFT</t>
  </si>
  <si>
    <t>AGUSTIN</t>
  </si>
  <si>
    <t>URGENTE</t>
  </si>
  <si>
    <t>2,702 TRANSFIERE ASHC</t>
  </si>
  <si>
    <t>PENDIENTES OCTUBRE</t>
  </si>
  <si>
    <t>11,736 TRANSFIERE ASHC</t>
  </si>
  <si>
    <t>TAXI</t>
  </si>
  <si>
    <t>COMPLEMENTO DE SWIFT</t>
  </si>
  <si>
    <t>PERMISOS</t>
  </si>
  <si>
    <t>GESTORIA</t>
  </si>
  <si>
    <t>ALTA Y BAJA DE PLACAS</t>
  </si>
  <si>
    <t>FRONTIER</t>
  </si>
  <si>
    <t>5,800 EFECTIVO DE YUL A ROSA</t>
  </si>
  <si>
    <t>PLACA EXTRAVIADA</t>
  </si>
  <si>
    <t>SE COBRA A AGUSTÍN</t>
  </si>
  <si>
    <t>ALTA Y BAJA</t>
  </si>
  <si>
    <t>GOBIERNO EDO MEX</t>
  </si>
  <si>
    <t>3393 DE NAYE A ROUS</t>
  </si>
  <si>
    <t>SE PAGA BRINCO</t>
  </si>
  <si>
    <t>ADRIAN CRUZ CUADROS</t>
  </si>
  <si>
    <t>VERSA|2020|ROJO|NLP175B</t>
  </si>
  <si>
    <t>YOSHUA YARETH VALDEZ</t>
  </si>
  <si>
    <t>YOSHUA VALDEZ</t>
  </si>
  <si>
    <t>ADOLFO LOPEZ</t>
  </si>
  <si>
    <t>SEM</t>
  </si>
  <si>
    <t>AUTO</t>
  </si>
  <si>
    <t>TAG</t>
  </si>
  <si>
    <t>PLATAFORMA</t>
  </si>
  <si>
    <t>APP</t>
  </si>
  <si>
    <t>GANANCIA</t>
  </si>
  <si>
    <t>IMPUESTOS</t>
  </si>
  <si>
    <t>P. AJUSANT</t>
  </si>
  <si>
    <t>SEGURO</t>
  </si>
  <si>
    <t>PAGO A  TERCEROS</t>
  </si>
  <si>
    <t>UBER tot</t>
  </si>
  <si>
    <t>RENTA</t>
  </si>
  <si>
    <t>SEM PASADA</t>
  </si>
  <si>
    <t>FIANZA</t>
  </si>
  <si>
    <t>DESCUENTOS</t>
  </si>
  <si>
    <t xml:space="preserve">FA </t>
  </si>
  <si>
    <t>TOTAL</t>
  </si>
  <si>
    <t>PAGOS</t>
  </si>
  <si>
    <t>DEVOLUCIONES</t>
  </si>
  <si>
    <t>ADEUDO</t>
  </si>
  <si>
    <t>GANANCIAS TOTALES</t>
  </si>
  <si>
    <t>AVEO|2021|OCRE|NEB156A</t>
  </si>
  <si>
    <t>OHLM023012552</t>
  </si>
  <si>
    <t>IVETH</t>
  </si>
  <si>
    <t>UBER</t>
  </si>
  <si>
    <t>ARACELI CASTILLO GUERRERO</t>
  </si>
  <si>
    <t>CESAR PIÑA BARONA</t>
  </si>
  <si>
    <t>OHLM023658024</t>
  </si>
  <si>
    <t>CLAUDIA LEAÑOS</t>
  </si>
  <si>
    <t>U64</t>
  </si>
  <si>
    <t>IVAN MOGUEL PULIDO</t>
  </si>
  <si>
    <t>OHLM023012487</t>
  </si>
  <si>
    <t>JESUS AURELIO NUNGARAY CASTILLO</t>
  </si>
  <si>
    <t>JORGE VAZQUEZ HERNANDEZ</t>
  </si>
  <si>
    <t>JOSE GUADALUPE GARCIA MORALES</t>
  </si>
  <si>
    <t>OHLM031409071</t>
  </si>
  <si>
    <t>VERSA|2017|ACERO|X24APU</t>
  </si>
  <si>
    <t>OHLM023720345</t>
  </si>
  <si>
    <t>OSCAR BLANCAS NORIEGA</t>
  </si>
  <si>
    <t>OHLM023720279</t>
  </si>
  <si>
    <t>ULISES ITIEL CASTILLO AVILA</t>
  </si>
  <si>
    <t>OHLM031397326</t>
  </si>
  <si>
    <t>ABRAHAM ESCOBEDO ESCALANTE</t>
  </si>
  <si>
    <t>PÉRDIDA</t>
  </si>
  <si>
    <t>DIEGO SANCHEZ</t>
  </si>
  <si>
    <t>OHLM023720329</t>
  </si>
  <si>
    <t>EDGAR GEOVANY URIBE</t>
  </si>
  <si>
    <t>OHLM023720337</t>
  </si>
  <si>
    <t>IRAM HERNANDEZ</t>
  </si>
  <si>
    <t>OHLM023720311</t>
  </si>
  <si>
    <t>OHLM017365206</t>
  </si>
  <si>
    <t>PAGADO | 21 ENE</t>
  </si>
  <si>
    <t>FERNANDO ESQUIVEL SOSA</t>
  </si>
  <si>
    <t>OHLM031409055</t>
  </si>
  <si>
    <t>JUAN CARLOS MUÑOZ</t>
  </si>
  <si>
    <t>OHLM023720287</t>
  </si>
  <si>
    <t>PAGADO | 30 ENE</t>
  </si>
  <si>
    <t>PAGADO | 4 FEB</t>
  </si>
  <si>
    <t>PAGADO | 29 ENE |4 FEB</t>
  </si>
  <si>
    <t>SIN CONDUCTOR</t>
  </si>
  <si>
    <t>PAGADO 8 FEB</t>
  </si>
  <si>
    <t>OHLM031491772</t>
  </si>
  <si>
    <t>OHLM031491780</t>
  </si>
  <si>
    <t>RETIRO CAJERO</t>
  </si>
  <si>
    <t>COMPENSACIÓN DE SALDOS</t>
  </si>
  <si>
    <t xml:space="preserve">PAGADO 5 FEB </t>
  </si>
  <si>
    <t>Pendiente</t>
  </si>
  <si>
    <t>Devolución Fianza</t>
  </si>
  <si>
    <t>MARIO ALBERTO ROJAS</t>
  </si>
  <si>
    <t>RODOLFO AVANTES</t>
  </si>
  <si>
    <t>SIN TAG</t>
  </si>
  <si>
    <t>DAVID ARTURO GONZALEZ TELLEZ</t>
  </si>
  <si>
    <t>Devuelto</t>
  </si>
  <si>
    <t>OHLM031409063</t>
  </si>
  <si>
    <t>JULIO CESAR LOPEZ</t>
  </si>
  <si>
    <t>OHLM023012479</t>
  </si>
  <si>
    <t>JOSE ALFREDO MUÑOZ</t>
  </si>
  <si>
    <t>OHLM023720352</t>
  </si>
  <si>
    <t>NESTOR NOE HERNANDEZ</t>
  </si>
  <si>
    <t>JAIME VALENCIA</t>
  </si>
  <si>
    <t>RAUL FRANCISCO VAZQUEZ CORTE</t>
  </si>
  <si>
    <t>MANUEL GARCIA MARTINEZ</t>
  </si>
  <si>
    <t>YARETH ABRAHAM MORALES</t>
  </si>
  <si>
    <t>1965 NAYE BBVA</t>
  </si>
  <si>
    <t>2300 NAYE BBVA</t>
  </si>
  <si>
    <t>NAYE BBVA</t>
  </si>
  <si>
    <t>NAYE BBVA Se acordo pagar en 2 exhibiciones de 559 a partir del 21 de abril</t>
  </si>
  <si>
    <t>EDGAR DAMIAN MARTINEZ</t>
  </si>
  <si>
    <t>PAGO DE FIANZA S15 2000</t>
  </si>
  <si>
    <t>NAYE BBVA DIDI</t>
  </si>
  <si>
    <t>pagado</t>
  </si>
  <si>
    <t>pagado DIDI</t>
  </si>
  <si>
    <t>pagado S15</t>
  </si>
  <si>
    <t>se depositan 300</t>
  </si>
  <si>
    <t>PAGA EL VIERNES 02 DE MAYO</t>
  </si>
  <si>
    <t>DEUDOR</t>
  </si>
  <si>
    <t>SE QUEDA A SU FAVOR 40</t>
  </si>
  <si>
    <t>QUEDA A SU FAVOR TODO PARA LA PROXIMA SEMANA</t>
  </si>
  <si>
    <t>TRANSFIRIO 06-05 NAYE BBVA</t>
  </si>
  <si>
    <t>PAGADO, A SU FAVOR 38</t>
  </si>
  <si>
    <t>2400 NAYE BBVA</t>
  </si>
  <si>
    <t>OHLM032370082</t>
  </si>
  <si>
    <t>ALFONSO GONZALEZ MORALES</t>
  </si>
  <si>
    <t>OHLM032370140</t>
  </si>
  <si>
    <t>OHLM032370132</t>
  </si>
  <si>
    <t>Deudor</t>
  </si>
  <si>
    <t>OHLM032370108</t>
  </si>
  <si>
    <t>OHLM032370116</t>
  </si>
  <si>
    <t>OHLM032370124</t>
  </si>
  <si>
    <t>81 a su favor</t>
  </si>
  <si>
    <t>MARIA DEL CARMEN ALVARADO ALEJO</t>
  </si>
  <si>
    <t>OHLM032370157</t>
  </si>
  <si>
    <t>ALEJANDRO CABALLERO POMPA</t>
  </si>
  <si>
    <t>JOSE DE JESUS PEREZ GARCIA</t>
  </si>
  <si>
    <t>se depositan 800</t>
  </si>
  <si>
    <t>quedan pendientes 600 de adelanto</t>
  </si>
  <si>
    <t>200 DE NICO PAGADO</t>
  </si>
  <si>
    <t>1500 DE NICO PAGADO</t>
  </si>
  <si>
    <t xml:space="preserve">QUEDO SALDADO CON SANTIAGO </t>
  </si>
  <si>
    <t>300 DE ROSA (SALDO PENDIENTE SE VA A DESCONTAR)</t>
  </si>
  <si>
    <t>JUAN FERNANDO GUTIERREZ FELIX</t>
  </si>
  <si>
    <t>100 DE ROSA PAGADO</t>
  </si>
  <si>
    <t>OHLM032762148</t>
  </si>
  <si>
    <t>ROSA BBVA</t>
  </si>
  <si>
    <t>nAYE BBVA</t>
  </si>
  <si>
    <t>OHLM032762130</t>
  </si>
  <si>
    <t>AJUSTE DE FIANZA Y HOJALATERIA</t>
  </si>
  <si>
    <t>DESCUENTO TOTAL Y DEVOLUCIÓN A NICO</t>
  </si>
  <si>
    <t>SALDO A CUENTA por venta de llantas</t>
  </si>
  <si>
    <t>DEPOSITAR 3,800 (ROSA LE DEBE 70) +15 PROX SEM</t>
  </si>
  <si>
    <t>OHLM032762114</t>
  </si>
  <si>
    <t>ROMMINA LUGO</t>
  </si>
  <si>
    <t>OHLM032762171</t>
  </si>
  <si>
    <t>BBVA NAYE</t>
  </si>
  <si>
    <t>ALAN ALCANTARA CRUZ</t>
  </si>
  <si>
    <t>SALDO PENDIENTE</t>
  </si>
  <si>
    <t>SE DEPOSITAN 61 A Nico</t>
  </si>
  <si>
    <t>se depositan 2100, restan 49 sig sem</t>
  </si>
  <si>
    <t>PAGA EN SEMANA 26</t>
  </si>
  <si>
    <t>SIN PAGO</t>
  </si>
  <si>
    <t>nAYE BBVA PENDIENTE SIG SEM 12%</t>
  </si>
  <si>
    <t>Paga el fin</t>
  </si>
  <si>
    <t>RETIRO SIN TARJETA DE 1400</t>
  </si>
  <si>
    <t>SE PAGA CON SALDO DE FIANZA</t>
  </si>
  <si>
    <t>SIN DEVOLUCIÓN</t>
  </si>
  <si>
    <t>PABLO MANUEL CARDENAS</t>
  </si>
  <si>
    <t>INICIA EL SABADO 21 DE JUNIO 7 pm</t>
  </si>
  <si>
    <t>12% SEM 27</t>
  </si>
  <si>
    <t>GABRIEL FRANCO</t>
  </si>
  <si>
    <t>pendientes 40 s27</t>
  </si>
  <si>
    <t>JUAN CARLOS MEDINA LIMON</t>
  </si>
  <si>
    <t>RICARDO OMAR CAMACHO ZUÑIGA</t>
  </si>
  <si>
    <t>RICARDO SANCHEZ ASTORGA</t>
  </si>
  <si>
    <t>PAGA EN SEMANA 28 CON 12%</t>
  </si>
  <si>
    <t>OHLM035994292</t>
  </si>
  <si>
    <t>OHLM035993526</t>
  </si>
  <si>
    <t>PENDIENTES -22 SIG SEM</t>
  </si>
  <si>
    <t>OHLM032762106</t>
  </si>
  <si>
    <t>RECIBO EN EFECTIVO Y 12% LO RESTANTE</t>
  </si>
  <si>
    <t>LUIS ANGEL CASTAÑEDA</t>
  </si>
  <si>
    <t>PAGADO JG</t>
  </si>
  <si>
    <t>YOSHUA JARETH VALDEZ HERNANDEZ</t>
  </si>
  <si>
    <t>OHLM032370090</t>
  </si>
  <si>
    <t>JESUS ALBERTO CORTES</t>
  </si>
  <si>
    <t>SE TOMA DE SU FIANZA PARA PAGAR SU ADEUDO</t>
  </si>
  <si>
    <t>Depositar 1,300 -29 S29</t>
  </si>
  <si>
    <t>1,350 en efectivo - 1,000 en transferencia</t>
  </si>
  <si>
    <t>Deposito JG</t>
  </si>
  <si>
    <t>VICTOR HUGO RUIZ CASTILLO</t>
  </si>
  <si>
    <t>Pagado a JG</t>
  </si>
  <si>
    <t>CUENTA SALDADA CON FIANZA</t>
  </si>
  <si>
    <t>JOSE AGUILAR SOTO</t>
  </si>
  <si>
    <t>SE DEPOSITAN 800 -52 S30</t>
  </si>
  <si>
    <t>PAGADO A JG</t>
  </si>
  <si>
    <t>SE DEPOSITAN DOS PAGOS DE 500 Y 500 EN EFECTIVO QUE LE DI A JULIO</t>
  </si>
  <si>
    <t>ADEUDO EN DOS EXHIBICIONES</t>
  </si>
  <si>
    <t>DEPOSITO 3,000</t>
  </si>
  <si>
    <t>SE PAGAN 200 -22 S31</t>
  </si>
  <si>
    <t>JUAN DIEGO GONZALEZ PEREZ</t>
  </si>
  <si>
    <t>SE QUEDA A CUENTA DE REPARACIÓN PARA VENTO PED</t>
  </si>
  <si>
    <t>PEND 417 S32</t>
  </si>
  <si>
    <t>ACUMULAR A SEMANA SIG + 700 EN EFECTIVO 07-08</t>
  </si>
  <si>
    <t>PAGA JORGE</t>
  </si>
  <si>
    <t>RUBI ROBLES SALMERON</t>
  </si>
  <si>
    <t>PAGADO A JORGE</t>
  </si>
  <si>
    <t>NAYE BBVA DEVUELTO A ASHC BANORTE</t>
  </si>
  <si>
    <t>PAGA EL LUNES</t>
  </si>
  <si>
    <t>ARMANDO MARTINEZ VELAZQUEZ</t>
  </si>
  <si>
    <t>DANIEL CRUZ RODRIGUEZ</t>
  </si>
  <si>
    <t>ASHC BANORTE</t>
  </si>
  <si>
    <t>SE DEPOSITAN 1000 PENDIENTES 38 S33</t>
  </si>
  <si>
    <t xml:space="preserve">NAYE BBVA </t>
  </si>
  <si>
    <t>DEUDOR CON RESGUARDO DE CELULAR</t>
  </si>
  <si>
    <t>PAGADO POR JG</t>
  </si>
  <si>
    <t>OHLM035994284</t>
  </si>
  <si>
    <t>NAYE BBVA DEVUELTO A ASHC BANORTE + 330 EFECTIVO</t>
  </si>
  <si>
    <t>ROUS BBVA DEVUELTO A ASHC BANORTE</t>
  </si>
  <si>
    <t>PAGADO POR BYER</t>
  </si>
  <si>
    <t>SE DEPOSITAN 1000 PENDIENTES 23 S34</t>
  </si>
  <si>
    <t>NAYE BBVA 100, EFECTIVO 500</t>
  </si>
  <si>
    <t>PAGADO NAYE BBVA</t>
  </si>
  <si>
    <t>SANTIAGO BANORTE</t>
  </si>
  <si>
    <t xml:space="preserve"> </t>
  </si>
  <si>
    <t>ROSA BBVA DEVUELTO A ASHC BANORTE</t>
  </si>
  <si>
    <t>SE REALIZA RETIRO DE 1000 PENDIENTES 14 S35</t>
  </si>
  <si>
    <t>BANORTE ASHC</t>
  </si>
  <si>
    <t>RUBEN BERMEJO RUIZ</t>
  </si>
  <si>
    <t>CUENTA SANTIAGO</t>
  </si>
  <si>
    <t>DESCONTAR 500 DE NICO SE PAGAN 1,100 PEN 51</t>
  </si>
  <si>
    <t>MIGUEL INOCENTE TORRES</t>
  </si>
  <si>
    <t>A CUENTA PED</t>
  </si>
  <si>
    <t>NAYE BBVA DEVUELTO A ASHC BANCOMER</t>
  </si>
  <si>
    <t>PAGADO BBVA NAYE</t>
  </si>
  <si>
    <t>TRABAJO 2 DÍAS CON SUELDO Y 5 COMO CONDUCTOR</t>
  </si>
  <si>
    <t>GABRIEL JIMENEZ BAUTISTA</t>
  </si>
  <si>
    <t>REVISAR</t>
  </si>
  <si>
    <t>GABRIEL LUNA</t>
  </si>
  <si>
    <t>YUL BBVA DEVUELTO A JG, PAGADA GASOLINA</t>
  </si>
  <si>
    <t>DESCONTAR 500 DE NICO 34 PEND S37</t>
  </si>
  <si>
    <t>PENDIENTES POR ENFERMEDAD</t>
  </si>
  <si>
    <t>ADALBERTO BELLO NAVARRO</t>
  </si>
  <si>
    <t>PAGADO BYER</t>
  </si>
  <si>
    <t>DEVUELTO NAYE BBVA</t>
  </si>
  <si>
    <t>AVEO|2023|GRIS|MLC126A</t>
  </si>
  <si>
    <t>SE LE PAGAN 200 PEND 24 S38</t>
  </si>
  <si>
    <t>JOSE LUIS HERNANDEZ MEDINA</t>
  </si>
  <si>
    <t>pagado en efectivo (RECIBE GABO)</t>
  </si>
  <si>
    <t>JULIO RICARDO GONZALEZ GARCIA</t>
  </si>
  <si>
    <t>SALVADOR REGALADO CORDOVA</t>
  </si>
  <si>
    <t>MARCH|2022|BLANCO|MGC417C</t>
  </si>
  <si>
    <t>NAYE BBVA DEV A SANTIAGO BAN</t>
  </si>
  <si>
    <t>naye bbva</t>
  </si>
  <si>
    <t>DAVID MARTINEZ</t>
  </si>
  <si>
    <t>EFECT JG</t>
  </si>
  <si>
    <t>FRANCISCO RODOLFO GOMEZ URQUIZA ESCALANTE</t>
  </si>
  <si>
    <t>PENDIENTES A PAGO</t>
  </si>
  <si>
    <t>GONZALO LEYVA MORLAN</t>
  </si>
  <si>
    <t>PAGA HOY</t>
  </si>
  <si>
    <t xml:space="preserve">PAGA EL VIERNES  </t>
  </si>
  <si>
    <t>PAGO CON MONTO DE FIANZA</t>
  </si>
  <si>
    <t>DANIEL OMKIN GARCIA</t>
  </si>
  <si>
    <t>DIDI ASHC 2500 JG + FIANZA</t>
  </si>
  <si>
    <t>PENDIENTES</t>
  </si>
  <si>
    <t>PAGO CUBIERTO PARA ADEUDO ASHC</t>
  </si>
  <si>
    <t>DEJA CELULAR A CAMBIO</t>
  </si>
  <si>
    <t>paga el viernes</t>
  </si>
  <si>
    <t>SAUL DOMINGUEZ VAZQUEZ</t>
  </si>
  <si>
    <t>EFECTIVO ENTREGADO A YUL</t>
  </si>
  <si>
    <t>MAS SEM 39</t>
  </si>
  <si>
    <t xml:space="preserve">ACUMULADO </t>
  </si>
  <si>
    <t xml:space="preserve">DIDI  </t>
  </si>
  <si>
    <t>JESUS DAVILA CASTAÑEDA</t>
  </si>
  <si>
    <t>????</t>
  </si>
  <si>
    <t>EL COCHE FALLO 3 DÍAS</t>
  </si>
  <si>
    <t>1600 santi pend PPTO</t>
  </si>
  <si>
    <t>EXTRA 1,000 DEL GOLPE</t>
  </si>
  <si>
    <t>LOS DEBE JORGE</t>
  </si>
  <si>
    <t>ASHC BANORTE (SON DE YUL)</t>
  </si>
  <si>
    <t>TOLENTINO JOSETH PEREZ GONZALEZ</t>
  </si>
  <si>
    <t>12% sem 42</t>
  </si>
  <si>
    <t>MARTIN ALEJANDRO CRUZ TORRES</t>
  </si>
  <si>
    <t>ESTA SEMANA NO PAGARÁ HASTA LA SIG</t>
  </si>
  <si>
    <t>NO PAGARÁ</t>
  </si>
  <si>
    <t>LUNES 12%</t>
  </si>
  <si>
    <t>FIDEL ALEJANDRO SANCHEZ VERGARA</t>
  </si>
  <si>
    <t>PAGADO POR NAYE</t>
  </si>
  <si>
    <t>OHLM036759058</t>
  </si>
  <si>
    <t>2,450 EN TRANSF  SAN BANO Y 500 EFECT YUL</t>
  </si>
  <si>
    <t>NAYE BBVA DEV JG</t>
  </si>
  <si>
    <t>OHLM036752301</t>
  </si>
  <si>
    <t>DEV A JG</t>
  </si>
  <si>
    <t>PAGA CON FIANZA</t>
  </si>
  <si>
    <t>1,229 TRANS SAN BANO - 500 EFECT</t>
  </si>
  <si>
    <t>OHLM036759082</t>
  </si>
  <si>
    <t>OHLM0367590666</t>
  </si>
  <si>
    <t>OHML036752319</t>
  </si>
  <si>
    <t>ALEJANDRO LUCIO GONZALEZ</t>
  </si>
  <si>
    <t>A CUENTA DE SANTI</t>
  </si>
  <si>
    <t>RAYMUNDO CHAVEZ DELGADO</t>
  </si>
  <si>
    <t>ALEJANDRO PAZ CAMACHO</t>
  </si>
  <si>
    <t>OHLM038285797</t>
  </si>
  <si>
    <t>SALDADO ASHC</t>
  </si>
  <si>
    <t>PAGADO POR ASHC</t>
  </si>
  <si>
    <t>PAGA 12/11 ANTES DE LAS 5</t>
  </si>
  <si>
    <t>DESCUENTO DE FIANZA</t>
  </si>
  <si>
    <t>PAGARA DIARIO 700 A PARTIR DE 11/11 ASHC BANORTE</t>
  </si>
  <si>
    <t>PAGA 1,400 11/11 Y RESTANTE EL 13/11 ASHC BANORTE</t>
  </si>
  <si>
    <t>LUIS JOARI RODRIGUEZ ZUÑIGA</t>
  </si>
  <si>
    <t>SALDADO CON FIANZA</t>
  </si>
  <si>
    <t>MENOS 200 GAS NAYE</t>
  </si>
  <si>
    <t>OHLM03149178</t>
  </si>
  <si>
    <t>DEV A JORGE</t>
  </si>
  <si>
    <t>PAGADO A JGD</t>
  </si>
  <si>
    <t>EFECTIVO ROUS</t>
  </si>
  <si>
    <t>PAGA CON CUENTA ASHC</t>
  </si>
  <si>
    <t>PAGA CON SALDO A FAVOR DE ASHC</t>
  </si>
  <si>
    <t>PAGA EL VIERNES</t>
  </si>
  <si>
    <t>PAGA EL JUEVES</t>
  </si>
  <si>
    <t>PAGADO CON MONTO A FAVOR DE UBER</t>
  </si>
  <si>
    <t>CAMILO IESUA MEJIA DIAZ</t>
  </si>
  <si>
    <t>ALBERTO ARRIAGA MEJIA</t>
  </si>
  <si>
    <t>SERGIO BALDERAS BAEZ</t>
  </si>
  <si>
    <t>OHLM038285763</t>
  </si>
  <si>
    <t>OHLM038285755</t>
  </si>
  <si>
    <t>OHLM038285722</t>
  </si>
  <si>
    <t>OHLM038285730</t>
  </si>
  <si>
    <t>PAGADO CON MONTO A FAVOR DE BYER</t>
  </si>
  <si>
    <t>OHLM038285771</t>
  </si>
  <si>
    <t>OHLM038285813</t>
  </si>
  <si>
    <t>CRISTIAN HERNANDEZ MUNGUIA</t>
  </si>
  <si>
    <t>ALAN XAVIER LARA JIMENEZ</t>
  </si>
  <si>
    <t>GERMAN LUSARRETA ROMERO</t>
  </si>
  <si>
    <t>SE PAGA CON CUENTA A FAVOR DE BYER</t>
  </si>
  <si>
    <t>FERNANDO GARRIDO GARNICA</t>
  </si>
  <si>
    <t>TRANSFIERE A ASHC</t>
  </si>
  <si>
    <t>JESUS ROSALES GARCIA</t>
  </si>
  <si>
    <t>OHLM038285821</t>
  </si>
  <si>
    <t>OHLM037480332</t>
  </si>
  <si>
    <t>OHLM036759090</t>
  </si>
  <si>
    <t>TRANSFERENCIA A ASHC BANORTE</t>
  </si>
  <si>
    <t>ASHC BANORTE + 740 QUE PAGARÁ ÉL DE LA VERIFICACIÓN</t>
  </si>
  <si>
    <t>2000 ASHC BANORTE Y 450 DE GASOLINA FACTURAS</t>
  </si>
  <si>
    <t>OHLM038285805</t>
  </si>
  <si>
    <t>OHLM035935635</t>
  </si>
  <si>
    <t>JGD BANORTE</t>
  </si>
  <si>
    <t>OHML037480316</t>
  </si>
  <si>
    <t>OHLM037480340</t>
  </si>
  <si>
    <t>OHLM037480324</t>
  </si>
  <si>
    <t>SALDO ASHC</t>
  </si>
  <si>
    <t>NICASIO EMOS CONTRERAS</t>
  </si>
  <si>
    <t>PAGADO POR ASHC + $31 PEND S51</t>
  </si>
  <si>
    <t>PAGADO POR ASHC, PAGA $700 20 DE DIC A FAVOR</t>
  </si>
  <si>
    <t>$445 PAGADO POR ASHC + 656 ASHC BANORTE 17 DIC+DA 700 PESOS 20 DE DIC</t>
  </si>
  <si>
    <t>PAGADO POR JGD</t>
  </si>
  <si>
    <t>$877 ASHC BANORTE 18 DIC $140 ASHC BANORTE 18 DIC</t>
  </si>
  <si>
    <t>$1805 ASHC BANORTE 17 DIC</t>
  </si>
  <si>
    <t>$700 ASHC BANORTE 16 DIC + $700 ASHC BANORTE 18 DIC+$700 ASHC BANORTE 20 DIC, PAGA 21 DIC TRANS ASHC</t>
  </si>
  <si>
    <t xml:space="preserve">$288 PAGADO POR ASHC </t>
  </si>
  <si>
    <t>$1300 ASHC BANORTE 16 DIC</t>
  </si>
  <si>
    <t>$1850 ASHC BANORTE 17 DIC, PAGA EL 19 $514</t>
  </si>
  <si>
    <t>$800 ASHC BANORTE 17 DIC</t>
  </si>
  <si>
    <t>$1900 ASHC BANORTE 18 DIC</t>
  </si>
  <si>
    <t>$914 ASHC BANORTE 17 DIC</t>
  </si>
  <si>
    <t>EN ACUERDO CON SANTIAGO</t>
  </si>
  <si>
    <t>$1502 ASHC BANORTE 17 DIC</t>
  </si>
  <si>
    <t>$491 ASHC BANORTE 17 DIC</t>
  </si>
  <si>
    <t>$2000 ASHC BANORTE 15 DIC</t>
  </si>
  <si>
    <t>$708 ASHC BANORTE 16 DIC</t>
  </si>
  <si>
    <t>JONATHAN BERNAL RODRIGUEZ</t>
  </si>
  <si>
    <t>$29 PENDIENTES S51</t>
  </si>
  <si>
    <t>$2947 EN CUENTA ASHC</t>
  </si>
  <si>
    <t>JUAN PABLO HERNANDEZ ALMAZAN</t>
  </si>
  <si>
    <t>ENTREGA EFEC A 740 ASHC EL 13 DE DIC + 187 EN CUENTA ASHC</t>
  </si>
  <si>
    <t>PAGA POR TRANSFERENCIA SABADO 20 DE DICIEMBRE, ASHC BANORTE</t>
  </si>
  <si>
    <t>JUAN CARLOS ZEA CRUZ</t>
  </si>
  <si>
    <t>$216 ASHC UN 23 DIC</t>
  </si>
  <si>
    <t>ASHC_DIDI</t>
  </si>
  <si>
    <t xml:space="preserve">$700 ASHC BANO 22 DE DIC, $3100 A BANO </t>
  </si>
  <si>
    <t>$1,100 ASHC BBVA 22 DIC</t>
  </si>
  <si>
    <t>$2,287 ASHC BANO 23 DIC</t>
  </si>
  <si>
    <t>$1500 BANORTE</t>
  </si>
  <si>
    <t>$580 EFECTIVO A YUL 22 DIC</t>
  </si>
  <si>
    <t>$7 ASHC BANO 23 DIC + $1,250 BANO 23 DIC</t>
  </si>
  <si>
    <t>$1,071 ASHC BANO 23 DIC</t>
  </si>
  <si>
    <t>$1,000 ASHC BANO 23 DIC</t>
  </si>
  <si>
    <t>$1,000 ASHC BANO 23 DIC, $375 23 DE DICIEMBRE</t>
  </si>
  <si>
    <t>$645 ASHC BANO 23 DIC</t>
  </si>
  <si>
    <t>$545 EFECTIVO A YUL 22 DIC</t>
  </si>
  <si>
    <t>$700 ASHC BANO 23 DIC</t>
  </si>
  <si>
    <t>PAGA SABADO</t>
  </si>
  <si>
    <t>$181 ASHC BANO 23 DIC</t>
  </si>
  <si>
    <t>NO VA A PAGAR POR ESTUDIOS MEDICOS, LUNES SE PONE AL CORRIENTE</t>
  </si>
  <si>
    <t>$281 ASHC BBVA 22 DIC + $2,000 EN 2 EXHIBICIONES</t>
  </si>
  <si>
    <t>PAGADO POR ASHC $900, PEND 33 S52</t>
  </si>
  <si>
    <t>$2500 ASHC BANO 24 DIC, ABONA 600 26 DE DIC</t>
  </si>
  <si>
    <t>$149 ASHC BANO 24 DIC</t>
  </si>
  <si>
    <t>$2,000 ASHC BANO 23 DIC</t>
  </si>
  <si>
    <t>PAGA LUNES</t>
  </si>
  <si>
    <t>PAGA 700 EL 29 DE DIC, 700 30 DIC, ASHC BANO</t>
  </si>
  <si>
    <t>OHLM038626776</t>
  </si>
  <si>
    <t xml:space="preserve">1,144 ASHC BANO 31 DIC </t>
  </si>
  <si>
    <t>OHLM038626768</t>
  </si>
  <si>
    <t>PAGA EL LUNES CON EL 12% ADICIONAL</t>
  </si>
  <si>
    <t>$1913 29 DE DIC ASHC BANORTE</t>
  </si>
  <si>
    <t>OHLM038626743</t>
  </si>
  <si>
    <t>$936 30 DE DIC, ASHC BANORTE</t>
  </si>
  <si>
    <t>$1200 30 DE DIC ASHC, $1600 2 DE ENERO, $341 3 DE DIC BANO</t>
  </si>
  <si>
    <t>$300 ASHC BANORTE 3 DE ENERO</t>
  </si>
  <si>
    <t>OHLM038626750</t>
  </si>
  <si>
    <t>DEP EN EFEC $1500 31 DE DIC, $660 2 ENERO</t>
  </si>
  <si>
    <t xml:space="preserve"> SU FIANZA Y CUENTA ES PROPORCIONAL</t>
  </si>
  <si>
    <t>1,100 ASHC BANO 29 DIC, 300 ASHC BANO 31 DIC</t>
  </si>
  <si>
    <t>$29 ASHC BANO 3 DE ENERO</t>
  </si>
  <si>
    <t xml:space="preserve">DA 7000 EL VIERNES </t>
  </si>
  <si>
    <t xml:space="preserve">ULTIMO PAGO DE FIANZA </t>
  </si>
  <si>
    <t>$700 1RO DE DICIEMBRE</t>
  </si>
  <si>
    <t>$290 31 DE DIC, ASHC BANO</t>
  </si>
  <si>
    <t>OHLM038628194</t>
  </si>
  <si>
    <t>$2000 31 DE DIC ASHC BANORTE</t>
  </si>
  <si>
    <t>FIANZA PENDIENTE POR TEMAS MEDICOS, $2000 31 DE DIC AZTECA ASHC + 1100 01 ENE</t>
  </si>
  <si>
    <t>PAGA EL DOMINGO</t>
  </si>
  <si>
    <t>OHLM038626735</t>
  </si>
  <si>
    <t>OSCAR CONTRERAS ZUÑIGA</t>
  </si>
  <si>
    <t>TRANSFIERE FIANZA INICIAL A ASHC</t>
  </si>
  <si>
    <t>LLAVE</t>
  </si>
  <si>
    <t>P. A ANT</t>
  </si>
  <si>
    <t>P T</t>
  </si>
  <si>
    <t>A PAGAR</t>
  </si>
  <si>
    <t>DEV</t>
  </si>
  <si>
    <t>OHLM038285789</t>
  </si>
  <si>
    <t>SE CONDONA ADEUDO Y SE AJUSTA DEUDO 2025</t>
  </si>
  <si>
    <r>
      <t xml:space="preserve">DA RENTA POR FUERA HOJALATERIA 11/18, </t>
    </r>
    <r>
      <rPr>
        <b/>
        <sz val="10"/>
        <color rgb="FF000000"/>
        <rFont val="Calibri"/>
        <family val="2"/>
        <scheme val="minor"/>
      </rPr>
      <t>PAGA 2,800 11 ENE</t>
    </r>
  </si>
  <si>
    <r>
      <t>TRABAJA DIDI-ASHC</t>
    </r>
    <r>
      <rPr>
        <b/>
        <sz val="10"/>
        <color rgb="FF000000"/>
        <rFont val="Calibri"/>
        <family val="2"/>
        <scheme val="minor"/>
      </rPr>
      <t>, PAGO 2,857 10 ENE (273 DE DIDI ATRASOS)</t>
    </r>
  </si>
  <si>
    <r>
      <rPr>
        <sz val="10"/>
        <color rgb="FF000000"/>
        <rFont val="Calibri"/>
        <family val="2"/>
      </rPr>
      <t xml:space="preserve">TRABAJA AMBAS APPS | </t>
    </r>
    <r>
      <rPr>
        <b/>
        <sz val="10"/>
        <color rgb="FF000000"/>
        <rFont val="Calibri"/>
        <family val="2"/>
      </rPr>
      <t xml:space="preserve">PAGO 7 ENE 1,200 + 1,000 10 ENE </t>
    </r>
    <r>
      <rPr>
        <b/>
        <sz val="10"/>
        <color rgb="FFFF0000"/>
        <rFont val="Calibri"/>
        <family val="2"/>
      </rPr>
      <t>GESTIONAR PAGO URGE</t>
    </r>
  </si>
  <si>
    <t>FIANZA 7/11 PAGO 7 ENE 1,100 + 1,085 8 ENE</t>
  </si>
  <si>
    <r>
      <t xml:space="preserve">ADEUDO SEM ANT - </t>
    </r>
    <r>
      <rPr>
        <b/>
        <sz val="10"/>
        <color theme="1"/>
        <rFont val="Calibri"/>
        <family val="2"/>
        <scheme val="minor"/>
      </rPr>
      <t>PROB FAM HIJA LEUSEM PAGA EL LUNES</t>
    </r>
    <r>
      <rPr>
        <sz val="10"/>
        <color theme="1"/>
        <rFont val="Calibri"/>
        <family val="2"/>
        <scheme val="minor"/>
      </rPr>
      <t xml:space="preserve"> SE CONDONA LA CUENTA</t>
    </r>
  </si>
  <si>
    <t>HOJALATERIA 2/5 PAGA HASTA LA SEM 3 SIN DESC DE HOJ</t>
  </si>
  <si>
    <t>FIANZA 5/10 PAGO 7 ENE 902</t>
  </si>
  <si>
    <r>
      <t>CTA PROP 2 DIAS PQ SALIO CDMX,HOJALATERIA 11/26 -</t>
    </r>
    <r>
      <rPr>
        <b/>
        <sz val="10"/>
        <color rgb="FF000000"/>
        <rFont val="Calibri"/>
        <family val="2"/>
        <scheme val="minor"/>
      </rPr>
      <t xml:space="preserve"> 1,300 9 ENE + 1,000 11 ENE</t>
    </r>
    <r>
      <rPr>
        <sz val="10"/>
        <color rgb="FF000000"/>
        <rFont val="Calibri"/>
        <family val="2"/>
        <scheme val="minor"/>
      </rPr>
      <t xml:space="preserve"> 8ene 1000</t>
    </r>
  </si>
  <si>
    <r>
      <t>PAGO TRANSF ASHC</t>
    </r>
    <r>
      <rPr>
        <b/>
        <sz val="10"/>
        <color rgb="FF000000"/>
        <rFont val="Calibri"/>
        <family val="2"/>
      </rPr>
      <t xml:space="preserve"> 5 ENE 610, 473 9 ENE, 375 10 ENE, 400 10 ENE, 500 11 ENE, 306 11 ENE</t>
    </r>
  </si>
  <si>
    <r>
      <t xml:space="preserve"> FIANZA 5/10 -  </t>
    </r>
    <r>
      <rPr>
        <b/>
        <sz val="10"/>
        <color rgb="FF000000"/>
        <rFont val="Calibri"/>
        <family val="2"/>
      </rPr>
      <t>PAGO 800 6 ENE</t>
    </r>
  </si>
  <si>
    <t>SE COBRA CTA COMPL EN DIDI</t>
  </si>
  <si>
    <t xml:space="preserve"> FIANZA 6/11</t>
  </si>
  <si>
    <t>AVEOH|2026|ACERO|NEJ996C</t>
  </si>
  <si>
    <t>CTA PROPDEL LUNES 2,500, RESTO DE SEM 2700</t>
  </si>
  <si>
    <t>PAGA 1,800 10 ENE</t>
  </si>
  <si>
    <t>REDUCCION DE CTA 1/2</t>
  </si>
  <si>
    <r>
      <t xml:space="preserve">FIANZA 3/11 PAGO 7 ENE 605 </t>
    </r>
    <r>
      <rPr>
        <b/>
        <sz val="10"/>
        <color rgb="FFFF0000"/>
        <rFont val="Calibri"/>
        <family val="2"/>
        <scheme val="minor"/>
      </rPr>
      <t>NO CONTESTA</t>
    </r>
  </si>
  <si>
    <t>CTA PROPAL JUEVES, ABANDONA AUTO, NO SE LE REGRESA FIANZA NI PAGO.</t>
  </si>
  <si>
    <r>
      <t xml:space="preserve">FIANZA 3/10 </t>
    </r>
    <r>
      <rPr>
        <b/>
        <sz val="10"/>
        <color rgb="FF000000"/>
        <rFont val="Calibri"/>
        <family val="2"/>
      </rPr>
      <t>PAGO 7 ENE 1,000 Y 500 11 ENE</t>
    </r>
  </si>
  <si>
    <t>CTA PROP 4 DÍAS, SE BAJA VIE, ADEUDA HOJTRIA, LLAVE, Y LAV INTER (SIN DEV DE FIANZA)</t>
  </si>
  <si>
    <t>AVEOH|2026|ACERO|NEJ971C</t>
  </si>
  <si>
    <t>CTA LUNES 2,500, MAR-DOM 2700, FIANZA 10/10 - QUEDA CON ROUS PAGO EN DOS EXHIBISIONES S2 746.5  Y S3 746.5 +12%</t>
  </si>
  <si>
    <t>HOJALATERIA 11/23</t>
  </si>
  <si>
    <t>PAGA 192 6 ENE</t>
  </si>
  <si>
    <t>FIANZA 7/10, PAGA ADEUDO 2/2 | PAGO 7 ENE 391</t>
  </si>
  <si>
    <r>
      <t>SEM 817 A FAVOR, ADEUDO DE GOLPE 2018, $5000 SEMANALES -</t>
    </r>
    <r>
      <rPr>
        <b/>
        <sz val="10"/>
        <color rgb="FF000000"/>
        <rFont val="Calibri"/>
        <family val="2"/>
        <scheme val="minor"/>
      </rPr>
      <t xml:space="preserve"> DEPOSITA 3,000 6 ENE (</t>
    </r>
    <r>
      <rPr>
        <sz val="10"/>
        <color rgb="FF000000"/>
        <rFont val="Calibri"/>
        <family val="2"/>
        <scheme val="minor"/>
      </rPr>
      <t>900 A CUENTA Y 2,100 GLPE PED)</t>
    </r>
  </si>
  <si>
    <t>DEV FIANZA 7/10</t>
  </si>
  <si>
    <t>RUBEN BERMEJO</t>
  </si>
  <si>
    <t>ULTIMO PAGO DE FIANZA</t>
  </si>
  <si>
    <t>DEV DE FIANZA 3/7</t>
  </si>
  <si>
    <r>
      <t xml:space="preserve">TRABAJA APP JG UBER, HOJALATERIA 12/15 - </t>
    </r>
    <r>
      <rPr>
        <b/>
        <sz val="10"/>
        <color rgb="FF000000"/>
        <rFont val="Calibri"/>
        <family val="2"/>
        <scheme val="minor"/>
      </rPr>
      <t>PAGA 700 7 ENE</t>
    </r>
  </si>
  <si>
    <t xml:space="preserve"> ADEUDO SEMANA PASADA A 12%,HOJALATERIA 7/8</t>
  </si>
  <si>
    <t>AVEOH|2026|ACERO|NEJ990C</t>
  </si>
  <si>
    <t>CTA PROP TRABAJO EN PLAT 1 DÍA 2,500 SEM RESTANTE 2,700.. FIANZA 6/11</t>
  </si>
  <si>
    <r>
      <t xml:space="preserve">FIANZA 4/9  - </t>
    </r>
    <r>
      <rPr>
        <b/>
        <sz val="10"/>
        <color rgb="FF000000"/>
        <rFont val="Calibri"/>
        <family val="2"/>
        <scheme val="minor"/>
      </rPr>
      <t>PAGA 2,182 7 ENE</t>
    </r>
  </si>
  <si>
    <t>FIANZA 4/11</t>
  </si>
  <si>
    <r>
      <rPr>
        <sz val="10"/>
        <color rgb="FF000000"/>
        <rFont val="Calibri"/>
        <family val="2"/>
      </rPr>
      <t xml:space="preserve">HOJALATERIA 7/18,PROMESA DE PAGO DIA MARTES </t>
    </r>
    <r>
      <rPr>
        <b/>
        <sz val="10"/>
        <color rgb="FFFF0000"/>
        <rFont val="Calibri"/>
        <family val="2"/>
      </rPr>
      <t xml:space="preserve">NO CONTESTA. </t>
    </r>
    <r>
      <rPr>
        <b/>
        <sz val="10"/>
        <color rgb="FF000000"/>
        <rFont val="Calibri"/>
        <family val="2"/>
      </rPr>
      <t>PAGA 503 10 ENE Y 200 11 ENE</t>
    </r>
  </si>
  <si>
    <t>FIANZA 4/10, PROM PAGO DIA MARTES, PAGA 2,000 7 ENE</t>
  </si>
  <si>
    <t>NO CONTESTA</t>
  </si>
  <si>
    <t>PAGO 7 ENE 2,500</t>
  </si>
  <si>
    <t>PAGO 5 ENE 2,000</t>
  </si>
  <si>
    <t>CTA PROP 5.5 DÍAS, FIANZA 1/8</t>
  </si>
  <si>
    <t>DIEGO ISAID PULIDO</t>
  </si>
  <si>
    <r>
      <t xml:space="preserve">CTA PROP 5 DÍAS, FIANZA 1/10 </t>
    </r>
    <r>
      <rPr>
        <b/>
        <sz val="10"/>
        <color rgb="FF000000"/>
        <rFont val="Calibri"/>
        <family val="2"/>
      </rPr>
      <t>PAGA 571 6 ENE</t>
    </r>
  </si>
  <si>
    <t>XAVIER ALAN LARA JIMENEZ</t>
  </si>
  <si>
    <r>
      <t xml:space="preserve">FIANZA 7/11 - </t>
    </r>
    <r>
      <rPr>
        <b/>
        <sz val="10"/>
        <color rgb="FF000000"/>
        <rFont val="Calibri"/>
        <family val="2"/>
        <scheme val="minor"/>
      </rPr>
      <t>PAGA 1,400 6 ENE</t>
    </r>
  </si>
  <si>
    <t>CTA PROP TRABAJO EN FLOTILLA</t>
  </si>
  <si>
    <t>OHLM03237015</t>
  </si>
  <si>
    <t>GENERA EN DIDI COMO SOCIO</t>
  </si>
  <si>
    <t>P12ENE 600 P14ENE 700 P16ENE 1000 P18ENE 1300</t>
  </si>
  <si>
    <t>PAGO 15 ENE 1000</t>
  </si>
  <si>
    <t>KEVIN ALEXIS MERLOS CORTES</t>
  </si>
  <si>
    <t>OHLM02372032</t>
  </si>
  <si>
    <t>SE DIO 2,000 DE FIANZA EN EFECTIVO</t>
  </si>
  <si>
    <t>OSCAR IVAN MIÑON RAMIREZ</t>
  </si>
  <si>
    <t>OHLM03140907</t>
  </si>
  <si>
    <t>INICIA MIER 7 26_CTA Y FIANZ PROP 5 DÍAS</t>
  </si>
  <si>
    <t>DANIEL CASTAÑEDA LOPEZ</t>
  </si>
  <si>
    <t>INICIA MAR 6 26_CTA Y FIANZ PROP 5.5 DÍAS DEJA EN GARANTÍA 2 CARTERAS ORIG TOMY Y MKOR PAGO 16 ENE</t>
  </si>
  <si>
    <t>JOEL RAUL PEREA PEÑA</t>
  </si>
  <si>
    <t>INICIA JUE 8 26 ENTREGA 1000 FIANZA EN EFE MAÑANA PAGA UNA PARTE</t>
  </si>
  <si>
    <t>JAVIER MEDINA JAIMES</t>
  </si>
  <si>
    <t>INICIA 5 ENE 26 DEJA EN GARANTÍA LAPTOP</t>
  </si>
  <si>
    <t>AVEOH|2026|ROJO|NEZ101C</t>
  </si>
  <si>
    <t>OHLM03864557</t>
  </si>
  <si>
    <t>FIANZA 8/11 SE BAJA DEL AUTO 15 ENE CON ADEUDO Y NOS QUEDAMOS CON LA FIANZA</t>
  </si>
  <si>
    <t>PAGO 14 ENE 835</t>
  </si>
  <si>
    <t>PIDIO Q EL DESC FUERA HASTA LA SEM 3</t>
  </si>
  <si>
    <t>IVETT</t>
  </si>
  <si>
    <t>FIANZA 6/10  PAGO 15 ENE EN EFECTIVO A ASHC</t>
  </si>
  <si>
    <t>P14ENE 1000|P14ENE 1400|P18ENE 1300</t>
  </si>
  <si>
    <t>HOJALATERIA 12/26 P14ENE 1000 P18N 500</t>
  </si>
  <si>
    <t>HOY PAGA</t>
  </si>
  <si>
    <t>HOJALAT 1/6 SE EMPIEZA A DESCONTAR DEBIDO A QUE NO FUE ARREGLADO A LA FECHA ACORDADA CON ROSA QUE ES 15DIC25| PENDIENTE COMPRA DE ANTENA Y DESCUENTO A CONDUCTOR</t>
  </si>
  <si>
    <t>SE DESC 1.5 POR INGRESAR MECANC FIANZA 6/10</t>
  </si>
  <si>
    <t>AVEOH|2026|ROJO|NEZ108C</t>
  </si>
  <si>
    <r>
      <t xml:space="preserve"> FIANZA 7/11 - </t>
    </r>
    <r>
      <rPr>
        <b/>
        <sz val="10"/>
        <color theme="1"/>
        <rFont val="Calibri"/>
        <family val="2"/>
        <scheme val="minor"/>
      </rPr>
      <t>PAGO 14 ENE 140</t>
    </r>
  </si>
  <si>
    <t xml:space="preserve">FIANZA 7/10 </t>
  </si>
  <si>
    <t>FIANZA 4/11| HOJALATERIA 3 DE 11 ACUERDO CON ASHC</t>
  </si>
  <si>
    <t>REDUCCION DE CTA 2/2</t>
  </si>
  <si>
    <t>SE COMUNICARÁ MÁS TARDE</t>
  </si>
  <si>
    <t>FIANZA 4/11 SE TUVO CONTACTO Y HASTA EL DOM PAGA</t>
  </si>
  <si>
    <t>FIANZA 4/10 PAGA 13 ENE 1400 PAGO MIER 15 1150</t>
  </si>
  <si>
    <t>DESC 1 DÍA INACTIVO|REPARACIÓN ESTEREO|1/2 DEV SEM 1 746</t>
  </si>
  <si>
    <t>HOJALAT 12/23 ADEUDO AUT JGD</t>
  </si>
  <si>
    <t>PENDIENTE ARREGLO DE CAJUELA SEM 3</t>
  </si>
  <si>
    <t>FIANZA 8/10 PAGA 236 CON INTERÉS</t>
  </si>
  <si>
    <t>OHLM038645594</t>
  </si>
  <si>
    <r>
      <t xml:space="preserve">FIANZA 7/11 </t>
    </r>
    <r>
      <rPr>
        <b/>
        <sz val="10"/>
        <color theme="1"/>
        <rFont val="Calibri"/>
        <family val="2"/>
        <scheme val="minor"/>
      </rPr>
      <t>PAGO 14 ENE 762</t>
    </r>
  </si>
  <si>
    <t>FIANZA 5/9</t>
  </si>
  <si>
    <t>CTA PROP 4 DÍAS HOLT 8/9 RUBÍ CON ADEUDO + INTERÉS</t>
  </si>
  <si>
    <t>FIANZA 2/10 PAGO 14 ENE 1150</t>
  </si>
  <si>
    <t>FIANZA 8/11 TRANSF</t>
  </si>
  <si>
    <t>PAGA 2,500 13 ENE</t>
  </si>
  <si>
    <t>PAGO 14 ENE 2000</t>
  </si>
  <si>
    <t>HOJALATERIA 13 DE 15</t>
  </si>
  <si>
    <t>DEV FIANZA 8/10 PAGO 14 ENE</t>
  </si>
  <si>
    <t>DEV DE FIANZA 4/7</t>
  </si>
  <si>
    <t>CTA PROP 3 DÍAS SE PASA A ASHC</t>
  </si>
  <si>
    <t>ULTIMO PAGO HOJALATERIA EN VISTO</t>
  </si>
  <si>
    <t>GOLPE KIA Y BYD PENDIENTE CON ASHC</t>
  </si>
  <si>
    <t>GOLPE FASCIA PENDIENTE 1500 POR KIA, PEND Q CONFIRME SEM DE ARREGLO PAGA 16</t>
  </si>
  <si>
    <t>PROMESA DE PAGO 19 ENE ACUERDO CON BYER</t>
  </si>
  <si>
    <t>PENDIENTE CAMBIO DE COCHE VENTO O KIA PAGO 16 ENE  510</t>
  </si>
  <si>
    <t>JUAN PABLO COLIN HERMENEGILDO</t>
  </si>
  <si>
    <r>
      <t>INGRESA MIE 7 SE CONSIDERA 1.5 DÍAS</t>
    </r>
    <r>
      <rPr>
        <b/>
        <sz val="10"/>
        <color theme="1"/>
        <rFont val="Calibri"/>
        <family val="2"/>
        <scheme val="minor"/>
      </rPr>
      <t xml:space="preserve"> PAGO 14 ENE 207</t>
    </r>
  </si>
  <si>
    <t>AVEO|2022|AZUL|PCH9635</t>
  </si>
  <si>
    <t>JORGE IVAN PALOMINO PEREZ FIGUEROA</t>
  </si>
  <si>
    <t>ADEUDO DE LAS SEM2 +12% - P 20ENE $1000 P21ENE$1000-P22ENE $1000-P24ENE $2000 P26$1150 P27 $850</t>
  </si>
  <si>
    <t xml:space="preserve">ADEUDO DE LAS SEM2 +12% </t>
  </si>
  <si>
    <t>P21ENE 1000 P22ENE 1000 P23 ENE $1000 P24 $1000 P25$1000</t>
  </si>
  <si>
    <t>FIANZA DEVUELTA 2,000</t>
  </si>
  <si>
    <t>FIANZA 2 DE 10</t>
  </si>
  <si>
    <t>FIANZA 2 DE 10 CTA 3 DÍAS P20ENE EFE 1455</t>
  </si>
  <si>
    <t>BAJA DEL AUTO 15 ENE . SE PAGAN 3 DIAS</t>
  </si>
  <si>
    <t>FIANZA CUBIERTA PENE20$2,646</t>
  </si>
  <si>
    <t>FIANZA CUBIERTA |</t>
  </si>
  <si>
    <t>FIANZA 7/10  P20ENE $1300</t>
  </si>
  <si>
    <t>FIANZA CUBIERTA P20ENE 1600 EFE P22 ENE $500 P23 ENE 500 P26 ENE 700</t>
  </si>
  <si>
    <t>HOJALATERIA 13/26 P20ENE 1600 EFE</t>
  </si>
  <si>
    <t>FIANZA PAGADA P21 2000</t>
  </si>
  <si>
    <t>HOJALAT 1/6 SE EMPIEZA A DESCONTAR DEBIDO A QUE NO FUE ARREGLADO A LA FECHA ACORDADA CON ROSA QUE ES 15DIC25| PENDIENTE COMPRA DE ANTENA Y DESCUENTO A CONDUCTOR-P21ENE $2000</t>
  </si>
  <si>
    <t xml:space="preserve"> FIANZA 6/10-P21ENE$186</t>
  </si>
  <si>
    <t xml:space="preserve"> FIANZA 7/11  P20ENE $1,021</t>
  </si>
  <si>
    <t>FIANZA 7/11</t>
  </si>
  <si>
    <t>FIANZA 5/11| HOJALATERIA 3 DE 11 ACUERDO CON ASHC</t>
  </si>
  <si>
    <t>FIANZA CUBIERTA. SE PAGA CON RETIRO SIN TARJETA EL DIF QUEDA EN LA SIG SEM</t>
  </si>
  <si>
    <t>CUBRE ADEUDO CON FIANZA</t>
  </si>
  <si>
    <t xml:space="preserve">FIANZA 4/11  </t>
  </si>
  <si>
    <t>FIANZA 4/10  ( P20 ENE$1000 P21 ENE $1200, P22 ENE $500</t>
  </si>
  <si>
    <t>ESTABA PENDIENTE SU ULTIMA FIANZA</t>
  </si>
  <si>
    <t xml:space="preserve">FIANZA 8/10 </t>
  </si>
  <si>
    <t xml:space="preserve">FIANZA 7/11 </t>
  </si>
  <si>
    <t>FIANZA CUBIERTA</t>
  </si>
  <si>
    <t>HOJALATERIA 9/9 P22ENE $800</t>
  </si>
  <si>
    <t>FIANZA 3/11 PENE20$1,151</t>
  </si>
  <si>
    <t>FIANZA 8/11 TRANSF -P20ENE $450-P21$610</t>
  </si>
  <si>
    <t>FIANZA PAGADA P20ENE$2,500</t>
  </si>
  <si>
    <t>HOJALATERIA 13 DE 15- P 23 ENE $1000</t>
  </si>
  <si>
    <t>BAJA DEV FIANZA. FINALIZA LA DEV EN SEM4</t>
  </si>
  <si>
    <t>BAJA DEV FIANZA</t>
  </si>
  <si>
    <t>SE BAJA EN LA SEM 3 Y SE CUBRE ADEUD CON SU FIANZA</t>
  </si>
  <si>
    <t>GOLPE KIA Y BYD PENDIENTE CON ASHC NO ESTA EN FIANZAS</t>
  </si>
  <si>
    <t xml:space="preserve">FIANZA PAGADA/ MULTA 2025 </t>
  </si>
  <si>
    <t>TENIA PENDIENTE 500 DE FIANZA-P20ENE $507 21/01 NAYELI LO MANDO A LA CTA DE SANTIAGO</t>
  </si>
  <si>
    <t>FIANZA 3 DE 11</t>
  </si>
  <si>
    <t>FIANZA PAGADA  (CAMBIO DE COCHE VENTO O KIA PAGO 16 ENE  510)</t>
  </si>
  <si>
    <t>INICIA CON ESTE AUTO ENERO 16 CAMBIA DE AUTO EL 22 ENERO</t>
  </si>
  <si>
    <t>TOMAS ARIAS ESPINOSA</t>
  </si>
  <si>
    <t>SE CONSIDERA INICIO ENE 17</t>
  </si>
  <si>
    <t>DAVID ROMERO JAIME</t>
  </si>
  <si>
    <t>OHLM03276214</t>
  </si>
  <si>
    <t>IVAN GENARO BOCANEGRA MARTINEZ</t>
  </si>
  <si>
    <t>P 20ENE$1,000</t>
  </si>
  <si>
    <t>DIEGO DIAZ BARRIGA GARCIA</t>
  </si>
  <si>
    <t xml:space="preserve">FIANZA 3/11 PENE20$1,151, PAGO 27/01 </t>
  </si>
  <si>
    <t>VENTO|2018|AMARILLO|NJJ912C</t>
  </si>
  <si>
    <t>CAMBIO DE AUTO DEL VENTO 2017 GRIS AL VENTO 2018 AMARILLO</t>
  </si>
  <si>
    <t>INICIA CON ESTE AUTO ENERO 16 ( QUE PASA COMN EL ADEUDO SE NETEA, PAGA 28/01 ASHC DEP 300, 22 A FAV</t>
  </si>
  <si>
    <t>YANIZ MANUEL SILVA PUPO</t>
  </si>
  <si>
    <t>DIO 2000 EN EFECTIVO DE FIANZA</t>
  </si>
  <si>
    <t>TRANS MERCADO PAGO 30 DE ENE</t>
  </si>
  <si>
    <t>PAGA EL 30/01 716 MPASHC</t>
  </si>
  <si>
    <t>SE BAJO EL 24/01 SE COBRA SOLO MEDIO DIA</t>
  </si>
  <si>
    <t>30 ENE BANORTE$1002</t>
  </si>
  <si>
    <t>RODOLFO VILLEDA MACIAS</t>
  </si>
  <si>
    <t>OHLM03864555</t>
  </si>
  <si>
    <t>DIO2K DE FIANZA</t>
  </si>
  <si>
    <t>ADEUDO DE LAS SEM2 +12% - P 20ENE $1000 P21ENE$1000-P22ENE $1000 DOM 08 PAGA 800</t>
  </si>
  <si>
    <t>COMO AJUSTO EL SALDO A FAVOR</t>
  </si>
  <si>
    <t>RAFAEL HUERTA MONDRAGON</t>
  </si>
  <si>
    <t>DIO 2000 PARA LA FIANZA/ $547 ASHC</t>
  </si>
  <si>
    <t>PEDRO ARELLANO PEREZ</t>
  </si>
  <si>
    <t>SE COBRA DESDE EL 24 | FIANZA DE 1000 EFECT</t>
  </si>
  <si>
    <t>$290 29/01 ASHC AZTECA</t>
  </si>
  <si>
    <t>FIANZA 4 DE 11</t>
  </si>
  <si>
    <t>AVEOH|2026|BLANCO|NJG464C</t>
  </si>
  <si>
    <t>A PARTIR DEL 23/01</t>
  </si>
  <si>
    <t>FIANZA 5/10, SE COBRAN DE LA CUENTA DE AVEO, RESTAN 617, 28/01 PAGA 500 ASHC BANORTE</t>
  </si>
  <si>
    <t>LUIS EDGARDO AYALA ALVAREZ</t>
  </si>
  <si>
    <t xml:space="preserve">P2401 </t>
  </si>
  <si>
    <t>SE BAJO EL MARTES VER SI SE COBRARA</t>
  </si>
  <si>
    <t>DEV DE FIANZA COMPLETA S4</t>
  </si>
  <si>
    <t>FIANZA 5/11| HOJALATERIA 3 Y 4 DE 11 ACUERDO CON ASHC</t>
  </si>
  <si>
    <t>SE CARGAN 2 HOJALATERIA</t>
  </si>
  <si>
    <t>FIANZA 2 DE 10 CTA 3 DÍAS P20ENE EFE 1455, SE AJUSTA, PAGA CON CUENTA AH2026/</t>
  </si>
  <si>
    <t>AVEOH|2026|BLANCO|NJG470C</t>
  </si>
  <si>
    <t>P2901 380. SE AJUSTO IMPUESTOS</t>
  </si>
  <si>
    <t xml:space="preserve"> FIANZA  8/11/ $122 A ASHC BANO 29/01</t>
  </si>
  <si>
    <t>PAGA 1429 A ASHC BANO 26/01, TRANS 27 ENE DE 1600 A BANO ASHC, 28/01 $500 BANO/ $1200 30/01 ASHC</t>
  </si>
  <si>
    <t>AVEOH|2026|BLANCO|NJG467C</t>
  </si>
  <si>
    <t>A PARTIR DEL 23/01, SE AJUSTA Y SE PAGA LO 1414 PROPORCIONAL, PAGA ASHC</t>
  </si>
  <si>
    <t>DEV DE FIANZA EN SEM 5 FINALIZA</t>
  </si>
  <si>
    <t>SE BAJO EL JUEVES A LAS 13.00</t>
  </si>
  <si>
    <t xml:space="preserve">PAGA 600 27/01 ASHC BANORTE, 600 28/01 ASHC BANORTE </t>
  </si>
  <si>
    <t>SE CONSIDERAM 7 PESOS QUE QUEDARON A FAVOR/ DEPOSITA A ASHC 27 ENE A BANORTE</t>
  </si>
  <si>
    <t>BRYAN OMAR HERNANDEZ ANTUNEZ</t>
  </si>
  <si>
    <t>OHLM03276210</t>
  </si>
  <si>
    <t>A PARTIR DEL 23/01 2K EN EFECTIVO PARA FIANZA</t>
  </si>
  <si>
    <t xml:space="preserve">FIANZA CUBIERTA </t>
  </si>
  <si>
    <t>ANA YAEL RAMIREZ VELASCO</t>
  </si>
  <si>
    <t>ALEJANDRA URBAN VALENCIA</t>
  </si>
  <si>
    <t>TRANSFER DE 2000 FIANZA. DEV 62</t>
  </si>
  <si>
    <t>ALAN DAVID SALAZAR HERNANDEZ</t>
  </si>
  <si>
    <t>DIO 1500 EN EFECTIVO DE FIANZA/ $700 29 ENE</t>
  </si>
  <si>
    <t>PAGA ASHC 27/01</t>
  </si>
  <si>
    <t>P02FEB 2500 HOJALATERIA-458 A FAVOR SE VA PARA HOJALATERIA</t>
  </si>
  <si>
    <t>03/02 $2360</t>
  </si>
  <si>
    <t>P ASHC 662</t>
  </si>
  <si>
    <t>PRIMER PAGO HOJALATERIA</t>
  </si>
  <si>
    <t>AJUS AUT 1/2 DIA ASCH 170</t>
  </si>
  <si>
    <t>AVEOH|2026|BLANCO|NJJ925C</t>
  </si>
  <si>
    <t>SOLO PARA CUADRE DE TABLA</t>
  </si>
  <si>
    <t>P 03 FEB</t>
  </si>
  <si>
    <t>28 EN SE LE CAMBIO VEHICULO AL NCT814A-P ASHC 214</t>
  </si>
  <si>
    <t>P03FEB 1100/ ASHC BANO $630 04/02 09FEB 1339</t>
  </si>
  <si>
    <t>P ASHC 02 FEB AJUSTE PLAT ASHC</t>
  </si>
  <si>
    <t>P ASHC 3550</t>
  </si>
  <si>
    <t>SE SALDA Y SE DEVUELVEN 3550/ ULTM HOJ</t>
  </si>
  <si>
    <t>P ASHC 316</t>
  </si>
  <si>
    <t>$2400 03/02 ASHC BANO 07FEB 300 231</t>
  </si>
  <si>
    <t>p ASHC 5252</t>
  </si>
  <si>
    <t>P 04 FEB 973</t>
  </si>
  <si>
    <t>P ASHC 852</t>
  </si>
  <si>
    <t>P3FEB 500</t>
  </si>
  <si>
    <t>P 05FEB CON 12% INTERES NO ES SALDO A FAVOR</t>
  </si>
  <si>
    <t>P ASCH 1600</t>
  </si>
  <si>
    <t>P 03FEB 200</t>
  </si>
  <si>
    <t xml:space="preserve">AJUSTE PARA TABLA </t>
  </si>
  <si>
    <t>DEP $50 04/02 ASHC</t>
  </si>
  <si>
    <t>P ASCH 1873</t>
  </si>
  <si>
    <t>P 02FEB 2500-P06FEB 100</t>
  </si>
  <si>
    <t>P ASHC 2983</t>
  </si>
  <si>
    <t>P 05 FEB 2000</t>
  </si>
  <si>
    <t>IGNACIO ISRAEL GONZALEZ RUIZ</t>
  </si>
  <si>
    <t>DEV 1821+879 PAG DE MÁS QUEDA TABLA PAGADO</t>
  </si>
  <si>
    <t>PASO CON IVETTE-P 04FEB, 5FEB 500,06 FEB 429</t>
  </si>
  <si>
    <t>4 DÍAS DE CUENTA, S/M, PENALIZACION FIANZA. BAJA EL 30/01 P ASHC $1634</t>
  </si>
  <si>
    <t>ULTIMA FIANZA PASHC 500</t>
  </si>
  <si>
    <t>P 03FEB 500 04/02 $520</t>
  </si>
  <si>
    <t xml:space="preserve">SE DIVIDE EN 2 SU ADEUDO, PG CON F, </t>
  </si>
  <si>
    <t>03/02 FEB $898</t>
  </si>
  <si>
    <t>P ASHC 1886</t>
  </si>
  <si>
    <t>P 04FEB 1500,05FEB 1000, 06FEB 1000 +08 FEB 1500</t>
  </si>
  <si>
    <t>P ASHC 1923</t>
  </si>
  <si>
    <t>P ASHC 1404</t>
  </si>
  <si>
    <t>P ASHC 3079</t>
  </si>
  <si>
    <t>P ASHC 1383</t>
  </si>
  <si>
    <t>7 FEB $2000</t>
  </si>
  <si>
    <t>P ASHC 2401</t>
  </si>
  <si>
    <t>P ASHC 820</t>
  </si>
  <si>
    <t>PAGO CON GASOLINA</t>
  </si>
  <si>
    <t>P 2FEB 2564</t>
  </si>
  <si>
    <t>P ASHC02FEB 2887</t>
  </si>
  <si>
    <t>P 03FEB 2500</t>
  </si>
  <si>
    <t>P ASHC02FEB 2178</t>
  </si>
  <si>
    <t>SAUL GONZALEZ RIVAS</t>
  </si>
  <si>
    <t>2K DE FIANZA- P ASHC 547</t>
  </si>
  <si>
    <t>P05 FEB 580 CON12% INT NO ES SALDO A FAVOR</t>
  </si>
  <si>
    <t>P ASHC 250</t>
  </si>
  <si>
    <t>ABRAHAM RODRIGUEZ HERNANDEZ</t>
  </si>
  <si>
    <t>03/02 PAGA $428 AZTECA ASHC</t>
  </si>
  <si>
    <t>CESAR AXEL SANTIAGO GARCIA</t>
  </si>
  <si>
    <t>SIN ANT FIANZA AUT ASHC. 15 FEB 1000 15 FEB 20</t>
  </si>
  <si>
    <t>BAJA</t>
  </si>
  <si>
    <t>QUIRINO FLORES ROQUE</t>
  </si>
  <si>
    <t>INICIA 04FEB 4.5 DIAS|2000 EFEC FIANZA 14FEB 6 EFEC</t>
  </si>
  <si>
    <t>P 09FEB 500</t>
  </si>
  <si>
    <t>P 10FEB 800 P12 FEB  151</t>
  </si>
  <si>
    <t>EDUARDO RIVERA LAVIN</t>
  </si>
  <si>
    <t>ANTICIPO DE FIANZA 2K TRANSFER MP ASHC</t>
  </si>
  <si>
    <t>NA</t>
  </si>
  <si>
    <t>P 09 FEB 2500</t>
  </si>
  <si>
    <t>11 FEB 1427</t>
  </si>
  <si>
    <t>11 FEB 1127</t>
  </si>
  <si>
    <t>P 13 FEB 810</t>
  </si>
  <si>
    <t>P 10FEB 2000 P 11FEB 1300</t>
  </si>
  <si>
    <t>P 09FEB 1155</t>
  </si>
  <si>
    <t>P 11FEB 500 P13FEB 540,300EFEC P14FEB131</t>
  </si>
  <si>
    <t>SIG SEM SE CONTINUA CON LA HOJALATERIA 14 FEB 1300</t>
  </si>
  <si>
    <t>LA SEM 7 SE EMPIEZA A PAGAR</t>
  </si>
  <si>
    <t>14 FEB 700</t>
  </si>
  <si>
    <t>357 AJUSTE EN FIANZA QUE ESTABA INCORRECTA DE NOV</t>
  </si>
  <si>
    <t>P 09FEB 2000 -13 FEB 1000 - 14FEB 1300-15FEB 244</t>
  </si>
  <si>
    <t xml:space="preserve">357 FIANZA </t>
  </si>
  <si>
    <t>P 11 FEB 400 EFEC YUL</t>
  </si>
  <si>
    <t>11 FEB $2900 14FEB 100</t>
  </si>
  <si>
    <t>13 FEB 1000 15FEB  1300 16 FEB 246</t>
  </si>
  <si>
    <t>14 FEB 700 15 FEB 700+250</t>
  </si>
  <si>
    <t>P 11FEB 1387</t>
  </si>
  <si>
    <t>P 14 FEB 1523</t>
  </si>
  <si>
    <t>P 11 FEB 1200 P14FEB 1743-16 FEB 800</t>
  </si>
  <si>
    <t>por cuadre ya que no debe</t>
  </si>
  <si>
    <t>P 09FEB 445</t>
  </si>
  <si>
    <t>P 10 FEB 2159</t>
  </si>
  <si>
    <t>P13FEB 1207</t>
  </si>
  <si>
    <t>P 13 FEB 1959</t>
  </si>
  <si>
    <t>GAS $700 se paga 1,310 EN EFE 10FEB  11 FEB 400 GASOLINA ROSA AJUSTO EL MONTO</t>
  </si>
  <si>
    <t>11  FEB 677</t>
  </si>
  <si>
    <t>458 A FAVOR P HOJA SEM PAS P 09 FEB 1500</t>
  </si>
  <si>
    <t>10/02 PAGA $3000 AZTECA ASHC</t>
  </si>
  <si>
    <t>OHLM038718698</t>
  </si>
  <si>
    <t>P19FEB $1050 EFEC</t>
  </si>
  <si>
    <t>LUIS AXEL RODRIGUEZ RANGEL</t>
  </si>
  <si>
    <t>NO DEJO FIANZA P17 FEB 1042</t>
  </si>
  <si>
    <t>ADOLFO ANGEL ESTRADA RODRIGUEZ</t>
  </si>
  <si>
    <t>P17FEB  857</t>
  </si>
  <si>
    <t>P17FEB  2258</t>
  </si>
  <si>
    <t>P 17FEB 2500</t>
  </si>
  <si>
    <t>P17FEB  4936</t>
  </si>
  <si>
    <t>P17FEB 986</t>
  </si>
  <si>
    <t>OHLM038645636</t>
  </si>
  <si>
    <t>P17FEB 1618</t>
  </si>
  <si>
    <t>P17FEB   2842</t>
  </si>
  <si>
    <t>P17FEB   2530</t>
  </si>
  <si>
    <t>P17FEB   3696</t>
  </si>
  <si>
    <t>se hace a jus</t>
  </si>
  <si>
    <t xml:space="preserve">P17FEB   </t>
  </si>
  <si>
    <t>P17FEB   191</t>
  </si>
  <si>
    <t>P17FEB   621</t>
  </si>
  <si>
    <t>P18FEB 27</t>
  </si>
  <si>
    <t>P17FEB   29</t>
  </si>
  <si>
    <t>REGRESO DE FIANZA P19FEB 500</t>
  </si>
  <si>
    <t>OHLM038645560</t>
  </si>
  <si>
    <t>P17FEB   1225</t>
  </si>
  <si>
    <t>P17FEB   603</t>
  </si>
  <si>
    <t>P 16FEB 2500</t>
  </si>
  <si>
    <t>OHLM038645602</t>
  </si>
  <si>
    <t>P17FEB   4,667</t>
  </si>
  <si>
    <t>OHLM038718722</t>
  </si>
  <si>
    <t>P17FEB   1300 Y 27 A FAVOR PARA LA SEM 8</t>
  </si>
  <si>
    <t>SE MOVIO LA MULTA PARA LA SIG SEMANA 17 FEB 170</t>
  </si>
  <si>
    <t>P18FEB 2000 -19FEB 1000</t>
  </si>
  <si>
    <t>AVEOH|2026|BLANCO|NJG485C</t>
  </si>
  <si>
    <t>OHLM038718680</t>
  </si>
  <si>
    <t>OHLM038718706</t>
  </si>
  <si>
    <t>P17FEB    666</t>
  </si>
  <si>
    <t>P17FEB   4975</t>
  </si>
  <si>
    <t>P17FEB   1677</t>
  </si>
  <si>
    <t>16 FEB 700</t>
  </si>
  <si>
    <t>OHLM038645586</t>
  </si>
  <si>
    <t>P17FEB   2372</t>
  </si>
  <si>
    <t>P17FEB   6389</t>
  </si>
  <si>
    <t>P17FEB   195</t>
  </si>
  <si>
    <t>SELE COBRABN INT POR INCUMPLIR</t>
  </si>
  <si>
    <t>P17FEB   466</t>
  </si>
  <si>
    <t>OHLM038645552</t>
  </si>
  <si>
    <t>P17FEB   3262</t>
  </si>
  <si>
    <t>16 FEB 1020</t>
  </si>
  <si>
    <t>OHLM038718672</t>
  </si>
  <si>
    <t>FEB 16 1788</t>
  </si>
  <si>
    <t>P 18FEB 100</t>
  </si>
  <si>
    <t>OHLM038645628</t>
  </si>
  <si>
    <t>P 17 FEB 767</t>
  </si>
  <si>
    <t>ARMANDO CARDENAS TRUJILLO</t>
  </si>
  <si>
    <t xml:space="preserve">OHLM032762106
</t>
  </si>
  <si>
    <t>P18FEB 3000</t>
  </si>
  <si>
    <t>EDSON GABRIEL AMBRIZ ALVARADO</t>
  </si>
  <si>
    <t>VERSA|2021|AZUL|NMC875C</t>
  </si>
  <si>
    <t>FECHA</t>
  </si>
  <si>
    <t>RESPONSABLE</t>
  </si>
  <si>
    <t>PLAN</t>
  </si>
  <si>
    <t>MARCA</t>
  </si>
  <si>
    <t>FOLIO FISCAL</t>
  </si>
  <si>
    <t>N/A</t>
  </si>
  <si>
    <t>JUAN LOZADA</t>
  </si>
  <si>
    <t>PEMEX</t>
  </si>
  <si>
    <t>VAZLO</t>
  </si>
  <si>
    <t>HUESO</t>
  </si>
  <si>
    <t>EAGLEBHP</t>
  </si>
  <si>
    <t>AUTOPARTES LOCAR</t>
  </si>
  <si>
    <t>ORIGINAL</t>
  </si>
  <si>
    <t>SE FACTURA A NOMBRE DE YULIANA</t>
  </si>
  <si>
    <t>MARCHA</t>
  </si>
  <si>
    <t>VALUE</t>
  </si>
  <si>
    <t>PEND A SR ISMAEL</t>
  </si>
  <si>
    <t>MANO DE OBRA MARCHA</t>
  </si>
  <si>
    <t>FOCOS PELLIZCO (4)</t>
  </si>
  <si>
    <t>FACTURAS</t>
  </si>
  <si>
    <t>ENRIQUE</t>
  </si>
  <si>
    <t>$3400 DE CUENTA YOSHUA ASHC</t>
  </si>
  <si>
    <t>SOPORTE FRONTAL DERECHO</t>
  </si>
  <si>
    <t>SOPORTE TRASERO DERECHO</t>
  </si>
  <si>
    <t>EAGLEVZK</t>
  </si>
  <si>
    <t>GENERICO</t>
  </si>
  <si>
    <t>NGK</t>
  </si>
  <si>
    <t>FRANCISCO JAVIER ELECTRICO</t>
  </si>
  <si>
    <t>BALANCEO (2)</t>
  </si>
  <si>
    <t>SHELL SERVICE</t>
  </si>
  <si>
    <t>PREGUNTAR A EMMANUEL</t>
  </si>
  <si>
    <t/>
  </si>
  <si>
    <t>LECHES</t>
  </si>
  <si>
    <t>LECHES PARA ROSCA DE REYES</t>
  </si>
  <si>
    <t>LINEA DE VOLTAJE - RADIO</t>
  </si>
  <si>
    <t>SE COBRA A CONDUCTOR</t>
  </si>
  <si>
    <t>SOPORTE DE MOTOR TRASERO</t>
  </si>
  <si>
    <t>PENDIENTE REVISIÓN</t>
  </si>
  <si>
    <t>FOCOS LED</t>
  </si>
  <si>
    <t>TESTIGOS</t>
  </si>
  <si>
    <t>AUTOMOTRIZ GARROM</t>
  </si>
  <si>
    <t>VERIFICAR TRANSFERENCIA</t>
  </si>
  <si>
    <t>ACEITE/FILTROS</t>
  </si>
  <si>
    <t>BUJIAS/ACEITE/FILTROS</t>
  </si>
  <si>
    <t>TERMINALES VENTO</t>
  </si>
  <si>
    <t>AMORTIGUADORES</t>
  </si>
  <si>
    <t>BIRLOS</t>
  </si>
  <si>
    <t>CORMERCIALIZADORA DE TORNILLOS Y BIRLOS</t>
  </si>
  <si>
    <t>POLLOS</t>
  </si>
  <si>
    <t>SANTO GALLO</t>
  </si>
  <si>
    <t>PAN</t>
  </si>
  <si>
    <t>LA ESPERANZA</t>
  </si>
  <si>
    <t>VULCANIZADORA LOS PITS</t>
  </si>
  <si>
    <t>RADIADORES UNIDOS (RUNSA)</t>
  </si>
  <si>
    <t>AMERICA</t>
  </si>
  <si>
    <t>SILICON NEGRO</t>
  </si>
  <si>
    <t>REFACCIONARIA MOBU</t>
  </si>
  <si>
    <t>HELLA</t>
  </si>
  <si>
    <t>REEMBOLSO ISMAEL/pagado 31-01-26</t>
  </si>
  <si>
    <t>AUTO PARTES PEUGEOT</t>
  </si>
  <si>
    <t>UNIVBRAKES</t>
  </si>
  <si>
    <t>WAGNER</t>
  </si>
  <si>
    <t>METRO MANGUERA</t>
  </si>
  <si>
    <t>SYD</t>
  </si>
  <si>
    <t>GASOLINA PARA EMERGENCIA</t>
  </si>
  <si>
    <t>AMORTIGUADOR COFRE</t>
  </si>
  <si>
    <t>SUSPENSIONES PORTALES</t>
  </si>
  <si>
    <t>AVEOH|2026|GRIS|NEZ115C</t>
  </si>
  <si>
    <t>PENDIENTE FACTURACION</t>
  </si>
  <si>
    <t>KSA VEGA</t>
  </si>
  <si>
    <t>AUTOPARTES FUJIYAMA</t>
  </si>
  <si>
    <t>ARTE AUTOMOTRIZ</t>
  </si>
  <si>
    <t>CAJA CHICA</t>
  </si>
  <si>
    <t>MONTAJE LLANTA</t>
  </si>
  <si>
    <t>CONFIRMAR COMERCIO</t>
  </si>
  <si>
    <t>REVISION VELOCIMETRO</t>
  </si>
  <si>
    <t>VELOCIMETROS DIGITALES</t>
  </si>
  <si>
    <t>PAGO ASHC</t>
  </si>
  <si>
    <t>TARJETA DE CIRCULACION</t>
  </si>
  <si>
    <t>GOGAS</t>
  </si>
  <si>
    <t>TENENCIA Y REFERENDO</t>
  </si>
  <si>
    <t>CALIPER AVEO</t>
  </si>
  <si>
    <t>SPEED CAR</t>
  </si>
  <si>
    <t>CONFIRMAR TARJETA</t>
  </si>
  <si>
    <t>ROTOR PISTA</t>
  </si>
  <si>
    <t>CALIFORNIA PORTALES</t>
  </si>
  <si>
    <t>BASE AMORTIGUADOR DELANTERO</t>
  </si>
  <si>
    <t>MORDAZA FRENOS RUEDA DELANTERA</t>
  </si>
  <si>
    <t>REFACCIONES GUADALUPE MUÑOZ</t>
  </si>
  <si>
    <t>ACDELCO</t>
  </si>
  <si>
    <t>MOTO ISAAC</t>
  </si>
  <si>
    <t>REEMBOLSADO EMMANUEL/pagado 31-01-26</t>
  </si>
  <si>
    <t>DOMINOS PIZZA</t>
  </si>
  <si>
    <t>PIEZAS</t>
  </si>
  <si>
    <t>VOLANTE</t>
  </si>
  <si>
    <t>LORENZO</t>
  </si>
  <si>
    <t>CONFIRMAR VEHÍCULO</t>
  </si>
  <si>
    <t>CAR FL</t>
  </si>
  <si>
    <t>PIJAS TOLBA</t>
  </si>
  <si>
    <t>REEMBOLSO ISAAC</t>
  </si>
  <si>
    <t>REEMBOLSO FERNANDO/pagado efec 04-02-26</t>
  </si>
  <si>
    <t>MODIRESA</t>
  </si>
  <si>
    <t>LIJAS PARA EL TALLER</t>
  </si>
  <si>
    <t>QUAKER STATE</t>
  </si>
  <si>
    <t>ALINEACION Y BALANCEO</t>
  </si>
  <si>
    <t>REFACCIONARIA PUEBLA</t>
  </si>
  <si>
    <t>FRANCO VERTIZ</t>
  </si>
  <si>
    <t>SPORT CLASSIC</t>
  </si>
  <si>
    <t>REEMBOLSO FER 340, YUL DIO 300</t>
  </si>
  <si>
    <t>REEMBOLSO NICO/pagado 31-01-26</t>
  </si>
  <si>
    <t>HULES OMAR</t>
  </si>
  <si>
    <t>CACAHUATES</t>
  </si>
  <si>
    <t>SENSOR CIGÜEÑAL</t>
  </si>
  <si>
    <t>TRUPPER</t>
  </si>
  <si>
    <t>PARA TALLER</t>
  </si>
  <si>
    <t>REVISION MARCHA</t>
  </si>
  <si>
    <t>REVISION METODO PAGO</t>
  </si>
  <si>
    <t>TORNILLOS Y RONDANAS</t>
  </si>
  <si>
    <t>TORNILLOS Y BIRLOS DEL CENTRO</t>
  </si>
  <si>
    <t>MANGO/MAZA/BALERO</t>
  </si>
  <si>
    <t>SAMURAI REFACCIONES</t>
  </si>
  <si>
    <t>ANTICONGELANTE/AFLOJATODO/LIMPIADOR CARBURADOR</t>
  </si>
  <si>
    <t>EMBLEMA NISSAN</t>
  </si>
  <si>
    <t>REFACCIONARIA JULIETA FLORES</t>
  </si>
  <si>
    <t>AVEOH|2026|BLANCO|NJG480C</t>
  </si>
  <si>
    <t>GASOLINA PARA MOTOS OFICINA</t>
  </si>
  <si>
    <t>HORQUILLAS/TERMINAL INTERIOR</t>
  </si>
  <si>
    <t>FILTRO AIRE ACONDICIONADO</t>
  </si>
  <si>
    <t>ELECTRICO LUCES GENERALES CORTO</t>
  </si>
  <si>
    <t>AUTOPARTES FRAMEX</t>
  </si>
  <si>
    <t>SERVICIO DE INYECTORES</t>
  </si>
  <si>
    <t>LABORATORIO Y DIAGNÓSTICO DE INYECTORES</t>
  </si>
  <si>
    <t>FILTROS/BUJIAS/ACEITE/ABRAZADERAS</t>
  </si>
  <si>
    <t>ESPEJO RETROVISOR UNIVERSAL</t>
  </si>
  <si>
    <t>GOMA VARILLA ESTABILIZADORA</t>
  </si>
  <si>
    <t>LODERA DERECHA</t>
  </si>
  <si>
    <t>AUTOPARTES HENRY</t>
  </si>
  <si>
    <t>15 GRAPAS</t>
  </si>
  <si>
    <t>REEMBOLSO GABRIEL</t>
  </si>
  <si>
    <t>POWER CARS MUNDO</t>
  </si>
  <si>
    <t>VERIFICACIÓN VEHICULAR</t>
  </si>
  <si>
    <t>91C672D2-C755-40D9-8D1E-867F66F0D872</t>
  </si>
  <si>
    <t>COPIAS</t>
  </si>
  <si>
    <t>PAGO DE 2 COPIAS PARA VERIFICAR</t>
  </si>
  <si>
    <t>METZ</t>
  </si>
  <si>
    <t>Garantia 9 meses</t>
  </si>
  <si>
    <t>FONSECA SERVICIO ELECTRICO</t>
  </si>
  <si>
    <t>NO EMITE FACTURA</t>
  </si>
  <si>
    <t>VALVULA</t>
  </si>
  <si>
    <t>NO EMITIO FACTURA</t>
  </si>
  <si>
    <t>FACTURADO</t>
  </si>
  <si>
    <t>TLAPALERIA EL MIHTU</t>
  </si>
  <si>
    <t>PENDIENTE/ NO DEJA FACTURAR</t>
  </si>
  <si>
    <t>AGUA DIRECCIÓN Y VISITAS</t>
  </si>
  <si>
    <t>ALEJANDRA</t>
  </si>
  <si>
    <t>SAM´S CLUB</t>
  </si>
  <si>
    <t>SE FACTURO A YUL</t>
  </si>
  <si>
    <t>EA69F884-630E-41A5-A06A-A3C75F0D8BA1</t>
  </si>
  <si>
    <t>TENENCIA</t>
  </si>
  <si>
    <t>SE ENTREGO EFECTIVO POR PARTE DE YUL</t>
  </si>
  <si>
    <t>CC87B094-B850-48D0-91C1-665B1440FE51</t>
  </si>
  <si>
    <t>8F7DB843-1FA2-4838-B423-AFAEA3FC7B75</t>
  </si>
  <si>
    <t>88D23A2A-200A-4715-A79B-876BE5648E6B</t>
  </si>
  <si>
    <t>AC94EF19-BCAF-4EE4-B5E5-BBE4DF1B1B3B</t>
  </si>
  <si>
    <t>35F8E049-44DA-43C8-96A9-2DC1BBC8C2BC</t>
  </si>
  <si>
    <t>1B31EB17-FBC5-42E1-919C-50E05DFC058F</t>
  </si>
  <si>
    <t>A5A4AFF0-057D-4A16-BFAB-92197B27FB88</t>
  </si>
  <si>
    <t>7452F89F-FC98-45F3-A1E9-2DBD80644A13</t>
  </si>
  <si>
    <t>FE29A7F6-BCD1-4F5D-A9D8-FEC98C96BE11</t>
  </si>
  <si>
    <t>F11F8EA5-3DD5-476F-A3FA-D9F54B08E2B8</t>
  </si>
  <si>
    <t>9618CDA6-3585-4834-9228-EA4EEEC09269</t>
  </si>
  <si>
    <t>04B91222-F23E-47ED-81C9-C11DE3A9E93D</t>
  </si>
  <si>
    <t>C5DC8109-A104-4DFB-AEC8-D10DCACDF9F8</t>
  </si>
  <si>
    <t>D4B43142-12C0-46CA-B7FD-4DF36C293458</t>
  </si>
  <si>
    <t>234D1E16-59F0-4E0E-9B1B-4D35CF4E409C</t>
  </si>
  <si>
    <t>0204D312-8216-4CC0-A768-84420406B719</t>
  </si>
  <si>
    <t>D3FD7E86-BED6-470F-B679-27C70D605940</t>
  </si>
  <si>
    <t>121B307E-E9C8-4F60-84E4-77BEDED69C0C</t>
  </si>
  <si>
    <t>FBA28FB7-6929-40B2-B1B4-EDFBBECE6091</t>
  </si>
  <si>
    <t>DAFD6AC7-E8DD-46F2-BC56-66BEE6CCCA88</t>
  </si>
  <si>
    <t>371342C4-3841-47CF-8168-9CEEB6E5939D</t>
  </si>
  <si>
    <t>1E1F0C4E-9931-40A0-8969-240D46C86C4F</t>
  </si>
  <si>
    <t>962A8330-BB92-4883-BDF5-2E6981C6D47E</t>
  </si>
  <si>
    <t>92C11C2E-E3DA-47A1-A635-84947C681820</t>
  </si>
  <si>
    <t>C6301A3F-780A-42D9-A577-6F753FF48516</t>
  </si>
  <si>
    <t>4318AF0F-B5BF-4676-A482-E7DF78E3408A</t>
  </si>
  <si>
    <t>F3100E39-4838-4B04-A7F4-CC9ABC6DCBB5</t>
  </si>
  <si>
    <t>F46792D5-F7A8-4C15-9940-DFB92EDA90AA</t>
  </si>
  <si>
    <t>F6C49052-E035-43FA-A15F-178C5EA418AF</t>
  </si>
  <si>
    <t>REFACCIONES FRANCO</t>
  </si>
  <si>
    <t>BE27F33E-1C89-4284-AFB5-D7678864CA34</t>
  </si>
  <si>
    <t>SERVICIOS TERREMOTES</t>
  </si>
  <si>
    <t>SE METIO GASOLINA PARA TRASLADO</t>
  </si>
  <si>
    <t>c87cc6fb-a907-4cda-828d-64cd9fa0bdf6</t>
  </si>
  <si>
    <t>ALINEACIÓN/BALANCEO/REVISIÓN SUSPENSIÓN</t>
  </si>
  <si>
    <t>NO EMITE FACTURA/YUL REALIZO TRANSFER</t>
  </si>
  <si>
    <t>JUEGO DE BALATAS DELANTERAS</t>
  </si>
  <si>
    <t>DC3FD549-DDA2-4E57-A062-44C8747355B2</t>
  </si>
  <si>
    <t>CENTRADORES PARA RIN</t>
  </si>
  <si>
    <t>PENDIENTE REEMBOLSO FERNANDO</t>
  </si>
  <si>
    <t>DEFENSA</t>
  </si>
  <si>
    <t>KEVIN</t>
  </si>
  <si>
    <t>AUTOPARTES ALFA</t>
  </si>
  <si>
    <t>A68F82D0-5D2F-4BDB-9FF9-9CA4DC3E5A78</t>
  </si>
  <si>
    <t>CALAVERA</t>
  </si>
  <si>
    <t>SE COLOCO SOLO UN FOCO Y LA DIFERENCIA ESTA EN INVENTARIO</t>
  </si>
  <si>
    <t>FERNANDO OSORNIO VILLASANA</t>
  </si>
  <si>
    <t>AVEOH|2026|BLANCO|NJG468C</t>
  </si>
  <si>
    <t>SE COLOCO GASOLINA PARA OPERACIÓN</t>
  </si>
  <si>
    <t>8634e591-6f81-4b82-8c63-c3d1f50671ca</t>
  </si>
  <si>
    <t>ALDAHIR ALVARADO MARTINEZ</t>
  </si>
  <si>
    <t>AVEOH|2026|BLANCO|NJG466C</t>
  </si>
  <si>
    <t>ROSA</t>
  </si>
  <si>
    <t>9acf88f5-8160-428a-89d3-61c5a24ed345</t>
  </si>
  <si>
    <t>SUSPENSIÓN Y DIRECCIÓN SUCURSAL PORTALES</t>
  </si>
  <si>
    <t>OPERADORA VIVA</t>
  </si>
  <si>
    <t>EL TICKET SE ENTREGO YA MUY BORROSO</t>
  </si>
  <si>
    <t>KIA|2025|AZUL|NMC863C</t>
  </si>
  <si>
    <t>INVENTARIO</t>
  </si>
  <si>
    <t>PENDIENTE REEMBOLSO NICO</t>
  </si>
  <si>
    <t>FRENOS UNIVERSALES UNIVBRAKES</t>
  </si>
  <si>
    <t>32bb5a31-bece-4b01-8081-6ccc1d525193</t>
  </si>
  <si>
    <t>VICTOR OCTAVIO HERNANDEZ LUNA</t>
  </si>
  <si>
    <t>FACTURARON A PÚBLICO EN GENERAL</t>
  </si>
  <si>
    <t>REFACCIONARIAS MOBU</t>
  </si>
  <si>
    <t>SUSPENSIONES Y SOPORTE AIRES</t>
  </si>
  <si>
    <t>SUSPENSIONES Y DIRECCION</t>
  </si>
  <si>
    <t>NO SE FACTURA, FUERA DE TIEMPO</t>
  </si>
  <si>
    <t>TORNILLO ESTABILIZADOR</t>
  </si>
  <si>
    <t>ELI</t>
  </si>
  <si>
    <t>CONSORCIO GASOLINERA CENTRAL</t>
  </si>
  <si>
    <t>COMPRA DE AUTO</t>
  </si>
  <si>
    <t>PAO</t>
  </si>
  <si>
    <t>SOLO SE ENTREGO EL TICKET DE PAGO</t>
  </si>
  <si>
    <t>FISERV</t>
  </si>
  <si>
    <t>ALFA</t>
  </si>
  <si>
    <t>VENTO</t>
  </si>
  <si>
    <t>PASTELERIA ALCAZAR</t>
  </si>
  <si>
    <t>28B54A1D‐EAC0‐4A2A‐90F4‐EEA2ACB0C828</t>
  </si>
  <si>
    <t>LODERAS</t>
  </si>
  <si>
    <t>REFACCIONARIA LEO</t>
  </si>
  <si>
    <t>GUZMAN</t>
  </si>
  <si>
    <t>ca0fb9c2-f739-46f6-8535-e9e341d44a7d</t>
  </si>
  <si>
    <t>AVEOH|2026|GRIS|NEZ118C</t>
  </si>
  <si>
    <t>ARMANDO</t>
  </si>
  <si>
    <t>CONSORCIO GASOLINERA PLUS</t>
  </si>
  <si>
    <t>VEREFICENTRO DE LIMPIEZA AMBIENTAL</t>
  </si>
  <si>
    <t>NO ENTREGO TICKET</t>
  </si>
  <si>
    <t>AVANZA|2024|GRIS|NMC849C</t>
  </si>
  <si>
    <t>REFACCIONARIA FONSECA</t>
  </si>
  <si>
    <t>UNIVBRAKES FRENOS</t>
  </si>
  <si>
    <t>CÉSAR AXEL</t>
  </si>
  <si>
    <t>22c05fb4-94c1-484b-8e0f-0efa9a857e1b</t>
  </si>
  <si>
    <t>GASOL ALEMAN</t>
  </si>
  <si>
    <t>29A9E1B8-B242-45B1-A257-F740F918D8F0</t>
  </si>
  <si>
    <t>635D2BAB-1BB4-40C6-99C2-5F0302606E49</t>
  </si>
  <si>
    <t>cd3bba1b-0537-4639-8758-0b78642897db</t>
  </si>
  <si>
    <t>ULISES</t>
  </si>
  <si>
    <t>ea98cc85-a9ed-4483-8785-6ff8b528ab90</t>
  </si>
  <si>
    <t>JULIO</t>
  </si>
  <si>
    <t>SE FACTURO EN EL COMERCIO A BYER</t>
  </si>
  <si>
    <t>c1d0a964-8412-4ec0-94da-921235b1c216</t>
  </si>
  <si>
    <t>PLUMA LIMPIA PARABRISAS</t>
  </si>
  <si>
    <t>LA CASA DEL TORNILLO</t>
  </si>
  <si>
    <t>GRASA</t>
  </si>
  <si>
    <t>OGROVE</t>
  </si>
  <si>
    <t>119e6ee4-bb4b-4a87-82d4-298996c56646</t>
  </si>
  <si>
    <t>NO SE FACTURA, PAGO EN EFECTIVO</t>
  </si>
  <si>
    <t>e96821dd-e307-41df-81eb-d4264b3cb764</t>
  </si>
  <si>
    <t>63d63e53-3643-4516-8d77-b6e8f0127005</t>
  </si>
  <si>
    <t>503ad2dd-39fd-49a9-83f3-72e6e1d13df3</t>
  </si>
  <si>
    <t>GOMA DE BARRA ESTABILIZADORA</t>
  </si>
  <si>
    <t>REFACCIONES PORTALES</t>
  </si>
  <si>
    <t>720c435a-08e9-4fd2-8dbb-f3b130961521</t>
  </si>
  <si>
    <t>ALAMBRE GALVANIZADO</t>
  </si>
  <si>
    <t>TLAPALERIA EL SILICON</t>
  </si>
  <si>
    <t>523cb6ca-6658-4d83-af8e-71f9faa16cd1</t>
  </si>
  <si>
    <t>GABO</t>
  </si>
  <si>
    <t>7 ELEVEN</t>
  </si>
  <si>
    <t>8c954719-fd4f-466f-add3-bba4c4edd7dc</t>
  </si>
  <si>
    <t>3249577d-01c7-46b2-93b0-32926ae501e1</t>
  </si>
  <si>
    <t>BOLSA DE HIELO</t>
  </si>
  <si>
    <t>deaa1433-b766-4f9c-a42a-4b0b81185c6b</t>
  </si>
  <si>
    <t>8f30a523-d0b5-451f-9066-3a63f3c075d0</t>
  </si>
  <si>
    <t>VISITA DOMICILIARIA</t>
  </si>
  <si>
    <t>C320C9AD-E92C-5984-B494-3F65EA47E21E</t>
  </si>
  <si>
    <t>39E3630C-9448-5F01-8E19-78C56EE8179B</t>
  </si>
  <si>
    <t>b49ebbc0-8e3f-4efe-8b47-fc2fdb709417</t>
  </si>
  <si>
    <t>5ee33027-b41c-4af4-817d-0e6095ca0c0d</t>
  </si>
  <si>
    <t>REFACCIONARIA FRAMEX</t>
  </si>
  <si>
    <t>REEMBOLSO FERNANDO/pagado efec 19-02-2026</t>
  </si>
  <si>
    <t>VEREFICENTRO 1 MAYO</t>
  </si>
  <si>
    <t>NO HAY TICKET PARA FACTURAR</t>
  </si>
  <si>
    <t>PROMOGAS</t>
  </si>
  <si>
    <t>NO DEJA FACTURAR</t>
  </si>
  <si>
    <t>PAPELERIA EL MISHTU/ PAPEL Y REG ANGY</t>
  </si>
  <si>
    <t>AUTOZONE</t>
  </si>
  <si>
    <t>SE FACTURO EN EL COMERCIO</t>
  </si>
  <si>
    <t>61BC65E2-0F92-4145-9CD8-9B9D2C51AF0C</t>
  </si>
  <si>
    <t>7DD404AC-61B1-8C4A-B2F2-1A118E7E4347</t>
  </si>
  <si>
    <t>TAPON RADIADOR</t>
  </si>
  <si>
    <t>REFACCIONARIA SAMURAI</t>
  </si>
  <si>
    <t>BBDF7661-6DAD-4AA5-9184-9AA65740ED0B</t>
  </si>
  <si>
    <t>GASOLINA SE REPUSO GASOLINA QUE DEJO EN EL BEAT 2020</t>
  </si>
  <si>
    <t>PERMEGAS</t>
  </si>
  <si>
    <t>82c3b876-d8d1-4d59-8d95-1c755a60aa00</t>
  </si>
  <si>
    <t>SUSPERIA 175/65 R14</t>
  </si>
  <si>
    <t>REFACCIONES ORIGINALES ALEMANASNY JAPONESAS</t>
  </si>
  <si>
    <t>ENCENDEDOR</t>
  </si>
  <si>
    <t>SANTIAGO</t>
  </si>
  <si>
    <t>5d440295-92ea-41e5-9e95-4b7146460e82</t>
  </si>
  <si>
    <t>PRESUPUESTOS</t>
  </si>
  <si>
    <t>VARIOS PRESUPUESTOS</t>
  </si>
  <si>
    <t>21,060 DEPOSITO NAYE BBVA, 1,500 EFECTIVO YUL, 500 EFECTIVO YUL, 330 CUENTA DE FERNANDO F, 15,100 DEPOISITO 11-09</t>
  </si>
  <si>
    <t>SIN FACTURA</t>
  </si>
  <si>
    <t>NO SE NECESITO EN REVISIÓN</t>
  </si>
  <si>
    <t xml:space="preserve">CRISTAKAR </t>
  </si>
  <si>
    <t>NO AFECTA FUNCIONAMIENTO</t>
  </si>
  <si>
    <t>SIN GASTO</t>
  </si>
  <si>
    <t xml:space="preserve">CUENTA CON SEGURO DE AGENCIA </t>
  </si>
  <si>
    <t>GESTORIA (10)</t>
  </si>
  <si>
    <t>NUEVA ADQUISICIÓN</t>
  </si>
  <si>
    <t>NO SE REALIZÓ</t>
  </si>
  <si>
    <t>SEGUROS (10)</t>
  </si>
  <si>
    <t>PERMISOS (10)</t>
  </si>
  <si>
    <t>GASOLINA (10)</t>
  </si>
  <si>
    <t>GPS NUEVO (10)</t>
  </si>
  <si>
    <t>NO SE NECESITO EN MANTENIMIENTO</t>
  </si>
  <si>
    <t>PROPINA PARA GASERA</t>
  </si>
  <si>
    <t>PENDIENTES A COMPRAR POR ISMAEL</t>
  </si>
  <si>
    <t>TAPONES</t>
  </si>
  <si>
    <t>MULTAS</t>
  </si>
  <si>
    <t>MATAPERROS</t>
  </si>
  <si>
    <t>LODERA IZQUIERDA</t>
  </si>
  <si>
    <t>P20FEB 1500</t>
  </si>
  <si>
    <t>P17FEB   2000 - P18FEB 1000-P22 FEB 500-400</t>
  </si>
  <si>
    <t>P 17FEB 370 P20FEB 445 P22 354+430</t>
  </si>
  <si>
    <t>SE PONE DE RENTA LO QUE GENERO EN LA SEMANA</t>
  </si>
  <si>
    <t>1000 23 FEB</t>
  </si>
  <si>
    <t>P20FEB 1200</t>
  </si>
  <si>
    <t>17 FEB 1000 20FEB 250</t>
  </si>
  <si>
    <t>P20FEB 370</t>
  </si>
  <si>
    <t>610 DE VERIFICACION. LUNES ENVIO PAGO DE 2500 CON FECHA DE 15FEB POR ELLO NO SE DESCONTO. SE QUITO EL 12% P20 2100 EFECT</t>
  </si>
  <si>
    <t>BAJARON A EDSON EL SABADO 21</t>
  </si>
  <si>
    <t>JORGE ALEJANDRO HERNANDEZ VALLEJO</t>
  </si>
  <si>
    <t>P 23FEB 127</t>
  </si>
  <si>
    <t>JUAN CARLOS CASTRO CASTILLO</t>
  </si>
  <si>
    <t>P24FEB 869</t>
  </si>
  <si>
    <t>JORGE LUIS MEJIA LEOBARDO</t>
  </si>
  <si>
    <t>P 24 FEB 763</t>
  </si>
  <si>
    <t>P24FEB 1051</t>
  </si>
  <si>
    <t>P26 FEB 1600</t>
  </si>
  <si>
    <t>PAGO CON SU TARJETA UNAS BALATAS- 1 DIA DE CUENTA ESTUVO AQUÍ CON SU AUTO Y ARREGLO LA BOLSA DE AIRE P24FEB 564</t>
  </si>
  <si>
    <t>P245 FEB 1669</t>
  </si>
  <si>
    <t>P 24FEB 2500</t>
  </si>
  <si>
    <t>P23FEB4309</t>
  </si>
  <si>
    <t>P23FEB 70</t>
  </si>
  <si>
    <t>P23FEB 1984 ESTA PEND EL ANTICONGELANTE</t>
  </si>
  <si>
    <t>COMPRO BIRLOS P24FEB 638</t>
  </si>
  <si>
    <t>P24 FEB 579</t>
  </si>
  <si>
    <t>P23FEB 3746</t>
  </si>
  <si>
    <t>P23FEB BRYAN OMAR</t>
  </si>
  <si>
    <t>37 A FAVOR PORQUE PAGO DE MAS. 25FEB 1230</t>
  </si>
  <si>
    <t>P23FEB 3195</t>
  </si>
  <si>
    <t>P24FEB 1859</t>
  </si>
  <si>
    <t>P24FFEB 1911</t>
  </si>
  <si>
    <t>P24FEB 665</t>
  </si>
  <si>
    <t>P24FEB 452</t>
  </si>
  <si>
    <t>P24FEB 500</t>
  </si>
  <si>
    <t>26FEB ENTREGA AUTO POR TEMAS SALUD ESPOSA E IRA PAGANDO EN LA SEMANA . QUEDARIA LIQUIDADO EL 04MAR</t>
  </si>
  <si>
    <t>P23FEB 4547</t>
  </si>
  <si>
    <t>P24FEB 2150</t>
  </si>
  <si>
    <t>P24FEB 2500 P25FEB 100</t>
  </si>
  <si>
    <t>P24FEB 3162</t>
  </si>
  <si>
    <t>HABIA QUEDADO EN PAGAR LA MITAD Y LA OTRA ESTA SEM SE LE CALCU INTERESE SOBRE 1/2</t>
  </si>
  <si>
    <t>P24FEB 334 COMPLETADO PAGO</t>
  </si>
  <si>
    <t>MEDIO DIA DE CUENTA POR EL LUNES DE CONTINGENCIA. 900 RETIRO SIN TARJETA P23FEB</t>
  </si>
  <si>
    <t>P 25FEB 377</t>
  </si>
  <si>
    <t>A FAV 28 POR PAGO DE MAS. P24FEB 1000 P25FEB 1270</t>
  </si>
  <si>
    <t>3 A FAVOR POR PAGO DE MAS- P27FEB 200</t>
  </si>
  <si>
    <t>P 24FEB 2056</t>
  </si>
  <si>
    <t>P25FEB 1300 P27FEB 700</t>
  </si>
  <si>
    <t>P24FEB</t>
  </si>
  <si>
    <t>P23FEB  3300</t>
  </si>
  <si>
    <t>P23 FEB 152</t>
  </si>
  <si>
    <t>SE BAJO EL 21 FEB 6 DIAS DE CUENTA</t>
  </si>
  <si>
    <t>P23FEB 2097</t>
  </si>
  <si>
    <t>P23FEB</t>
  </si>
  <si>
    <t>P27FEB 2854</t>
  </si>
  <si>
    <t>P24 FEB 1000 25 FEB 498</t>
  </si>
  <si>
    <t>P24 FEB 3000</t>
  </si>
  <si>
    <t>SE AJUSTO SEM 7 la fianza SE BAJO EL 17 FEB</t>
  </si>
  <si>
    <t>EMMANUEL LARA HERNANDEZ</t>
  </si>
  <si>
    <t>BMW|2025|NEGRA|40K216</t>
  </si>
  <si>
    <t>ULISES SANCHEZ HERNANDEZ</t>
  </si>
  <si>
    <t>ALEJANDRO VELAZQUEZ VARGAS</t>
  </si>
  <si>
    <t>JOSE LUIS PEDRAZA AVILA</t>
  </si>
  <si>
    <t>ALAN AURELIO ORTEGA ORDOÑEZ</t>
  </si>
  <si>
    <t>EMILIANO SOLANO SALAZAR</t>
  </si>
  <si>
    <t>RAUL NABOR MORIN MEJIA</t>
  </si>
  <si>
    <t>JOSE PABLO AGUILAR HERNANDEZ</t>
  </si>
  <si>
    <t>BAJA  25FEB 10AM</t>
  </si>
  <si>
    <t>CANTIDAD</t>
  </si>
  <si>
    <t>UNIDAD</t>
  </si>
  <si>
    <t>JUEGO</t>
  </si>
  <si>
    <t>LITROS</t>
  </si>
  <si>
    <t>PRECIO POR PIEZA O UNIDAD</t>
  </si>
  <si>
    <t>ALTA PLACAS</t>
  </si>
  <si>
    <t>AVEOH|2026|BLANCO|NJG461C</t>
  </si>
  <si>
    <t>EFECTIVO ENTREGADO POR YUL</t>
  </si>
  <si>
    <t>AVEOH|2026|BLANCO|NJG463C</t>
  </si>
  <si>
    <t>AVEOH|2026|BLANCO|NJJ910C</t>
  </si>
  <si>
    <t>NO DEJO FACTURAR</t>
  </si>
  <si>
    <t>MAGNA</t>
  </si>
  <si>
    <t>0D9799EC-E629-4C8C-8480-7A29B0222849</t>
  </si>
  <si>
    <t>MARCH|2023|GRIS|NMC882C</t>
  </si>
  <si>
    <t>TRANSFER POR YUL</t>
  </si>
  <si>
    <t>934C659F-2EF1-4AD5-8031-7669A405EBC6</t>
  </si>
  <si>
    <t>4FA9C86A-9914-4A6C-B255-E05EA544D6E9</t>
  </si>
  <si>
    <t>AVEOH|2026|GRIS|NEZ110C</t>
  </si>
  <si>
    <t>DB849CAE-ED0B-4A23-BC44-0515F76EDE11</t>
  </si>
  <si>
    <t>AVEOH|2026|GRIS|NEZ103C</t>
  </si>
  <si>
    <t>EBD6343A-2A84-43BD-B61C-340767549E61</t>
  </si>
  <si>
    <t>D3A2C61B-5D8A-44CC-A8E7-F70A48E7ED9C</t>
  </si>
  <si>
    <t>385d3922-c809-401b-b6f3-a5f7e56e7e94</t>
  </si>
  <si>
    <t>BANDA MICRO V VW GOLF</t>
  </si>
  <si>
    <t>MICRO "V"</t>
  </si>
  <si>
    <t>7B20D7A5-056C-D342-9880-729C2E213792</t>
  </si>
  <si>
    <t>5CF54ECC-1B3F-4787-BB27-FDF2A4B381BB</t>
  </si>
  <si>
    <t>TORNILLO ESTABILIZADOR CUBE</t>
  </si>
  <si>
    <t>CUBE KICKS</t>
  </si>
  <si>
    <t>4528F9EE-845B-424F-8B68-BD9948F234B3</t>
  </si>
  <si>
    <t>SOPORTE DE MOTOR TRA NISAN KICKSL4</t>
  </si>
  <si>
    <t>NISAN KICKS</t>
  </si>
  <si>
    <t>BULCANISADORA GENERICA</t>
  </si>
  <si>
    <t>BALATA F D JGO SPECI</t>
  </si>
  <si>
    <t>PAGO EL CONDUCTOR CON SU TARJETA, SE LE REEMBOLSO EN SU CTA DE LA SEMANA 9</t>
  </si>
  <si>
    <t>REDOXON</t>
  </si>
  <si>
    <t>TORNILLOS ESTABILIZADORES</t>
  </si>
  <si>
    <t>LIMPIADOR CARBU KLIN 3PZAS</t>
  </si>
  <si>
    <t>COCA COLA</t>
  </si>
  <si>
    <t>45669708-02ce-42ca-ad56-1415c3508132</t>
  </si>
  <si>
    <t>VALENTINA</t>
  </si>
  <si>
    <t>4d4d6db1-1aad-416e-857d-028be3165164</t>
  </si>
  <si>
    <t>MARCH|2020|BLANCO|MGC417C</t>
  </si>
  <si>
    <t>CAMBIO ENGOMADOS 02</t>
  </si>
  <si>
    <t>CRISTACAR</t>
  </si>
  <si>
    <t>ACIDO MURIATICO 1L</t>
  </si>
  <si>
    <t>92F607B0-37A8-4577-BEC1-0608A29AA503</t>
  </si>
  <si>
    <t>PILAS ENERGI</t>
  </si>
  <si>
    <t>GASOLINA VISITA</t>
  </si>
  <si>
    <t>LOGAN</t>
  </si>
  <si>
    <t>VEREFICENTRO</t>
  </si>
  <si>
    <t>NO HAY TICKET</t>
  </si>
  <si>
    <t>VERIFICACION BRINCO</t>
  </si>
  <si>
    <t>MOTO ULISES</t>
  </si>
  <si>
    <t>NO TRAE WEB ID, NO SE FACTURA</t>
  </si>
  <si>
    <t>REPOSICIÓN</t>
  </si>
  <si>
    <t>SERGIO ARNOLDO VALDEZ VELAZQUEZ</t>
  </si>
  <si>
    <t>MOTO ARMANDO</t>
  </si>
  <si>
    <t>HEFESTO</t>
  </si>
  <si>
    <t>BALATA AVEO</t>
  </si>
  <si>
    <t>VULCANIZADORA GENERICA</t>
  </si>
  <si>
    <t>PARCHE</t>
  </si>
  <si>
    <t>REFACCIONES ORIGINALES ALEMANAS Y JAPONESAS</t>
  </si>
  <si>
    <t>SE COBRO POR ERROR $350, LOS CUALES SE REEMBOLSAN EN EFECTIVO, MISMO DEL CUAL SE PAGAN $295 Y LA DIFERENCIA DE $55 SE DA A YUL</t>
  </si>
  <si>
    <t>SE FACTURO EN COMERCIO A BYER</t>
  </si>
  <si>
    <t>PIZZAS</t>
  </si>
  <si>
    <t>DOMINO´S</t>
  </si>
  <si>
    <t>NO SE FACTURA, NO DIERON TICKET</t>
  </si>
  <si>
    <t>2CFF4045-2C4C-45C5-BAFD-2986A4D92BEF</t>
  </si>
  <si>
    <t>EMBRAGUES Y FRENOS BULGARIA</t>
  </si>
  <si>
    <t>SANTIAGO DIO $500 EN EFECTIVO A ISMAEL PARA PAGARLO, SE LE REGRESAN $50 A SANTI, NO EMITE FACTURA EL COMERCIO</t>
  </si>
  <si>
    <t>GOMA VARILLA ESTABILIZADORA DELANTERA</t>
  </si>
  <si>
    <t>SE COBRARON $3,516 YA QUE SE HABIA COMPRADO EL CLUTCH, MISMO QUE NO ERA EL QUE SE NECESITABA, POR LO CUAL SE DEBVOLVIO Y REEMBOLSARON $3,150 EN EFECTIVO QUE SE LE ENTREGO A SANTIAGO</t>
  </si>
  <si>
    <t>NO SE FACTURA, YA QUE NO SE RECONOCE EL FOLIO</t>
  </si>
  <si>
    <t>CHEDRAUI</t>
  </si>
  <si>
    <t>5C8A614A-0716-4356-986F-2B820D5D2A99</t>
  </si>
  <si>
    <t>MANGUERA</t>
  </si>
  <si>
    <t>JUEGO DE GATO</t>
  </si>
  <si>
    <t>TIANGUIS</t>
  </si>
  <si>
    <t>DESENGRASANTE</t>
  </si>
  <si>
    <t>SE QUITARON RINES</t>
  </si>
  <si>
    <t>SIM TELCEL 2023</t>
  </si>
  <si>
    <t>TELCEL</t>
  </si>
  <si>
    <t>f887d659-ecb2-4475-9d53-1198964089df</t>
  </si>
  <si>
    <t>MOTO HONDA</t>
  </si>
  <si>
    <t>12ccc31b-c2bd-4eeb-8d16-f39f5e78a42b</t>
  </si>
  <si>
    <t>SHELL SUP</t>
  </si>
  <si>
    <t>c757d670-4d45-457e-8732-bac4e717cb2a</t>
  </si>
  <si>
    <t>56aeff14-66d9-4c23-a0a7-5753097356d8</t>
  </si>
  <si>
    <t>LECHE SELECTA</t>
  </si>
  <si>
    <t>SELECTA</t>
  </si>
  <si>
    <t>CEA81D09-1539-422C-8BAC-BCD972760090</t>
  </si>
  <si>
    <t>RESTAURADOR DE FAROS TREATMENT</t>
  </si>
  <si>
    <t>TREATMENT</t>
  </si>
  <si>
    <t>TERCIOS HOJA LIJA B99 1000P FANDELI</t>
  </si>
  <si>
    <t>FANDELI</t>
  </si>
  <si>
    <t>TERCIOS HOJA LIJA B99 2500P FANDELI</t>
  </si>
  <si>
    <t>MICROFIBRA ABSORBENTE 1PZ VIKING</t>
  </si>
  <si>
    <t>VIKING</t>
  </si>
  <si>
    <t>TORNILLO ESTAB</t>
  </si>
  <si>
    <t>CUB</t>
  </si>
  <si>
    <t>53F94CD3-FA86-694C-A23B-AF43836C5131</t>
  </si>
  <si>
    <t>CINTA DE AISLAR</t>
  </si>
  <si>
    <t>FERREVALLE</t>
  </si>
  <si>
    <t>LLAVE Y DUPLICADOS ESTANTES</t>
  </si>
  <si>
    <t>NO ESTA DESGLOSADO EL VALOR DE CADA UNA</t>
  </si>
  <si>
    <t>cf41965c-b5d8-4763-8de4-c50d04025965</t>
  </si>
  <si>
    <t>7fe783ae-82a6-48cd-8317-0dc39022190d</t>
  </si>
  <si>
    <t>95318d14-0f98-4e7b-8713-76f4d725d234</t>
  </si>
  <si>
    <t>7fe77412-0e19-4e13-8aaf-57fe44583002</t>
  </si>
  <si>
    <t>ANDRADE UNIVERSIDAD</t>
  </si>
  <si>
    <t>SUSUKI</t>
  </si>
  <si>
    <t>1fb13a33-4571-4e9d-8be9-63c406cdcce6</t>
  </si>
  <si>
    <t>1393e83a-8958-442b-8afd-608ec01ce985</t>
  </si>
  <si>
    <t>ba0505a6-2687-4626-8462-5e3e0659c0f5</t>
  </si>
  <si>
    <t>TELCEL RECARGA</t>
  </si>
  <si>
    <t>aed57d3a-df5b-41b5-bf78-3ab3b0a8406b</t>
  </si>
  <si>
    <t>4e39f30e-bf07-4cb4-8e50-035beb2254e0</t>
  </si>
  <si>
    <t>51f39e1e-2c46-4df9-8a02-ef7494961358</t>
  </si>
  <si>
    <t>IVA</t>
  </si>
  <si>
    <t>CÓDIGO TICKET</t>
  </si>
  <si>
    <t>NO</t>
  </si>
  <si>
    <t>CHIPS GPS</t>
  </si>
  <si>
    <t>TARJETA DIDI ASHC</t>
  </si>
  <si>
    <t>SERVICIO</t>
  </si>
  <si>
    <t>PAQUETE</t>
  </si>
  <si>
    <t>CDMX</t>
  </si>
  <si>
    <t>CALLE</t>
  </si>
  <si>
    <t>SANTIAGO PIDIO UBER PARA ROSA DE GPS A LA OFICINA</t>
  </si>
  <si>
    <t>UBER X</t>
  </si>
  <si>
    <t>UBER PARA GABO ENTREGO CARRO A PICACHU TRASLADO A OFICINA</t>
  </si>
  <si>
    <t>NO ENTREGARON TICKET DE PAGO TERMINAL</t>
  </si>
  <si>
    <t>CUANDO NO HAYA PLACA INCLUIR NUM SERIE</t>
  </si>
  <si>
    <t>ISAAC</t>
  </si>
  <si>
    <t>NO SE SOLICITO FACTURA ENE</t>
  </si>
  <si>
    <t>AVEOH|2026|BLANCO|NJG451C</t>
  </si>
  <si>
    <t>SEPARAR EL GASTO POR AUTO</t>
  </si>
  <si>
    <t>TOYOTA</t>
  </si>
  <si>
    <t>MOTO FT125</t>
  </si>
  <si>
    <t>MOTO FT200</t>
  </si>
  <si>
    <t>TOTAL TICKET $400</t>
  </si>
  <si>
    <t>OVEROL MECANICO</t>
  </si>
  <si>
    <t>LAZZAR (AMAZON)</t>
  </si>
  <si>
    <t>TRAFER X SANTIAGO</t>
  </si>
  <si>
    <t>7564CFB9-46D6-4736-8DF4-8F5437529F93</t>
  </si>
  <si>
    <t>M2/1</t>
  </si>
  <si>
    <t>M2/2</t>
  </si>
  <si>
    <t>M2/3</t>
  </si>
  <si>
    <t>M2/4</t>
  </si>
  <si>
    <t>M2/5</t>
  </si>
  <si>
    <t>M2/6</t>
  </si>
  <si>
    <t>M2/7</t>
  </si>
  <si>
    <t>GARRAFAS DE ACEITE 5W30</t>
  </si>
  <si>
    <t>M2/8</t>
  </si>
  <si>
    <t>FRAM</t>
  </si>
  <si>
    <t>M2/9</t>
  </si>
  <si>
    <t>M2/10</t>
  </si>
  <si>
    <t>M2/11</t>
  </si>
  <si>
    <t>BUJIA CHAMPION</t>
  </si>
  <si>
    <t>CHAMPION</t>
  </si>
  <si>
    <t>BUJIA NGK</t>
  </si>
  <si>
    <t>SI</t>
  </si>
  <si>
    <t>TOTAL TICKET $3,630.01</t>
  </si>
  <si>
    <t>M2/12</t>
  </si>
  <si>
    <t>VISITA</t>
  </si>
  <si>
    <t>M2/13</t>
  </si>
  <si>
    <t>M2/14</t>
  </si>
  <si>
    <t>BALATAS DYNAMIK LOW META</t>
  </si>
  <si>
    <t>DINAMIK</t>
  </si>
  <si>
    <t>M2/15</t>
  </si>
  <si>
    <t>ACEITE MOTOR 5W30</t>
  </si>
  <si>
    <t>M2/16</t>
  </si>
  <si>
    <t>TERMINAL PARA BATERIA</t>
  </si>
  <si>
    <t>TOTAL TICKET $629.27</t>
  </si>
  <si>
    <t>BUJIA</t>
  </si>
  <si>
    <t>FILA POR AUTO Y POR PRODUCTO</t>
  </si>
  <si>
    <t>M2/17</t>
  </si>
  <si>
    <t>M2/18</t>
  </si>
  <si>
    <t>TOTAL TICKET $221.21</t>
  </si>
  <si>
    <t>M2/19</t>
  </si>
  <si>
    <t>TERMINALES UNIVERSALES</t>
  </si>
  <si>
    <t>NO VIENE TICKET DESGLOSADO</t>
  </si>
  <si>
    <t>M2/20</t>
  </si>
  <si>
    <t>FUSIBLES 15-20-30</t>
  </si>
  <si>
    <t>TOTAL TICKET $125</t>
  </si>
  <si>
    <t>M2/21</t>
  </si>
  <si>
    <t>M2/22</t>
  </si>
  <si>
    <t>MEMBER'S MARK</t>
  </si>
  <si>
    <t>JUEGO DE BIRLO DE SEGURIDAD</t>
  </si>
  <si>
    <t>ABRASADERAS</t>
  </si>
  <si>
    <t>ACEITE 5W30</t>
  </si>
  <si>
    <t>TOTAL QUARTZ</t>
  </si>
  <si>
    <t>TOTAL TICKET $1,809.99</t>
  </si>
  <si>
    <t>M2/23</t>
  </si>
  <si>
    <t>M2/24</t>
  </si>
  <si>
    <t>M2/25</t>
  </si>
  <si>
    <t>M2/26</t>
  </si>
  <si>
    <t>M2/27</t>
  </si>
  <si>
    <t>M2/28</t>
  </si>
  <si>
    <t>M2/29</t>
  </si>
  <si>
    <t>BALATA</t>
  </si>
  <si>
    <t>M2/30</t>
  </si>
  <si>
    <t>M2/31</t>
  </si>
  <si>
    <t>TOTAL TICKET $3,259</t>
  </si>
  <si>
    <t>LLAVE L 17MM</t>
  </si>
  <si>
    <t>M2/32</t>
  </si>
  <si>
    <t>M2/33</t>
  </si>
  <si>
    <t>TOTAL TICKET $500</t>
  </si>
  <si>
    <t>PASTEL TRESLECHES CAJETA</t>
  </si>
  <si>
    <t>ALCAZAR</t>
  </si>
  <si>
    <t>M2/34</t>
  </si>
  <si>
    <t>VELA GRANDE LUMINOSA</t>
  </si>
  <si>
    <t>TOTAL TICKET $659</t>
  </si>
  <si>
    <t>M2/35</t>
  </si>
  <si>
    <t>M2/36</t>
  </si>
  <si>
    <t>M2/37</t>
  </si>
  <si>
    <t>FOCO 2 POLOS 12V 21/5W</t>
  </si>
  <si>
    <t>FOCO 2 POLOS 12V 21/5W HONDA</t>
  </si>
  <si>
    <t>FOCO PELLISCO 12V 3W</t>
  </si>
  <si>
    <t>M2/38</t>
  </si>
  <si>
    <t>CINTA PLASTICA</t>
  </si>
  <si>
    <t>SE TRANSFIRIO A BEDOLLA</t>
  </si>
  <si>
    <t>M2/39</t>
  </si>
  <si>
    <t>MOTO TORNADO 300</t>
  </si>
  <si>
    <t>M2/40</t>
  </si>
  <si>
    <t>FILTRO ACEITE</t>
  </si>
  <si>
    <t>FILTRO AIRE</t>
  </si>
  <si>
    <t>M2/41</t>
  </si>
  <si>
    <t>GARRAFON DE ACEITE 5W-30</t>
  </si>
  <si>
    <t>TOTAL TICKET $1,447.33</t>
  </si>
  <si>
    <t>M2/42</t>
  </si>
  <si>
    <t>NO ME CUADRÁ EL TICKET VS EL COBRO, EL COBRO ES DE $1,601</t>
  </si>
  <si>
    <t>M2/43</t>
  </si>
  <si>
    <t>M2/44</t>
  </si>
  <si>
    <t>M2/45</t>
  </si>
  <si>
    <t>M2/46</t>
  </si>
  <si>
    <t>M2/47</t>
  </si>
  <si>
    <t>M2/48</t>
  </si>
  <si>
    <t>TOTAL TICKET $3,115.37</t>
  </si>
  <si>
    <t>M2/49</t>
  </si>
  <si>
    <t>M2/50</t>
  </si>
  <si>
    <t>BOBINA ENERGIA</t>
  </si>
  <si>
    <t>TOTAL TICKET $1,566</t>
  </si>
  <si>
    <t>M2/51</t>
  </si>
  <si>
    <t>REEMBOLSO PEND AUTORI/NO EMITE FACTURA</t>
  </si>
  <si>
    <t>M2/52</t>
  </si>
  <si>
    <t>M2/53</t>
  </si>
  <si>
    <t>TOTAL TICKET $1,826</t>
  </si>
  <si>
    <t>FOCO PELLISCO 2 POLOS 12V 16W</t>
  </si>
  <si>
    <t>M2/54</t>
  </si>
  <si>
    <t>M2/55</t>
  </si>
  <si>
    <t>M2/56</t>
  </si>
  <si>
    <t>M2/57</t>
  </si>
  <si>
    <t>3B66757D-4698-435D-AC16-B642033DFC13</t>
  </si>
  <si>
    <t>M2/58</t>
  </si>
  <si>
    <t>58BC3330-83DE-4BC3-A36D-A165054C9135</t>
  </si>
  <si>
    <t>M2/59</t>
  </si>
  <si>
    <t>02F18722-2408-479E-8B0D-D6D313C8CDEE</t>
  </si>
  <si>
    <t>M2/60</t>
  </si>
  <si>
    <t>F037E2BE-E5DB-428C-90F1-1373607A4BF4</t>
  </si>
  <si>
    <t>M2/61</t>
  </si>
  <si>
    <t>9EA0D39D-32F3-45B8-9DCA-2044C6CE68BA</t>
  </si>
  <si>
    <t>44DC2AB5-7340-4FAE-AA7F-47902133D59B</t>
  </si>
  <si>
    <t>4ABA62DE-330A-486B-AE65-105A3676FB6D</t>
  </si>
  <si>
    <t>EE335C4D-2B21-463D-986C-27D18213A227</t>
  </si>
  <si>
    <t>M2/62</t>
  </si>
  <si>
    <t>27B044C7-51C7-4BB6-A18C-2F9C03C4CA5B</t>
  </si>
  <si>
    <t>E7EC7903-CBC1-4ECC-9E28-C165EEBD1983</t>
  </si>
  <si>
    <t>M2/63</t>
  </si>
  <si>
    <t>97AE40C3-BFBA-4FE3-872B-47AFCBB4D8B1</t>
  </si>
  <si>
    <t>M2/64</t>
  </si>
  <si>
    <t>F3D0CF5A-BAFE-46C9-A1D2-E2F98BC1A341</t>
  </si>
  <si>
    <t>M2/65</t>
  </si>
  <si>
    <t>16C616E2-0CE6-432B-9D52-D24EC144656E</t>
  </si>
  <si>
    <t>M2/66</t>
  </si>
  <si>
    <t>5B4498DB-E649-4DB9-8BE4-5684FEA85B3A</t>
  </si>
  <si>
    <t>M2/67</t>
  </si>
  <si>
    <t>2B38E2B1-6563-4D69-8FF6-EC5BF5AFE2DB</t>
  </si>
  <si>
    <t>M2/68</t>
  </si>
  <si>
    <t>2F587A96-261B-4BF6-902D-7106052C511F</t>
  </si>
  <si>
    <t>M2/69</t>
  </si>
  <si>
    <t>BAF10BFA-F950-48D5-B2AF-350E0D5B04DE</t>
  </si>
  <si>
    <t>M2/70</t>
  </si>
  <si>
    <t>M2/71</t>
  </si>
  <si>
    <t>M2/72</t>
  </si>
  <si>
    <t>M2/73</t>
  </si>
  <si>
    <t>TOTAL TICKET $1,174.26</t>
  </si>
  <si>
    <t>ACUMULADOR</t>
  </si>
  <si>
    <t>PLAYERA RC</t>
  </si>
  <si>
    <t>TOTAL TICKET $3,455</t>
  </si>
  <si>
    <t>DESCUENTO DE 100% PLAYERA RC/NO ME CUADRA TICKET CON LO COBRADO QUE ES $3,091</t>
  </si>
  <si>
    <t>4E6B0956-53F3-4ECB-B2DC-03E179D528B2</t>
  </si>
  <si>
    <t>M2/74</t>
  </si>
  <si>
    <t>FOLDERS COLGANTES</t>
  </si>
  <si>
    <t>AMAZON MX</t>
  </si>
  <si>
    <t>178715E1-08F3-11F1-8919-299216E39240</t>
  </si>
  <si>
    <t>M2/75</t>
  </si>
  <si>
    <t>M2/76</t>
  </si>
  <si>
    <t>M2/77</t>
  </si>
  <si>
    <t>TOTAL TICKET $1,129.89</t>
  </si>
  <si>
    <t>RECTIFICACIÓN DISCOS</t>
  </si>
  <si>
    <t>CHABETAS</t>
  </si>
  <si>
    <t>M2/78</t>
  </si>
  <si>
    <t>M2/79</t>
  </si>
  <si>
    <t>M2/80</t>
  </si>
  <si>
    <t>TOTAL TICKET $1,518</t>
  </si>
  <si>
    <t>ANTICIPO</t>
  </si>
  <si>
    <t>M2/81</t>
  </si>
  <si>
    <t>M2/82</t>
  </si>
  <si>
    <t>CASCO</t>
  </si>
  <si>
    <t>TOTAL TICKET $2,500</t>
  </si>
  <si>
    <t>M2/83</t>
  </si>
  <si>
    <t>M2/84</t>
  </si>
  <si>
    <t>M2/85</t>
  </si>
  <si>
    <t>M2/86</t>
  </si>
  <si>
    <t>DYNAMIK</t>
  </si>
  <si>
    <t>M2/87</t>
  </si>
  <si>
    <t>CERVEZA HEINEKEN</t>
  </si>
  <si>
    <t>HEINEKEN</t>
  </si>
  <si>
    <t>LATA RAJAS 220GR</t>
  </si>
  <si>
    <t>LA COSTEÑA</t>
  </si>
  <si>
    <t>TOTAL TICKET $483</t>
  </si>
  <si>
    <t>M2/88</t>
  </si>
  <si>
    <t>24 DE CERVEZA HEINEKEN</t>
  </si>
  <si>
    <t>M2/89</t>
  </si>
  <si>
    <t>COCACOLA</t>
  </si>
  <si>
    <t>M2/90</t>
  </si>
  <si>
    <t>PAQUETAXO MEZCLA</t>
  </si>
  <si>
    <t>PAQUETAXO</t>
  </si>
  <si>
    <t>M2/91</t>
  </si>
  <si>
    <t>PAQUETAXO QUESO</t>
  </si>
  <si>
    <t>M2/92</t>
  </si>
  <si>
    <t>RUFLES QUESO</t>
  </si>
  <si>
    <t>RUFLES</t>
  </si>
  <si>
    <t>TOTAL TICKET $304</t>
  </si>
  <si>
    <t>M2/93</t>
  </si>
  <si>
    <t>CANDARY GINGALE</t>
  </si>
  <si>
    <t>M2/94</t>
  </si>
  <si>
    <t>16 DE CERVEZA HEINIKEN</t>
  </si>
  <si>
    <t>M2/95</t>
  </si>
  <si>
    <t>BOLSA REUTILIZABLE</t>
  </si>
  <si>
    <t>TOTAL TICKET $509.50</t>
  </si>
  <si>
    <t>PINZAS PELA CABLES</t>
  </si>
  <si>
    <t>TRUPER</t>
  </si>
  <si>
    <t>TEMA DE INVENTARIO SEPARARLO</t>
  </si>
  <si>
    <t>TERMORETRACTIL</t>
  </si>
  <si>
    <t>SOLDADURAS P/CAUTIN</t>
  </si>
  <si>
    <t>PASTA PARA SOLDAR</t>
  </si>
  <si>
    <t>MITZU</t>
  </si>
  <si>
    <t>TOTAL TICKET $385</t>
  </si>
  <si>
    <t>95663702-D57E-4BC6-810D-20D28591DD4D</t>
  </si>
  <si>
    <t>M2/96</t>
  </si>
  <si>
    <t>ED06B4FB-A43D-496A-9B61-E037301BDD1D</t>
  </si>
  <si>
    <t>M2/97</t>
  </si>
  <si>
    <t>M2/98</t>
  </si>
  <si>
    <t>M2/99</t>
  </si>
  <si>
    <t>M2/100</t>
  </si>
  <si>
    <t>STAR 87</t>
  </si>
  <si>
    <t>G SUPER</t>
  </si>
  <si>
    <t>M2/101</t>
  </si>
  <si>
    <t>M2/102</t>
  </si>
  <si>
    <t>DISCO PLATO COLLARIN</t>
  </si>
  <si>
    <t>ACEITE DE TRANSMISIÓN</t>
  </si>
  <si>
    <t>M2/103</t>
  </si>
  <si>
    <t>GORRA-LUK-RC</t>
  </si>
  <si>
    <t>TOTAL TICKET $3,916.01</t>
  </si>
  <si>
    <t>M2/170</t>
  </si>
  <si>
    <t>M2/171</t>
  </si>
  <si>
    <t>MOTO GUZMAN</t>
  </si>
  <si>
    <t>TOTAL $534.53</t>
  </si>
  <si>
    <t>MOTO JULIO</t>
  </si>
  <si>
    <t>CARGA VISITA</t>
  </si>
  <si>
    <t>RELEVADORES</t>
  </si>
  <si>
    <t>M2/104</t>
  </si>
  <si>
    <t>PEGAMENTO 850</t>
  </si>
  <si>
    <t>M2/105</t>
  </si>
  <si>
    <t>STICKERS</t>
  </si>
  <si>
    <t>M2/106</t>
  </si>
  <si>
    <t>1A21F193-1449-9947-8053-38E7B8D2FFAB</t>
  </si>
  <si>
    <t>M2/107</t>
  </si>
  <si>
    <t>FILTRO DE AIRE AVEO</t>
  </si>
  <si>
    <t>M2/108</t>
  </si>
  <si>
    <t>FILTROS DE GASOLINA AVEO</t>
  </si>
  <si>
    <t>M2/109</t>
  </si>
  <si>
    <t>M2/110</t>
  </si>
  <si>
    <t>M2/111</t>
  </si>
  <si>
    <t>FILTRO DE ACEITE DOI</t>
  </si>
  <si>
    <t>DOI</t>
  </si>
  <si>
    <t>FILTROS DE AIRE NISSAN</t>
  </si>
  <si>
    <t>TOTAL TICKET $2,845</t>
  </si>
  <si>
    <t>GARRAFA DE ACEITE 15W40 5L</t>
  </si>
  <si>
    <t>CASTROL</t>
  </si>
  <si>
    <t>36ec58a8-9158-46e7-9eb7-d3d7bd01dd5a</t>
  </si>
  <si>
    <t>GARRAFA DE ACEITE 5W30 5L</t>
  </si>
  <si>
    <t>a2972869-e362-49fb-9ed0-041034828ab5</t>
  </si>
  <si>
    <t>TOTAL TICKET $1,240</t>
  </si>
  <si>
    <t>PULIDORA 10 PULGADAS</t>
  </si>
  <si>
    <t>PROLIETE</t>
  </si>
  <si>
    <t>KIT PARA PULIDORA</t>
  </si>
  <si>
    <t>ARMOR</t>
  </si>
  <si>
    <t>TOTAL TICKET $1,723.15</t>
  </si>
  <si>
    <t>DESCUENTO DE $74.85</t>
  </si>
  <si>
    <t>DESCUENTO DE $19.50</t>
  </si>
  <si>
    <t>M2/112</t>
  </si>
  <si>
    <t>M2/113</t>
  </si>
  <si>
    <t>PARCHAR</t>
  </si>
  <si>
    <t>TOTAL $50</t>
  </si>
  <si>
    <t>M2/114</t>
  </si>
  <si>
    <t>MONTAJE</t>
  </si>
  <si>
    <t>TOTAL TICKET $100</t>
  </si>
  <si>
    <t>595BE106-A75F-CD4C-87D7-84E000191707</t>
  </si>
  <si>
    <t>ZAP TRA</t>
  </si>
  <si>
    <t>TOTAL TICKET $785</t>
  </si>
  <si>
    <t>CHAVETAS</t>
  </si>
  <si>
    <t>TORNILLOS</t>
  </si>
  <si>
    <t>PIJAS 3/10X1</t>
  </si>
  <si>
    <t>M2/115</t>
  </si>
  <si>
    <t>PIJAS 14X19</t>
  </si>
  <si>
    <t>TOTAL TICKET $250</t>
  </si>
  <si>
    <t>M2/116</t>
  </si>
  <si>
    <t>NO SE PUEDE FACTURAR ME LO DIERON 5/3/26</t>
  </si>
  <si>
    <t>BUJA</t>
  </si>
  <si>
    <t>REFACCIONARIA RUNSA</t>
  </si>
  <si>
    <t>M2/117</t>
  </si>
  <si>
    <t>M2/118</t>
  </si>
  <si>
    <t>M2/119</t>
  </si>
  <si>
    <t>TOTAL TICKET $767.07</t>
  </si>
  <si>
    <t>M2/120</t>
  </si>
  <si>
    <t>M2/121</t>
  </si>
  <si>
    <t>M2/122</t>
  </si>
  <si>
    <t>BF291EF1-A4D7-41C4-9C6B-B79C2E9FAA5F</t>
  </si>
  <si>
    <t>SPECIFI</t>
  </si>
  <si>
    <t>CD8CB804-5E54-354C-B158-ADA64E73B063</t>
  </si>
  <si>
    <t>M2/123</t>
  </si>
  <si>
    <t>9C4E3B72-B279-3543-8016-F7C2CE725BB8</t>
  </si>
  <si>
    <t>M2/124</t>
  </si>
  <si>
    <t>M2/125</t>
  </si>
  <si>
    <t>M2/126</t>
  </si>
  <si>
    <t>M2/127</t>
  </si>
  <si>
    <t>M2/128</t>
  </si>
  <si>
    <t>M2/129</t>
  </si>
  <si>
    <t>M2/130</t>
  </si>
  <si>
    <t>TOTAL TICKET $1,816</t>
  </si>
  <si>
    <t>CUBRIO AXA</t>
  </si>
  <si>
    <t>SE FACTURO EN COMERCIO A PUBLICO EN GENERAL</t>
  </si>
  <si>
    <t>FOCO HALOGENO H4</t>
  </si>
  <si>
    <t>FOCO HALOGENO H7</t>
  </si>
  <si>
    <t>SEGURO DE RIN 12MM X 1.25MM</t>
  </si>
  <si>
    <t>TUNIX</t>
  </si>
  <si>
    <t>M2/131</t>
  </si>
  <si>
    <t>SEGURO DE RIN 12MM X 1.5MM</t>
  </si>
  <si>
    <t>M2/132</t>
  </si>
  <si>
    <t>PLUMA LIMPIAPARABRISAS 21 "19" BANANA 2 PZAS ALEMAR</t>
  </si>
  <si>
    <t>TAPETE UNIVERSAL HULE NEGRO DE 4 PZAS</t>
  </si>
  <si>
    <t>ALEMAR</t>
  </si>
  <si>
    <t>PLUMA LIMPIAPARABRISAS 21 "14" BANANA 2 PZAS ALEMAR</t>
  </si>
  <si>
    <t>TOTAL TICKET $4,187.17</t>
  </si>
  <si>
    <t>CARBU KLIN</t>
  </si>
  <si>
    <t>M2/133</t>
  </si>
  <si>
    <t>0029E4E4-40E6-6742-A0FB-046B80109613</t>
  </si>
  <si>
    <t>NABOR CARRILLO</t>
  </si>
  <si>
    <t>ENERGI</t>
  </si>
  <si>
    <t>M2/134</t>
  </si>
  <si>
    <t>AVANZA|2025|BLANCA|NPP846C</t>
  </si>
  <si>
    <t>M2/135</t>
  </si>
  <si>
    <t>M2/136</t>
  </si>
  <si>
    <t>M2/137</t>
  </si>
  <si>
    <t>M2/138</t>
  </si>
  <si>
    <t>PARCHES</t>
  </si>
  <si>
    <t>TOTAL TICKET $140</t>
  </si>
  <si>
    <t>M2/139</t>
  </si>
  <si>
    <t>GARRAFA ACEITE 5W30 5L</t>
  </si>
  <si>
    <t>M2/140</t>
  </si>
  <si>
    <t>BALATAS TRASERAS AVEO</t>
  </si>
  <si>
    <t>FRITEC</t>
  </si>
  <si>
    <t>TOTAL TICKET $1,760</t>
  </si>
  <si>
    <t>13EF27FA-246A-F747-9373-74E25E6DD7B3</t>
  </si>
  <si>
    <t>M2/141</t>
  </si>
  <si>
    <t>M2/142</t>
  </si>
  <si>
    <t>M2/143</t>
  </si>
  <si>
    <t>M2/144</t>
  </si>
  <si>
    <t>TOTAL TICKET $2,114</t>
  </si>
  <si>
    <t>M2/145</t>
  </si>
  <si>
    <t>GRC ULTRA</t>
  </si>
  <si>
    <t>FILTRO AIRE AVEO</t>
  </si>
  <si>
    <t>GM PARTS</t>
  </si>
  <si>
    <t>M2/146</t>
  </si>
  <si>
    <t>ACEITE SPARK GONHER</t>
  </si>
  <si>
    <t>GONHER</t>
  </si>
  <si>
    <t>BUJIAS AVEO</t>
  </si>
  <si>
    <t>GRC PRIME</t>
  </si>
  <si>
    <t>TOTAL TICKET $1,140</t>
  </si>
  <si>
    <t>5W30 SINTETICO 5L</t>
  </si>
  <si>
    <t>M2/147</t>
  </si>
  <si>
    <t>15W4 MULTIGRADO 5L</t>
  </si>
  <si>
    <t>M2/148</t>
  </si>
  <si>
    <t>FILTRO DE AIRE VENTO</t>
  </si>
  <si>
    <t>DIFORZA</t>
  </si>
  <si>
    <t>M2/149</t>
  </si>
  <si>
    <t>FILTRO DE ACEITE VENTO</t>
  </si>
  <si>
    <t>MOTORFIL</t>
  </si>
  <si>
    <t>M2/150</t>
  </si>
  <si>
    <t>BUJIA VENTO</t>
  </si>
  <si>
    <t>M2/151</t>
  </si>
  <si>
    <t>M2/152</t>
  </si>
  <si>
    <t>FILTRO DE ACEITE AVEO</t>
  </si>
  <si>
    <t>BUJIA DE AVEO</t>
  </si>
  <si>
    <t>M2/153</t>
  </si>
  <si>
    <t>M2/154</t>
  </si>
  <si>
    <t>FILTRO DE AIRE RIO</t>
  </si>
  <si>
    <t>M2/155</t>
  </si>
  <si>
    <t>BUJIA RIO</t>
  </si>
  <si>
    <t>M2/156</t>
  </si>
  <si>
    <t>BALATA DE ALTITUD KIA RIO</t>
  </si>
  <si>
    <t>ULTRA</t>
  </si>
  <si>
    <t>M2/157</t>
  </si>
  <si>
    <t>JUNTA PUNTERIAS AVEO</t>
  </si>
  <si>
    <t>ROSA MARIA HERNANDEZ CASTILLO</t>
  </si>
  <si>
    <t>TF VICTOR</t>
  </si>
  <si>
    <t>ROSA DEBE PAGAR $150 JUNTA PUNTERIAS AVEO TF VICTOR</t>
  </si>
  <si>
    <t>TOTAL TICKET $8,130</t>
  </si>
  <si>
    <t>M2/158</t>
  </si>
  <si>
    <t>SE REPONE LA GASOLINA AL CONDUCTOR</t>
  </si>
  <si>
    <t>M2/159</t>
  </si>
  <si>
    <t>M2/160</t>
  </si>
  <si>
    <t>M2/161</t>
  </si>
  <si>
    <t>TRAMPA PARA RATONES 2PZS</t>
  </si>
  <si>
    <t>H24</t>
  </si>
  <si>
    <t>M2/162</t>
  </si>
  <si>
    <t>ATOMIZADOR</t>
  </si>
  <si>
    <t>AKSI</t>
  </si>
  <si>
    <t>M2/163</t>
  </si>
  <si>
    <t>PRETUL</t>
  </si>
  <si>
    <t>TOTAL TICKET $280</t>
  </si>
  <si>
    <t>M2/164</t>
  </si>
  <si>
    <t>TOTAL $220</t>
  </si>
  <si>
    <t>M2/165</t>
  </si>
  <si>
    <t>GARRAFA ACEITE</t>
  </si>
  <si>
    <t>RALOY</t>
  </si>
  <si>
    <t>M2/166</t>
  </si>
  <si>
    <t>BRUCK GERMANY</t>
  </si>
  <si>
    <t>M2/167</t>
  </si>
  <si>
    <t>TAPON DEPOSITO ANTICONGELANTE</t>
  </si>
  <si>
    <t>TOTAL TICKET $630</t>
  </si>
  <si>
    <t>M2/168</t>
  </si>
  <si>
    <t>C4622ED3-31B5-477C-A604-9B9D2C5102C4</t>
  </si>
  <si>
    <t>M2/169</t>
  </si>
  <si>
    <t>RECTIFICACIONES DISCOS</t>
  </si>
  <si>
    <t>TOTAL $450</t>
  </si>
  <si>
    <t>ENGRANES</t>
  </si>
  <si>
    <t>KARCHER K5</t>
  </si>
  <si>
    <t>AMAZON US</t>
  </si>
  <si>
    <t>KARCHER</t>
  </si>
  <si>
    <t>COMPRA INTERNANCIONAL N/A FACT</t>
  </si>
  <si>
    <t>TOTAL TICKET $312</t>
  </si>
  <si>
    <t>CHIPS SIM TELCEL 2023</t>
  </si>
  <si>
    <t>DESCUENTO DE $8</t>
  </si>
  <si>
    <t>050395A6-E5CD-4C31-B677-44A4FD9CEE96</t>
  </si>
  <si>
    <t>NO EMITE FACTURA/YUL BRINDO EFECTIVO</t>
  </si>
  <si>
    <t>PRESTAMO</t>
  </si>
  <si>
    <t>YUL BRINDO EL EFECTIVO</t>
  </si>
  <si>
    <t>TOTAL TICKET COBRO $461</t>
  </si>
  <si>
    <t>A5650534-13B7-11F1-92CD-A5EBEF37B9DF</t>
  </si>
  <si>
    <t>f33a0c21-ba89-de34-d597-ec4cc33b8603</t>
  </si>
  <si>
    <t>FAG</t>
  </si>
  <si>
    <t>FA54D6A5-2C8E-704F-B160-7E01C429EB05</t>
  </si>
  <si>
    <t>CARGA DE GAS PARA MOTOS OPERACIÓN</t>
  </si>
  <si>
    <t>d516db3d-9dcb-4eda-837a-661e0109a3f9</t>
  </si>
  <si>
    <t>TOTAL TICKET $300.71</t>
  </si>
  <si>
    <t>CARGA DE GAS PARA OPERACIÓN</t>
  </si>
  <si>
    <t>FARCTURADO A ASHC</t>
  </si>
  <si>
    <t>78f11eb7-81b0-4102-8f48-1d10b4631c7c</t>
  </si>
  <si>
    <t>3e15858d-6484-4087-8506-c1f9ef06a5ea</t>
  </si>
  <si>
    <t>8a7c1fb0-34c5-4643-8fa5-b374732db518</t>
  </si>
  <si>
    <t>ABRAZADERAS</t>
  </si>
  <si>
    <t>TLAPALERIA MISHTU</t>
  </si>
  <si>
    <t>SANTIAGO DIO EFECTIVO</t>
  </si>
  <si>
    <t>51c4ec12-16bf-48a6-b1d1-1881fd6e6d40</t>
  </si>
  <si>
    <t>RECARGA</t>
  </si>
  <si>
    <t>0f19ff15-e703-453b-8d92-8a6b212b76be</t>
  </si>
  <si>
    <t>ffc1b602-58e4-4d4f-be00-7d7b4c5dd7ab</t>
  </si>
  <si>
    <t>4dc27ebe-f342-43b4-8fe3-994f18a4af6f</t>
  </si>
  <si>
    <t>HORQUILLA DE SUSP DERECHA SIN ROTULA</t>
  </si>
  <si>
    <t>BRUCK</t>
  </si>
  <si>
    <t>F877CE17-4A9E-7746-B81C-47E50E1515B6</t>
  </si>
  <si>
    <t>TOTAL TICKET $950.02</t>
  </si>
  <si>
    <t>CORREGIR LINEAS DE FARO IZQUIERDO, LINEAS DE ABS Y LÍNEAS DE CLAXÓN</t>
  </si>
  <si>
    <t>TALLER AMB</t>
  </si>
  <si>
    <t>ACTUALIZAR SOFTWARE, LÍNEAS DE TABLERO INSTRUMENTO A/C, ARNES BULVO PRESIÓN A/C</t>
  </si>
  <si>
    <t>FOCOS H11</t>
  </si>
  <si>
    <t>SENSOR ABS IZQUIERDO</t>
  </si>
  <si>
    <t>TOTAL TICKET $6,078.40</t>
  </si>
  <si>
    <t>BAÑO COMPLETO</t>
  </si>
  <si>
    <t>SE DIO UN ANTICIPO DE $6,000 RESTAN $7,920</t>
  </si>
  <si>
    <t>VELOCIMETRO</t>
  </si>
  <si>
    <t>SEGUROS ELECTRICOS</t>
  </si>
  <si>
    <t>VIDRIO DERECHO</t>
  </si>
  <si>
    <t>CORREGIR LINEAS OBD II</t>
  </si>
  <si>
    <t>D6CDF3DB-56DC-4F03-84AC-2FB96FB2AB14</t>
  </si>
  <si>
    <t>ACEITE DE COMPRESOR</t>
  </si>
  <si>
    <t>CORREGIR CLUTCH A/C Y ORING</t>
  </si>
  <si>
    <t>TOTAL TICKET $1,914</t>
  </si>
  <si>
    <t>RELEVADOR</t>
  </si>
  <si>
    <t>A4AA7DF8-0137-47DE-8111-CDD832016487</t>
  </si>
  <si>
    <t>ATT</t>
  </si>
  <si>
    <t>RECARGA CELULAR PARA OPERACIÓN</t>
  </si>
  <si>
    <t>889926ae-7bb3-412d-9f63-cc48429ce89c</t>
  </si>
  <si>
    <t>REPOSICION</t>
  </si>
  <si>
    <t>db880b1d-8a99-4f84-84c3-1109cb0e9893</t>
  </si>
  <si>
    <t>ae7fc677-832e-45e7-8f60-720514c64486</t>
  </si>
  <si>
    <t>7a4ab5ae-3b0d-487d-81c0-b73f250a9adc</t>
  </si>
  <si>
    <t>1D4370CF-0DF0-B04E-8859-5099A6093FAD</t>
  </si>
  <si>
    <t>MANN FILTER</t>
  </si>
  <si>
    <t>FOCOS DE PELLISCO</t>
  </si>
  <si>
    <t>1B502432-4034-4D61-B67A-7AA4FBEB1901</t>
  </si>
  <si>
    <t>REEMBOLSO PEND FERNANDO</t>
  </si>
  <si>
    <t>MALBORO ROJO</t>
  </si>
  <si>
    <t>MALBORO</t>
  </si>
  <si>
    <t>df6f682c-e232-4c34-8d78-727be6da656e</t>
  </si>
  <si>
    <t>CALIFORNIA</t>
  </si>
  <si>
    <t>DESCUENTO DEL 100%</t>
  </si>
  <si>
    <t>TOTAL TICKET $2,419</t>
  </si>
  <si>
    <t>CARGA PARA OPERACION</t>
  </si>
  <si>
    <t>NO SE PUEDE FACTURAR, MENCIONA YA SER FACTURADO</t>
  </si>
  <si>
    <t>SOPORTE TRANSVERSAL PARA MOTOR</t>
  </si>
  <si>
    <t>BGS</t>
  </si>
  <si>
    <t>243820FD-A449-4180-B3D6-E69BDE6415CC</t>
  </si>
  <si>
    <t>GATOS TIJERA PBCOWASN 1500KG</t>
  </si>
  <si>
    <t>PB COWASN</t>
  </si>
  <si>
    <t>PRENSA DE BANCO</t>
  </si>
  <si>
    <t>RAOSHIJIEDKES</t>
  </si>
  <si>
    <t>LLAVE DE CRUZ GALVANIZADO CRUCETA</t>
  </si>
  <si>
    <t>GENERICA</t>
  </si>
  <si>
    <t>NO APARECE LA MARCA</t>
  </si>
  <si>
    <t>AD2BF4A8-3C48-4B53-84A9-25F9E3307037</t>
  </si>
  <si>
    <t>GATO HIDRAULICO DE PATIN</t>
  </si>
  <si>
    <t>TON ADIR</t>
  </si>
  <si>
    <t>TORRE AUTO 2 PZAS DOBLE SEGURO</t>
  </si>
  <si>
    <t>STANEW</t>
  </si>
  <si>
    <t>PROBADOR DE FUGAS</t>
  </si>
  <si>
    <t>FIXITFAST</t>
  </si>
  <si>
    <t>MEDIDOR DE COMPRESION</t>
  </si>
  <si>
    <t xml:space="preserve">LLAVE BIELETERA </t>
  </si>
  <si>
    <t>NBZANI</t>
  </si>
  <si>
    <t>ENVIO</t>
  </si>
  <si>
    <t>COSTO DE IMPORTACION</t>
  </si>
  <si>
    <t>TOTAL $10,118.37</t>
  </si>
  <si>
    <t>a58de91a-1b77-4253-849f-03a805097987</t>
  </si>
  <si>
    <t>UBER PARA ROSA Y NICO FUERON A DEJAR AUTOS AL AEROPUERTO</t>
  </si>
  <si>
    <t>P24FEB 1300 P01MAR 1000</t>
  </si>
  <si>
    <t>316 A FAVOR POR PAGO DE MAS  27FEB 350 28 FEB 200-300-200-250 28 FEB 1000</t>
  </si>
  <si>
    <t>P 25FEB 377 P 27FEB 500</t>
  </si>
  <si>
    <t>P24FEB 2500 p27feb 1500 P02mar1000</t>
  </si>
  <si>
    <t>ANTICIPO FIANZA 1920.P850 P267 09/03</t>
  </si>
  <si>
    <t>DEJO IPHONE 7 EN GARANTIA. P05MAR 400</t>
  </si>
  <si>
    <t>ANTICIPO FIANZA 2000 P05MAR 348</t>
  </si>
  <si>
    <t>ANTICIPO FIANZA 2000 TRANSF. P03MAR</t>
  </si>
  <si>
    <t>ANTICIPO FIANZA 2000 TRANSF. AJUSTE YA QUE S ELE PAGO</t>
  </si>
  <si>
    <t>ANTICIPO FIANZA 2000.  P06MAR976</t>
  </si>
  <si>
    <t>P03MAR</t>
  </si>
  <si>
    <t>P03MAR 938</t>
  </si>
  <si>
    <t>P05MAR1000</t>
  </si>
  <si>
    <t>PAGO DEL 17FEB NO ENVIO EN TIEMPO</t>
  </si>
  <si>
    <t>ADEUDO 1228*12%</t>
  </si>
  <si>
    <t>P04MAR 852</t>
  </si>
  <si>
    <t>SE HACE AJUSTE DE GOLPES Y TAPETE CON FIANZA.P03MAR</t>
  </si>
  <si>
    <t>P03MAR 2500</t>
  </si>
  <si>
    <t>P06MAR 832</t>
  </si>
  <si>
    <t>AJUSTE YA QUE SE LE PAGO</t>
  </si>
  <si>
    <t>P07MAR500</t>
  </si>
  <si>
    <t>P07MAR1500</t>
  </si>
  <si>
    <t>1/2 DIA DEL 18 DE FEB NO CIRC.P03MAR</t>
  </si>
  <si>
    <t>1/2 DIA DEL 17 DE FEB NO CIRC. P03MAR</t>
  </si>
  <si>
    <t>P0503  900, SE APLICA 700 A HOJ Y 200 A ESTA LINEA</t>
  </si>
  <si>
    <t>ADEUDO 200*12%. P05MAR 137</t>
  </si>
  <si>
    <t>08mar 448</t>
  </si>
  <si>
    <t>HOJALATERIA SIN 12%</t>
  </si>
  <si>
    <t>ADEUDO 1,666*12% P.</t>
  </si>
  <si>
    <t>P03MAR 4006</t>
  </si>
  <si>
    <t>P03MAR2500</t>
  </si>
  <si>
    <t>1/2 CONT SEM ANTEPASADA.P03MAR</t>
  </si>
  <si>
    <t>ADEUDO 3094*12% P07MAR 1000</t>
  </si>
  <si>
    <t>ADEUDO 500*12% P07MAR 3000</t>
  </si>
  <si>
    <t>P06MAR</t>
  </si>
  <si>
    <t>ESTUVO EN SER TODO ELD IA</t>
  </si>
  <si>
    <t>P04 MAR 203</t>
  </si>
  <si>
    <t>ADEUDO 3576+12%, 1/2 DSCTO POR CONT.P03MAR 800 SE VA 700 A AVEO 2019 Y LA DIF A 2023 P0903 3700</t>
  </si>
  <si>
    <t>P03MAR 800 SE VA 700 A AVEO 2019 Y LA DIF A 2023</t>
  </si>
  <si>
    <t>P03MAR 648</t>
  </si>
  <si>
    <t xml:space="preserve">RODOLFO VILLEDA MACIAS </t>
  </si>
  <si>
    <t>P02MAR561</t>
  </si>
  <si>
    <t>BAJA  26 FEB 13.00. P03MAR</t>
  </si>
  <si>
    <t>SOL AJUS DEL 17 FEB.P03MAR</t>
  </si>
  <si>
    <t>P05MAR243</t>
  </si>
  <si>
    <t>P03MAR 1570</t>
  </si>
  <si>
    <t>601 saldo a favor 09MAR2800</t>
  </si>
  <si>
    <t>P03MAR 3000</t>
  </si>
  <si>
    <t>FREDY PANTALEON VILLALOBOS</t>
  </si>
  <si>
    <t>SALDO A FAVOR PARA LA SEM 10</t>
  </si>
  <si>
    <t>ANTONIO GUZMAN BARRON</t>
  </si>
  <si>
    <t>VERONICA POBLANO LOPEZ</t>
  </si>
  <si>
    <t>OHLM038645610</t>
  </si>
  <si>
    <t>ROBERTO HERNANDEZ GRANADOS</t>
  </si>
  <si>
    <t>SE APOYO POR LO QUE NO GENERA INT</t>
  </si>
  <si>
    <t>PAGA 1HOJAL HASTA PONERSE AL CORRIENTE CON IVETTE</t>
  </si>
  <si>
    <t>EN DIC NO SE CONS SU ANT DE FIANZA SEM 9 TOCABA PAGAR 145</t>
  </si>
  <si>
    <t>SALDO A FAVOR 18 PARA LA SEM 10</t>
  </si>
  <si>
    <t>V UNIT</t>
  </si>
  <si>
    <t>SUBTOTAL</t>
  </si>
  <si>
    <t>GESTORIA ALTA PLACAS</t>
  </si>
  <si>
    <t>ANTONIO BEDOLLA</t>
  </si>
  <si>
    <t>NO SE ME ENTREGO GASTO</t>
  </si>
  <si>
    <t>TC PLATA ASHC</t>
  </si>
  <si>
    <t>TC DIDI ASHC</t>
  </si>
  <si>
    <t>MTTO</t>
  </si>
  <si>
    <t>NO EMITE FACTURA/NO SE ME ENTREGO GASTO</t>
  </si>
  <si>
    <t>NO SE ME ENTREGO GASTO/RESTAN $1020 EN EFEC</t>
  </si>
  <si>
    <t>NO SE ME ENTREGO GASTO/SE VERIFICAN Y PAGA BRINCO</t>
  </si>
  <si>
    <t>DESPENSA AZCONA</t>
  </si>
  <si>
    <t>NO SE ME ENTREGO GASTO/FALTA VERIFICAR VEHÍCULO</t>
  </si>
  <si>
    <t>DISP</t>
  </si>
  <si>
    <t>TC PARA REEMB</t>
  </si>
  <si>
    <t>M1/1</t>
  </si>
  <si>
    <t>M1/2</t>
  </si>
  <si>
    <t>HORQUILLA INFERIOR (L)</t>
  </si>
  <si>
    <t>TOTAL TICKET $1,675.21</t>
  </si>
  <si>
    <t>CAMBIO LLANTA</t>
  </si>
  <si>
    <t>M1/3</t>
  </si>
  <si>
    <t>RAYBESTAS</t>
  </si>
  <si>
    <t>M1/4</t>
  </si>
  <si>
    <t>FARET</t>
  </si>
  <si>
    <t>TOTAL TICKET $815.36</t>
  </si>
  <si>
    <t>M1/5</t>
  </si>
  <si>
    <t>TKM</t>
  </si>
  <si>
    <t>FILTROS AIRE</t>
  </si>
  <si>
    <t>WIX</t>
  </si>
  <si>
    <t>MOBIL</t>
  </si>
  <si>
    <t>TOTAL TICKET $2,066.15</t>
  </si>
  <si>
    <t>AUTOP MANG Y CONEXIONE</t>
  </si>
  <si>
    <t>M1/6</t>
  </si>
  <si>
    <t>M1/7</t>
  </si>
  <si>
    <t>HORQUILLAS INFERIOR (L)</t>
  </si>
  <si>
    <t>M1/8</t>
  </si>
  <si>
    <t>HORQUILLAS INFERIOR (R)</t>
  </si>
  <si>
    <t>TOTAL TICKET $1,599.29</t>
  </si>
  <si>
    <t>M1/9</t>
  </si>
  <si>
    <t>M1/10</t>
  </si>
  <si>
    <t>CAMBIO BALEROS TRASEROS</t>
  </si>
  <si>
    <t>M1/11</t>
  </si>
  <si>
    <t>REPARACION TAPA CARTER</t>
  </si>
  <si>
    <t>M1/12</t>
  </si>
  <si>
    <t>ANTISULFANTE</t>
  </si>
  <si>
    <t>TOTAL TICKET $2,611.82</t>
  </si>
  <si>
    <t>PENDIENTE REEMBOLSO NAYE</t>
  </si>
  <si>
    <t>M1/13</t>
  </si>
  <si>
    <t>M1/14</t>
  </si>
  <si>
    <t>M1/15</t>
  </si>
  <si>
    <t>SAFETY</t>
  </si>
  <si>
    <t>M1/16</t>
  </si>
  <si>
    <t>MOTOR CON VARILLAJE</t>
  </si>
  <si>
    <t>M1/17</t>
  </si>
  <si>
    <t>M1/18</t>
  </si>
  <si>
    <t>UBER PARA EMMANUEL Y ROSA FUERON A DEJAR CARROS AL AEROPUETO CON LORENZO HOJALATERO</t>
  </si>
  <si>
    <t>SE REGISTRA TICKET/SE PREGUNTARÁ A ROSA COMO SE GESTIONE LA VERIFICACIÓN</t>
  </si>
  <si>
    <t>M1/19</t>
  </si>
  <si>
    <t>FOCO H4 55W/60W</t>
  </si>
  <si>
    <t>M1/20</t>
  </si>
  <si>
    <t>M1/21</t>
  </si>
  <si>
    <t>BIRLO 14X50</t>
  </si>
  <si>
    <t>M1/22</t>
  </si>
  <si>
    <t>M1/23</t>
  </si>
  <si>
    <t>ESPEJO DERECHO</t>
  </si>
  <si>
    <t>DESCUENTO 5%</t>
  </si>
  <si>
    <t>M1/24</t>
  </si>
  <si>
    <t>PARRILLA</t>
  </si>
  <si>
    <t>REJILLA DE DEFENSA CENTRAL</t>
  </si>
  <si>
    <t>REJILLA FARO DERECHA</t>
  </si>
  <si>
    <t>REJILLA FARO NIEBLA</t>
  </si>
  <si>
    <t>TOLVA INTERNA SALPICADERA DEL PLASTICO DERECHO</t>
  </si>
  <si>
    <t>GUIA DEFENSA DEL VENTO SOPORTE</t>
  </si>
  <si>
    <t>FARO POLO 13-14</t>
  </si>
  <si>
    <t>MARCO RAD POLO 13-22</t>
  </si>
  <si>
    <t>TOLVA INTERNA SALPICADERA DEL PLASTICO IZQUIERDO</t>
  </si>
  <si>
    <t>EMBLEMA PARRILLA</t>
  </si>
  <si>
    <t>GRAPA GUIA SOPORTE</t>
  </si>
  <si>
    <t>NO SE FACTURA, FUERA DE TIEMPO/DESCUENTO 5%</t>
  </si>
  <si>
    <t>TOTAL TICKET $9,194.10</t>
  </si>
  <si>
    <t>TC NU ASHC</t>
  </si>
  <si>
    <t>M1/25</t>
  </si>
  <si>
    <t>TOTAL TICKET $1,652.54</t>
  </si>
  <si>
    <t>FOCO TRASERO PELLISCO 12V 3W</t>
  </si>
  <si>
    <t>M1/26</t>
  </si>
  <si>
    <t>TC PLATA BYER</t>
  </si>
  <si>
    <t>M1/27</t>
  </si>
  <si>
    <t>BALERO DOBLE DELANTERO</t>
  </si>
  <si>
    <t>M1/28</t>
  </si>
  <si>
    <t>M1/29</t>
  </si>
  <si>
    <t>SUPER</t>
  </si>
  <si>
    <t>NO HAY BAUCHER DE COBRO C/TARJETA, POR LO QUE NO SE SABE CUAL ES</t>
  </si>
  <si>
    <t>M1/30</t>
  </si>
  <si>
    <t>M1/31</t>
  </si>
  <si>
    <t>M1/32</t>
  </si>
  <si>
    <t>PLATO BASE AMORTIGUADOR DELANTERO</t>
  </si>
  <si>
    <t>M1/33</t>
  </si>
  <si>
    <t>M1/34</t>
  </si>
  <si>
    <t>M1/35</t>
  </si>
  <si>
    <t>M1/36</t>
  </si>
  <si>
    <t>TC UALA</t>
  </si>
  <si>
    <t>M1/37</t>
  </si>
  <si>
    <t>M1/38</t>
  </si>
  <si>
    <t>M1/39</t>
  </si>
  <si>
    <t>GASOLINA MOTO ISAAC</t>
  </si>
  <si>
    <t>OTROS</t>
  </si>
  <si>
    <t>M1/40</t>
  </si>
  <si>
    <t>PIZZA GRANDE SARTEN CHICKEN HAWAIANA</t>
  </si>
  <si>
    <t>DOMINOS</t>
  </si>
  <si>
    <t>M1/41</t>
  </si>
  <si>
    <t>PIZZA GRANDE SARTEN TEXAS BBQ</t>
  </si>
  <si>
    <t>M1/42</t>
  </si>
  <si>
    <t>PIZZA GRANDE SARTEN TRIPLE PEPPERONI</t>
  </si>
  <si>
    <t>TOTAL TICKET $957</t>
  </si>
  <si>
    <t>BOMBA FRENOS</t>
  </si>
  <si>
    <t>M1/43</t>
  </si>
  <si>
    <t>LIQUIDO FRENOS 950L</t>
  </si>
  <si>
    <t>M1/44</t>
  </si>
  <si>
    <t>FRANCISCO BEDOLLA</t>
  </si>
  <si>
    <t>M1/45</t>
  </si>
  <si>
    <t>M1/46</t>
  </si>
  <si>
    <t>ROTULA INFERIOR (L)</t>
  </si>
  <si>
    <t>M1/47</t>
  </si>
  <si>
    <t>AMORTIGUADOR DELANTERO</t>
  </si>
  <si>
    <t>TOTAL TICKET $2,459.08</t>
  </si>
  <si>
    <t>M1/48</t>
  </si>
  <si>
    <t>FOCO MINIPELLI</t>
  </si>
  <si>
    <t>TOTAL TICKET $624</t>
  </si>
  <si>
    <t>HORQUILLA INFERIOR "R"</t>
  </si>
  <si>
    <t>M1/49</t>
  </si>
  <si>
    <t>SOPORTE AMORTIGUADOR</t>
  </si>
  <si>
    <t>TOTAL TICKET $1,103.44</t>
  </si>
  <si>
    <t>MACHETA LADO RUEDA (L R)</t>
  </si>
  <si>
    <t>M1/50</t>
  </si>
  <si>
    <t>MACHETA LADO CAJA (L)</t>
  </si>
  <si>
    <t>TOTAL TICKET $650</t>
  </si>
  <si>
    <t>SOL CLAMATO 473ML</t>
  </si>
  <si>
    <t>SOL</t>
  </si>
  <si>
    <t>M1/51</t>
  </si>
  <si>
    <t>MODELO ESP LAT 355ML 12PZAS</t>
  </si>
  <si>
    <t>MODELO</t>
  </si>
  <si>
    <t>TOTAL TICKET $275</t>
  </si>
  <si>
    <t>M1/52</t>
  </si>
  <si>
    <t>M1/53</t>
  </si>
  <si>
    <t>DEPOSITO DE ANTICONGELANTE GM AVEO 1.5L</t>
  </si>
  <si>
    <t>GENERAL MOTORS</t>
  </si>
  <si>
    <t>M1/54</t>
  </si>
  <si>
    <t>GRAPAS PARA FACIA</t>
  </si>
  <si>
    <t>QUALITY PARTS</t>
  </si>
  <si>
    <t>M1/55</t>
  </si>
  <si>
    <t>TORNILLO 10X3</t>
  </si>
  <si>
    <t>M1/56</t>
  </si>
  <si>
    <t>M1/57</t>
  </si>
  <si>
    <t>M1/58</t>
  </si>
  <si>
    <t>M1/59</t>
  </si>
  <si>
    <t>SOPORTE MOTOR TRAS</t>
  </si>
  <si>
    <t>TOTAL TICKET $3,875</t>
  </si>
  <si>
    <t>M1/60</t>
  </si>
  <si>
    <t>TOTAL TICKET $200</t>
  </si>
  <si>
    <t>M1/61</t>
  </si>
  <si>
    <t>LIJA ESMERIL #80</t>
  </si>
  <si>
    <t>M1/62</t>
  </si>
  <si>
    <t>LIJA LANA #80</t>
  </si>
  <si>
    <t>PAQUETE RIN ACERO</t>
  </si>
  <si>
    <t>ALINEACION, BALANCEO Y REVISION DE SUSP</t>
  </si>
  <si>
    <t>M1/63</t>
  </si>
  <si>
    <t>M1/64</t>
  </si>
  <si>
    <t>NO ESPECIFICA EL AUTO</t>
  </si>
  <si>
    <t>M1/65</t>
  </si>
  <si>
    <t>M1/66</t>
  </si>
  <si>
    <t>BUJE DE BARRA ESTABILIZADORA</t>
  </si>
  <si>
    <t>M1/67</t>
  </si>
  <si>
    <t>SOLERA PLANA 178 X 1 HULE PESAD</t>
  </si>
  <si>
    <t>TOTAL TICKET $ 155.60</t>
  </si>
  <si>
    <t>M1/68</t>
  </si>
  <si>
    <t>M1/69</t>
  </si>
  <si>
    <t>ENDEREZADO DE RINES</t>
  </si>
  <si>
    <t>M1/70</t>
  </si>
  <si>
    <t>M1/71</t>
  </si>
  <si>
    <t>NIVELETA TRUPER</t>
  </si>
  <si>
    <t>M1/72</t>
  </si>
  <si>
    <t>CUTTER TRUPER</t>
  </si>
  <si>
    <t>NAVAJAS PARA CUTTER</t>
  </si>
  <si>
    <t>TOTAL $499</t>
  </si>
  <si>
    <t>M1/73</t>
  </si>
  <si>
    <t>LIMPIA PARABRISAS PPB - 26</t>
  </si>
  <si>
    <t>M1/74</t>
  </si>
  <si>
    <t>LIMPIA PARABRISAS PPB - 14</t>
  </si>
  <si>
    <t>TOTAL $334</t>
  </si>
  <si>
    <t>M1/75</t>
  </si>
  <si>
    <t>M1/76</t>
  </si>
  <si>
    <t>M1/77</t>
  </si>
  <si>
    <t>M1/78</t>
  </si>
  <si>
    <t>M1/79</t>
  </si>
  <si>
    <t>M1/80</t>
  </si>
  <si>
    <t>GASOLINA MOTO FT125</t>
  </si>
  <si>
    <t>GASOLINA MOTO FT200</t>
  </si>
  <si>
    <t>GRÚA</t>
  </si>
  <si>
    <t>TRASLADO DE QUERETARO A AZCONA</t>
  </si>
  <si>
    <t>M2/172</t>
  </si>
  <si>
    <t>REEMBOLSADO FERNANDO</t>
  </si>
  <si>
    <t>REFACCIONES MORGAN</t>
  </si>
  <si>
    <t>REEMBOLSADO ISMAEL</t>
  </si>
  <si>
    <t>LLAVE 19MM</t>
  </si>
  <si>
    <t>LLAVE 21MM</t>
  </si>
  <si>
    <t>GRASA HOMOCINETICA</t>
  </si>
  <si>
    <t>TOTAL TICKET $456.29</t>
  </si>
  <si>
    <t>M2/173</t>
  </si>
  <si>
    <t>GASOLINA MOTO TORNADO 300</t>
  </si>
  <si>
    <t>BASE DE AMORTIGUADOR DELANTERO</t>
  </si>
  <si>
    <t>SOPORTE MOTOR FRONTAL R</t>
  </si>
  <si>
    <t>SOPORTE TORS. TRAS</t>
  </si>
  <si>
    <t>SOPORTE TRANSMISION</t>
  </si>
  <si>
    <t>TRASLADO DE PUEBLA A AZCONA</t>
  </si>
  <si>
    <t>M2/174</t>
  </si>
  <si>
    <t>SE COLOCO GASOLINA PARALA ASIGNACIÓN</t>
  </si>
  <si>
    <t>PÓLIZA DE SEGURO</t>
  </si>
  <si>
    <t>AMORTIGUADORES TRASEROS 2 PZAS</t>
  </si>
  <si>
    <t>GRAPA</t>
  </si>
  <si>
    <t>REEMBOLSADO NICO</t>
  </si>
  <si>
    <t>AVEOH|2026|BLANCO|NTR508C</t>
  </si>
  <si>
    <t>VERSA|2021|BLANCO|NUN762C</t>
  </si>
  <si>
    <t>F206E871-CDE8-4C47-9F8E-FB1DBCBE1626</t>
  </si>
  <si>
    <t>DESCUENTO DE $22.50</t>
  </si>
  <si>
    <t>CANDARY</t>
  </si>
  <si>
    <t>GOMAS DE BARRA ESTABILIZADORAS</t>
  </si>
  <si>
    <t>TC MENDEL</t>
  </si>
  <si>
    <t>DESCUENTO Del 100% $313.79</t>
  </si>
  <si>
    <t>GASOLINA MOTO ULISES</t>
  </si>
  <si>
    <t>GASOLINA MOTO GUZMAN</t>
  </si>
  <si>
    <t>GASOLINA MOTO JULIO</t>
  </si>
  <si>
    <t>SE COBRARON 4 BUJIAS DE VENTO MÁS EN TDC DIDI, POR LO QUE SE REEMBOLSO LA DIFERENCIA DE $204 EN EFECTIVO POR PARTE DE LA REFACCIONARIA, MISMO QUE SE LE ENTREGA A ELI PARA ENTREGAR A YUL</t>
  </si>
  <si>
    <t>ERROR FACTURACIÓN</t>
  </si>
  <si>
    <t>PENDIENTE REEMBOLSO JULIO</t>
  </si>
  <si>
    <t>VERIFICACION LOGAN</t>
  </si>
  <si>
    <t>VERIFICACION RECUP DE LA PAPELETA LOGAN</t>
  </si>
  <si>
    <t>VERIFICACION BRINCO LOGAN</t>
  </si>
  <si>
    <t>PENDIENTE REEMBOLSO ULISES</t>
  </si>
  <si>
    <t>GASOLINA VISITA MOTO ULISES</t>
  </si>
  <si>
    <t>GASOLINA VISITA MOTO ARMANDO</t>
  </si>
  <si>
    <t>LLAVE PARA GATO</t>
  </si>
  <si>
    <t>GASOLINA VISITA MOTO HONDA</t>
  </si>
  <si>
    <t>RECTIFICACIÓN DE TAMBOR</t>
  </si>
  <si>
    <t>REVISTEROS NEGROS</t>
  </si>
  <si>
    <t>GASOLINA MOTO FT250</t>
  </si>
  <si>
    <t>MOTO FT250</t>
  </si>
  <si>
    <t>BASURA AZCONA</t>
  </si>
  <si>
    <t>PENDIENTE REEMBOLSO ALEJANDRA</t>
  </si>
  <si>
    <t>APARECE QUE EL TICKET NO SE ENCUENTRA</t>
  </si>
  <si>
    <t>PULIDA Y CAMBIO DE PELICULA TONO 20%</t>
  </si>
  <si>
    <t>JJCARS</t>
  </si>
  <si>
    <t>UBER PARA TRASLADO AUTO PICAZO</t>
  </si>
  <si>
    <t>CASETA UBER TRASLADO AUTO PICAZO</t>
  </si>
  <si>
    <t>GASOLINA MOTO HONDA</t>
  </si>
  <si>
    <t>TRASLADO VILLAHERMOSA A TALLER AMB</t>
  </si>
  <si>
    <t>VENTO|2020|ROJO|NPU174C</t>
  </si>
  <si>
    <t>REPARACION DE LLANTA</t>
  </si>
  <si>
    <t>VULCANIZADORA "EL NEGRO"</t>
  </si>
  <si>
    <t>PENDIENTE REEMBOLSO ELI</t>
  </si>
  <si>
    <t>PENDIENTE REEMBOLSO PAO</t>
  </si>
  <si>
    <t>AVANZA|2021|BLANCA|NTM512C</t>
  </si>
  <si>
    <t>TRASLADO ZUMPANGO A TALLER AMB</t>
  </si>
  <si>
    <t>EL GASTO ESTÁ INCOMPLETO</t>
  </si>
  <si>
    <t>BRINCO VERIFICACION</t>
  </si>
  <si>
    <t>GAS LP</t>
  </si>
  <si>
    <t>GLOBAL GAS</t>
  </si>
  <si>
    <t>c79c4c54-1f45-4962-8bac-d77628d96983</t>
  </si>
  <si>
    <t>RADIADOR DE AVEO NUEVA GENERACION</t>
  </si>
  <si>
    <t>GREEN AUTOPARTES</t>
  </si>
  <si>
    <t>POLAR</t>
  </si>
  <si>
    <t>583F51CB-0CE0-C147-910A-1411FD1FD337</t>
  </si>
  <si>
    <t>ENVIO RADIADOR DE AVEO NUEVA GENERACION</t>
  </si>
  <si>
    <t>NO ES DEDUCIBLE</t>
  </si>
  <si>
    <t>FOCO (H11) 12V 55W</t>
  </si>
  <si>
    <t>GERARDO MIGUEL SANTILLAN VILLANUEVA</t>
  </si>
  <si>
    <t>RUNSA</t>
  </si>
  <si>
    <t>FOCO (158) PELLISCO 12V 3W AMBAR</t>
  </si>
  <si>
    <t>TOTAL TICKET $300.81</t>
  </si>
  <si>
    <t>PREMIO 2° LUGAR CAMPAÑA SEMANA 10</t>
  </si>
  <si>
    <t>2bfdbee3-7974-421d-8be9-d597dba4804c</t>
  </si>
  <si>
    <t>4F3E58AF-381B-4EB1-8C9E-84FEADD05EC5</t>
  </si>
  <si>
    <t xml:space="preserve">AGUA </t>
  </si>
  <si>
    <t>EPURA</t>
  </si>
  <si>
    <t>MOTO</t>
  </si>
  <si>
    <t>72f79d17-bab4-4c35-8f0a-0ee20063a2a7</t>
  </si>
  <si>
    <t>AGUA DE 1L 18 PZAS</t>
  </si>
  <si>
    <t>SAM'S CLUB</t>
  </si>
  <si>
    <t>A5149337-11E2-4556-9497-91726730F991</t>
  </si>
  <si>
    <t>CAPUCCINO MO</t>
  </si>
  <si>
    <t>SOLICITADO POR ADMINISTRACION UBER/ PAGO PAO A YUL 14-03-26</t>
  </si>
  <si>
    <t>TOTAL TICKET $589.26</t>
  </si>
  <si>
    <t>ASPIRADORA DE SOLIDOS Y LIQUIDOS 6L</t>
  </si>
  <si>
    <t>FIX FERRETERIA</t>
  </si>
  <si>
    <t>PAGO FERNANDO CON SU TARJETA</t>
  </si>
  <si>
    <t>D0F0D154-1B8F-4C8D-B51D-4E8A97C8CDBD</t>
  </si>
  <si>
    <t>GLOBOS PAYASO MACARRON 9" VA</t>
  </si>
  <si>
    <t>ART PARA FIESTAS PRISH</t>
  </si>
  <si>
    <t>GLOBOS PAYASO</t>
  </si>
  <si>
    <t>GLOBOS PAYASO MACARRON 9" MEN</t>
  </si>
  <si>
    <t>VELA MACI VELAS ESPIRAL NEON</t>
  </si>
  <si>
    <t>MACI VELAS</t>
  </si>
  <si>
    <t>PLATO PASTELERO BIOREYMA</t>
  </si>
  <si>
    <t>REYMA</t>
  </si>
  <si>
    <t>BANDERIN SENCILLO F.C.</t>
  </si>
  <si>
    <t>VM FIESTA</t>
  </si>
  <si>
    <t>LETRERO DIAMANTINA H.BDAY VM</t>
  </si>
  <si>
    <t>TUBO DE SERPENTINA LISA</t>
  </si>
  <si>
    <t>FIGUERMEX</t>
  </si>
  <si>
    <t>PALA PARA PASTEL (NEGRA)</t>
  </si>
  <si>
    <t>ADARA UTENSILIOS</t>
  </si>
  <si>
    <t>FORIBA CUCHARA #2 BIODEGRADA</t>
  </si>
  <si>
    <t>FORIBA</t>
  </si>
  <si>
    <t>TOTAL TICKET $358</t>
  </si>
  <si>
    <t>REFTIFICACION DE DISCOS</t>
  </si>
  <si>
    <t>YUL BRINDO EFECTIVO</t>
  </si>
  <si>
    <t>BALATA DELANTERA</t>
  </si>
  <si>
    <t>FE4E734A-5B2A-E64E-A114-B14C54AA6497</t>
  </si>
  <si>
    <t>LLANTA 185/55/R16</t>
  </si>
  <si>
    <t>SAN FELIPE LLANTAS Y RINES</t>
  </si>
  <si>
    <t>ILINK</t>
  </si>
  <si>
    <t>CD9846DD-B70C-40DE-B8DC-53E745AC8282</t>
  </si>
  <si>
    <t>LLANTA 195/65/R15</t>
  </si>
  <si>
    <t>ZEXTOUR</t>
  </si>
  <si>
    <t>URBANUS</t>
  </si>
  <si>
    <t>URBANUS R</t>
  </si>
  <si>
    <t>4b0106fa-a967-46da-873a-db2dc2878bc2</t>
  </si>
  <si>
    <t>SPRITE 3L</t>
  </si>
  <si>
    <t>8c55c6ec-d023-4ff1-bd8c-531ac8908da6</t>
  </si>
  <si>
    <t>COCA COLA LIGHT 2L</t>
  </si>
  <si>
    <t>MUNDET 3L</t>
  </si>
  <si>
    <t>COCA COLA 3L</t>
  </si>
  <si>
    <t>TOTAL TICKET $182</t>
  </si>
  <si>
    <t>TACOS DE PASTOR</t>
  </si>
  <si>
    <t>SANDRO</t>
  </si>
  <si>
    <t>TAQUERIA DON FRANK</t>
  </si>
  <si>
    <t>TACOS DE SUADERO</t>
  </si>
  <si>
    <t>PROPINA</t>
  </si>
  <si>
    <t>TOTAL TICKET $2,002</t>
  </si>
  <si>
    <t>PASTEL CREPACAKE HENNESY</t>
  </si>
  <si>
    <t>ESPERANZA</t>
  </si>
  <si>
    <t>NO GRAVA IVA, SE GRAVO IEPS</t>
  </si>
  <si>
    <t>197CFED2-8E6E-49DE-B534-F9EB70789197</t>
  </si>
  <si>
    <t>VELA LUMINOSA</t>
  </si>
  <si>
    <t>TOTAL TICKET $425</t>
  </si>
  <si>
    <t>ABRAZADERA REFORZADA #44</t>
  </si>
  <si>
    <t>ABRAZADERA PARA MACHETA UNIVERSAL AJUSTABLE</t>
  </si>
  <si>
    <t>TOTAL TICKET $115</t>
  </si>
  <si>
    <t>ESTAFETY</t>
  </si>
  <si>
    <t>GOMA BARRA ESTABILIZADORA</t>
  </si>
  <si>
    <t>TOTAL TICKET $548</t>
  </si>
  <si>
    <t>HOJALATERIA Y PINTURA, PUERTA TRASERA DERECHA Y COSTADO</t>
  </si>
  <si>
    <t>SANTIAGO TRANSFIRIO</t>
  </si>
  <si>
    <t>LLAVES</t>
  </si>
  <si>
    <t>REPARACION DE LINEAS BCM</t>
  </si>
  <si>
    <t>REPARACION DE FRENO DE MANO IZQUIERDA</t>
  </si>
  <si>
    <t>LAVADO Y ENCERADO</t>
  </si>
  <si>
    <t>TOTAL TICKET $10,833.24</t>
  </si>
  <si>
    <t>TOTAL $2,000</t>
  </si>
  <si>
    <t>ESTACIONAMIENTO</t>
  </si>
  <si>
    <t>PLAZA SAN JERONIMO</t>
  </si>
  <si>
    <t>COPEMSA</t>
  </si>
  <si>
    <t>CUERPO DE ACELERADOR</t>
  </si>
  <si>
    <t>KIA RIO|2020|BLANCO|NTM525C</t>
  </si>
  <si>
    <t>FOCO H9</t>
  </si>
  <si>
    <t>REFACCIOANARIA MARIO</t>
  </si>
  <si>
    <t>BRAND</t>
  </si>
  <si>
    <t>SE REEMBOLSO A CONDUCTOR</t>
  </si>
  <si>
    <t>CARGA PARA GESTION</t>
  </si>
  <si>
    <t>4ebb05e4-9e0a-4998-87d7-710d54d65026</t>
  </si>
  <si>
    <t>DISPLAY PARA RADIO</t>
  </si>
  <si>
    <t>JJ CARS</t>
  </si>
  <si>
    <t>CAMBIO DE LLANTAS</t>
  </si>
  <si>
    <t>19e7e007-7698-496a-998c-af6e18932fae</t>
  </si>
  <si>
    <t>PENDIENTE A ROSA</t>
  </si>
  <si>
    <t>HANKOOK</t>
  </si>
  <si>
    <t>299DFDFD-6125-437F-802C-27E26398555D</t>
  </si>
  <si>
    <t>BOLILLO</t>
  </si>
  <si>
    <t>POLLOS RANCHEROS</t>
  </si>
  <si>
    <t>NOPALES</t>
  </si>
  <si>
    <t>FRIJOLES REFRITOS</t>
  </si>
  <si>
    <t>FILTRO DE AIRE ACONDICIONADO</t>
  </si>
  <si>
    <t>PENDIENTE A JULIO</t>
  </si>
  <si>
    <t>FOCOS 2 POLOS</t>
  </si>
  <si>
    <t>FOCOS H4</t>
  </si>
  <si>
    <t>HORQUILLA CON ROTULA</t>
  </si>
  <si>
    <t>2a4ed389-0377-f53a-78e0-74f7276cda1a</t>
  </si>
  <si>
    <t>5333A334-5262-2F47-91CB-1D73DDC4F860</t>
  </si>
  <si>
    <t>PENDIENTE A PAOLA</t>
  </si>
  <si>
    <t>2EA17350-55BB-5A92-8726-928811C66F89</t>
  </si>
  <si>
    <t>AVEO|2026|BLANCO|NTR508C</t>
  </si>
  <si>
    <t>TC BBVA ASHC</t>
  </si>
  <si>
    <t>SHELLSERVIEJE</t>
  </si>
  <si>
    <t>57b59349-2550-4500-8968-21583a813f9b</t>
  </si>
  <si>
    <t xml:space="preserve">BALANCEOS </t>
  </si>
  <si>
    <t>PRENSA PARA BALERO</t>
  </si>
  <si>
    <t>DANIEL CASTAÑEDA LOEZ</t>
  </si>
  <si>
    <t>BALERO CON ABS</t>
  </si>
  <si>
    <t>BMW|2024|GRIS|NMC859C</t>
  </si>
  <si>
    <t>7358C76E-BB18-4A8C-9B86-6A8D1AADCD5F</t>
  </si>
  <si>
    <t xml:space="preserve">REPARACION DE SWTICH </t>
  </si>
  <si>
    <t>GERARDO MIIGUEL SANTILLAN VILLANUEVA</t>
  </si>
  <si>
    <t>PENDIENTE A CONDUCTOR</t>
  </si>
  <si>
    <t>CONSORCIO GASOLINERO PLUS</t>
  </si>
  <si>
    <t>ERROR DE FACTURA</t>
  </si>
  <si>
    <t>4929C898-BABB-5BDB-9291-12B2AF2E96F1</t>
  </si>
  <si>
    <t>GRUAS LA ROCA</t>
  </si>
  <si>
    <t>LLAVE PARA VALVULAS DE LLANTAS</t>
  </si>
  <si>
    <t>51FEAE8B-73FD-413B-93AF-9B9D2C516F7A</t>
  </si>
  <si>
    <t>CEPILLO PARA INTERIORES</t>
  </si>
  <si>
    <t>LIMPIADOR MULTIUSOS</t>
  </si>
  <si>
    <t>SOPORTE DE TRANSMISION</t>
  </si>
  <si>
    <t>REFACCIOANARIA DAR</t>
  </si>
  <si>
    <t>SOPORTE DE MOTOR</t>
  </si>
  <si>
    <t>ESTAFETI</t>
  </si>
  <si>
    <t>31c38121-e98f-c9a6-fff1-d8131a68a844</t>
  </si>
  <si>
    <t>DLT PALACIO ATIZAPAN</t>
  </si>
  <si>
    <t>ESTACION HERMANOS TERAMO</t>
  </si>
  <si>
    <t>e9cd272e-21a7-4f8c-aba1-551c10848b7d</t>
  </si>
  <si>
    <t>9999fb04-7227-4f0c-8126-b7ba24c82fe3</t>
  </si>
  <si>
    <t>de42a049-cc2a-4df7-84b8-1cdd3cc0518e</t>
  </si>
  <si>
    <t>SERVICIO CIUDAD DEPORTIVA</t>
  </si>
  <si>
    <t>7750f2b3-6189-48ae-8a8d-49501bb6006c</t>
  </si>
  <si>
    <t>KIA RIO|2020|GRIS|NTM525C</t>
  </si>
  <si>
    <t>b7a30cf6-be49-48f7-86cc-d33522f6c856</t>
  </si>
  <si>
    <t>LOS PITS</t>
  </si>
  <si>
    <t>MANGUERA DE RADIADOR</t>
  </si>
  <si>
    <t>EADF2CAD-1508-E745-ADD4-1CA10AADF8D5</t>
  </si>
  <si>
    <t>362af1c0-8415-700c-9720-5732412d8b54</t>
  </si>
  <si>
    <t>TORNILLOS 10X45</t>
  </si>
  <si>
    <t>VERSA|2024|AZUL|NUN719C</t>
  </si>
  <si>
    <t>782c3dac-7a16-4359-820b-39ada1758989</t>
  </si>
  <si>
    <t>545bcb2d-01df-4aa1-8364-c9d69f2eead7</t>
  </si>
  <si>
    <t>9a0ade6a-065d-4f3f-bf3b-309a4fdcb277</t>
  </si>
  <si>
    <t>PASTEL</t>
  </si>
  <si>
    <t>CUMPLEAÑOS DE GABY</t>
  </si>
  <si>
    <t>D4A2CAEB-B219-4203-9EDB-8496EF738F2A</t>
  </si>
  <si>
    <t>PLATOS DESECHABLES</t>
  </si>
  <si>
    <t>TALA</t>
  </si>
  <si>
    <t>ARNES PARA BOBINA</t>
  </si>
  <si>
    <t>EL PORTAL DEL ARNES</t>
  </si>
  <si>
    <t>770a7812-ad1b-4230-85db-9567c7ac5efa</t>
  </si>
  <si>
    <t>MOTOR FRONTAL DERECHO</t>
  </si>
  <si>
    <t>GROOP</t>
  </si>
  <si>
    <t>A81E61D2-7DF7-4BF1-B416-ED8C83034298</t>
  </si>
  <si>
    <t>AGUACATE</t>
  </si>
  <si>
    <t>7ELEVEN</t>
  </si>
  <si>
    <t>JITOMATE</t>
  </si>
  <si>
    <t>QUESO AMERICANO</t>
  </si>
  <si>
    <t>QUESO PANELA</t>
  </si>
  <si>
    <t>PAN BLANCO</t>
  </si>
  <si>
    <t>JAMON DE PIERNA</t>
  </si>
  <si>
    <t xml:space="preserve">AUTOESPECIALIDADES FRANCO </t>
  </si>
  <si>
    <t>23C84160-648B-D044-ACAE-F76032FCEE5C</t>
  </si>
  <si>
    <t>AT&amp;T</t>
  </si>
  <si>
    <t>8bf0a54c-91e3-4397-848d-e4909afd3cd2</t>
  </si>
  <si>
    <t>MATIAS DEL CARMEN VILLAREAL</t>
  </si>
  <si>
    <t>TAPON DE GASOLINA</t>
  </si>
  <si>
    <t>55fca886-d8fa-00060-5891-252310b19867</t>
  </si>
  <si>
    <t>BOMBA DE GAS</t>
  </si>
  <si>
    <t>FELIPE GONZALEZ CASTRO</t>
  </si>
  <si>
    <t>BLAZER COMPASAL</t>
  </si>
  <si>
    <t>TRASLADO DE SAN LUIS POTOSI A JUAN SANCHEZ AZCONA</t>
  </si>
  <si>
    <t>TRASLADO DE PUEBLA A JUAN SANCHEZ AZCONA</t>
  </si>
  <si>
    <t>2308BB48-DBB0-44A1-9CE8-E5CB4CB62403</t>
  </si>
  <si>
    <t>ANTISULFANTATE</t>
  </si>
  <si>
    <t>PAPELETA</t>
  </si>
  <si>
    <t>GOBIERNO</t>
  </si>
  <si>
    <t>REEMBOLSO A CONDUCTOR</t>
  </si>
  <si>
    <t>SERVICIO AGENCIA</t>
  </si>
  <si>
    <t>SANJE PRO AUTOMOTORES</t>
  </si>
  <si>
    <t>c8b9f562-9f85-49b5-8864-79e5438699bb</t>
  </si>
  <si>
    <t>FUSIBLE 40V</t>
  </si>
  <si>
    <t>TORNILLOS Y FRENOS CELIA HERNANDEZ MUÑOZ</t>
  </si>
  <si>
    <t>SERVICIO EJE 10 SA DE CV</t>
  </si>
  <si>
    <t>PENDIENTE A FERNANDO</t>
  </si>
  <si>
    <t>INMOBILIARIA SOCOR</t>
  </si>
  <si>
    <t>GRUPO FRABA</t>
  </si>
  <si>
    <t>72116db0-4b16-4a52-878a-22511e4a3714</t>
  </si>
  <si>
    <t>e1ec929b-b06d-4316-8e00-a412028bc509</t>
  </si>
  <si>
    <t>REFACCIOANARIA MOBU</t>
  </si>
  <si>
    <t>HOJALATERIA Y PINTURA</t>
  </si>
  <si>
    <t>DONA</t>
  </si>
  <si>
    <t xml:space="preserve">ABRILLANTADOR </t>
  </si>
  <si>
    <t>REFACCIOANARIA MENDOZA</t>
  </si>
  <si>
    <t>59636A2D-99AE-4A6F-B992-9B9D2C51B7D2</t>
  </si>
  <si>
    <t>SEGURO DE RIN 14MM X 1.5MM</t>
  </si>
  <si>
    <t xml:space="preserve">TAPETE UNIVERSAL HULE NEGRO </t>
  </si>
  <si>
    <t>DISCO DE COLLARIN</t>
  </si>
  <si>
    <t>125bccbd-5f56-35ad-8ccd-fe8022830f0a</t>
  </si>
  <si>
    <t>ACEITE DE TRASMISION</t>
  </si>
  <si>
    <t>8b45b04f-5d1d-228b-5b48-6d9510c0a7ee</t>
  </si>
  <si>
    <t>CAMBIO DE MOTOR, DEPOSITO ANTICONGELANTE</t>
  </si>
  <si>
    <t>REPARACION DE CABEZA</t>
  </si>
  <si>
    <t>879B96BB-6545-42B0-800E-3BD09B563832</t>
  </si>
  <si>
    <t>RESPUESTO DE BOMBA DE GASOLINA</t>
  </si>
  <si>
    <t>E6B8C117-51B5-4735-AB52-00F8F1F73C64</t>
  </si>
  <si>
    <t>CORRECION DE LINEAS DE IGNICION</t>
  </si>
  <si>
    <t>b8ebd49e-a36a-495f-8631-ed76b5339482</t>
  </si>
  <si>
    <t>bf7909cb-6c0a-9f7a-7888-33cbf32acd07</t>
  </si>
  <si>
    <t>0b5c856e-621e-4414-8ad4-786544e16d70</t>
  </si>
  <si>
    <t>062af573-4f35-c06d-7da1-b5b4138500a7</t>
  </si>
  <si>
    <t>PENDIENTE A ROUSS</t>
  </si>
  <si>
    <t>NO SE FACTURA EFECTIVO</t>
  </si>
  <si>
    <t>d48b946b-2de0-a2d9-abf0-869eebe499f7</t>
  </si>
  <si>
    <t>PENDIENTE A NICO</t>
  </si>
  <si>
    <t>PILA</t>
  </si>
  <si>
    <t>1b832304-ec1a-e72e-4787-e1ba62f31141</t>
  </si>
  <si>
    <t>MARIO ALBERTO CASTRO CEDILLO</t>
  </si>
  <si>
    <t>7caa826c-9ec2-6311-97bd-950faf438203</t>
  </si>
  <si>
    <t>ALBERTO ANTHAR MORALES BAEZ</t>
  </si>
  <si>
    <t xml:space="preserve">RETEN DEL CIGUEÑAL </t>
  </si>
  <si>
    <t>GASOLINA JAC</t>
  </si>
  <si>
    <t>DIESEL</t>
  </si>
  <si>
    <t>dc54b7fc-27c3-4107-af87-63a96816cb57</t>
  </si>
  <si>
    <t>e3d79c86-7ca2-408e-83a9-e68c7cb2fc7a</t>
  </si>
  <si>
    <t>NO EMITIRA FACTURA</t>
  </si>
  <si>
    <t>RIN DE ACERO</t>
  </si>
  <si>
    <t>CABLE SELECTOR DE VELOCIDADES</t>
  </si>
  <si>
    <t>REFACCIOANARIA CALIFORNIA</t>
  </si>
  <si>
    <t>6e23481f-25f9-7a55-9085-9218054af312</t>
  </si>
  <si>
    <t>BOCINAS 6X5</t>
  </si>
  <si>
    <t>AUMENTO PARA PUERTA</t>
  </si>
  <si>
    <t>BOCINAS 5</t>
  </si>
  <si>
    <t>REPARACION DE LINEAS DE RADIO</t>
  </si>
  <si>
    <t>REPARACION DE LINEAS DE BOCINA</t>
  </si>
  <si>
    <t>PENDIENTE A AGUSTIN $340</t>
  </si>
  <si>
    <t xml:space="preserve">BASE DE AMORTIGUADOR </t>
  </si>
  <si>
    <t>TARJETA UALA ASHC</t>
  </si>
  <si>
    <t>4e1a5e72-645a-401d-8443-791496bdf577</t>
  </si>
  <si>
    <t>ISAAC SANTANA ROSALES</t>
  </si>
  <si>
    <t>028499e7-3269-44bf-8ec2-87e90795ebde</t>
  </si>
  <si>
    <t>TC BANAMEX ASHC</t>
  </si>
  <si>
    <t>FE9A91B8-B2CC-0647-AA91-864501FAA586</t>
  </si>
  <si>
    <t>INVERSIÓN</t>
  </si>
  <si>
    <t>DEPOSITO BBVA S.V.</t>
  </si>
  <si>
    <t>CHEVROLET</t>
  </si>
  <si>
    <t>NISSAN</t>
  </si>
  <si>
    <t>KIA</t>
  </si>
  <si>
    <t>PARTICULAR</t>
  </si>
  <si>
    <t>VOLKSWAGEN</t>
  </si>
  <si>
    <t>POLIZA AXA 160284469000</t>
  </si>
  <si>
    <t>AXA 160284469000</t>
  </si>
  <si>
    <t>POLIZA DE SEGURO DE AUTO</t>
  </si>
  <si>
    <t>ES UN GASTO ESTIMADO EN TANTO NO SE ENVÍE COTIZACIÓN</t>
  </si>
  <si>
    <t>UBERG</t>
  </si>
  <si>
    <t>SEM A</t>
  </si>
  <si>
    <t>HOJALAT</t>
  </si>
  <si>
    <t>DESC</t>
  </si>
  <si>
    <t>PRÉST</t>
  </si>
  <si>
    <t>GANAN T</t>
  </si>
  <si>
    <t>ANT F</t>
  </si>
  <si>
    <t>preguntar si pago 2352</t>
  </si>
  <si>
    <t>GENERA EN DIDI P20ENE$2,500 P21 ENE $200</t>
  </si>
  <si>
    <t>PRIMER PAGO DE HOJALAT( se quito porque no pago)</t>
  </si>
  <si>
    <t>MARTES 2500, 100 28/01</t>
  </si>
  <si>
    <t>P 4FEB 639, EL TAG X 1334 NO LE CORRESPONDE</t>
  </si>
  <si>
    <t>PREGUNTAR PQ PAGO MÁS</t>
  </si>
  <si>
    <t>SE COBRA CUANDO PAGUE A IVETTE ( en la semana 2 dejo saldo y no se llevo a la sem 3 porque cambio de auto)</t>
  </si>
  <si>
    <t>OHLM038729281</t>
  </si>
  <si>
    <t>OHLM038708426</t>
  </si>
  <si>
    <t>OHLM038645578</t>
  </si>
  <si>
    <t>BAJA 26FEB. 26 FUE A SERVICIO TODO EL DIA. P03MAR 1500 P13MAR 700</t>
  </si>
  <si>
    <t>P11MAR 3000 LA DIF ES GOÑI $1071</t>
  </si>
  <si>
    <t>1.800K ANT TRANSF, P11 DE MARZO A BYER</t>
  </si>
  <si>
    <t>P14MAR 2500</t>
  </si>
  <si>
    <t>P10MAR400 P11MAR 300+400 P13MAR500</t>
  </si>
  <si>
    <t>P10MAR</t>
  </si>
  <si>
    <t>P14MAR 970</t>
  </si>
  <si>
    <t>P10MAR2557</t>
  </si>
  <si>
    <t>P15MAR2000</t>
  </si>
  <si>
    <t>P11MAR 1567 P14mar230 (Acuerdo de $3500 semanales, debió pagar $2,228. Diferencia de 431. pero como no quería pagar el TAG se le dejo el monto del Tag mas el 12% )</t>
  </si>
  <si>
    <t>p13mar1000</t>
  </si>
  <si>
    <t>p12mar1063 p14mar 700</t>
  </si>
  <si>
    <t>P10MAR 2500</t>
  </si>
  <si>
    <t>P13MAR 51</t>
  </si>
  <si>
    <t>P13MAR 358</t>
  </si>
  <si>
    <t>pDE 2000 SE ABONO 1500P1303700</t>
  </si>
  <si>
    <t>PDE 2000 SE ABONO 500</t>
  </si>
  <si>
    <t>MURIO SU PAPA SE AJUSTA DIAS SE COBRA 3.5 DE CTA  P09MAR993</t>
  </si>
  <si>
    <t>P11MAR 400</t>
  </si>
  <si>
    <t>P13MAR1206</t>
  </si>
  <si>
    <t>SE COBRA .06% YA QUE CUMPLIO PARCIALMENTE ACUERDO. P1403  750</t>
  </si>
  <si>
    <t>P11MAR 1800</t>
  </si>
  <si>
    <t>SE AJUS 1 DIA POR SERVICIO TODO EL DIA.P10MAR1500</t>
  </si>
  <si>
    <t>P11MAR 650 P1303 539</t>
  </si>
  <si>
    <t>P11MAR   957 SE AJUSTARON 3963 PARA QUE NO APARECIERA ADEUDO POR EL RENGLON 598</t>
  </si>
  <si>
    <t>P09MAR3700 P15670 P16 600</t>
  </si>
  <si>
    <t>P09MAR3700 SE LE ABONARON LOS 700</t>
  </si>
  <si>
    <t>AJUSTE SE LE PAGO AL CONDUCTOR</t>
  </si>
  <si>
    <t>P11MAR899</t>
  </si>
  <si>
    <t>P11MAR952</t>
  </si>
  <si>
    <t>P13MAR 1000. Saldo a favor</t>
  </si>
  <si>
    <t>P09MAR 1000</t>
  </si>
  <si>
    <t>P10MAR 942</t>
  </si>
  <si>
    <t>P FOCOS H9</t>
  </si>
  <si>
    <t>P1803</t>
  </si>
  <si>
    <t>P20 MAR 1500</t>
  </si>
  <si>
    <t>P19MAR 500+400 P22ABR 300+350</t>
  </si>
  <si>
    <t>CAMBIO AL MARCH DE GOÑI ADEUDO REAL -253 PAGO 18/03 SE AJUSTA PARA QUE NO APAREZCA COMO DEUDOR</t>
  </si>
  <si>
    <t>P19MAR</t>
  </si>
  <si>
    <t>17/03 y 18/03</t>
  </si>
  <si>
    <t>17/03-18/03</t>
  </si>
  <si>
    <t>SE DESC 1 DIA PORQUE EST EN SERV. LEOBARDO</t>
  </si>
  <si>
    <t>ACUERDO PAGO 3500,P1703 1000 P 1803 665 ( Acuerdo $3500 a pagar $1,169. No quedo sald ya que pago 1,665, porque se le pidió lo del TAG)</t>
  </si>
  <si>
    <t>900 EN EFEC</t>
  </si>
  <si>
    <t>p1803 881</t>
  </si>
  <si>
    <t>P17/03</t>
  </si>
  <si>
    <t>AJUT 1/2 NO CIRCULA MIERCOLES</t>
  </si>
  <si>
    <t>P20MAR420</t>
  </si>
  <si>
    <t>P18/03 1300 P20/03  1000 P22MAR 900+1120</t>
  </si>
  <si>
    <t>P18/03 1300</t>
  </si>
  <si>
    <t>17/03/2026/18/03 280  19/03/2025   20</t>
  </si>
  <si>
    <t>PEND COT IZACION HOJALATERIA</t>
  </si>
  <si>
    <t>P 1803</t>
  </si>
  <si>
    <t>DEV MULTA SE HABIA COBRADO DE MAS</t>
  </si>
  <si>
    <t>200 NO PAG SEM PASADA P16/03 P17/03 100</t>
  </si>
  <si>
    <t>INT 12% A $2,006. ENVIO RECETA 1.5 MENOS P1703</t>
  </si>
  <si>
    <t xml:space="preserve">P20/03 500 SE BAJA EL DIA DE HOY </t>
  </si>
  <si>
    <t>2PAGOS 16/17 MARZO 19/03 400</t>
  </si>
  <si>
    <t>P18/03</t>
  </si>
  <si>
    <t>PAGO A CUENTA DE PRESTAMO 1/</t>
  </si>
  <si>
    <t>AJUSTE PARA REPORTE</t>
  </si>
  <si>
    <t>SE COBRO 214 DE MAS P16/03</t>
  </si>
  <si>
    <t>AJUSTE REVISAR CUENTA DE AUTO</t>
  </si>
  <si>
    <t>16/03/2026 - 19/03</t>
  </si>
  <si>
    <t>P1703</t>
  </si>
  <si>
    <t>P1703  P1903</t>
  </si>
  <si>
    <t>ESTA CON GOÑI NO PAGO</t>
  </si>
  <si>
    <t>P25/03 1800,200,1000</t>
  </si>
  <si>
    <t>26/03 1000 27/03 989</t>
  </si>
  <si>
    <t>P2403 2500</t>
  </si>
  <si>
    <t>ADRIAN GUITIERREZ MARTINEZ</t>
  </si>
  <si>
    <t>300 GASOLINA. ANT GUITARRA</t>
  </si>
  <si>
    <t>P24/03 1434</t>
  </si>
  <si>
    <t>CAMBIO DE AUTO. 27/03 1400 28/03 29/03 500 y600</t>
  </si>
  <si>
    <t>27/03 1400 APL PARCIAL</t>
  </si>
  <si>
    <t>26/03 215</t>
  </si>
  <si>
    <t>P2503 1000</t>
  </si>
  <si>
    <t>26/03 $1943</t>
  </si>
  <si>
    <t>P24/03 X 2 1300 APL PARCIAL 28/03 600+212</t>
  </si>
  <si>
    <t>P24/03 1300 APL PARCIAL</t>
  </si>
  <si>
    <t>ELIZABETH VELASCO ALANIZ</t>
  </si>
  <si>
    <t>PRESTAMO ESTA CON IVETTE PERO SE DESCOMPUSO SU AUTO 25/03 EFEC 595</t>
  </si>
  <si>
    <t>$40 ELECTRICO LIMPIA PARABRISAS 24/03 200 +</t>
  </si>
  <si>
    <t>$560 4 llantas y faros H11$450 EFEC 6 A FAVOR</t>
  </si>
  <si>
    <t>P2403 800 P2603  1097</t>
  </si>
  <si>
    <t>P23/03 2500</t>
  </si>
  <si>
    <t>P24/03 1880 Y 1120</t>
  </si>
  <si>
    <t>24/03 2,520</t>
  </si>
  <si>
    <t>P26/03 350 27/03 300 28/03 500</t>
  </si>
  <si>
    <t>24/03  $619</t>
  </si>
  <si>
    <t>BAJA 20/03  A LAS 14.00 HRS TIENE FIANZA ACUM P20SE APLICA PARA CONC CTA NO SE APLICO EL PAGO EN LA SEM 11 DEL 20/03 POR 500 SINO HASTA EL CIERRE PORQUE ERA PARTE DE DICHO CIERRE</t>
  </si>
  <si>
    <t>24/03 1000</t>
  </si>
  <si>
    <t>26/03 1000 28/03 500</t>
  </si>
  <si>
    <t>P2503 1099</t>
  </si>
  <si>
    <t>P24/03 1,100 30MZ4000</t>
  </si>
  <si>
    <t>24/03 580</t>
  </si>
  <si>
    <t>AJUSTE</t>
  </si>
  <si>
    <t>BAJA 18/03 EL 18 PAGO DE 500</t>
  </si>
  <si>
    <t>27/03   1789</t>
  </si>
  <si>
    <t>P2503 1300 ( Acuerdo de $3500 debio pagar $1,355 y pago $1300 saldo de $55 pesos con 12% $62</t>
  </si>
  <si>
    <t>P24/03 1637 28/03 1121</t>
  </si>
  <si>
    <t>24/03 3000 26/03 1500</t>
  </si>
  <si>
    <t>01/04  500</t>
  </si>
  <si>
    <t>PAGO UN FOCO 01/04 500</t>
  </si>
  <si>
    <t>CAMBIO D AUTO 25/03, DSCTO1/2DIA. COB $150 POR LAVADA</t>
  </si>
  <si>
    <t>NESTOR CHRISTIAN JIMENEZ UGALDE</t>
  </si>
  <si>
    <t>6 DÍAS Y FIANZA PROP 30/03 1286</t>
  </si>
  <si>
    <t>DSCTO 2 DIAS 22 Y 23 MZO. ESTUVO SIN AUTO</t>
  </si>
  <si>
    <t>100 GASOLINA QUE TRAIA DE MAS EL AUTO QUE ENTREGO. 1/2 DSCTO P/2 CAMBIOS DE AUTO P FALLA. NO ES PAGO ES AJUSTE</t>
  </si>
  <si>
    <t>COBRAR DÍA LUNES 03/04 3000</t>
  </si>
  <si>
    <t>31/03  2500</t>
  </si>
  <si>
    <t>ADRIAN GUTIERREZ MARTINEZ</t>
  </si>
  <si>
    <t>30/03 394</t>
  </si>
  <si>
    <t>02/04 1200    0604 1200</t>
  </si>
  <si>
    <t>31/03  364</t>
  </si>
  <si>
    <t>31/03  1700  05/04  1720</t>
  </si>
  <si>
    <t>FINALIZA CON 200 PESOS X SER PENALIZADO</t>
  </si>
  <si>
    <t>80 se poncho la llanta 01/04 1842</t>
  </si>
  <si>
    <t>31/03 2000   02/04 375</t>
  </si>
  <si>
    <t>COBRAR DÍA LUNES 30/03 2500 300 ACUMULADOS SIN I</t>
  </si>
  <si>
    <t>30/03 1558</t>
  </si>
  <si>
    <t>02/04 2000</t>
  </si>
  <si>
    <t>SE COBRA PRESTAMOS TOTAL.  30/03 400 A CTA YUL</t>
  </si>
  <si>
    <t>30/03 1000 01/04  400 02/04 400</t>
  </si>
  <si>
    <t>01/04  264, PAGA ADEUDO SEM ANT</t>
  </si>
  <si>
    <t>02/04 800 300</t>
  </si>
  <si>
    <t>30/03 368</t>
  </si>
  <si>
    <t>31/03 860</t>
  </si>
  <si>
    <t>PAGO DE MAS 30MZO 1050 06/05 700</t>
  </si>
  <si>
    <t>01/04 792</t>
  </si>
  <si>
    <t>SE COBRA PRESTAMOS TOTAL</t>
  </si>
  <si>
    <t>NO ES PAGO ES AJUSTE</t>
  </si>
  <si>
    <t>MEDIO DIA EN TALLER</t>
  </si>
  <si>
    <t>31/03   454</t>
  </si>
  <si>
    <t>p3103 1500 04/04 500( Acuerdo de $3500 debe pagar $2,094 pago $1,500+500 el 04/04  saldo pendiente de $94 mas el 12%)</t>
  </si>
  <si>
    <t>30/03 991</t>
  </si>
  <si>
    <t>31/03  2500 02/04 485</t>
  </si>
  <si>
    <t xml:space="preserve">Baja se le considera fianza solo por 2,393 </t>
  </si>
  <si>
    <t>HECTOR MIGUEL RAMIREZ RAMIREZ</t>
  </si>
  <si>
    <t>2K Ant</t>
  </si>
  <si>
    <t>Se cambio auto y dejo el anterior lleno de casolina</t>
  </si>
  <si>
    <t>ajuste</t>
  </si>
  <si>
    <t>ALEJANDRO RAMIREZ DELGADO</t>
  </si>
  <si>
    <t>06/04 1000 128</t>
  </si>
  <si>
    <t>P10/04 $393</t>
  </si>
  <si>
    <t>07/04 2372</t>
  </si>
  <si>
    <t>07/04 2500</t>
  </si>
  <si>
    <t>Por temas con el TAG se inactivo</t>
  </si>
  <si>
    <t>P10/04 $2000 BBVA+$700</t>
  </si>
  <si>
    <t>07/04   644</t>
  </si>
  <si>
    <t>04/06 73</t>
  </si>
  <si>
    <t>07/04 $2000 ASHC BANORTE</t>
  </si>
  <si>
    <t>SIEMPRE SE LE PAGA</t>
  </si>
  <si>
    <t>SE BAJA 06/04</t>
  </si>
  <si>
    <t>230 cambio de switch 06/04 1393</t>
  </si>
  <si>
    <t>P09/04 $2500</t>
  </si>
  <si>
    <t xml:space="preserve">INT 2,830*12% </t>
  </si>
  <si>
    <t>P09/04 $2643</t>
  </si>
  <si>
    <t>P07/04 $1300 EN EFECTIVO</t>
  </si>
  <si>
    <t>07/04 1000/ P10/04 $1200</t>
  </si>
  <si>
    <t>P11/04 $1200</t>
  </si>
  <si>
    <t>07/04 $944</t>
  </si>
  <si>
    <t>P09/04 $1600 P10/04 $400</t>
  </si>
  <si>
    <t>P09/04 $2053</t>
  </si>
  <si>
    <t>P07/04 $680 P10/04 $700</t>
  </si>
  <si>
    <t>( Acuerdo de $3500 debe pagar $1,805)</t>
  </si>
  <si>
    <t>P10/04 $200</t>
  </si>
  <si>
    <t>P07/04 $2502 EN EFECTIVO</t>
  </si>
  <si>
    <t>P08/04 $463 AZTECA ASHC</t>
  </si>
  <si>
    <t xml:space="preserve">DESC GASOL X TANQUE LLENO </t>
  </si>
  <si>
    <t>BMW|2025|NEGRO|40K216</t>
  </si>
  <si>
    <t>=BUSCARX(C870,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</si>
</sst>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[Red]\(#,##0\)"/>
    <numFmt numFmtId="165" formatCode="_-* #,##0_-;\-* #,##0_-;_-* &quot;-&quot;_-;_-@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rgb="FF00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B0F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sz val="8"/>
      <color rgb="FF000000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B050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9"/>
      <color indexed="81"/>
      <name val="Tahoma"/>
      <charset val="1"/>
    </font>
    <font>
      <i/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/>
      <diagonal/>
    </border>
    <border>
      <left style="dotted">
        <color rgb="FFBFBFBF"/>
      </left>
      <right style="dotted">
        <color rgb="FFBFBFBF"/>
      </right>
      <top/>
      <bottom/>
      <diagonal/>
    </border>
    <border>
      <left style="dotted">
        <color rgb="FFBFBFBF"/>
      </left>
      <right style="dotted">
        <color rgb="FFBFBFBF"/>
      </right>
      <top/>
      <bottom style="dotted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0">
    <xf numFmtId="0" fontId="0" fillId="0" borderId="0" xfId="0"/>
    <xf numFmtId="0" fontId="6" fillId="0" borderId="1" xfId="0" applyFont="1" applyBorder="1" applyAlignment="1">
      <alignment horizontal="left"/>
    </xf>
    <xf numFmtId="16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1" xfId="0" applyNumberFormat="1" applyFont="1" applyBorder="1"/>
    <xf numFmtId="165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6" fillId="0" borderId="0" xfId="0" applyNumberFormat="1" applyFont="1"/>
    <xf numFmtId="165" fontId="6" fillId="0" borderId="1" xfId="0" applyNumberFormat="1" applyFont="1" applyBorder="1" applyAlignment="1">
      <alignment wrapText="1"/>
    </xf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0" xfId="0" applyFont="1"/>
    <xf numFmtId="0" fontId="8" fillId="0" borderId="1" xfId="0" applyFont="1" applyBorder="1" applyAlignment="1">
      <alignment horizontal="left"/>
    </xf>
    <xf numFmtId="0" fontId="6" fillId="3" borderId="1" xfId="0" applyFont="1" applyFill="1" applyBorder="1" applyAlignment="1">
      <alignment wrapText="1"/>
    </xf>
    <xf numFmtId="0" fontId="6" fillId="3" borderId="0" xfId="0" applyFont="1" applyFill="1"/>
    <xf numFmtId="16" fontId="8" fillId="0" borderId="1" xfId="0" applyNumberFormat="1" applyFont="1" applyBorder="1" applyAlignment="1">
      <alignment horizontal="left"/>
    </xf>
    <xf numFmtId="0" fontId="5" fillId="3" borderId="0" xfId="0" applyFont="1" applyFill="1"/>
    <xf numFmtId="3" fontId="6" fillId="3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/>
    <xf numFmtId="165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38" fontId="11" fillId="0" borderId="0" xfId="0" applyNumberFormat="1" applyFont="1"/>
    <xf numFmtId="38" fontId="14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wrapText="1"/>
    </xf>
    <xf numFmtId="38" fontId="11" fillId="6" borderId="5" xfId="0" applyNumberFormat="1" applyFont="1" applyFill="1" applyBorder="1" applyAlignment="1">
      <alignment horizontal="center" vertical="center"/>
    </xf>
    <xf numFmtId="38" fontId="11" fillId="6" borderId="8" xfId="0" applyNumberFormat="1" applyFont="1" applyFill="1" applyBorder="1" applyAlignment="1">
      <alignment horizontal="center" vertical="center" wrapText="1"/>
    </xf>
    <xf numFmtId="38" fontId="11" fillId="7" borderId="5" xfId="0" applyNumberFormat="1" applyFont="1" applyFill="1" applyBorder="1" applyAlignment="1">
      <alignment horizontal="center" vertical="center"/>
    </xf>
    <xf numFmtId="38" fontId="11" fillId="11" borderId="5" xfId="0" applyNumberFormat="1" applyFont="1" applyFill="1" applyBorder="1" applyAlignment="1">
      <alignment horizontal="center" vertical="center" wrapText="1"/>
    </xf>
    <xf numFmtId="38" fontId="11" fillId="12" borderId="5" xfId="0" applyNumberFormat="1" applyFont="1" applyFill="1" applyBorder="1" applyAlignment="1">
      <alignment horizontal="center" vertical="center" wrapText="1"/>
    </xf>
    <xf numFmtId="6" fontId="11" fillId="6" borderId="5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8" fontId="20" fillId="0" borderId="0" xfId="0" applyNumberFormat="1" applyFont="1"/>
    <xf numFmtId="38" fontId="23" fillId="0" borderId="0" xfId="0" applyNumberFormat="1" applyFont="1"/>
    <xf numFmtId="38" fontId="24" fillId="0" borderId="0" xfId="0" applyNumberFormat="1" applyFont="1"/>
    <xf numFmtId="38" fontId="20" fillId="10" borderId="0" xfId="0" applyNumberFormat="1" applyFont="1" applyFill="1"/>
    <xf numFmtId="0" fontId="0" fillId="13" borderId="0" xfId="0" applyFill="1"/>
    <xf numFmtId="0" fontId="0" fillId="0" borderId="0" xfId="0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vertical="center"/>
    </xf>
    <xf numFmtId="16" fontId="6" fillId="9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164" fontId="6" fillId="9" borderId="1" xfId="0" applyNumberFormat="1" applyFont="1" applyFill="1" applyBorder="1" applyAlignment="1">
      <alignment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165" fontId="6" fillId="14" borderId="1" xfId="0" applyNumberFormat="1" applyFont="1" applyFill="1" applyBorder="1"/>
    <xf numFmtId="0" fontId="6" fillId="15" borderId="1" xfId="0" applyFont="1" applyFill="1" applyBorder="1"/>
    <xf numFmtId="165" fontId="6" fillId="9" borderId="1" xfId="0" applyNumberFormat="1" applyFont="1" applyFill="1" applyBorder="1"/>
    <xf numFmtId="0" fontId="6" fillId="9" borderId="1" xfId="0" applyFont="1" applyFill="1" applyBorder="1"/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3" borderId="1" xfId="0" applyFont="1" applyFill="1" applyBorder="1"/>
    <xf numFmtId="16" fontId="8" fillId="3" borderId="1" xfId="0" applyNumberFormat="1" applyFont="1" applyFill="1" applyBorder="1" applyAlignment="1">
      <alignment horizontal="left"/>
    </xf>
    <xf numFmtId="0" fontId="6" fillId="14" borderId="1" xfId="0" applyFont="1" applyFill="1" applyBorder="1"/>
    <xf numFmtId="165" fontId="6" fillId="5" borderId="1" xfId="0" applyNumberFormat="1" applyFont="1" applyFill="1" applyBorder="1"/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16" fontId="6" fillId="5" borderId="1" xfId="0" applyNumberFormat="1" applyFont="1" applyFill="1" applyBorder="1" applyAlignment="1">
      <alignment horizontal="left"/>
    </xf>
    <xf numFmtId="0" fontId="6" fillId="16" borderId="1" xfId="0" applyFont="1" applyFill="1" applyBorder="1"/>
    <xf numFmtId="0" fontId="6" fillId="3" borderId="1" xfId="0" applyFont="1" applyFill="1" applyBorder="1" applyAlignment="1">
      <alignment horizontal="left" vertical="center"/>
    </xf>
    <xf numFmtId="16" fontId="6" fillId="5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Continuous"/>
    </xf>
    <xf numFmtId="0" fontId="6" fillId="3" borderId="0" xfId="0" applyFont="1" applyFill="1" applyAlignment="1">
      <alignment horizontal="center"/>
    </xf>
    <xf numFmtId="16" fontId="6" fillId="9" borderId="1" xfId="0" applyNumberFormat="1" applyFont="1" applyFill="1" applyBorder="1" applyAlignment="1">
      <alignment horizontal="left"/>
    </xf>
    <xf numFmtId="165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165" fontId="8" fillId="0" borderId="1" xfId="0" applyNumberFormat="1" applyFont="1" applyBorder="1"/>
    <xf numFmtId="165" fontId="7" fillId="3" borderId="1" xfId="0" applyNumberFormat="1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/>
    <xf numFmtId="1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1" fontId="11" fillId="0" borderId="0" xfId="0" applyNumberFormat="1" applyFont="1"/>
    <xf numFmtId="3" fontId="11" fillId="0" borderId="0" xfId="0" quotePrefix="1" applyNumberFormat="1" applyFont="1" applyAlignment="1">
      <alignment horizontal="center" vertical="center"/>
    </xf>
    <xf numFmtId="0" fontId="11" fillId="18" borderId="0" xfId="0" applyFont="1" applyFill="1"/>
    <xf numFmtId="0" fontId="11" fillId="0" borderId="0" xfId="0" quotePrefix="1" applyFont="1"/>
    <xf numFmtId="0" fontId="11" fillId="10" borderId="0" xfId="0" applyFont="1" applyFill="1"/>
    <xf numFmtId="0" fontId="0" fillId="0" borderId="0" xfId="0" quotePrefix="1"/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0" borderId="0" xfId="0" quotePrefix="1" applyFont="1" applyAlignment="1">
      <alignment horizontal="center" vertical="center"/>
    </xf>
    <xf numFmtId="14" fontId="0" fillId="0" borderId="0" xfId="0" applyNumberFormat="1"/>
    <xf numFmtId="0" fontId="30" fillId="17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0" fillId="17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9" fillId="0" borderId="0" xfId="0" applyFont="1"/>
    <xf numFmtId="0" fontId="0" fillId="10" borderId="0" xfId="0" applyFill="1"/>
    <xf numFmtId="0" fontId="11" fillId="10" borderId="0" xfId="0" applyFont="1" applyFill="1" applyAlignment="1">
      <alignment horizontal="center" vertical="center"/>
    </xf>
    <xf numFmtId="14" fontId="11" fillId="10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11" fillId="10" borderId="0" xfId="0" quotePrefix="1" applyFont="1" applyFill="1" applyAlignment="1">
      <alignment horizontal="center" vertical="center"/>
    </xf>
    <xf numFmtId="165" fontId="11" fillId="10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/>
    </xf>
    <xf numFmtId="0" fontId="20" fillId="0" borderId="0" xfId="0" quotePrefix="1" applyFont="1"/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11" fontId="0" fillId="0" borderId="0" xfId="0" applyNumberFormat="1"/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15" fontId="20" fillId="0" borderId="0" xfId="0" applyNumberFormat="1" applyFont="1"/>
    <xf numFmtId="38" fontId="20" fillId="21" borderId="0" xfId="0" applyNumberFormat="1" applyFont="1" applyFill="1"/>
    <xf numFmtId="0" fontId="11" fillId="0" borderId="0" xfId="6" applyFont="1" applyAlignment="1">
      <alignment horizontal="center"/>
    </xf>
    <xf numFmtId="0" fontId="12" fillId="0" borderId="0" xfId="6" applyFont="1" applyAlignment="1">
      <alignment horizontal="center"/>
    </xf>
    <xf numFmtId="0" fontId="2" fillId="0" borderId="0" xfId="6"/>
    <xf numFmtId="0" fontId="11" fillId="6" borderId="5" xfId="6" applyFont="1" applyFill="1" applyBorder="1" applyAlignment="1">
      <alignment horizontal="center" vertical="center"/>
    </xf>
    <xf numFmtId="0" fontId="11" fillId="6" borderId="6" xfId="6" applyFont="1" applyFill="1" applyBorder="1" applyAlignment="1">
      <alignment horizontal="center" vertical="center"/>
    </xf>
    <xf numFmtId="0" fontId="11" fillId="6" borderId="6" xfId="6" applyFont="1" applyFill="1" applyBorder="1" applyAlignment="1">
      <alignment horizontal="left" vertical="center"/>
    </xf>
    <xf numFmtId="38" fontId="11" fillId="6" borderId="6" xfId="6" applyNumberFormat="1" applyFont="1" applyFill="1" applyBorder="1" applyAlignment="1">
      <alignment horizontal="center" vertical="center"/>
    </xf>
    <xf numFmtId="38" fontId="11" fillId="6" borderId="6" xfId="6" applyNumberFormat="1" applyFont="1" applyFill="1" applyBorder="1" applyAlignment="1">
      <alignment horizontal="right" vertical="center"/>
    </xf>
    <xf numFmtId="38" fontId="11" fillId="6" borderId="7" xfId="6" applyNumberFormat="1" applyFont="1" applyFill="1" applyBorder="1" applyAlignment="1">
      <alignment horizontal="right" vertical="center"/>
    </xf>
    <xf numFmtId="38" fontId="11" fillId="7" borderId="6" xfId="6" applyNumberFormat="1" applyFont="1" applyFill="1" applyBorder="1" applyAlignment="1">
      <alignment horizontal="center" vertical="center"/>
    </xf>
    <xf numFmtId="6" fontId="11" fillId="6" borderId="6" xfId="6" applyNumberFormat="1" applyFont="1" applyFill="1" applyBorder="1" applyAlignment="1">
      <alignment horizontal="center" vertical="center"/>
    </xf>
    <xf numFmtId="0" fontId="11" fillId="0" borderId="0" xfId="6" applyFont="1"/>
    <xf numFmtId="0" fontId="13" fillId="0" borderId="0" xfId="6" applyFont="1" applyAlignment="1">
      <alignment vertical="center"/>
    </xf>
    <xf numFmtId="0" fontId="11" fillId="0" borderId="0" xfId="6" applyFont="1" applyAlignment="1">
      <alignment vertical="center"/>
    </xf>
    <xf numFmtId="38" fontId="11" fillId="0" borderId="0" xfId="6" applyNumberFormat="1" applyFont="1"/>
    <xf numFmtId="38" fontId="11" fillId="0" borderId="0" xfId="6" applyNumberFormat="1" applyFont="1" applyAlignment="1">
      <alignment horizontal="right"/>
    </xf>
    <xf numFmtId="0" fontId="13" fillId="0" borderId="0" xfId="6" applyFont="1"/>
    <xf numFmtId="38" fontId="14" fillId="0" borderId="0" xfId="6" applyNumberFormat="1" applyFont="1"/>
    <xf numFmtId="38" fontId="14" fillId="0" borderId="0" xfId="6" applyNumberFormat="1" applyFont="1" applyAlignment="1">
      <alignment vertical="center" wrapText="1"/>
    </xf>
    <xf numFmtId="38" fontId="12" fillId="0" borderId="0" xfId="6" applyNumberFormat="1" applyFont="1"/>
    <xf numFmtId="0" fontId="12" fillId="0" borderId="0" xfId="6" applyFont="1" applyAlignment="1">
      <alignment vertical="center"/>
    </xf>
    <xf numFmtId="0" fontId="12" fillId="0" borderId="0" xfId="6" applyFont="1"/>
    <xf numFmtId="38" fontId="15" fillId="0" borderId="0" xfId="6" applyNumberFormat="1" applyFont="1"/>
    <xf numFmtId="38" fontId="16" fillId="0" borderId="0" xfId="6" applyNumberFormat="1" applyFont="1" applyAlignment="1">
      <alignment vertical="center" wrapText="1"/>
    </xf>
    <xf numFmtId="0" fontId="17" fillId="0" borderId="0" xfId="6" applyFont="1" applyAlignment="1">
      <alignment horizontal="center"/>
    </xf>
    <xf numFmtId="0" fontId="17" fillId="0" borderId="0" xfId="6" applyFont="1"/>
    <xf numFmtId="0" fontId="17" fillId="0" borderId="0" xfId="6" applyFont="1" applyAlignment="1">
      <alignment vertical="center"/>
    </xf>
    <xf numFmtId="38" fontId="17" fillId="0" borderId="0" xfId="6" applyNumberFormat="1" applyFont="1"/>
    <xf numFmtId="38" fontId="17" fillId="0" borderId="0" xfId="6" applyNumberFormat="1" applyFont="1" applyAlignment="1">
      <alignment horizontal="right"/>
    </xf>
    <xf numFmtId="0" fontId="18" fillId="0" borderId="0" xfId="6" applyFont="1"/>
    <xf numFmtId="0" fontId="11" fillId="0" borderId="0" xfId="6" applyFont="1" applyAlignment="1">
      <alignment horizontal="left" vertical="center"/>
    </xf>
    <xf numFmtId="0" fontId="11" fillId="0" borderId="0" xfId="6" applyFont="1" applyAlignment="1">
      <alignment vertical="center" wrapText="1"/>
    </xf>
    <xf numFmtId="0" fontId="11" fillId="0" borderId="0" xfId="6" applyFont="1" applyAlignment="1">
      <alignment horizontal="left"/>
    </xf>
    <xf numFmtId="38" fontId="19" fillId="0" borderId="0" xfId="6" applyNumberFormat="1" applyFont="1"/>
    <xf numFmtId="0" fontId="6" fillId="0" borderId="0" xfId="6" applyFont="1"/>
    <xf numFmtId="0" fontId="11" fillId="8" borderId="0" xfId="6" applyFont="1" applyFill="1"/>
    <xf numFmtId="38" fontId="11" fillId="9" borderId="0" xfId="6" applyNumberFormat="1" applyFont="1" applyFill="1"/>
    <xf numFmtId="38" fontId="11" fillId="10" borderId="0" xfId="6" applyNumberFormat="1" applyFont="1" applyFill="1"/>
    <xf numFmtId="0" fontId="11" fillId="0" borderId="0" xfId="6" applyFont="1" applyAlignment="1">
      <alignment horizontal="center" vertical="center"/>
    </xf>
    <xf numFmtId="0" fontId="20" fillId="0" borderId="0" xfId="6" applyFont="1" applyAlignment="1">
      <alignment horizontal="center"/>
    </xf>
    <xf numFmtId="0" fontId="20" fillId="0" borderId="0" xfId="6" applyFont="1"/>
    <xf numFmtId="0" fontId="20" fillId="2" borderId="0" xfId="6" applyFont="1" applyFill="1"/>
    <xf numFmtId="0" fontId="20" fillId="0" borderId="0" xfId="6" applyFont="1" applyAlignment="1">
      <alignment wrapText="1"/>
    </xf>
    <xf numFmtId="0" fontId="30" fillId="17" borderId="0" xfId="0" applyFont="1" applyFill="1" applyAlignment="1">
      <alignment vertical="center"/>
    </xf>
    <xf numFmtId="40" fontId="30" fillId="17" borderId="0" xfId="0" applyNumberFormat="1" applyFont="1" applyFill="1" applyAlignment="1">
      <alignment horizontal="center" vertical="center"/>
    </xf>
    <xf numFmtId="40" fontId="27" fillId="10" borderId="0" xfId="0" applyNumberFormat="1" applyFont="1" applyFill="1" applyAlignment="1">
      <alignment horizontal="center" vertical="center"/>
    </xf>
    <xf numFmtId="40" fontId="33" fillId="22" borderId="0" xfId="0" applyNumberFormat="1" applyFont="1" applyFill="1" applyAlignment="1">
      <alignment horizontal="center" vertical="center"/>
    </xf>
    <xf numFmtId="0" fontId="2" fillId="13" borderId="0" xfId="0" applyFont="1" applyFill="1"/>
    <xf numFmtId="14" fontId="20" fillId="0" borderId="0" xfId="0" applyNumberFormat="1" applyFont="1"/>
    <xf numFmtId="0" fontId="20" fillId="0" borderId="0" xfId="0" applyFont="1" applyAlignment="1">
      <alignment horizontal="left"/>
    </xf>
    <xf numFmtId="40" fontId="11" fillId="0" borderId="0" xfId="7" applyNumberFormat="1" applyFont="1" applyFill="1" applyBorder="1" applyAlignment="1">
      <alignment horizontal="right" vertical="center"/>
    </xf>
    <xf numFmtId="40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center" vertical="center"/>
    </xf>
    <xf numFmtId="40" fontId="11" fillId="21" borderId="0" xfId="7" applyNumberFormat="1" applyFont="1" applyFill="1" applyBorder="1" applyAlignment="1">
      <alignment horizontal="right" vertical="center"/>
    </xf>
    <xf numFmtId="40" fontId="11" fillId="20" borderId="0" xfId="7" applyNumberFormat="1" applyFont="1" applyFill="1" applyBorder="1" applyAlignment="1">
      <alignment horizontal="right" vertical="center"/>
    </xf>
    <xf numFmtId="40" fontId="11" fillId="0" borderId="0" xfId="7" applyNumberFormat="1" applyFont="1" applyBorder="1" applyAlignment="1">
      <alignment horizontal="right" vertical="center"/>
    </xf>
    <xf numFmtId="40" fontId="20" fillId="10" borderId="0" xfId="0" applyNumberFormat="1" applyFont="1" applyFill="1" applyAlignment="1">
      <alignment horizontal="right"/>
    </xf>
    <xf numFmtId="40" fontId="11" fillId="10" borderId="0" xfId="7" applyNumberFormat="1" applyFont="1" applyFill="1" applyBorder="1" applyAlignment="1">
      <alignment horizontal="right" vertical="center"/>
    </xf>
    <xf numFmtId="40" fontId="6" fillId="0" borderId="0" xfId="7" applyNumberFormat="1" applyFont="1" applyBorder="1" applyAlignment="1">
      <alignment horizontal="right" vertical="center"/>
    </xf>
    <xf numFmtId="40" fontId="6" fillId="0" borderId="0" xfId="7" applyNumberFormat="1" applyFont="1" applyFill="1" applyBorder="1" applyAlignment="1">
      <alignment horizontal="right" vertical="center"/>
    </xf>
    <xf numFmtId="0" fontId="20" fillId="10" borderId="0" xfId="0" applyFont="1" applyFill="1"/>
    <xf numFmtId="0" fontId="11" fillId="10" borderId="0" xfId="0" applyFont="1" applyFill="1" applyAlignment="1">
      <alignment vertical="center"/>
    </xf>
    <xf numFmtId="14" fontId="20" fillId="0" borderId="0" xfId="0" applyNumberFormat="1" applyFont="1" applyAlignment="1">
      <alignment horizontal="left"/>
    </xf>
    <xf numFmtId="0" fontId="2" fillId="0" borderId="0" xfId="0" applyFont="1"/>
    <xf numFmtId="40" fontId="11" fillId="0" borderId="0" xfId="8" applyNumberFormat="1" applyFont="1" applyFill="1" applyBorder="1" applyAlignment="1">
      <alignment horizontal="right" vertical="center"/>
    </xf>
    <xf numFmtId="14" fontId="20" fillId="0" borderId="0" xfId="0" applyNumberFormat="1" applyFont="1" applyAlignment="1">
      <alignment horizontal="center"/>
    </xf>
    <xf numFmtId="40" fontId="11" fillId="20" borderId="0" xfId="7" applyNumberFormat="1" applyFont="1" applyFill="1" applyAlignment="1">
      <alignment horizontal="right" vertical="center"/>
    </xf>
    <xf numFmtId="40" fontId="11" fillId="0" borderId="0" xfId="7" applyNumberFormat="1" applyFont="1" applyAlignment="1">
      <alignment horizontal="right" vertical="center"/>
    </xf>
    <xf numFmtId="40" fontId="11" fillId="21" borderId="0" xfId="7" applyNumberFormat="1" applyFont="1" applyFill="1" applyAlignment="1">
      <alignment horizontal="right" vertical="center"/>
    </xf>
    <xf numFmtId="0" fontId="20" fillId="0" borderId="0" xfId="0" quotePrefix="1" applyFont="1" applyAlignment="1">
      <alignment horizontal="center" vertical="center"/>
    </xf>
    <xf numFmtId="40" fontId="20" fillId="23" borderId="0" xfId="0" applyNumberFormat="1" applyFont="1" applyFill="1" applyAlignment="1">
      <alignment horizontal="right"/>
    </xf>
    <xf numFmtId="40" fontId="20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center"/>
    </xf>
    <xf numFmtId="14" fontId="20" fillId="10" borderId="0" xfId="0" applyNumberFormat="1" applyFont="1" applyFill="1"/>
    <xf numFmtId="0" fontId="20" fillId="10" borderId="0" xfId="0" applyFont="1" applyFill="1" applyAlignment="1">
      <alignment horizontal="left"/>
    </xf>
    <xf numFmtId="40" fontId="11" fillId="10" borderId="0" xfId="7" applyNumberFormat="1" applyFont="1" applyFill="1" applyAlignment="1">
      <alignment horizontal="right" vertical="center"/>
    </xf>
    <xf numFmtId="11" fontId="11" fillId="10" borderId="0" xfId="0" applyNumberFormat="1" applyFont="1" applyFill="1" applyAlignment="1">
      <alignment horizontal="center" vertical="center"/>
    </xf>
    <xf numFmtId="11" fontId="11" fillId="0" borderId="0" xfId="0" applyNumberFormat="1" applyFont="1" applyAlignment="1">
      <alignment horizontal="center" vertical="center"/>
    </xf>
    <xf numFmtId="14" fontId="20" fillId="8" borderId="0" xfId="0" applyNumberFormat="1" applyFont="1" applyFill="1"/>
    <xf numFmtId="0" fontId="20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 vertical="center"/>
    </xf>
    <xf numFmtId="14" fontId="11" fillId="8" borderId="0" xfId="0" applyNumberFormat="1" applyFont="1" applyFill="1" applyAlignment="1">
      <alignment horizontal="center" vertical="center"/>
    </xf>
    <xf numFmtId="11" fontId="11" fillId="8" borderId="0" xfId="0" applyNumberFormat="1" applyFont="1" applyFill="1" applyAlignment="1">
      <alignment horizontal="center" vertical="center"/>
    </xf>
    <xf numFmtId="40" fontId="6" fillId="0" borderId="0" xfId="7" applyNumberFormat="1" applyFont="1" applyAlignment="1">
      <alignment horizontal="right" vertical="center"/>
    </xf>
    <xf numFmtId="40" fontId="20" fillId="0" borderId="0" xfId="0" applyNumberFormat="1" applyFont="1"/>
    <xf numFmtId="40" fontId="11" fillId="0" borderId="0" xfId="7" applyNumberFormat="1" applyFont="1" applyFill="1" applyBorder="1" applyAlignment="1">
      <alignment horizontal="center" vertical="center"/>
    </xf>
    <xf numFmtId="38" fontId="11" fillId="6" borderId="9" xfId="0" applyNumberFormat="1" applyFont="1" applyFill="1" applyBorder="1" applyAlignment="1">
      <alignment horizontal="center" vertical="center"/>
    </xf>
    <xf numFmtId="38" fontId="35" fillId="0" borderId="0" xfId="0" applyNumberFormat="1" applyFont="1"/>
    <xf numFmtId="38" fontId="20" fillId="0" borderId="0" xfId="9" applyNumberFormat="1" applyFont="1" applyFill="1"/>
    <xf numFmtId="0" fontId="20" fillId="10" borderId="0" xfId="0" applyFont="1" applyFill="1" applyAlignment="1">
      <alignment horizontal="center"/>
    </xf>
    <xf numFmtId="38" fontId="20" fillId="24" borderId="0" xfId="0" applyNumberFormat="1" applyFont="1" applyFill="1"/>
    <xf numFmtId="16" fontId="20" fillId="0" borderId="0" xfId="0" applyNumberFormat="1" applyFont="1"/>
    <xf numFmtId="0" fontId="20" fillId="18" borderId="0" xfId="0" applyFont="1" applyFill="1"/>
    <xf numFmtId="38" fontId="20" fillId="0" borderId="0" xfId="0" applyNumberFormat="1" applyFont="1" applyAlignment="1">
      <alignment wrapText="1"/>
    </xf>
    <xf numFmtId="0" fontId="20" fillId="25" borderId="0" xfId="0" applyFont="1" applyFill="1" applyAlignment="1">
      <alignment horizontal="center"/>
    </xf>
    <xf numFmtId="0" fontId="20" fillId="25" borderId="0" xfId="0" applyFont="1" applyFill="1"/>
    <xf numFmtId="38" fontId="20" fillId="25" borderId="0" xfId="0" applyNumberFormat="1" applyFont="1" applyFill="1"/>
    <xf numFmtId="0" fontId="11" fillId="25" borderId="0" xfId="0" applyFont="1" applyFill="1"/>
    <xf numFmtId="0" fontId="20" fillId="25" borderId="0" xfId="0" applyFont="1" applyFill="1" applyAlignment="1">
      <alignment wrapText="1"/>
    </xf>
    <xf numFmtId="165" fontId="6" fillId="0" borderId="2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</cellXfs>
  <cellStyles count="10">
    <cellStyle name="Millares 2" xfId="2" xr:uid="{C23ADA3E-BBB9-41BE-B42B-0CC6D8B97436}"/>
    <cellStyle name="Millares 3" xfId="5" xr:uid="{C5E18F5C-0E83-427A-9D40-EF176050D0BB}"/>
    <cellStyle name="Millares 4" xfId="8" xr:uid="{654BCB7A-D4AB-4C06-A211-2170B7674142}"/>
    <cellStyle name="Millares 5" xfId="9" xr:uid="{F51303C1-0849-46FE-B4C9-DE135E14F023}"/>
    <cellStyle name="Moneda 2" xfId="1" xr:uid="{65837AD8-FDEC-47D0-8C1B-4619BAD96536}"/>
    <cellStyle name="Moneda 3" xfId="3" xr:uid="{08C2F367-813C-487B-82E0-F95B4EB91CB7}"/>
    <cellStyle name="Moneda 4" xfId="4" xr:uid="{36C13552-6511-4CEF-8D3E-C6A355948B7E}"/>
    <cellStyle name="Moneda 5" xfId="7" xr:uid="{4BAFD180-2D10-4A4B-84E3-E7E206179484}"/>
    <cellStyle name="Normal" xfId="0" builtinId="0"/>
    <cellStyle name="Normal 2" xfId="6" xr:uid="{3995F114-D6E6-4FEB-867C-AA6F411A52D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m05\Downloads\S15_ASHC_BYER_RESULTADOS%20UBER.xlsb" TargetMode="External"/><Relationship Id="rId1" Type="http://schemas.openxmlformats.org/officeDocument/2006/relationships/externalLinkPath" Target="file:///C:\Users\emm05\Downloads\S15_ASHC_BYER_RESULTADOS%20UBER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2bc7db329fb1a6/UBER_SEMANAL/INFORMES/20260216-20260223-payments_order-Arturo_Santiago_Hernandez_Castillo.xlsx" TargetMode="External"/><Relationship Id="rId1" Type="http://schemas.openxmlformats.org/officeDocument/2006/relationships/externalLinkPath" Target="https://d.docs.live.net/2d2bc7db329fb1a6/UBER_SEMANAL/INFORMES/20260216-20260223-payments_order-Arturo_Santiago_Hernandez_Castill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2bc7db329fb1a6/UBER_SEMANAL/INFORMES/20260223-20260302-payments_order-Arturo_Santiago_Hernandez_Castillo.xlsx" TargetMode="External"/><Relationship Id="rId1" Type="http://schemas.openxmlformats.org/officeDocument/2006/relationships/externalLinkPath" Target="https://d.docs.live.net/2d2bc7db329fb1a6/UBER_SEMANAL/INFORMES/20260223-20260302-payments_order-Arturo_Santiago_Hernandez_Castill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m05\Downloads\GASTOS%202026%20ACTUALIZADO.xlsx" TargetMode="External"/><Relationship Id="rId1" Type="http://schemas.openxmlformats.org/officeDocument/2006/relationships/externalLinkPath" Target="file:///C:\Users\emm05\Downloads\GASTOS%202026%20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gloses ASHC"/>
      <sheetName val="Desgloses BYER"/>
      <sheetName val="TD"/>
      <sheetName val="UBER 2026"/>
      <sheetName val="CTRL AUTOS"/>
      <sheetName val="Hoja3"/>
      <sheetName val="HOJALATERÍA"/>
      <sheetName val="DEUDORES BAJAS"/>
      <sheetName val="Hoja2"/>
      <sheetName val="Hoja1"/>
      <sheetName val="CALENDARIO V"/>
      <sheetName val="FIANZAS"/>
      <sheetName val="ACUERDOS"/>
      <sheetName val="MULTAS 2026"/>
      <sheetName val="TAG"/>
      <sheetName val="HOJALPORCONDUCTOR"/>
      <sheetName val="DESCUENTOS CONDUCTORES"/>
      <sheetName val="LISTA"/>
      <sheetName val="SERVICIOS"/>
      <sheetName val="REVISIÓN MECANICA"/>
      <sheetName val="FACTURACIÓN SEMANAL"/>
      <sheetName val="PÓLIZA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DAVID ARTURO GONZALEZ TELLEZ</v>
          </cell>
          <cell r="B4" t="str">
            <v>KIA RIO|2020|GRIS|NCK475B</v>
          </cell>
          <cell r="C4">
            <v>17</v>
          </cell>
          <cell r="D4" t="str">
            <v>SINIESTRO LADO DERECHO</v>
          </cell>
          <cell r="E4">
            <v>16838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-1000</v>
          </cell>
          <cell r="AY4">
            <v>-700</v>
          </cell>
          <cell r="AZ4">
            <v>-700</v>
          </cell>
          <cell r="BA4">
            <v>-500</v>
          </cell>
          <cell r="BB4">
            <v>-700</v>
          </cell>
          <cell r="BC4">
            <v>-500</v>
          </cell>
          <cell r="BD4">
            <v>-700</v>
          </cell>
          <cell r="BE4">
            <v>-500</v>
          </cell>
          <cell r="BF4">
            <v>-700</v>
          </cell>
          <cell r="BG4">
            <v>-500</v>
          </cell>
          <cell r="BH4">
            <v>-6500</v>
          </cell>
          <cell r="BI4">
            <v>10</v>
          </cell>
          <cell r="BK4">
            <v>-700</v>
          </cell>
          <cell r="BL4">
            <v>-500</v>
          </cell>
          <cell r="BM4">
            <v>-700</v>
          </cell>
          <cell r="BN4">
            <v>-500</v>
          </cell>
          <cell r="BO4">
            <v>-700</v>
          </cell>
          <cell r="BP4">
            <v>-500</v>
          </cell>
          <cell r="BQ4">
            <v>-700</v>
          </cell>
          <cell r="BR4">
            <v>-500</v>
          </cell>
        </row>
        <row r="5">
          <cell r="A5" t="str">
            <v>RICARDO HERNANDEZ ARIAS</v>
          </cell>
          <cell r="B5" t="str">
            <v>VENTO|2019|BLANCO|LUE965C</v>
          </cell>
          <cell r="C5">
            <v>13</v>
          </cell>
          <cell r="D5" t="str">
            <v>SINIESTRO LADO DERECHO</v>
          </cell>
          <cell r="E5">
            <v>15765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-1000</v>
          </cell>
          <cell r="AY5">
            <v>-700</v>
          </cell>
          <cell r="AZ5">
            <v>0</v>
          </cell>
          <cell r="BA5">
            <v>-700</v>
          </cell>
          <cell r="BB5">
            <v>-700</v>
          </cell>
          <cell r="BC5">
            <v>-700</v>
          </cell>
          <cell r="BD5">
            <v>-700</v>
          </cell>
          <cell r="BE5">
            <v>-700</v>
          </cell>
          <cell r="BF5">
            <v>-700</v>
          </cell>
          <cell r="BG5">
            <v>-700</v>
          </cell>
          <cell r="BH5">
            <v>-6600</v>
          </cell>
          <cell r="BI5">
            <v>9</v>
          </cell>
          <cell r="BJ5" t="str">
            <v xml:space="preserve"> </v>
          </cell>
          <cell r="BK5">
            <v>-700</v>
          </cell>
          <cell r="BL5">
            <v>-700</v>
          </cell>
          <cell r="BM5">
            <v>-700</v>
          </cell>
          <cell r="BN5">
            <v>-700</v>
          </cell>
          <cell r="BO5">
            <v>-700</v>
          </cell>
          <cell r="BP5">
            <v>-700</v>
          </cell>
          <cell r="BQ5">
            <v>-700</v>
          </cell>
          <cell r="BR5">
            <v>-700</v>
          </cell>
        </row>
        <row r="6">
          <cell r="A6" t="str">
            <v>JONATHAN BERNAL RODRIGUEZ</v>
          </cell>
          <cell r="B6" t="str">
            <v>KIA RIO|2017|ROJO|MYE912A</v>
          </cell>
          <cell r="C6">
            <v>10</v>
          </cell>
          <cell r="D6" t="str">
            <v>TERMINAL, HORQUILLA, BASE DE AMORTIG, AMORTIG, ALINEAC Y 2 PZAS HOJALATERIA</v>
          </cell>
          <cell r="E6">
            <v>7970.8600000000006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-700</v>
          </cell>
          <cell r="BG6">
            <v>-700</v>
          </cell>
          <cell r="BH6">
            <v>-1400</v>
          </cell>
          <cell r="BI6">
            <v>2</v>
          </cell>
          <cell r="BK6">
            <v>0</v>
          </cell>
          <cell r="BL6">
            <v>-700</v>
          </cell>
          <cell r="BM6">
            <v>-700</v>
          </cell>
          <cell r="BN6">
            <v>-700</v>
          </cell>
          <cell r="BO6">
            <v>-700</v>
          </cell>
          <cell r="BP6">
            <v>0</v>
          </cell>
          <cell r="BQ6">
            <v>0</v>
          </cell>
          <cell r="BR6">
            <v>0</v>
          </cell>
        </row>
        <row r="7">
          <cell r="A7" t="str">
            <v>VICTOR HUGO RUIZ CASTILLO</v>
          </cell>
          <cell r="B7" t="str">
            <v>KIA RIO|2020|AZUL|LUE960C</v>
          </cell>
          <cell r="E7">
            <v>1500</v>
          </cell>
          <cell r="BH7">
            <v>0</v>
          </cell>
          <cell r="BI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A8" t="str">
            <v>DAVID ROMERO JAIME</v>
          </cell>
          <cell r="B8" t="str">
            <v>BEAT|2020|GRIS|NFN014B</v>
          </cell>
          <cell r="D8" t="str">
            <v>CAJUELA Y DEFENSA</v>
          </cell>
          <cell r="E8">
            <v>10685</v>
          </cell>
          <cell r="F8" t="str">
            <v xml:space="preserve"> </v>
          </cell>
          <cell r="BH8">
            <v>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-700</v>
          </cell>
          <cell r="BP8">
            <v>-700</v>
          </cell>
          <cell r="BQ8">
            <v>-700</v>
          </cell>
          <cell r="BR8">
            <v>-700</v>
          </cell>
        </row>
        <row r="9">
          <cell r="A9" t="str">
            <v>SAUL DOMINGUEZ VAZQUEZ</v>
          </cell>
          <cell r="B9" t="str">
            <v>VERSA|2020|BLANCO|A35BHD</v>
          </cell>
          <cell r="D9" t="str">
            <v>DEFENSA +CAJUELA</v>
          </cell>
          <cell r="E9">
            <v>3500</v>
          </cell>
          <cell r="BH9">
            <v>0</v>
          </cell>
          <cell r="BI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-700</v>
          </cell>
          <cell r="BP9">
            <v>0</v>
          </cell>
          <cell r="BQ9">
            <v>-700</v>
          </cell>
          <cell r="BR9">
            <v>-700</v>
          </cell>
        </row>
        <row r="10">
          <cell r="A10" t="str">
            <v>YOSHUA JARETH VALDEZ HERNANDEZ</v>
          </cell>
          <cell r="B10" t="str">
            <v>VENTO|2018|AMARILLO|NJJ912C</v>
          </cell>
          <cell r="D10" t="str">
            <v>DIVERSOS ARREGLOS</v>
          </cell>
          <cell r="E10">
            <v>24653.72</v>
          </cell>
          <cell r="BH10">
            <v>0</v>
          </cell>
          <cell r="BI10">
            <v>0</v>
          </cell>
          <cell r="BK10">
            <v>-2100</v>
          </cell>
          <cell r="BL10">
            <v>-3400</v>
          </cell>
          <cell r="BM10">
            <v>0</v>
          </cell>
          <cell r="BN10">
            <v>0</v>
          </cell>
          <cell r="BO10">
            <v>-2500</v>
          </cell>
          <cell r="BP10">
            <v>-2500</v>
          </cell>
          <cell r="BQ10">
            <v>-2500</v>
          </cell>
          <cell r="BR10">
            <v>-2500</v>
          </cell>
        </row>
        <row r="11">
          <cell r="A11" t="str">
            <v>XAVIER ALAN LARA JIMENEZ</v>
          </cell>
          <cell r="B11" t="str">
            <v>AVEO|2025|PERSUASION|MZN057C</v>
          </cell>
          <cell r="D11" t="str">
            <v>CAMARA NICO</v>
          </cell>
          <cell r="E11">
            <v>2500</v>
          </cell>
          <cell r="BH11">
            <v>0</v>
          </cell>
          <cell r="BI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-500</v>
          </cell>
          <cell r="BR11">
            <v>-500</v>
          </cell>
        </row>
        <row r="12">
          <cell r="A12" t="str">
            <v>SERGIO BALDERAS BAEZ</v>
          </cell>
          <cell r="B12" t="str">
            <v>AVEO|2022|AZUL|NZY685B</v>
          </cell>
          <cell r="D12" t="str">
            <v>VARIOS VER ANEXO</v>
          </cell>
          <cell r="E12">
            <v>6707</v>
          </cell>
          <cell r="BH12">
            <v>0</v>
          </cell>
          <cell r="BI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-2000</v>
          </cell>
          <cell r="BR12">
            <v>0</v>
          </cell>
        </row>
        <row r="13">
          <cell r="A13" t="str">
            <v>RAFAEL HUERTA MONDRAGON</v>
          </cell>
          <cell r="B13" t="str">
            <v>AVEO|2022|VINO|P62BHW</v>
          </cell>
          <cell r="D13" t="str">
            <v>2 GOLPES VER ANEXO</v>
          </cell>
          <cell r="E13">
            <v>8700</v>
          </cell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A14" t="str">
            <v>YANIZ MANUEL SILVA PUPO</v>
          </cell>
          <cell r="B14" t="str">
            <v>VENTO|2020|GRIS|NES586C</v>
          </cell>
          <cell r="D14" t="str">
            <v>DEFENSA</v>
          </cell>
          <cell r="E14">
            <v>2000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A15" t="str">
            <v>DIEGO ISAID PULIDO</v>
          </cell>
          <cell r="D15" t="str">
            <v>ESPEJO</v>
          </cell>
        </row>
        <row r="16">
          <cell r="A16" t="str">
            <v>FERNANDO FUENTES OTERO</v>
          </cell>
          <cell r="B16" t="str">
            <v>KIA RIO|2020|ROJO|MFP751C</v>
          </cell>
          <cell r="C16">
            <v>5</v>
          </cell>
          <cell r="D16" t="str">
            <v>DOS GOLPES+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3000</v>
          </cell>
          <cell r="BF16">
            <v>0</v>
          </cell>
          <cell r="BG16">
            <v>0</v>
          </cell>
          <cell r="BH16">
            <v>3000</v>
          </cell>
          <cell r="BI16">
            <v>0</v>
          </cell>
          <cell r="BK16">
            <v>0</v>
          </cell>
          <cell r="BL16">
            <v>-500</v>
          </cell>
          <cell r="BM16">
            <v>-500</v>
          </cell>
          <cell r="BN16">
            <v>-500</v>
          </cell>
          <cell r="BO16">
            <v>-500</v>
          </cell>
        </row>
        <row r="17">
          <cell r="A17" t="str">
            <v>CAMILO IESUA MEJIA DIAZ</v>
          </cell>
          <cell r="B17" t="str">
            <v>KIA RIO|2020|GRIS|NCK475B</v>
          </cell>
          <cell r="D17" t="str">
            <v>VARIOS VER ANEXO</v>
          </cell>
          <cell r="E17">
            <v>7450</v>
          </cell>
          <cell r="BH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A18" t="str">
            <v>FRANCISCO ISLAS CHAVEZ</v>
          </cell>
          <cell r="B18" t="str">
            <v>AVEO|2024|GRIS|LRL009C</v>
          </cell>
          <cell r="D18" t="str">
            <v xml:space="preserve">FASCIA DELANTERA </v>
          </cell>
          <cell r="E18">
            <v>10500</v>
          </cell>
          <cell r="BH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-700</v>
          </cell>
        </row>
        <row r="19">
          <cell r="A19" t="str">
            <v>ADOLFO ANGEL ESTRADA RODRIGUEZ</v>
          </cell>
          <cell r="B19" t="str">
            <v>AVEO|2024|GRIS|LRL009C</v>
          </cell>
          <cell r="E19">
            <v>4900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A20" t="str">
            <v>JOSE LUIS PEDRAZA AVILA</v>
          </cell>
          <cell r="D20" t="str">
            <v>2 piezas</v>
          </cell>
          <cell r="E20">
            <v>4000</v>
          </cell>
        </row>
        <row r="21">
          <cell r="A21" t="str">
            <v>RAUL FRANCISCO VAZQUEZ CORTE</v>
          </cell>
          <cell r="B21" t="str">
            <v>VENTO|2017|GRIS|MMA672C</v>
          </cell>
          <cell r="C21">
            <v>7</v>
          </cell>
          <cell r="D21" t="str">
            <v>FASCIA TRASERA + CALABERA+ESPEJO+RETROVISOR</v>
          </cell>
          <cell r="E21">
            <v>3500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</v>
          </cell>
          <cell r="BL21">
            <v>-500</v>
          </cell>
          <cell r="BM21">
            <v>-500</v>
          </cell>
          <cell r="BN21">
            <v>-500</v>
          </cell>
          <cell r="BO21">
            <v>-500</v>
          </cell>
        </row>
        <row r="22">
          <cell r="A22" t="str">
            <v>RUBI ROBLES SALMERON</v>
          </cell>
          <cell r="B22" t="str">
            <v>BEAT|2020|GRIS|NFN014B</v>
          </cell>
          <cell r="C22" t="str">
            <v>PND</v>
          </cell>
          <cell r="D22" t="str">
            <v>GOLPE DE 2 PUERTAS</v>
          </cell>
          <cell r="E22">
            <v>3000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A23" t="str">
            <v>ALFONSO GONZALEZ MORALES</v>
          </cell>
          <cell r="B23" t="str">
            <v>AVEO|2020|AZUL|D28BET</v>
          </cell>
          <cell r="C23" t="str">
            <v>?</v>
          </cell>
          <cell r="D23" t="str">
            <v>DEPOSITO ANTIC</v>
          </cell>
          <cell r="E23">
            <v>1170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A24" t="str">
            <v>BRYAN OMAR HERNANDEZ ANTUNEZ</v>
          </cell>
          <cell r="B24" t="str">
            <v>BEAT|2019|OCRE|MAY730C</v>
          </cell>
          <cell r="D24" t="str">
            <v>LLANTA</v>
          </cell>
          <cell r="E24">
            <v>1000</v>
          </cell>
          <cell r="BH24">
            <v>0</v>
          </cell>
          <cell r="BI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A25" t="str">
            <v>SALVADOR REGALADO CORDOVA</v>
          </cell>
          <cell r="B25" t="str">
            <v>AVEO|2022|AZUL|NZY685B</v>
          </cell>
          <cell r="D25" t="str">
            <v>PARABRISAS</v>
          </cell>
          <cell r="E25">
            <v>440</v>
          </cell>
          <cell r="BH25">
            <v>0</v>
          </cell>
          <cell r="BI25">
            <v>0</v>
          </cell>
        </row>
        <row r="26">
          <cell r="A26" t="str">
            <v>ADALBERTO BELLO NAVARRO</v>
          </cell>
          <cell r="B26" t="str">
            <v>AVEO|2025|PERSUASION|MXM510C</v>
          </cell>
          <cell r="D26" t="str">
            <v>2 GOLPES ABAJO Y TAPETES</v>
          </cell>
          <cell r="E26">
            <v>4900</v>
          </cell>
          <cell r="BH26">
            <v>0</v>
          </cell>
          <cell r="BI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A27" t="str">
            <v>JOSE LUIS HERNANDEZ MEDINA</v>
          </cell>
          <cell r="B27" t="str">
            <v>AVEO|2018|GRIS|X59AWG</v>
          </cell>
          <cell r="C27">
            <v>4</v>
          </cell>
          <cell r="D27" t="str">
            <v>RASPON DE 7 PIEZAS</v>
          </cell>
          <cell r="E27">
            <v>10500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-700</v>
          </cell>
          <cell r="AX27">
            <v>-700</v>
          </cell>
          <cell r="AY27">
            <v>-700</v>
          </cell>
          <cell r="AZ27">
            <v>-700</v>
          </cell>
          <cell r="BA27">
            <v>-700</v>
          </cell>
          <cell r="BB27">
            <v>-700</v>
          </cell>
          <cell r="BC27">
            <v>-700</v>
          </cell>
          <cell r="BD27">
            <v>-700</v>
          </cell>
          <cell r="BE27">
            <v>-700</v>
          </cell>
          <cell r="BF27">
            <v>-700</v>
          </cell>
          <cell r="BG27">
            <v>-700</v>
          </cell>
          <cell r="BH27">
            <v>-7700</v>
          </cell>
          <cell r="BI27">
            <v>11</v>
          </cell>
          <cell r="BK27">
            <v>-700</v>
          </cell>
          <cell r="BL27">
            <v>-950</v>
          </cell>
          <cell r="BM27">
            <v>-700</v>
          </cell>
          <cell r="BN27">
            <v>-700</v>
          </cell>
          <cell r="BO27">
            <v>250</v>
          </cell>
        </row>
        <row r="28">
          <cell r="A28" t="str">
            <v>ARMANDO MARTINEZ VELAZQUEZ</v>
          </cell>
          <cell r="B28" t="str">
            <v>HYUNDAI|2022|PLATA|D40BKD</v>
          </cell>
          <cell r="C28">
            <v>4</v>
          </cell>
          <cell r="D28" t="str">
            <v>2 GOLPES</v>
          </cell>
          <cell r="E28">
            <v>3000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-600</v>
          </cell>
          <cell r="BH28">
            <v>-600</v>
          </cell>
          <cell r="BI28">
            <v>1</v>
          </cell>
          <cell r="BK28">
            <v>-600</v>
          </cell>
          <cell r="BL28">
            <v>0</v>
          </cell>
          <cell r="BM28">
            <v>-600</v>
          </cell>
          <cell r="BN28">
            <v>-600</v>
          </cell>
          <cell r="BO28">
            <v>-600</v>
          </cell>
        </row>
        <row r="29">
          <cell r="A29" t="str">
            <v>ALFONSO GONZALEZ MORALES</v>
          </cell>
          <cell r="B29" t="str">
            <v>AVEO|2020|AZUL|D28BET</v>
          </cell>
          <cell r="C29">
            <v>14</v>
          </cell>
          <cell r="D29" t="str">
            <v>FASCIA DELANTERA, TRASERA Y CALAVERA</v>
          </cell>
          <cell r="E29">
            <v>4900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-700</v>
          </cell>
          <cell r="BD29">
            <v>-700</v>
          </cell>
          <cell r="BE29">
            <v>-700</v>
          </cell>
          <cell r="BF29">
            <v>-700</v>
          </cell>
          <cell r="BG29">
            <v>-700</v>
          </cell>
          <cell r="BH29">
            <v>-3500</v>
          </cell>
          <cell r="BI29">
            <v>5</v>
          </cell>
          <cell r="BK29">
            <v>-700</v>
          </cell>
          <cell r="BL29">
            <v>-700</v>
          </cell>
          <cell r="BM29">
            <v>0</v>
          </cell>
          <cell r="BN29">
            <v>0</v>
          </cell>
          <cell r="BO29">
            <v>0</v>
          </cell>
        </row>
        <row r="30">
          <cell r="A30" t="str">
            <v>RUBI ROBLES SALMERON</v>
          </cell>
          <cell r="B30" t="str">
            <v>VERSA|2021|BLANCO|MEE228C</v>
          </cell>
          <cell r="C30">
            <v>6</v>
          </cell>
          <cell r="D30" t="str">
            <v>GOLPE DE 2 PUERTAS Y DOS SALPICADERAS</v>
          </cell>
          <cell r="E30">
            <v>4500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-500</v>
          </cell>
          <cell r="BC30">
            <v>-500</v>
          </cell>
          <cell r="BD30">
            <v>-500</v>
          </cell>
          <cell r="BE30">
            <v>-500</v>
          </cell>
          <cell r="BF30">
            <v>-500</v>
          </cell>
          <cell r="BG30">
            <v>-500</v>
          </cell>
          <cell r="BH30">
            <v>-3000</v>
          </cell>
          <cell r="BI30">
            <v>6</v>
          </cell>
          <cell r="BK30">
            <v>-500</v>
          </cell>
          <cell r="BL30">
            <v>-500</v>
          </cell>
          <cell r="BM30">
            <v>-500</v>
          </cell>
          <cell r="BN30">
            <v>0</v>
          </cell>
          <cell r="BO30">
            <v>0</v>
          </cell>
        </row>
        <row r="31">
          <cell r="A31" t="str">
            <v>ALFONSO GONZALEZ MORALES</v>
          </cell>
          <cell r="B31" t="str">
            <v>SWIFT|2017|ROJO|X89ALV</v>
          </cell>
          <cell r="C31">
            <v>2</v>
          </cell>
          <cell r="D31" t="str">
            <v>FASCIA DELANTERA, TRASERA Y CALABERA</v>
          </cell>
          <cell r="E31">
            <v>4900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-500</v>
          </cell>
          <cell r="AJ31">
            <v>-500</v>
          </cell>
          <cell r="AK31">
            <v>-500</v>
          </cell>
          <cell r="AL31">
            <v>-500</v>
          </cell>
          <cell r="AM31">
            <v>-500</v>
          </cell>
          <cell r="AN31">
            <v>-500</v>
          </cell>
          <cell r="AO31">
            <v>-500</v>
          </cell>
          <cell r="AP31">
            <v>-500</v>
          </cell>
          <cell r="AQ31">
            <v>-500</v>
          </cell>
          <cell r="AR31">
            <v>-400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-4900</v>
          </cell>
          <cell r="BI31">
            <v>10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A32" t="str">
            <v>ADOLFO LOPEZ MARTINEZ</v>
          </cell>
          <cell r="B32" t="str">
            <v>AVEO|2022|AZUL|NZY685B</v>
          </cell>
          <cell r="C32">
            <v>10</v>
          </cell>
          <cell r="E32">
            <v>5000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-500</v>
          </cell>
          <cell r="AJ32">
            <v>-500</v>
          </cell>
          <cell r="AK32">
            <v>-500</v>
          </cell>
          <cell r="AL32">
            <v>-500</v>
          </cell>
          <cell r="AM32">
            <v>-500</v>
          </cell>
          <cell r="AN32">
            <v>-500</v>
          </cell>
          <cell r="AO32">
            <v>-500</v>
          </cell>
          <cell r="AP32">
            <v>-500</v>
          </cell>
          <cell r="AQ32">
            <v>-500</v>
          </cell>
          <cell r="AR32">
            <v>-500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-5000</v>
          </cell>
          <cell r="BI32">
            <v>10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A33" t="str">
            <v>RAUL FRANCISCO VAZQUEZ CORTE</v>
          </cell>
          <cell r="B33" t="str">
            <v>VERSA|2023|PLATA|NCT814A</v>
          </cell>
          <cell r="C33">
            <v>1</v>
          </cell>
          <cell r="D33" t="str">
            <v>DEFENSA TRASERA + DETALLES</v>
          </cell>
          <cell r="E33">
            <v>5000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-500</v>
          </cell>
          <cell r="AZ33">
            <v>-500</v>
          </cell>
          <cell r="BA33">
            <v>-500</v>
          </cell>
          <cell r="BB33">
            <v>-500</v>
          </cell>
          <cell r="BC33">
            <v>-500</v>
          </cell>
          <cell r="BD33">
            <v>-500</v>
          </cell>
          <cell r="BE33">
            <v>-500</v>
          </cell>
          <cell r="BF33">
            <v>-500</v>
          </cell>
          <cell r="BG33">
            <v>-500</v>
          </cell>
          <cell r="BH33">
            <v>-4500</v>
          </cell>
          <cell r="BI33">
            <v>9</v>
          </cell>
          <cell r="BK33">
            <v>-500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A34" t="str">
            <v>JUAN FERNANDO GUTIERREZ FELIX</v>
          </cell>
          <cell r="B34" t="str">
            <v>AVEO|2018|ROJO|R51BKD</v>
          </cell>
          <cell r="C34">
            <v>9</v>
          </cell>
          <cell r="E34">
            <v>4500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-600</v>
          </cell>
          <cell r="BH34">
            <v>-600</v>
          </cell>
          <cell r="BI34">
            <v>1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A35" t="str">
            <v>JOSE GUADALUPE GARCIA MORALES</v>
          </cell>
          <cell r="B35" t="str">
            <v>MARCH|2020|TURQ|N15BKD</v>
          </cell>
          <cell r="C35">
            <v>10</v>
          </cell>
          <cell r="E35">
            <v>5250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-660</v>
          </cell>
          <cell r="AH35">
            <v>-660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-1320</v>
          </cell>
          <cell r="BI35">
            <v>2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A36" t="str">
            <v>JOSE JUAN HERNANDEZ MEJIA</v>
          </cell>
          <cell r="B36" t="str">
            <v>VERSA|2017|ACERO|X24APU</v>
          </cell>
          <cell r="C36">
            <v>4</v>
          </cell>
          <cell r="E36">
            <v>2000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-500</v>
          </cell>
          <cell r="AK36">
            <v>-500</v>
          </cell>
          <cell r="AL36">
            <v>-500</v>
          </cell>
          <cell r="AM36">
            <v>-500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-2000</v>
          </cell>
          <cell r="BI36">
            <v>4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A37" t="str">
            <v>JAIME VALENCIA</v>
          </cell>
          <cell r="B37" t="str">
            <v>VENTO|2018|AMARILLO|PED1652</v>
          </cell>
          <cell r="C37">
            <v>3</v>
          </cell>
          <cell r="E37">
            <v>1500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-428</v>
          </cell>
          <cell r="AQ37">
            <v>-572</v>
          </cell>
          <cell r="AR37">
            <v>-500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-1500</v>
          </cell>
          <cell r="BI37">
            <v>3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OSCAR BLANCAS NORIEGA</v>
          </cell>
          <cell r="B38" t="str">
            <v>VENTO|2017|GRIS|MMA672C</v>
          </cell>
          <cell r="C38">
            <v>3</v>
          </cell>
          <cell r="E38">
            <v>1500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LUIS JOARI RODRIGUEZ ZUÑIGA</v>
          </cell>
          <cell r="B39" t="str">
            <v>BEAT|2019|OCRE|MAY730C</v>
          </cell>
          <cell r="D39" t="str">
            <v>GOLPE DE FASIA</v>
          </cell>
          <cell r="E39">
            <v>1500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-1500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-1500</v>
          </cell>
          <cell r="BI39">
            <v>1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A40" t="str">
            <v>DAVID ARTURO GONZALEZ TELLEZ</v>
          </cell>
          <cell r="B40" t="str">
            <v>MARCH|2021|ROJO|NZU5163</v>
          </cell>
          <cell r="C40">
            <v>4</v>
          </cell>
          <cell r="E40">
            <v>1500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-500</v>
          </cell>
          <cell r="AV40">
            <v>-500</v>
          </cell>
          <cell r="AW40">
            <v>-500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-1500</v>
          </cell>
          <cell r="BI40">
            <v>3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A41" t="str">
            <v>JOSE GUILLERMO HERNANDEZ RAMIREZ</v>
          </cell>
          <cell r="B41" t="str">
            <v>AVEO|2022|AZUL|MUF515A</v>
          </cell>
          <cell r="D41" t="str">
            <v>GOLPE DE 3 PUERTAS</v>
          </cell>
          <cell r="E41">
            <v>4500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-700</v>
          </cell>
          <cell r="AZ41">
            <v>0</v>
          </cell>
          <cell r="BA41">
            <v>-500</v>
          </cell>
          <cell r="BB41">
            <v>-700</v>
          </cell>
          <cell r="BC41">
            <v>-500</v>
          </cell>
          <cell r="BD41">
            <v>-700</v>
          </cell>
          <cell r="BE41">
            <v>-500</v>
          </cell>
          <cell r="BF41">
            <v>-500</v>
          </cell>
          <cell r="BG41">
            <v>-400</v>
          </cell>
          <cell r="BH41">
            <v>-4500</v>
          </cell>
          <cell r="BI41">
            <v>8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EDGAR DAMIAN MARTINEZ</v>
          </cell>
          <cell r="B42" t="str">
            <v>AVEO|2019|PLATA|NEL860A</v>
          </cell>
          <cell r="C42">
            <v>10</v>
          </cell>
          <cell r="E42">
            <v>5000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-500</v>
          </cell>
          <cell r="AB42">
            <v>-500</v>
          </cell>
          <cell r="AC42">
            <v>-500</v>
          </cell>
          <cell r="AD42">
            <v>-500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-2000</v>
          </cell>
          <cell r="BI42">
            <v>4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IVAN MOGUEL PULIDO</v>
          </cell>
          <cell r="B43" t="str">
            <v>KIA RIO|2023|ROJO|H99BLC</v>
          </cell>
          <cell r="C43">
            <v>1</v>
          </cell>
          <cell r="E43">
            <v>2900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-2900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-2900</v>
          </cell>
          <cell r="BI43">
            <v>1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A44" t="str">
            <v>JOSE DE JESUS PEREZ GARCIA</v>
          </cell>
          <cell r="B44" t="str">
            <v>VENTO|2018|AMARILLO|PED1652</v>
          </cell>
          <cell r="C44">
            <v>8</v>
          </cell>
          <cell r="E44">
            <v>3800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-500</v>
          </cell>
          <cell r="AD44">
            <v>-500</v>
          </cell>
          <cell r="AE44">
            <v>-500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-1500</v>
          </cell>
          <cell r="BI44">
            <v>3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A45" t="str">
            <v>IVAN MOGUEL PULIDO</v>
          </cell>
          <cell r="B45" t="str">
            <v>KIA RIO|2023|ROJO|H99BLC</v>
          </cell>
          <cell r="C45" t="str">
            <v>-</v>
          </cell>
          <cell r="D45" t="str">
            <v>GOLPE 3 PIEZAS FASIA TRASERA, DELANTERA Y SALPICADERA IZQ</v>
          </cell>
          <cell r="E45">
            <v>4500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-700</v>
          </cell>
          <cell r="AY45">
            <v>-700</v>
          </cell>
          <cell r="AZ45">
            <v>-700</v>
          </cell>
          <cell r="BA45">
            <v>-700</v>
          </cell>
          <cell r="BB45">
            <v>-700</v>
          </cell>
          <cell r="BC45">
            <v>-700</v>
          </cell>
          <cell r="BD45">
            <v>-700</v>
          </cell>
          <cell r="BE45">
            <v>-700</v>
          </cell>
          <cell r="BF45">
            <v>0</v>
          </cell>
          <cell r="BG45">
            <v>0</v>
          </cell>
          <cell r="BH45">
            <v>-5600</v>
          </cell>
          <cell r="BI45">
            <v>8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A46" t="str">
            <v>ADOLFO LOPEZ MARTINEZ</v>
          </cell>
          <cell r="B46" t="str">
            <v>AVEO|2021|OCRE|NEB156A</v>
          </cell>
          <cell r="C46">
            <v>9</v>
          </cell>
          <cell r="E46">
            <v>4500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-500</v>
          </cell>
          <cell r="AA46">
            <v>-500</v>
          </cell>
          <cell r="AB46">
            <v>-500</v>
          </cell>
          <cell r="AC46">
            <v>-500</v>
          </cell>
          <cell r="AD46">
            <v>-500</v>
          </cell>
          <cell r="AE46">
            <v>-500</v>
          </cell>
          <cell r="AF46">
            <v>-500</v>
          </cell>
          <cell r="AG46">
            <v>-500</v>
          </cell>
          <cell r="AH46">
            <v>-500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-4500</v>
          </cell>
          <cell r="BI46">
            <v>9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A47" t="str">
            <v>IVAN MOGUEL PULIDO</v>
          </cell>
          <cell r="B47" t="str">
            <v>VERSA|2023|PLATA|NCT814A</v>
          </cell>
          <cell r="C47">
            <v>3</v>
          </cell>
          <cell r="E47">
            <v>1937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-650</v>
          </cell>
          <cell r="AG47">
            <v>-650</v>
          </cell>
          <cell r="AH47">
            <v>-650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-1950</v>
          </cell>
          <cell r="BI47">
            <v>3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IVAN MOGUEL PULIDO</v>
          </cell>
          <cell r="B48" t="str">
            <v>VERSA|2023|PLATA|NCT814A</v>
          </cell>
          <cell r="C48">
            <v>4</v>
          </cell>
          <cell r="E48">
            <v>4000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-1000</v>
          </cell>
          <cell r="W48">
            <v>-1000</v>
          </cell>
          <cell r="X48">
            <v>-1000</v>
          </cell>
          <cell r="Y48">
            <v>-1000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-4000</v>
          </cell>
          <cell r="BI48">
            <v>4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MANUEL GARCIA MARTINEZ</v>
          </cell>
          <cell r="B49" t="str">
            <v>AVEO|2018|GRIS|X59AWG</v>
          </cell>
          <cell r="C49">
            <v>4</v>
          </cell>
          <cell r="E49">
            <v>2000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-500</v>
          </cell>
          <cell r="AA49">
            <v>-500</v>
          </cell>
          <cell r="AB49">
            <v>-500</v>
          </cell>
          <cell r="AC49">
            <v>-500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-2000</v>
          </cell>
          <cell r="BI49">
            <v>4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20260216-20260223-payments_orde"/>
    </sheetNames>
    <sheetDataSet>
      <sheetData sheetId="0">
        <row r="41">
          <cell r="L41" t="str">
            <v>ADALBERTO BELLO NAVARRO</v>
          </cell>
          <cell r="M41" t="str">
            <v>Adalberto</v>
          </cell>
          <cell r="N41" t="str">
            <v>Bello Navarro</v>
          </cell>
          <cell r="O41">
            <v>4575.55</v>
          </cell>
          <cell r="P41">
            <v>6369.920000000001</v>
          </cell>
          <cell r="Q41">
            <v>-1794.37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L42" t="str">
            <v>ADOLFO ANGEL ESTRADA RODRIGUEZ</v>
          </cell>
          <cell r="M42" t="str">
            <v>ADOLFO ANGEL</v>
          </cell>
          <cell r="N42" t="str">
            <v>ESTRADA RODRIGUEZ</v>
          </cell>
          <cell r="O42">
            <v>2858.5499999999988</v>
          </cell>
          <cell r="P42">
            <v>4807.45</v>
          </cell>
          <cell r="Q42">
            <v>-1948.9000000000003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L43" t="str">
            <v>ADRIAN CRUZ CUADROS</v>
          </cell>
          <cell r="M43" t="str">
            <v>Adrian</v>
          </cell>
          <cell r="N43" t="str">
            <v>Cruz</v>
          </cell>
          <cell r="O43">
            <v>7192.0999999999995</v>
          </cell>
          <cell r="P43">
            <v>7192.0999999999985</v>
          </cell>
          <cell r="Q43">
            <v>0</v>
          </cell>
          <cell r="R43">
            <v>0</v>
          </cell>
          <cell r="S43">
            <v>0</v>
          </cell>
          <cell r="T43">
            <v>-12</v>
          </cell>
          <cell r="U43">
            <v>-1.44</v>
          </cell>
        </row>
        <row r="44">
          <cell r="L44" t="str">
            <v>XAVIER ALAN LARA JIMENEZ</v>
          </cell>
          <cell r="M44" t="str">
            <v>Alan</v>
          </cell>
          <cell r="N44" t="str">
            <v>Lara</v>
          </cell>
          <cell r="O44">
            <v>1859.6899999999996</v>
          </cell>
          <cell r="P44">
            <v>1859.6900000000003</v>
          </cell>
          <cell r="Q44">
            <v>0</v>
          </cell>
          <cell r="R44">
            <v>0</v>
          </cell>
          <cell r="S44">
            <v>0</v>
          </cell>
          <cell r="T44">
            <v>-108</v>
          </cell>
          <cell r="U44">
            <v>-12.959999999999999</v>
          </cell>
        </row>
        <row r="45">
          <cell r="L45" t="str">
            <v>ALBERTO ARRIAGA MEJIA</v>
          </cell>
          <cell r="M45" t="str">
            <v>ALBERTO</v>
          </cell>
          <cell r="N45" t="str">
            <v>Arriaga</v>
          </cell>
          <cell r="O45">
            <v>881.18999999999983</v>
          </cell>
          <cell r="P45">
            <v>881.18999999999983</v>
          </cell>
          <cell r="Q45">
            <v>0</v>
          </cell>
          <cell r="R45">
            <v>0</v>
          </cell>
          <cell r="S45">
            <v>0</v>
          </cell>
          <cell r="T45">
            <v>-106.62</v>
          </cell>
          <cell r="U45">
            <v>-12.7944</v>
          </cell>
        </row>
        <row r="46">
          <cell r="L46" t="str">
            <v>ALEJANDRA URBAN VALENCIA</v>
          </cell>
          <cell r="M46" t="str">
            <v>ALEJANDRA</v>
          </cell>
          <cell r="N46" t="str">
            <v>URBAN VALENCIA</v>
          </cell>
          <cell r="O46">
            <v>3192.8599999999988</v>
          </cell>
          <cell r="P46">
            <v>3609.7799999999993</v>
          </cell>
          <cell r="Q46">
            <v>-416.92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L47" t="str">
            <v>ANA YAEL RAMIREZ VELASCO</v>
          </cell>
          <cell r="M47" t="str">
            <v>ANA YAEL</v>
          </cell>
          <cell r="N47" t="str">
            <v>RAMIREZ VELASCO</v>
          </cell>
          <cell r="O47">
            <v>3864.5400000000009</v>
          </cell>
          <cell r="P47">
            <v>4488.5500000000011</v>
          </cell>
          <cell r="Q47">
            <v>-624.01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L48" t="str">
            <v>ANGEL ALCANTARA CRUZ</v>
          </cell>
          <cell r="M48" t="str">
            <v>Angel</v>
          </cell>
          <cell r="N48" t="str">
            <v>Alcantara</v>
          </cell>
          <cell r="O48">
            <v>2274.2799999999997</v>
          </cell>
          <cell r="P48">
            <v>3670.8199999999997</v>
          </cell>
          <cell r="Q48">
            <v>-1396.5400000000004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L49" t="str">
            <v>ANTONIO GUZMAN BARRON</v>
          </cell>
          <cell r="M49" t="str">
            <v>ANTONIO</v>
          </cell>
          <cell r="N49" t="str">
            <v>GUZMAN BARRON</v>
          </cell>
          <cell r="O49">
            <v>404</v>
          </cell>
          <cell r="P49">
            <v>404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L50" t="str">
            <v>ARMANDO CARDENAS TRUJILLO</v>
          </cell>
          <cell r="M50" t="str">
            <v>Armando</v>
          </cell>
          <cell r="N50" t="str">
            <v>Cardenas Trujillo</v>
          </cell>
          <cell r="O50">
            <v>3608.1999999999989</v>
          </cell>
          <cell r="P50">
            <v>5089.3299999999981</v>
          </cell>
          <cell r="Q50">
            <v>-1481.13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L51" t="str">
            <v>ARMANDO MARTINEZ VELAZQUEZ</v>
          </cell>
          <cell r="M51" t="str">
            <v>Armando</v>
          </cell>
          <cell r="N51" t="str">
            <v>Martinez Velazquez</v>
          </cell>
          <cell r="O51">
            <v>6514.5600000000013</v>
          </cell>
          <cell r="P51">
            <v>6842.7799999999988</v>
          </cell>
          <cell r="Q51">
            <v>-291.93</v>
          </cell>
          <cell r="R51">
            <v>-28</v>
          </cell>
          <cell r="S51">
            <v>-64.29000000000002</v>
          </cell>
          <cell r="T51">
            <v>0</v>
          </cell>
          <cell r="U51">
            <v>0</v>
          </cell>
        </row>
        <row r="52">
          <cell r="L52">
            <v>0</v>
          </cell>
          <cell r="M52" t="str">
            <v>Arturo Santiago</v>
          </cell>
          <cell r="N52" t="str">
            <v>Hernandez Castillo</v>
          </cell>
          <cell r="O52">
            <v>-2363.35</v>
          </cell>
          <cell r="P52">
            <v>-2363.35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L53" t="str">
            <v>BRYAN OMAR HERNANDEZ ANTUNEZ</v>
          </cell>
          <cell r="M53" t="str">
            <v>Bryan Omar</v>
          </cell>
          <cell r="N53" t="str">
            <v>Hernandez</v>
          </cell>
          <cell r="O53">
            <v>9553.1400000000031</v>
          </cell>
          <cell r="P53">
            <v>11502.539999999999</v>
          </cell>
          <cell r="Q53">
            <v>-2065.4</v>
          </cell>
          <cell r="R53">
            <v>-116</v>
          </cell>
          <cell r="S53">
            <v>0</v>
          </cell>
          <cell r="T53">
            <v>0</v>
          </cell>
          <cell r="U53">
            <v>0</v>
          </cell>
        </row>
        <row r="54">
          <cell r="L54" t="str">
            <v>CAMILO IESUA MEJIA DIAZ</v>
          </cell>
          <cell r="M54" t="str">
            <v>CAMILO IESUA</v>
          </cell>
          <cell r="N54" t="str">
            <v>iesua</v>
          </cell>
          <cell r="O54">
            <v>2060.1799999999998</v>
          </cell>
          <cell r="P54">
            <v>3135.6099999999997</v>
          </cell>
          <cell r="Q54">
            <v>-1075.43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L55" t="str">
            <v>CESAR AXEL SANTIAGO GARCIA</v>
          </cell>
          <cell r="M55" t="str">
            <v>Cesar Axel</v>
          </cell>
          <cell r="N55" t="str">
            <v>Santiago Garcia</v>
          </cell>
          <cell r="O55">
            <v>77.089999999999989</v>
          </cell>
          <cell r="P55">
            <v>77.09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L56" t="str">
            <v>CRISTIAN HERNANDEZ MUNGUIA</v>
          </cell>
          <cell r="M56" t="str">
            <v>Cristian</v>
          </cell>
          <cell r="N56" t="str">
            <v>Hernandez Munguia</v>
          </cell>
          <cell r="O56">
            <v>6149.3600000000033</v>
          </cell>
          <cell r="P56">
            <v>6085.3600000000006</v>
          </cell>
          <cell r="Q56">
            <v>0</v>
          </cell>
          <cell r="R56">
            <v>-64</v>
          </cell>
          <cell r="S56">
            <v>0</v>
          </cell>
          <cell r="T56">
            <v>0</v>
          </cell>
          <cell r="U56">
            <v>0</v>
          </cell>
        </row>
        <row r="57">
          <cell r="L57" t="str">
            <v>DANIEL CASTAÑEDA LOPEZ</v>
          </cell>
          <cell r="M57" t="str">
            <v>Daniel</v>
          </cell>
          <cell r="N57" t="str">
            <v>Castañeda Lopez</v>
          </cell>
          <cell r="O57">
            <v>5340.3699999999981</v>
          </cell>
          <cell r="P57">
            <v>8120.73</v>
          </cell>
          <cell r="Q57">
            <v>-2887.5599999999995</v>
          </cell>
          <cell r="R57">
            <v>-107.2</v>
          </cell>
          <cell r="S57">
            <v>0</v>
          </cell>
          <cell r="T57">
            <v>-13.760000000000003</v>
          </cell>
          <cell r="U57">
            <v>-1.6512000000000004</v>
          </cell>
        </row>
        <row r="58">
          <cell r="L58" t="str">
            <v>DAVID ARTURO GONZALEZ TELLEZ</v>
          </cell>
          <cell r="M58" t="str">
            <v>David Arturo</v>
          </cell>
          <cell r="N58" t="str">
            <v>Gonzalez Tellez</v>
          </cell>
          <cell r="O58">
            <v>2335.79</v>
          </cell>
          <cell r="P58">
            <v>5123.9399999999996</v>
          </cell>
          <cell r="Q58">
            <v>-2812.15</v>
          </cell>
          <cell r="R58">
            <v>-24</v>
          </cell>
          <cell r="S58">
            <v>0</v>
          </cell>
          <cell r="T58">
            <v>-236.13</v>
          </cell>
          <cell r="U58">
            <v>-28.335599999999999</v>
          </cell>
        </row>
        <row r="59">
          <cell r="L59" t="str">
            <v>DIEGO ISAID PULIDO</v>
          </cell>
          <cell r="M59" t="str">
            <v>Diego Isaid</v>
          </cell>
          <cell r="N59" t="str">
            <v>pulido</v>
          </cell>
          <cell r="O59">
            <v>3915.9100000000008</v>
          </cell>
          <cell r="P59">
            <v>4616.8899999999994</v>
          </cell>
          <cell r="Q59">
            <v>-760.98</v>
          </cell>
          <cell r="R59">
            <v>-60</v>
          </cell>
          <cell r="S59">
            <v>0</v>
          </cell>
          <cell r="T59">
            <v>0</v>
          </cell>
          <cell r="U59">
            <v>0</v>
          </cell>
        </row>
        <row r="60">
          <cell r="L60" t="str">
            <v>EDSON GABRIEL ABRIZ ALVARADO</v>
          </cell>
          <cell r="M60" t="str">
            <v>EDSON GABRIEL</v>
          </cell>
          <cell r="N60" t="str">
            <v>AMBRIZ ALVARADO</v>
          </cell>
          <cell r="O60">
            <v>249.38</v>
          </cell>
          <cell r="P60">
            <v>329.32</v>
          </cell>
          <cell r="Q60">
            <v>-79.94</v>
          </cell>
          <cell r="R60">
            <v>0</v>
          </cell>
          <cell r="S60">
            <v>0</v>
          </cell>
          <cell r="T60">
            <v>-27.129999999999995</v>
          </cell>
          <cell r="U60">
            <v>-3.2555999999999994</v>
          </cell>
        </row>
        <row r="61">
          <cell r="L61" t="str">
            <v>EMMANUEL LARA HERNANDEZ</v>
          </cell>
          <cell r="M61" t="str">
            <v>EMMANUEL</v>
          </cell>
          <cell r="N61" t="str">
            <v>Lara</v>
          </cell>
          <cell r="O61">
            <v>201.23999999999998</v>
          </cell>
          <cell r="P61">
            <v>411.18000000000006</v>
          </cell>
          <cell r="Q61">
            <v>-209.94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L62" t="str">
            <v>FERNANDO OSORNIO VILLASANA</v>
          </cell>
          <cell r="M62" t="str">
            <v>FERNANDO</v>
          </cell>
          <cell r="N62" t="str">
            <v>OSORNIO VILLASANA</v>
          </cell>
          <cell r="O62">
            <v>4134.7900000000018</v>
          </cell>
          <cell r="P62">
            <v>4134.7900000000009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L63" t="str">
            <v>GABRIEL JIMENEZ BAUTISTA</v>
          </cell>
          <cell r="M63" t="str">
            <v>GABRIEL</v>
          </cell>
          <cell r="N63" t="str">
            <v>JIMENEZ BAUTISTA</v>
          </cell>
          <cell r="O63">
            <v>434.06</v>
          </cell>
          <cell r="P63">
            <v>374.19</v>
          </cell>
          <cell r="Q63">
            <v>0</v>
          </cell>
          <cell r="R63">
            <v>-59.87</v>
          </cell>
          <cell r="S63">
            <v>0</v>
          </cell>
          <cell r="T63">
            <v>0</v>
          </cell>
          <cell r="U63">
            <v>0</v>
          </cell>
        </row>
        <row r="64">
          <cell r="L64" t="str">
            <v>GERMAN LUSARRETA ROMERO</v>
          </cell>
          <cell r="M64" t="str">
            <v>GERMAN</v>
          </cell>
          <cell r="N64" t="str">
            <v>LUSARRETA ROMERO</v>
          </cell>
          <cell r="O64">
            <v>2030.1599999999996</v>
          </cell>
          <cell r="P64">
            <v>2694.66</v>
          </cell>
          <cell r="Q64">
            <v>-664.5</v>
          </cell>
          <cell r="R64">
            <v>0</v>
          </cell>
          <cell r="S64">
            <v>0</v>
          </cell>
          <cell r="T64">
            <v>-76.829999999999984</v>
          </cell>
          <cell r="U64">
            <v>-9.219599999999998</v>
          </cell>
        </row>
        <row r="65">
          <cell r="L65" t="str">
            <v>JAVIER MEDINA JAIMES</v>
          </cell>
          <cell r="M65" t="str">
            <v>Javier</v>
          </cell>
          <cell r="N65" t="str">
            <v>Medina Jaimes</v>
          </cell>
          <cell r="O65">
            <v>5404.41</v>
          </cell>
          <cell r="P65">
            <v>7478.880000000001</v>
          </cell>
          <cell r="Q65">
            <v>-2074.4700000000007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L66" t="str">
            <v>JESUS ROSALES GARCIA</v>
          </cell>
          <cell r="M66" t="str">
            <v>JESUS</v>
          </cell>
          <cell r="N66" t="str">
            <v>Rosales garcia</v>
          </cell>
          <cell r="O66">
            <v>6478.7699999999968</v>
          </cell>
          <cell r="P66">
            <v>10641.669999999996</v>
          </cell>
          <cell r="Q66">
            <v>-4312.4999999999991</v>
          </cell>
          <cell r="R66">
            <v>-149.6</v>
          </cell>
          <cell r="S66">
            <v>0</v>
          </cell>
          <cell r="T66">
            <v>0</v>
          </cell>
          <cell r="U66">
            <v>0</v>
          </cell>
        </row>
        <row r="67">
          <cell r="L67" t="str">
            <v>JOEL RAUL PEREA PEÑA</v>
          </cell>
          <cell r="M67" t="str">
            <v>Joel Raul</v>
          </cell>
          <cell r="N67" t="str">
            <v>Perea Peña</v>
          </cell>
          <cell r="O67">
            <v>3510.6700000000023</v>
          </cell>
          <cell r="P67">
            <v>3550.619999999999</v>
          </cell>
          <cell r="Q67">
            <v>-39.950000000000003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L68" t="str">
            <v>JONATHAN BERNAL RODRIGUEZ</v>
          </cell>
          <cell r="M68" t="str">
            <v>JONATHAN</v>
          </cell>
          <cell r="N68" t="str">
            <v>BERNAL</v>
          </cell>
          <cell r="O68">
            <v>2774.16</v>
          </cell>
          <cell r="P68">
            <v>2755.71</v>
          </cell>
          <cell r="Q68">
            <v>0</v>
          </cell>
          <cell r="R68">
            <v>-18.45</v>
          </cell>
          <cell r="S68">
            <v>0</v>
          </cell>
          <cell r="T68">
            <v>0</v>
          </cell>
          <cell r="U68">
            <v>0</v>
          </cell>
        </row>
        <row r="69">
          <cell r="L69" t="str">
            <v>JORGE ALEJANDRO HERNANDEZ VALLEJO</v>
          </cell>
          <cell r="M69" t="str">
            <v>JORGE ALEJANDRO</v>
          </cell>
          <cell r="N69" t="str">
            <v>Hernández</v>
          </cell>
          <cell r="O69">
            <v>1195.1500000000001</v>
          </cell>
          <cell r="P69">
            <v>1195.1499999999996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L70" t="str">
            <v>JOSE GUILLERMO HERNANDEZ RAMIREZ</v>
          </cell>
          <cell r="M70" t="str">
            <v>Jose Guillermo</v>
          </cell>
          <cell r="N70" t="str">
            <v>Hernández Ramirez</v>
          </cell>
          <cell r="O70">
            <v>3413.1199999999994</v>
          </cell>
          <cell r="P70">
            <v>6577.699999999998</v>
          </cell>
          <cell r="Q70">
            <v>-3164.5800000000004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L71" t="str">
            <v>JOSE JUAN HERNANDEZ MEJIA</v>
          </cell>
          <cell r="M71" t="str">
            <v>JOSE JUAN</v>
          </cell>
          <cell r="N71" t="str">
            <v>HERNANDEZ MEJIA</v>
          </cell>
          <cell r="O71">
            <v>2135.5800000000004</v>
          </cell>
          <cell r="P71">
            <v>3329.84</v>
          </cell>
          <cell r="Q71">
            <v>-1224.3700000000001</v>
          </cell>
          <cell r="R71">
            <v>-30.11</v>
          </cell>
          <cell r="S71">
            <v>0</v>
          </cell>
          <cell r="T71">
            <v>-298</v>
          </cell>
          <cell r="U71">
            <v>-35.76</v>
          </cell>
        </row>
        <row r="72">
          <cell r="L72" t="str">
            <v>JUAN CARLOS CASTRO CASTILLO</v>
          </cell>
          <cell r="M72" t="str">
            <v>Juan Carlos</v>
          </cell>
          <cell r="N72" t="str">
            <v>Castro</v>
          </cell>
          <cell r="O72">
            <v>1784.79</v>
          </cell>
          <cell r="P72">
            <v>1784.7899999999997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L73" t="str">
            <v>LUIS AXEL RODRIGUEZ RANGEL</v>
          </cell>
          <cell r="M73" t="str">
            <v>LUIS AXEL</v>
          </cell>
          <cell r="N73" t="str">
            <v>RODRIGUEZ RANGEL</v>
          </cell>
          <cell r="O73">
            <v>4152.79</v>
          </cell>
          <cell r="P73">
            <v>8642.6200000000026</v>
          </cell>
          <cell r="Q73">
            <v>-4729.8299999999981</v>
          </cell>
          <cell r="R73">
            <v>-240</v>
          </cell>
          <cell r="S73">
            <v>0</v>
          </cell>
          <cell r="T73">
            <v>0</v>
          </cell>
          <cell r="U73">
            <v>0</v>
          </cell>
        </row>
        <row r="74">
          <cell r="L74" t="str">
            <v>MARCO ANTONIO FARIAS AVILES</v>
          </cell>
          <cell r="M74" t="str">
            <v>Marco Antonio</v>
          </cell>
          <cell r="N74" t="str">
            <v>Farias Aviles</v>
          </cell>
          <cell r="O74">
            <v>451.28</v>
          </cell>
          <cell r="P74">
            <v>451.28</v>
          </cell>
          <cell r="Q74">
            <v>0</v>
          </cell>
          <cell r="R74">
            <v>0</v>
          </cell>
          <cell r="S74">
            <v>0</v>
          </cell>
          <cell r="T74">
            <v>-34</v>
          </cell>
          <cell r="U74">
            <v>-4.08</v>
          </cell>
        </row>
        <row r="75">
          <cell r="L75" t="str">
            <v>OSCAR CONTRERAS ZUÑIGA</v>
          </cell>
          <cell r="M75" t="str">
            <v>Oscar</v>
          </cell>
          <cell r="N75" t="str">
            <v>Contreras Zuñiga</v>
          </cell>
          <cell r="O75">
            <v>3317.2699999999991</v>
          </cell>
          <cell r="P75">
            <v>9137.0600000000013</v>
          </cell>
          <cell r="Q75">
            <v>-5819.7899999999991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L76" t="str">
            <v>OSCAR IVAN MIÑON RAMIREZ</v>
          </cell>
          <cell r="M76" t="str">
            <v>OSCAR IVAN</v>
          </cell>
          <cell r="N76" t="str">
            <v>Miñon Ramirez</v>
          </cell>
          <cell r="O76">
            <v>2748.48</v>
          </cell>
          <cell r="P76">
            <v>4049.0800000000008</v>
          </cell>
          <cell r="Q76">
            <v>-1300.6000000000001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L77" t="str">
            <v>PEDRO ARELLANO PEREZ</v>
          </cell>
          <cell r="M77" t="str">
            <v>Pedro</v>
          </cell>
          <cell r="N77" t="str">
            <v>Arellano Perez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L78" t="str">
            <v>RAFAEL HUERTA MONDRAGON</v>
          </cell>
          <cell r="M78" t="str">
            <v>RAFAEL</v>
          </cell>
          <cell r="N78" t="str">
            <v>HUERTA MONDRAGON</v>
          </cell>
          <cell r="O78">
            <v>1066.1000000000001</v>
          </cell>
          <cell r="P78">
            <v>2871.1599999999994</v>
          </cell>
          <cell r="Q78">
            <v>-1805.0600000000004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L79" t="str">
            <v>RAYMUNDO CHAVEZ DELGADO</v>
          </cell>
          <cell r="M79" t="str">
            <v>RAYMUNDO</v>
          </cell>
          <cell r="N79" t="str">
            <v>CHAVEZ DELGADO</v>
          </cell>
          <cell r="O79">
            <v>3070.5400000000004</v>
          </cell>
          <cell r="P79">
            <v>5266.9799999999977</v>
          </cell>
          <cell r="Q79">
            <v>-2143.15</v>
          </cell>
          <cell r="R79">
            <v>0</v>
          </cell>
          <cell r="S79">
            <v>-53.289999999999985</v>
          </cell>
          <cell r="T79">
            <v>0</v>
          </cell>
          <cell r="U79">
            <v>0</v>
          </cell>
        </row>
        <row r="80">
          <cell r="L80" t="str">
            <v>RICARDO HERNANDEZ ARIAS</v>
          </cell>
          <cell r="M80" t="str">
            <v>Ricardo</v>
          </cell>
          <cell r="N80" t="str">
            <v>Hernandez</v>
          </cell>
          <cell r="O80">
            <v>6786.7800000000016</v>
          </cell>
          <cell r="P80">
            <v>6732.3799999999992</v>
          </cell>
          <cell r="Q80">
            <v>0</v>
          </cell>
          <cell r="R80">
            <v>-54.4</v>
          </cell>
          <cell r="S80">
            <v>0</v>
          </cell>
          <cell r="T80">
            <v>0</v>
          </cell>
          <cell r="U80">
            <v>0</v>
          </cell>
        </row>
        <row r="81">
          <cell r="L81" t="str">
            <v>RODOLFO VILLEDA MACIAS</v>
          </cell>
          <cell r="M81" t="str">
            <v>RODOLFO</v>
          </cell>
          <cell r="N81" t="str">
            <v>VILLEDA MACIAS</v>
          </cell>
          <cell r="O81">
            <v>3019.4200000000005</v>
          </cell>
          <cell r="P81">
            <v>4308.01</v>
          </cell>
          <cell r="Q81">
            <v>-1288.5900000000001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L82" t="str">
            <v>SAUL DOMINGUEZ VAZQUEZ</v>
          </cell>
          <cell r="M82" t="str">
            <v>SAUL</v>
          </cell>
          <cell r="N82" t="str">
            <v>DOMINGUEZ VAZQUEZ</v>
          </cell>
          <cell r="O82">
            <v>1137.3900000000001</v>
          </cell>
          <cell r="P82">
            <v>1146.1300000000001</v>
          </cell>
          <cell r="Q82">
            <v>0</v>
          </cell>
          <cell r="R82">
            <v>0</v>
          </cell>
          <cell r="S82">
            <v>-8.74</v>
          </cell>
          <cell r="T82">
            <v>0</v>
          </cell>
          <cell r="U82">
            <v>0</v>
          </cell>
        </row>
        <row r="83">
          <cell r="L83" t="str">
            <v>TOMAS ARIAS ESPINOSA</v>
          </cell>
          <cell r="M83" t="str">
            <v>TOMAS</v>
          </cell>
          <cell r="N83" t="str">
            <v>Arias Espinoza</v>
          </cell>
          <cell r="O83">
            <v>669.71999999999991</v>
          </cell>
          <cell r="P83">
            <v>3621.45</v>
          </cell>
          <cell r="Q83">
            <v>-2951.7299999999996</v>
          </cell>
          <cell r="R83">
            <v>0</v>
          </cell>
          <cell r="S83">
            <v>0</v>
          </cell>
          <cell r="T83">
            <v>-138</v>
          </cell>
          <cell r="U83">
            <v>-16.559999999999999</v>
          </cell>
        </row>
        <row r="84">
          <cell r="L84" t="str">
            <v>ULISES SANCHEZ HERNANDEZ</v>
          </cell>
          <cell r="M84" t="str">
            <v>Ulises</v>
          </cell>
          <cell r="N84" t="str">
            <v>Hernandez</v>
          </cell>
          <cell r="O84">
            <v>1200.1999999999996</v>
          </cell>
          <cell r="P84">
            <v>1200.1999999999998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L85" t="str">
            <v>VICTOR HUGO RUIZ CASTILLO</v>
          </cell>
          <cell r="M85" t="str">
            <v>Victor Hugo</v>
          </cell>
          <cell r="N85" t="str">
            <v>Ruiz Castillo</v>
          </cell>
          <cell r="O85">
            <v>4356.3900000000003</v>
          </cell>
          <cell r="P85">
            <v>5730.66</v>
          </cell>
          <cell r="Q85">
            <v>-1310.3600000000001</v>
          </cell>
          <cell r="R85">
            <v>0</v>
          </cell>
          <cell r="S85">
            <v>-63.910000000000004</v>
          </cell>
          <cell r="T85">
            <v>0</v>
          </cell>
          <cell r="U85">
            <v>0</v>
          </cell>
        </row>
        <row r="86">
          <cell r="L86" t="str">
            <v>YANIZ MANUEL SILVA PUPO</v>
          </cell>
          <cell r="M86" t="str">
            <v>Yaniz Manuel</v>
          </cell>
          <cell r="N86" t="str">
            <v>Silva pupo</v>
          </cell>
          <cell r="O86">
            <v>1566.71</v>
          </cell>
          <cell r="P86">
            <v>5035.9899999999989</v>
          </cell>
          <cell r="Q86">
            <v>-3419.2100000000005</v>
          </cell>
          <cell r="R86">
            <v>0</v>
          </cell>
          <cell r="S86">
            <v>-50.07</v>
          </cell>
          <cell r="T86">
            <v>0</v>
          </cell>
          <cell r="U86">
            <v>0</v>
          </cell>
        </row>
        <row r="87">
          <cell r="L87" t="str">
            <v>YOSHUA JARETH VALDEZ HERNANDEZ</v>
          </cell>
          <cell r="M87" t="str">
            <v>YOSHUA JARETH</v>
          </cell>
          <cell r="N87" t="str">
            <v>valdez</v>
          </cell>
          <cell r="O87">
            <v>1993</v>
          </cell>
          <cell r="P87">
            <v>1933.4600000000003</v>
          </cell>
          <cell r="Q87">
            <v>0</v>
          </cell>
          <cell r="R87">
            <v>-59.54</v>
          </cell>
          <cell r="S87">
            <v>0</v>
          </cell>
          <cell r="T87">
            <v>-575</v>
          </cell>
          <cell r="U87">
            <v>-69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20260223-20260302-payments_orde"/>
    </sheetNames>
    <sheetDataSet>
      <sheetData sheetId="0" refreshError="1">
        <row r="25">
          <cell r="J25" t="str">
            <v>ADALBERTO BELLO NAVARRO</v>
          </cell>
          <cell r="K25" t="str">
            <v>Adalberto</v>
          </cell>
          <cell r="L25" t="str">
            <v>Bello Navarro</v>
          </cell>
          <cell r="M25">
            <v>0</v>
          </cell>
          <cell r="N25">
            <v>0</v>
          </cell>
          <cell r="O25">
            <v>0</v>
          </cell>
        </row>
        <row r="26">
          <cell r="J26" t="str">
            <v>ADOLFO ANGEL ESTRADA RODRIGUEZ</v>
          </cell>
          <cell r="K26" t="str">
            <v>ADOLFO ANGEL</v>
          </cell>
          <cell r="L26" t="str">
            <v>ESTRADA RODRIGUEZ</v>
          </cell>
          <cell r="M26">
            <v>2316.1999999999994</v>
          </cell>
          <cell r="N26">
            <v>5041.9699999999984</v>
          </cell>
          <cell r="O26">
            <v>-2725.7700000000009</v>
          </cell>
        </row>
        <row r="27">
          <cell r="J27" t="str">
            <v>ADRIAN CRUZ CUADROS</v>
          </cell>
          <cell r="K27" t="str">
            <v>Adrian</v>
          </cell>
          <cell r="L27" t="str">
            <v>Cruz</v>
          </cell>
          <cell r="M27">
            <v>5584.71</v>
          </cell>
          <cell r="N27">
            <v>5540.7100000000009</v>
          </cell>
          <cell r="O27">
            <v>0</v>
          </cell>
        </row>
        <row r="28">
          <cell r="J28" t="str">
            <v>XAVIER ALAN LARA JIMENEZ</v>
          </cell>
          <cell r="K28" t="str">
            <v>Alan</v>
          </cell>
          <cell r="L28" t="str">
            <v>Lara</v>
          </cell>
          <cell r="M28">
            <v>3325.3100000000009</v>
          </cell>
          <cell r="N28">
            <v>5157.010000000002</v>
          </cell>
          <cell r="O28">
            <v>-1937.3000000000004</v>
          </cell>
        </row>
        <row r="29">
          <cell r="J29" t="str">
            <v>ALAN AURELIO ORTEGA ORDOÑEZ</v>
          </cell>
          <cell r="K29" t="str">
            <v>Alan Aurelio</v>
          </cell>
          <cell r="L29" t="str">
            <v>Ortega Ordoñez</v>
          </cell>
          <cell r="M29">
            <v>2385.62</v>
          </cell>
          <cell r="N29">
            <v>4177.16</v>
          </cell>
          <cell r="O29">
            <v>-1791.54</v>
          </cell>
        </row>
        <row r="30">
          <cell r="J30" t="str">
            <v>ALBERTO ARRIAGA MEJIA</v>
          </cell>
          <cell r="K30" t="str">
            <v>ALBERTO</v>
          </cell>
          <cell r="L30" t="str">
            <v>Arriaga</v>
          </cell>
          <cell r="M30">
            <v>1726.5500000000004</v>
          </cell>
          <cell r="N30">
            <v>2778.1899999999996</v>
          </cell>
          <cell r="O30">
            <v>-1070.8399999999999</v>
          </cell>
        </row>
        <row r="31">
          <cell r="J31" t="str">
            <v>ALEJANDRA URBAN VALENCIA</v>
          </cell>
          <cell r="K31" t="str">
            <v>ALEJANDRA</v>
          </cell>
          <cell r="L31" t="str">
            <v>URBAN VALENCIA</v>
          </cell>
          <cell r="M31">
            <v>2283.1400000000003</v>
          </cell>
          <cell r="N31">
            <v>3085.2799999999984</v>
          </cell>
          <cell r="O31">
            <v>-802.1400000000001</v>
          </cell>
        </row>
        <row r="32">
          <cell r="J32" t="str">
            <v>ALEJANDRO VELAZQUEZ VARGAS</v>
          </cell>
          <cell r="K32" t="str">
            <v>ALEJANDRO</v>
          </cell>
          <cell r="L32" t="str">
            <v>Velazquez Vargas</v>
          </cell>
          <cell r="M32">
            <v>1276.3299999999997</v>
          </cell>
          <cell r="N32">
            <v>1276.3299999999997</v>
          </cell>
          <cell r="O32">
            <v>0</v>
          </cell>
        </row>
        <row r="33">
          <cell r="J33" t="str">
            <v>ANA YAEL RAMIREZ VELASCO</v>
          </cell>
          <cell r="K33" t="str">
            <v>ANA YAEL</v>
          </cell>
          <cell r="L33" t="str">
            <v>RAMIREZ VELASCO</v>
          </cell>
          <cell r="M33">
            <v>5545.5</v>
          </cell>
          <cell r="N33">
            <v>7071.8799999999992</v>
          </cell>
          <cell r="O33">
            <v>-1551.18</v>
          </cell>
        </row>
        <row r="34">
          <cell r="J34" t="str">
            <v>ANGEL ALCANTARA CRUZ</v>
          </cell>
          <cell r="K34" t="str">
            <v>Angel</v>
          </cell>
          <cell r="L34" t="str">
            <v>Alcantara</v>
          </cell>
          <cell r="M34">
            <v>1008.7399999999998</v>
          </cell>
          <cell r="N34">
            <v>1080.7399999999998</v>
          </cell>
          <cell r="O34">
            <v>-72</v>
          </cell>
        </row>
        <row r="35">
          <cell r="J35" t="str">
            <v>ANTONIO GUZMAN BARRON</v>
          </cell>
          <cell r="K35" t="str">
            <v>ANTONIO</v>
          </cell>
          <cell r="L35" t="str">
            <v>GUZMAN BARRON</v>
          </cell>
          <cell r="M35">
            <v>77.489999999999995</v>
          </cell>
          <cell r="N35">
            <v>66.8</v>
          </cell>
          <cell r="O35">
            <v>0</v>
          </cell>
        </row>
        <row r="36">
          <cell r="J36" t="str">
            <v>ARMANDO CARDENAS TRUJILLO</v>
          </cell>
          <cell r="K36" t="str">
            <v>Armando</v>
          </cell>
          <cell r="L36" t="str">
            <v>Cardenas Trujillo</v>
          </cell>
          <cell r="M36">
            <v>0</v>
          </cell>
          <cell r="N36">
            <v>0</v>
          </cell>
          <cell r="O36">
            <v>0</v>
          </cell>
        </row>
        <row r="37">
          <cell r="J37" t="str">
            <v>ARMANDO MARTINEZ VELAZQUEZ</v>
          </cell>
          <cell r="L37" t="str">
            <v>Martinez Velazquez</v>
          </cell>
          <cell r="M37">
            <v>6683.2900000000009</v>
          </cell>
          <cell r="N37">
            <v>7225.4299999999994</v>
          </cell>
          <cell r="O37">
            <v>-537.45000000000005</v>
          </cell>
        </row>
        <row r="38">
          <cell r="K38" t="str">
            <v>Arturo Santiago</v>
          </cell>
          <cell r="L38" t="str">
            <v>Hernandez Castillo</v>
          </cell>
          <cell r="M38">
            <v>-657.07999999999981</v>
          </cell>
          <cell r="N38">
            <v>-657.07999999999981</v>
          </cell>
          <cell r="O38">
            <v>0</v>
          </cell>
        </row>
        <row r="39">
          <cell r="J39" t="str">
            <v>BRYAN OMAR HERNANDEZ ANTUNEZ</v>
          </cell>
          <cell r="K39" t="str">
            <v>Bryan Omar</v>
          </cell>
          <cell r="L39" t="str">
            <v>Hernandez</v>
          </cell>
          <cell r="M39">
            <v>4665.7299999999996</v>
          </cell>
          <cell r="N39">
            <v>9466.7300000000014</v>
          </cell>
          <cell r="O39">
            <v>-4862.5999999999976</v>
          </cell>
        </row>
        <row r="40">
          <cell r="J40" t="str">
            <v>CAMILO IESUA MEJIA DIAZ</v>
          </cell>
          <cell r="K40" t="str">
            <v>CAMILO IESUA</v>
          </cell>
          <cell r="L40" t="str">
            <v>iesua</v>
          </cell>
          <cell r="M40">
            <v>877.59</v>
          </cell>
          <cell r="N40">
            <v>877.58999999999992</v>
          </cell>
          <cell r="O40">
            <v>0</v>
          </cell>
        </row>
        <row r="41">
          <cell r="J41" t="str">
            <v>CESAR AXEL SANTIAGO GARCIA</v>
          </cell>
          <cell r="K41" t="str">
            <v>Cesar Axel</v>
          </cell>
          <cell r="L41" t="str">
            <v>Santiago Garcia</v>
          </cell>
          <cell r="M41">
            <v>29.77</v>
          </cell>
          <cell r="N41">
            <v>25.66</v>
          </cell>
          <cell r="O41">
            <v>0</v>
          </cell>
        </row>
        <row r="42">
          <cell r="J42" t="str">
            <v>CRISTIAN HERNANDEZ MUNGUIA</v>
          </cell>
          <cell r="K42" t="str">
            <v>Cristian</v>
          </cell>
          <cell r="L42" t="str">
            <v>Hernandez Munguia</v>
          </cell>
          <cell r="M42">
            <v>5671.0199999999968</v>
          </cell>
          <cell r="N42">
            <v>5586.2199999999993</v>
          </cell>
          <cell r="O42">
            <v>0</v>
          </cell>
        </row>
        <row r="43">
          <cell r="J43" t="str">
            <v>DANIEL CASTAÑEDA LOPEZ</v>
          </cell>
          <cell r="K43" t="str">
            <v>Daniel</v>
          </cell>
          <cell r="L43" t="str">
            <v>Castañeda Lopez</v>
          </cell>
          <cell r="M43">
            <v>4836.0400000000009</v>
          </cell>
          <cell r="N43">
            <v>8625.260000000002</v>
          </cell>
          <cell r="O43">
            <v>-3850.8199999999997</v>
          </cell>
        </row>
        <row r="44">
          <cell r="J44" t="str">
            <v>DAVID ARTURO GONZALEZ TELLEZ</v>
          </cell>
          <cell r="K44" t="str">
            <v>David Arturo</v>
          </cell>
          <cell r="L44" t="str">
            <v>Gonzalez Tellez</v>
          </cell>
          <cell r="M44">
            <v>2027.8500000000001</v>
          </cell>
          <cell r="N44">
            <v>4815.1399999999994</v>
          </cell>
          <cell r="O44">
            <v>-2831.29</v>
          </cell>
        </row>
        <row r="45">
          <cell r="J45" t="str">
            <v>DIEGO ISAID PULIDO</v>
          </cell>
          <cell r="K45" t="str">
            <v>Diego Isaid</v>
          </cell>
          <cell r="L45" t="str">
            <v>pulido</v>
          </cell>
          <cell r="M45">
            <v>1392.2199999999996</v>
          </cell>
          <cell r="N45">
            <v>2500.4499999999998</v>
          </cell>
          <cell r="O45">
            <v>-1108.23</v>
          </cell>
        </row>
        <row r="46">
          <cell r="J46" t="str">
            <v>EMILIANO SOLANO SALAZAR</v>
          </cell>
          <cell r="K46" t="str">
            <v>EMILIANO</v>
          </cell>
          <cell r="L46" t="str">
            <v>SALAZAR</v>
          </cell>
          <cell r="M46">
            <v>5620.1799999999967</v>
          </cell>
          <cell r="N46">
            <v>5620.1799999999985</v>
          </cell>
          <cell r="O46">
            <v>0</v>
          </cell>
        </row>
        <row r="47">
          <cell r="J47" t="str">
            <v>EMMANUEL LARA HERNANDEZ</v>
          </cell>
          <cell r="K47" t="str">
            <v>EMMANUEL</v>
          </cell>
          <cell r="L47" t="str">
            <v>Lara</v>
          </cell>
          <cell r="M47">
            <v>52.04</v>
          </cell>
          <cell r="N47">
            <v>52.04</v>
          </cell>
          <cell r="O47">
            <v>0</v>
          </cell>
        </row>
        <row r="48">
          <cell r="J48" t="str">
            <v>FERNANDO FUENTES OTERO</v>
          </cell>
          <cell r="K48" t="str">
            <v>FERNANDO</v>
          </cell>
          <cell r="L48" t="str">
            <v>OSORNIO VILLASANA</v>
          </cell>
          <cell r="M48">
            <v>0</v>
          </cell>
          <cell r="N48">
            <v>0</v>
          </cell>
          <cell r="O48">
            <v>0</v>
          </cell>
        </row>
        <row r="49">
          <cell r="J49" t="str">
            <v>FREDY PANTALEON VILLALOBOS</v>
          </cell>
          <cell r="K49" t="str">
            <v>Fredy</v>
          </cell>
          <cell r="L49" t="str">
            <v>Pantaleon Villalobos</v>
          </cell>
          <cell r="M49">
            <v>741.24999999999989</v>
          </cell>
          <cell r="N49">
            <v>1656.07</v>
          </cell>
          <cell r="O49">
            <v>-914.82</v>
          </cell>
        </row>
        <row r="50">
          <cell r="J50" t="str">
            <v>GABRIEL JIMENEZ BAUTISTA</v>
          </cell>
          <cell r="K50" t="str">
            <v>GABRIEL</v>
          </cell>
          <cell r="L50" t="str">
            <v>JIMENEZ BAUTISTA</v>
          </cell>
          <cell r="M50">
            <v>5050.4599999999991</v>
          </cell>
          <cell r="N50">
            <v>5050.4600000000009</v>
          </cell>
          <cell r="O50">
            <v>0</v>
          </cell>
        </row>
        <row r="51">
          <cell r="J51" t="str">
            <v>GERMAN LUSARRETA ROMERO</v>
          </cell>
          <cell r="K51" t="str">
            <v>GERMAN</v>
          </cell>
          <cell r="L51" t="str">
            <v>LUSARRETA ROMERO</v>
          </cell>
          <cell r="M51">
            <v>2676.26</v>
          </cell>
          <cell r="N51">
            <v>3711.0900000000006</v>
          </cell>
          <cell r="O51">
            <v>-1073.23</v>
          </cell>
        </row>
        <row r="52">
          <cell r="J52" t="str">
            <v>JAVIER MEDINA JAIMES</v>
          </cell>
          <cell r="K52" t="str">
            <v>Javier</v>
          </cell>
          <cell r="L52" t="str">
            <v>Medina Jaimes</v>
          </cell>
          <cell r="M52">
            <v>5977.2799999999988</v>
          </cell>
          <cell r="N52">
            <v>8955.3499999999985</v>
          </cell>
          <cell r="O52">
            <v>-3026.0699999999997</v>
          </cell>
        </row>
        <row r="53">
          <cell r="J53" t="str">
            <v>JESUS ROSALES GARCIA</v>
          </cell>
          <cell r="K53" t="str">
            <v>JESUS</v>
          </cell>
          <cell r="L53" t="str">
            <v>Rosales garcia</v>
          </cell>
          <cell r="M53">
            <v>5256.2300000000032</v>
          </cell>
          <cell r="N53">
            <v>11499.550000000003</v>
          </cell>
          <cell r="O53">
            <v>-6344.1199999999944</v>
          </cell>
        </row>
        <row r="54">
          <cell r="J54" t="str">
            <v>JOEL RAUL PEREA PEÑA</v>
          </cell>
          <cell r="K54" t="str">
            <v>Joel Raul</v>
          </cell>
          <cell r="L54" t="str">
            <v>Perea Peña</v>
          </cell>
          <cell r="M54">
            <v>3279.7099999999996</v>
          </cell>
          <cell r="N54">
            <v>3769.5699999999983</v>
          </cell>
          <cell r="O54">
            <v>-489.86</v>
          </cell>
        </row>
        <row r="55">
          <cell r="J55" t="str">
            <v>JONATHAN BERNAL RODRIGUEZ</v>
          </cell>
          <cell r="K55" t="str">
            <v>JONATHAN</v>
          </cell>
          <cell r="L55" t="str">
            <v>BERNAL</v>
          </cell>
          <cell r="M55">
            <v>1976.15</v>
          </cell>
          <cell r="N55">
            <v>2066.09</v>
          </cell>
          <cell r="O55">
            <v>-89.94</v>
          </cell>
        </row>
        <row r="56">
          <cell r="J56" t="str">
            <v>JORGE ALEJANDRO HERNANDEZ VALLEJO</v>
          </cell>
          <cell r="K56" t="str">
            <v>JORGE ALEJANDRO</v>
          </cell>
          <cell r="L56" t="str">
            <v>Hernández</v>
          </cell>
          <cell r="M56">
            <v>2141.0300000000007</v>
          </cell>
          <cell r="N56">
            <v>2352.5200000000004</v>
          </cell>
          <cell r="O56">
            <v>-216.14</v>
          </cell>
        </row>
        <row r="57">
          <cell r="J57" t="str">
            <v>JOSE GUILLERMO HERNANDEZ RAMIREZ</v>
          </cell>
          <cell r="K57" t="str">
            <v>Jose Guillermo</v>
          </cell>
          <cell r="L57" t="str">
            <v>Hernández Ramirez</v>
          </cell>
          <cell r="M57">
            <v>3568.2700000000009</v>
          </cell>
          <cell r="N57">
            <v>7594.7399999999989</v>
          </cell>
          <cell r="O57">
            <v>-4082.4699999999989</v>
          </cell>
        </row>
        <row r="58">
          <cell r="J58" t="str">
            <v>JOSE LUIS PEDRAZA AVILA</v>
          </cell>
          <cell r="K58" t="str">
            <v>JOSE LUIS</v>
          </cell>
          <cell r="L58" t="str">
            <v>Pedraza Ávila</v>
          </cell>
          <cell r="M58">
            <v>1801.6799999999998</v>
          </cell>
          <cell r="N58">
            <v>2932.7</v>
          </cell>
          <cell r="O58">
            <v>-1140.6200000000001</v>
          </cell>
        </row>
        <row r="59">
          <cell r="J59" t="str">
            <v>JOSE PABLO AGUILAR HERNANDEZ</v>
          </cell>
          <cell r="K59" t="str">
            <v>JOSE PABLO</v>
          </cell>
          <cell r="L59" t="str">
            <v>AGUILAR HERNANDEZ</v>
          </cell>
          <cell r="M59">
            <v>2520.3799999999997</v>
          </cell>
          <cell r="N59">
            <v>2520.38</v>
          </cell>
          <cell r="O59">
            <v>0</v>
          </cell>
        </row>
        <row r="60">
          <cell r="J60" t="str">
            <v>JUAN CARLOS CASTRO CASTILLO</v>
          </cell>
          <cell r="K60" t="str">
            <v>Juan Carlos</v>
          </cell>
          <cell r="L60" t="str">
            <v>Castro</v>
          </cell>
          <cell r="M60">
            <v>3743.3100000000009</v>
          </cell>
          <cell r="N60">
            <v>3691.3999999999996</v>
          </cell>
          <cell r="O60">
            <v>0</v>
          </cell>
        </row>
        <row r="61">
          <cell r="J61" t="str">
            <v>LUIS EDGARDO AYALA ALVAREZ</v>
          </cell>
          <cell r="K61" t="str">
            <v>LUIS EDGARDO</v>
          </cell>
          <cell r="L61" t="str">
            <v>Ayala Alvarez</v>
          </cell>
          <cell r="M61">
            <v>595.47</v>
          </cell>
          <cell r="N61">
            <v>1820.67</v>
          </cell>
          <cell r="O61">
            <v>-1225.2</v>
          </cell>
        </row>
        <row r="62">
          <cell r="J62" t="str">
            <v>MARCO ANTONIO FARIAS AVILES</v>
          </cell>
          <cell r="K62" t="str">
            <v>Marco Antonio</v>
          </cell>
          <cell r="L62" t="str">
            <v>Farias Aviles</v>
          </cell>
          <cell r="M62">
            <v>1778.8600000000001</v>
          </cell>
          <cell r="N62">
            <v>1777.73</v>
          </cell>
          <cell r="O62">
            <v>0</v>
          </cell>
        </row>
        <row r="63">
          <cell r="J63" t="str">
            <v>OSCAR CONTRERAS ZUÑIGA</v>
          </cell>
          <cell r="K63" t="str">
            <v>Oscar</v>
          </cell>
          <cell r="L63" t="str">
            <v>Contreras Zuñiga</v>
          </cell>
          <cell r="M63">
            <v>2886.9399999999996</v>
          </cell>
          <cell r="N63">
            <v>8965.76</v>
          </cell>
          <cell r="O63">
            <v>-6115.0299999999979</v>
          </cell>
        </row>
        <row r="64">
          <cell r="J64" t="str">
            <v>OSCAR IVAN MIÑON RAMIREZ</v>
          </cell>
          <cell r="K64" t="str">
            <v>OSCAR IVAN</v>
          </cell>
          <cell r="L64" t="str">
            <v>Miñon Ramirez</v>
          </cell>
          <cell r="M64">
            <v>3916.2300000000014</v>
          </cell>
          <cell r="N64">
            <v>6073.2099999999982</v>
          </cell>
          <cell r="O64">
            <v>-2257.7800000000007</v>
          </cell>
        </row>
        <row r="65">
          <cell r="J65" t="str">
            <v>RAFAEL HUERTA MONDRAGON</v>
          </cell>
          <cell r="K65" t="str">
            <v>RAFAEL</v>
          </cell>
          <cell r="L65" t="str">
            <v>HUERTA MONDRAGON</v>
          </cell>
          <cell r="M65">
            <v>2928.4</v>
          </cell>
          <cell r="N65">
            <v>3609.7200000000003</v>
          </cell>
          <cell r="O65">
            <v>-681.32</v>
          </cell>
        </row>
        <row r="66">
          <cell r="J66" t="str">
            <v>RAUL NABOR MORIN MEJIA</v>
          </cell>
          <cell r="K66" t="str">
            <v>RAUL NABOR</v>
          </cell>
          <cell r="L66" t="str">
            <v>MORIN MEJIA</v>
          </cell>
          <cell r="M66">
            <v>840.81</v>
          </cell>
          <cell r="N66">
            <v>2184.54</v>
          </cell>
          <cell r="O66">
            <v>-1343.7299999999998</v>
          </cell>
        </row>
        <row r="67">
          <cell r="J67" t="str">
            <v>RAYMUNDO CHAVEZ DELGADO</v>
          </cell>
          <cell r="K67" t="str">
            <v>RAYMUNDO</v>
          </cell>
          <cell r="L67" t="str">
            <v>CHAVEZ DELGADO</v>
          </cell>
          <cell r="M67">
            <v>2185.9100000000003</v>
          </cell>
          <cell r="N67">
            <v>3386.5099999999998</v>
          </cell>
          <cell r="O67">
            <v>-1161.0200000000002</v>
          </cell>
        </row>
        <row r="68">
          <cell r="J68" t="str">
            <v>RICARDO HERNANDEZ ARIAS</v>
          </cell>
          <cell r="K68" t="str">
            <v>Ricardo</v>
          </cell>
          <cell r="L68" t="str">
            <v>Hernandez</v>
          </cell>
          <cell r="M68">
            <v>6998.1500000000024</v>
          </cell>
          <cell r="N68">
            <v>7456.2199999999993</v>
          </cell>
          <cell r="O68">
            <v>-498.87</v>
          </cell>
        </row>
        <row r="69">
          <cell r="J69" t="str">
            <v xml:space="preserve">RODOLFO VILLEDA MACIAS </v>
          </cell>
          <cell r="K69" t="str">
            <v>RODOLFO</v>
          </cell>
          <cell r="L69" t="str">
            <v>VILLEDA MACIAS</v>
          </cell>
          <cell r="M69">
            <v>2644.3799999999997</v>
          </cell>
          <cell r="N69">
            <v>5174.6400000000012</v>
          </cell>
          <cell r="O69">
            <v>-2530.2600000000002</v>
          </cell>
        </row>
        <row r="70">
          <cell r="J70" t="str">
            <v>SAUL DOMINGUEZ VAZQUEZ</v>
          </cell>
          <cell r="K70" t="str">
            <v>SAUL</v>
          </cell>
          <cell r="L70" t="str">
            <v>DOMINGUEZ VAZQUEZ</v>
          </cell>
          <cell r="M70">
            <v>3720.3199999999997</v>
          </cell>
          <cell r="N70">
            <v>3672.0199999999986</v>
          </cell>
          <cell r="O70">
            <v>0</v>
          </cell>
        </row>
        <row r="71">
          <cell r="J71" t="str">
            <v>TOMAS ARIAS ESPINOSA</v>
          </cell>
          <cell r="K71" t="str">
            <v>TOMAS</v>
          </cell>
          <cell r="L71" t="str">
            <v>Arias Espinoza</v>
          </cell>
          <cell r="M71">
            <v>3665.81</v>
          </cell>
          <cell r="N71">
            <v>4850.1699999999992</v>
          </cell>
          <cell r="O71">
            <v>-1184.3599999999999</v>
          </cell>
        </row>
        <row r="72">
          <cell r="J72" t="str">
            <v>ULISES SANCHEZ HERNANDEZ</v>
          </cell>
          <cell r="K72" t="str">
            <v>Ulises</v>
          </cell>
          <cell r="L72" t="str">
            <v>Hernandez</v>
          </cell>
          <cell r="M72">
            <v>424.59</v>
          </cell>
          <cell r="N72">
            <v>801.74999999999989</v>
          </cell>
          <cell r="O72">
            <v>-396.03</v>
          </cell>
        </row>
        <row r="73">
          <cell r="J73" t="str">
            <v>VICTOR HUGO RUIZ CASTILLO</v>
          </cell>
          <cell r="K73" t="str">
            <v>Victor Hugo</v>
          </cell>
          <cell r="L73" t="str">
            <v>Ruiz Castillo</v>
          </cell>
          <cell r="M73">
            <v>1886.8</v>
          </cell>
          <cell r="N73">
            <v>2211.09</v>
          </cell>
          <cell r="O73">
            <v>-327.71</v>
          </cell>
        </row>
        <row r="74">
          <cell r="J74" t="str">
            <v>YANIZ MANUEL SILVA PUPO</v>
          </cell>
          <cell r="K74" t="str">
            <v>Yaniz Manuel</v>
          </cell>
          <cell r="L74" t="str">
            <v>Silva pupo</v>
          </cell>
          <cell r="M74">
            <v>1632.0699999999993</v>
          </cell>
          <cell r="N74">
            <v>5425.9800000000014</v>
          </cell>
          <cell r="O74">
            <v>-3733.6300000000006</v>
          </cell>
        </row>
        <row r="75">
          <cell r="J75" t="str">
            <v>YOSHUA JARETH VALDEZ HERNANDEZ</v>
          </cell>
          <cell r="K75" t="str">
            <v>YOSHUA JARETH</v>
          </cell>
          <cell r="L75" t="str">
            <v>valdez</v>
          </cell>
          <cell r="M75">
            <v>1783.4199999999998</v>
          </cell>
          <cell r="N75">
            <v>1783.42</v>
          </cell>
          <cell r="O75">
            <v>0</v>
          </cell>
        </row>
        <row r="76">
          <cell r="K76" t="str">
            <v>(en blanco)</v>
          </cell>
          <cell r="L76" t="str">
            <v>(en blanco)</v>
          </cell>
          <cell r="M76">
            <v>-132842.54999999999</v>
          </cell>
          <cell r="N76">
            <v>0</v>
          </cell>
          <cell r="O76">
            <v>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YUL "/>
      <sheetName val="TD"/>
      <sheetName val="Gastos 2026"/>
      <sheetName val="CONDUCTORES"/>
      <sheetName val="AUTOS"/>
      <sheetName val="AMORT"/>
      <sheetName val="Hoja1"/>
    </sheetNames>
    <sheetDataSet>
      <sheetData sheetId="0"/>
      <sheetData sheetId="1"/>
      <sheetData sheetId="2"/>
      <sheetData sheetId="3"/>
      <sheetData sheetId="4">
        <row r="1">
          <cell r="B1" t="str">
            <v>LLAVE</v>
          </cell>
          <cell r="C1" t="str">
            <v>PLACAS</v>
          </cell>
          <cell r="D1" t="str">
            <v># SERIE</v>
          </cell>
          <cell r="E1" t="str">
            <v>FECHA COMPRA</v>
          </cell>
          <cell r="F1" t="str">
            <v>VEHICULO</v>
          </cell>
          <cell r="G1" t="str">
            <v>MODELO</v>
          </cell>
          <cell r="H1" t="str">
            <v>COLOR</v>
          </cell>
          <cell r="I1" t="str">
            <v xml:space="preserve">ENT. FED. </v>
          </cell>
          <cell r="J1" t="str">
            <v>PLATAFORMA</v>
          </cell>
          <cell r="K1" t="str">
            <v>SOCIO</v>
          </cell>
          <cell r="L1" t="str">
            <v>ESTATUS</v>
          </cell>
        </row>
        <row r="2">
          <cell r="B2" t="str">
            <v>VENTO|2020|GRIS|R66BER</v>
          </cell>
          <cell r="C2" t="str">
            <v>R66BER</v>
          </cell>
          <cell r="D2" t="str">
            <v>MEX5G2606LT023653</v>
          </cell>
          <cell r="E2">
            <v>43738</v>
          </cell>
          <cell r="F2" t="str">
            <v>VENTO</v>
          </cell>
          <cell r="G2">
            <v>2020</v>
          </cell>
          <cell r="H2" t="str">
            <v>GRIS</v>
          </cell>
          <cell r="I2" t="str">
            <v>CDMX</v>
          </cell>
          <cell r="J2" t="str">
            <v>ASHC</v>
          </cell>
          <cell r="K2" t="str">
            <v>ASHC</v>
          </cell>
          <cell r="L2" t="str">
            <v>ACTIVO</v>
          </cell>
        </row>
        <row r="3">
          <cell r="B3" t="str">
            <v>AVEO|2022|AZUL|MUF515A</v>
          </cell>
          <cell r="C3" t="str">
            <v>MUF515A</v>
          </cell>
          <cell r="D3" t="str">
            <v>LSGHD52H4ND041033</v>
          </cell>
          <cell r="E3">
            <v>44954</v>
          </cell>
          <cell r="F3" t="str">
            <v>AVEO</v>
          </cell>
          <cell r="G3">
            <v>2022</v>
          </cell>
          <cell r="H3" t="str">
            <v>AZUL</v>
          </cell>
          <cell r="I3" t="str">
            <v>EDOMEX</v>
          </cell>
          <cell r="J3" t="str">
            <v>ASHC</v>
          </cell>
          <cell r="K3" t="str">
            <v>ASHC</v>
          </cell>
          <cell r="L3" t="str">
            <v>ACTIVO</v>
          </cell>
        </row>
        <row r="4">
          <cell r="B4" t="str">
            <v>AVEO|2018|ROJO|R51BKD</v>
          </cell>
          <cell r="C4" t="str">
            <v>R51BKD</v>
          </cell>
          <cell r="D4" t="str">
            <v>LSGHD52H7JD047970</v>
          </cell>
          <cell r="E4">
            <v>44690</v>
          </cell>
          <cell r="F4" t="str">
            <v>AVEO</v>
          </cell>
          <cell r="G4">
            <v>2018</v>
          </cell>
          <cell r="H4" t="str">
            <v>ROJO</v>
          </cell>
          <cell r="I4" t="str">
            <v>CDMX</v>
          </cell>
          <cell r="J4" t="str">
            <v>BYER</v>
          </cell>
          <cell r="K4" t="str">
            <v>U64</v>
          </cell>
          <cell r="L4" t="str">
            <v>ACTIVO</v>
          </cell>
        </row>
        <row r="5">
          <cell r="B5" t="str">
            <v>AVEO|2019|PLATA|NEL860A</v>
          </cell>
          <cell r="C5" t="str">
            <v>NEL860A</v>
          </cell>
          <cell r="D5" t="str">
            <v>LSGHD52H0KD129962</v>
          </cell>
          <cell r="E5">
            <v>45466</v>
          </cell>
          <cell r="F5" t="str">
            <v>AVEO</v>
          </cell>
          <cell r="G5">
            <v>2019</v>
          </cell>
          <cell r="H5" t="str">
            <v>PLATA</v>
          </cell>
          <cell r="I5" t="str">
            <v>EDOMEX</v>
          </cell>
          <cell r="J5" t="str">
            <v>ASHC</v>
          </cell>
          <cell r="K5" t="str">
            <v>ASHC</v>
          </cell>
          <cell r="L5" t="str">
            <v>ACTIVO</v>
          </cell>
        </row>
        <row r="6">
          <cell r="B6" t="str">
            <v>AVEO|2019|BLANCO|NBS225A</v>
          </cell>
          <cell r="C6" t="str">
            <v>NBS225A</v>
          </cell>
          <cell r="D6" t="str">
            <v>LSGHD52H4KD090597</v>
          </cell>
          <cell r="E6">
            <v>43612</v>
          </cell>
          <cell r="F6" t="str">
            <v>AVEO</v>
          </cell>
          <cell r="G6">
            <v>2019</v>
          </cell>
          <cell r="H6" t="str">
            <v>BLANCO</v>
          </cell>
          <cell r="I6" t="str">
            <v>EDOMEX</v>
          </cell>
          <cell r="J6" t="str">
            <v>ASHC</v>
          </cell>
          <cell r="K6" t="str">
            <v>ASHC</v>
          </cell>
          <cell r="L6" t="str">
            <v>ACTIVO</v>
          </cell>
        </row>
        <row r="7">
          <cell r="B7" t="str">
            <v>MARCH|2020|TURQ|N15BKD</v>
          </cell>
          <cell r="C7" t="str">
            <v>N15BKD</v>
          </cell>
          <cell r="D7" t="str">
            <v>3N1CK3CD7LL243189</v>
          </cell>
          <cell r="E7">
            <v>44692</v>
          </cell>
          <cell r="F7" t="str">
            <v>MARCH</v>
          </cell>
          <cell r="G7">
            <v>2020</v>
          </cell>
          <cell r="H7" t="str">
            <v>TURQ</v>
          </cell>
          <cell r="I7" t="str">
            <v>CDMX</v>
          </cell>
          <cell r="J7" t="str">
            <v>ASHC_DIDI</v>
          </cell>
          <cell r="K7" t="str">
            <v>ASHC</v>
          </cell>
          <cell r="L7" t="str">
            <v>ACTIVO</v>
          </cell>
        </row>
        <row r="8">
          <cell r="B8" t="str">
            <v>KIA RIO|2017|ROJO|MYE912A</v>
          </cell>
          <cell r="C8" t="str">
            <v>MYE912A</v>
          </cell>
          <cell r="D8" t="str">
            <v>KNADN4A39H6072940</v>
          </cell>
          <cell r="E8">
            <v>45231</v>
          </cell>
          <cell r="F8" t="str">
            <v>KIA RIO</v>
          </cell>
          <cell r="G8">
            <v>2017</v>
          </cell>
          <cell r="H8" t="str">
            <v>ROJO</v>
          </cell>
          <cell r="I8" t="str">
            <v>EDOMEX</v>
          </cell>
          <cell r="J8" t="str">
            <v>BYER</v>
          </cell>
          <cell r="K8" t="str">
            <v>U64</v>
          </cell>
          <cell r="L8" t="str">
            <v>ACTIVO</v>
          </cell>
        </row>
        <row r="9">
          <cell r="B9" t="str">
            <v>AVEO|2018|GRIS|X59AWG</v>
          </cell>
          <cell r="C9" t="str">
            <v>X59AWG</v>
          </cell>
          <cell r="D9" t="str">
            <v>LSGHD52HXJD050118</v>
          </cell>
          <cell r="E9">
            <v>43210</v>
          </cell>
          <cell r="F9" t="str">
            <v>AVEO</v>
          </cell>
          <cell r="G9">
            <v>2018</v>
          </cell>
          <cell r="H9" t="str">
            <v>GRIS</v>
          </cell>
          <cell r="I9" t="str">
            <v>CDMX</v>
          </cell>
          <cell r="J9" t="str">
            <v>ASHC</v>
          </cell>
          <cell r="K9" t="str">
            <v>ASHC</v>
          </cell>
          <cell r="L9" t="str">
            <v>ACTIVO</v>
          </cell>
        </row>
        <row r="10">
          <cell r="B10" t="str">
            <v>BEAT|2020|GRIS|NFN014B</v>
          </cell>
          <cell r="C10" t="str">
            <v>NFN014B</v>
          </cell>
          <cell r="D10" t="str">
            <v>MA6CB5CD9LT047100</v>
          </cell>
          <cell r="E10">
            <v>44610</v>
          </cell>
          <cell r="F10" t="str">
            <v>BEAT</v>
          </cell>
          <cell r="G10">
            <v>2020</v>
          </cell>
          <cell r="H10" t="str">
            <v>GRIS</v>
          </cell>
          <cell r="I10" t="str">
            <v>EDOMEX</v>
          </cell>
          <cell r="J10" t="str">
            <v>BYER</v>
          </cell>
          <cell r="K10" t="str">
            <v>U64</v>
          </cell>
          <cell r="L10" t="str">
            <v>ACTIVO</v>
          </cell>
        </row>
        <row r="11">
          <cell r="B11" t="str">
            <v>VENTO|2017|GRIS|MMA672C</v>
          </cell>
          <cell r="C11" t="str">
            <v>MMA672C</v>
          </cell>
          <cell r="D11" t="str">
            <v>MEX5H2600HT051064</v>
          </cell>
          <cell r="E11">
            <v>44698</v>
          </cell>
          <cell r="F11" t="str">
            <v>VENTO</v>
          </cell>
          <cell r="G11">
            <v>2017</v>
          </cell>
          <cell r="H11" t="str">
            <v>GRIS</v>
          </cell>
          <cell r="I11" t="str">
            <v>EDOMEX</v>
          </cell>
          <cell r="J11" t="str">
            <v>ASHC</v>
          </cell>
          <cell r="K11" t="str">
            <v>ASHC</v>
          </cell>
          <cell r="L11" t="str">
            <v>ACTIVO</v>
          </cell>
        </row>
        <row r="12">
          <cell r="B12" t="str">
            <v>VERSA|2023|PLATA|NCT814A</v>
          </cell>
          <cell r="C12" t="str">
            <v>NCT814A</v>
          </cell>
          <cell r="D12" t="str">
            <v>3N1CN8AE8PL834301</v>
          </cell>
          <cell r="E12">
            <v>45351</v>
          </cell>
          <cell r="F12" t="str">
            <v>VERSA</v>
          </cell>
          <cell r="G12">
            <v>2023</v>
          </cell>
          <cell r="H12" t="str">
            <v>PLATA</v>
          </cell>
          <cell r="I12" t="str">
            <v>EDOMEX</v>
          </cell>
          <cell r="J12" t="str">
            <v>ASHC</v>
          </cell>
          <cell r="K12" t="str">
            <v>ASHC</v>
          </cell>
          <cell r="L12" t="str">
            <v>ACTIVO</v>
          </cell>
        </row>
        <row r="13">
          <cell r="B13" t="str">
            <v>HYUNDAI|2022|PLATA|D40BKD</v>
          </cell>
          <cell r="C13" t="str">
            <v>D40BKD</v>
          </cell>
          <cell r="D13" t="str">
            <v>3KPC24B52NE167496</v>
          </cell>
          <cell r="E13">
            <v>44660</v>
          </cell>
          <cell r="F13" t="str">
            <v>HYUNDAI</v>
          </cell>
          <cell r="G13">
            <v>2022</v>
          </cell>
          <cell r="H13" t="str">
            <v>PLATA</v>
          </cell>
          <cell r="I13" t="str">
            <v>CDMX</v>
          </cell>
          <cell r="J13" t="str">
            <v>ASHC</v>
          </cell>
          <cell r="K13" t="str">
            <v>ASHC</v>
          </cell>
          <cell r="L13" t="str">
            <v>ACTIVO</v>
          </cell>
        </row>
        <row r="14">
          <cell r="B14" t="str">
            <v>KIA RIO|2020|GRIS|NCK475B</v>
          </cell>
          <cell r="C14" t="str">
            <v>NCK475B</v>
          </cell>
          <cell r="D14" t="str">
            <v>3KPA25AC2LE243681</v>
          </cell>
          <cell r="E14">
            <v>45364</v>
          </cell>
          <cell r="F14" t="str">
            <v>KIA RIO</v>
          </cell>
          <cell r="G14">
            <v>2020</v>
          </cell>
          <cell r="H14" t="str">
            <v>GRIS</v>
          </cell>
          <cell r="I14" t="str">
            <v>EDOMEX</v>
          </cell>
          <cell r="J14" t="str">
            <v>ASHC</v>
          </cell>
          <cell r="K14" t="str">
            <v>ASHC</v>
          </cell>
          <cell r="L14" t="str">
            <v>ACTIVO</v>
          </cell>
        </row>
        <row r="15">
          <cell r="B15" t="str">
            <v>AVEO|2022|AZUL|NZY685B</v>
          </cell>
          <cell r="C15" t="str">
            <v>NZY685B</v>
          </cell>
          <cell r="D15" t="str">
            <v>LSGHD52H0ND145566</v>
          </cell>
          <cell r="E15">
            <v>45637</v>
          </cell>
          <cell r="F15" t="str">
            <v>AVEO</v>
          </cell>
          <cell r="G15">
            <v>2022</v>
          </cell>
          <cell r="H15" t="str">
            <v>AZUL</v>
          </cell>
          <cell r="I15" t="str">
            <v>EDOMEX</v>
          </cell>
          <cell r="J15" t="str">
            <v>ASHC</v>
          </cell>
          <cell r="K15" t="str">
            <v>ASHC</v>
          </cell>
          <cell r="L15" t="str">
            <v>ACTIVO</v>
          </cell>
        </row>
        <row r="16">
          <cell r="B16" t="str">
            <v>VENTO|2018|AMARILLO|NJJ912C</v>
          </cell>
          <cell r="C16" t="str">
            <v>NJJ912C</v>
          </cell>
          <cell r="D16" t="str">
            <v>MEX5G2609JT042162</v>
          </cell>
          <cell r="E16">
            <v>45609</v>
          </cell>
          <cell r="F16" t="str">
            <v>VENTO</v>
          </cell>
          <cell r="G16">
            <v>2018</v>
          </cell>
          <cell r="H16" t="str">
            <v>AMARILLO</v>
          </cell>
          <cell r="I16" t="str">
            <v>EDOMEX</v>
          </cell>
          <cell r="J16" t="str">
            <v>ASHC</v>
          </cell>
          <cell r="K16" t="str">
            <v>ASHC</v>
          </cell>
          <cell r="L16" t="str">
            <v>ACTIVO</v>
          </cell>
        </row>
        <row r="17">
          <cell r="B17" t="str">
            <v>KIA RIO|2020|ROJO|MFP751C</v>
          </cell>
          <cell r="C17" t="str">
            <v>MFP751C</v>
          </cell>
          <cell r="D17" t="str">
            <v>3KPA24AC4LE306189</v>
          </cell>
          <cell r="E17">
            <v>45682</v>
          </cell>
          <cell r="F17" t="str">
            <v>KIA RIO</v>
          </cell>
          <cell r="G17">
            <v>2020</v>
          </cell>
          <cell r="H17" t="str">
            <v>ROJO</v>
          </cell>
          <cell r="I17" t="str">
            <v>EDOMEX</v>
          </cell>
          <cell r="J17" t="str">
            <v>ASHC</v>
          </cell>
          <cell r="K17" t="str">
            <v>ASHC</v>
          </cell>
          <cell r="L17" t="str">
            <v>ACTIVO</v>
          </cell>
        </row>
        <row r="18">
          <cell r="B18" t="str">
            <v>VERSA|2020|ROJO|NLP172B</v>
          </cell>
          <cell r="C18" t="str">
            <v>NLP172B</v>
          </cell>
          <cell r="D18" t="str">
            <v>3N1CN8AE5LL882123</v>
          </cell>
          <cell r="E18">
            <v>45675</v>
          </cell>
          <cell r="F18" t="str">
            <v>VERSA</v>
          </cell>
          <cell r="G18">
            <v>2020</v>
          </cell>
          <cell r="H18" t="str">
            <v>ROJO</v>
          </cell>
          <cell r="I18" t="str">
            <v>EDOMEX</v>
          </cell>
          <cell r="J18" t="str">
            <v>ASHC</v>
          </cell>
          <cell r="K18" t="str">
            <v>ASHC</v>
          </cell>
          <cell r="L18" t="str">
            <v>ACTIVO</v>
          </cell>
        </row>
        <row r="19">
          <cell r="B19" t="str">
            <v>AVEO|2024|GRIS|LRL009C</v>
          </cell>
          <cell r="C19" t="str">
            <v>LRL009C</v>
          </cell>
          <cell r="D19" t="str">
            <v>LZWPRMGN0RF853583</v>
          </cell>
          <cell r="E19">
            <v>45679</v>
          </cell>
          <cell r="F19" t="str">
            <v>AVEO</v>
          </cell>
          <cell r="G19">
            <v>2024</v>
          </cell>
          <cell r="H19" t="str">
            <v>GRIS</v>
          </cell>
          <cell r="I19" t="str">
            <v>EDOMEX</v>
          </cell>
          <cell r="J19" t="str">
            <v>ASHC</v>
          </cell>
          <cell r="K19" t="str">
            <v>ASHC</v>
          </cell>
          <cell r="L19" t="str">
            <v>ACTIVO</v>
          </cell>
        </row>
        <row r="20">
          <cell r="B20" t="str">
            <v>SWIFT|2017|ROJO|X89ALV</v>
          </cell>
          <cell r="C20" t="str">
            <v>X89ALV</v>
          </cell>
          <cell r="D20" t="str">
            <v>JS2ZC82S7H6303108</v>
          </cell>
          <cell r="E20">
            <v>42691</v>
          </cell>
          <cell r="F20" t="str">
            <v>SWIFT</v>
          </cell>
          <cell r="G20">
            <v>2017</v>
          </cell>
          <cell r="H20" t="str">
            <v>ROJO</v>
          </cell>
          <cell r="I20" t="str">
            <v>CDMX</v>
          </cell>
          <cell r="J20" t="str">
            <v>BYER</v>
          </cell>
          <cell r="K20" t="str">
            <v>BYER</v>
          </cell>
          <cell r="L20" t="str">
            <v>ACTIVO</v>
          </cell>
        </row>
        <row r="21">
          <cell r="B21" t="str">
            <v>VERSA|2020|BLANCO|A35BHD</v>
          </cell>
          <cell r="C21" t="str">
            <v>A35BHD</v>
          </cell>
          <cell r="D21" t="str">
            <v>3N1CN8AE1LL912265</v>
          </cell>
          <cell r="E21">
            <v>45729</v>
          </cell>
          <cell r="F21" t="str">
            <v>VERSA</v>
          </cell>
          <cell r="G21">
            <v>2020</v>
          </cell>
          <cell r="H21" t="str">
            <v>BLANCO</v>
          </cell>
          <cell r="I21" t="str">
            <v>CDMX</v>
          </cell>
          <cell r="J21" t="str">
            <v>ASHC</v>
          </cell>
          <cell r="K21" t="str">
            <v>ASHC</v>
          </cell>
          <cell r="L21" t="str">
            <v>ACTIVO</v>
          </cell>
        </row>
        <row r="22">
          <cell r="B22" t="str">
            <v>AVEO|2020|AZUL|D28BET</v>
          </cell>
          <cell r="C22" t="str">
            <v>D28BET</v>
          </cell>
          <cell r="D22" t="str">
            <v>LSGHD52H9LD020949</v>
          </cell>
          <cell r="E22">
            <v>43732</v>
          </cell>
          <cell r="F22" t="str">
            <v>AVEO</v>
          </cell>
          <cell r="G22">
            <v>2020</v>
          </cell>
          <cell r="H22" t="str">
            <v>AZUL</v>
          </cell>
          <cell r="I22" t="str">
            <v>CDMX</v>
          </cell>
          <cell r="J22" t="str">
            <v>ASHC</v>
          </cell>
          <cell r="K22" t="str">
            <v>ASHC</v>
          </cell>
          <cell r="L22" t="str">
            <v>ACTIVO</v>
          </cell>
        </row>
        <row r="23">
          <cell r="B23" t="str">
            <v>MARCH|2021|ROJO|NZU5163</v>
          </cell>
          <cell r="C23" t="str">
            <v>NZU5163</v>
          </cell>
          <cell r="D23" t="str">
            <v>3N1CK3CE5ML219595</v>
          </cell>
          <cell r="E23">
            <v>45731</v>
          </cell>
          <cell r="F23" t="str">
            <v>MARCH</v>
          </cell>
          <cell r="G23">
            <v>2021</v>
          </cell>
          <cell r="H23" t="str">
            <v>ROJO</v>
          </cell>
          <cell r="I23" t="str">
            <v>EDOMEX</v>
          </cell>
          <cell r="J23" t="str">
            <v>ASHC</v>
          </cell>
          <cell r="K23" t="str">
            <v>ASHC</v>
          </cell>
          <cell r="L23" t="str">
            <v>ACTIVO</v>
          </cell>
        </row>
        <row r="24">
          <cell r="B24" t="str">
            <v>KIA RIO|2023|ROJO|H99BLC</v>
          </cell>
          <cell r="C24" t="str">
            <v>H99BLC</v>
          </cell>
          <cell r="D24" t="str">
            <v>3KPA24BC8PE547077</v>
          </cell>
          <cell r="E24">
            <v>45808</v>
          </cell>
          <cell r="F24" t="str">
            <v>KIA RIO</v>
          </cell>
          <cell r="G24">
            <v>2023</v>
          </cell>
          <cell r="H24" t="str">
            <v>ROJO</v>
          </cell>
          <cell r="I24" t="str">
            <v>CDMX</v>
          </cell>
          <cell r="J24" t="str">
            <v>BYER</v>
          </cell>
          <cell r="K24" t="str">
            <v>U64</v>
          </cell>
          <cell r="L24" t="str">
            <v>ACTIVO</v>
          </cell>
        </row>
        <row r="25">
          <cell r="B25" t="str">
            <v>BEAT|2019|OCRE|MAY730C</v>
          </cell>
          <cell r="C25" t="str">
            <v>MAY730C</v>
          </cell>
          <cell r="D25" t="str">
            <v>MA6CC5CD1KT055817</v>
          </cell>
          <cell r="E25">
            <v>45818</v>
          </cell>
          <cell r="F25" t="str">
            <v>BEAT</v>
          </cell>
          <cell r="G25">
            <v>2019</v>
          </cell>
          <cell r="H25" t="str">
            <v>OCRE</v>
          </cell>
          <cell r="I25" t="str">
            <v>EDOMEX</v>
          </cell>
          <cell r="J25" t="str">
            <v>ASHC</v>
          </cell>
          <cell r="K25" t="str">
            <v>ASHC</v>
          </cell>
          <cell r="L25" t="str">
            <v>ACTIVO</v>
          </cell>
        </row>
        <row r="26">
          <cell r="B26" t="str">
            <v>MARCH|2019|TURQ|MAY737C</v>
          </cell>
          <cell r="C26" t="str">
            <v>MAY737C</v>
          </cell>
          <cell r="D26" t="str">
            <v>3N1CK3CD9KL210628</v>
          </cell>
          <cell r="E26">
            <v>45818</v>
          </cell>
          <cell r="F26" t="str">
            <v>MARCH</v>
          </cell>
          <cell r="G26">
            <v>2019</v>
          </cell>
          <cell r="H26" t="str">
            <v>TURQ</v>
          </cell>
          <cell r="I26" t="str">
            <v>EDOMEX</v>
          </cell>
          <cell r="J26" t="str">
            <v>BYER</v>
          </cell>
          <cell r="K26" t="str">
            <v>BYER</v>
          </cell>
          <cell r="L26" t="str">
            <v>ACTIVO</v>
          </cell>
        </row>
        <row r="27">
          <cell r="B27" t="str">
            <v>AVEO|2021|GRIS|D51BHV</v>
          </cell>
          <cell r="C27" t="str">
            <v>D51BHV</v>
          </cell>
          <cell r="D27" t="str">
            <v>LSGHD52H6MD123683</v>
          </cell>
          <cell r="E27">
            <v>45886</v>
          </cell>
          <cell r="F27" t="str">
            <v>AVEO</v>
          </cell>
          <cell r="G27">
            <v>2021</v>
          </cell>
          <cell r="H27" t="str">
            <v>GRIS</v>
          </cell>
          <cell r="I27" t="str">
            <v>CDMX</v>
          </cell>
          <cell r="J27" t="str">
            <v>ASHC</v>
          </cell>
          <cell r="K27" t="str">
            <v>ASHC</v>
          </cell>
          <cell r="L27" t="str">
            <v>ACTIVO</v>
          </cell>
        </row>
        <row r="28">
          <cell r="B28" t="str">
            <v>VERSA|2021|BLANCO|MEE228C</v>
          </cell>
          <cell r="C28" t="str">
            <v>MEE228C</v>
          </cell>
          <cell r="D28" t="str">
            <v>3N1CN8AE0MK852244</v>
          </cell>
          <cell r="E28">
            <v>45908</v>
          </cell>
          <cell r="F28" t="str">
            <v>VERSA</v>
          </cell>
          <cell r="G28">
            <v>2021</v>
          </cell>
          <cell r="H28" t="str">
            <v>GRIS</v>
          </cell>
          <cell r="I28" t="str">
            <v>EDOMEX</v>
          </cell>
          <cell r="J28" t="str">
            <v>ASHC</v>
          </cell>
          <cell r="K28" t="str">
            <v>ASHC</v>
          </cell>
          <cell r="L28" t="str">
            <v>ACTIVO</v>
          </cell>
        </row>
        <row r="29">
          <cell r="B29" t="str">
            <v>AVEO|2023|VINO|R22BMR</v>
          </cell>
          <cell r="C29" t="str">
            <v>R22BMR</v>
          </cell>
          <cell r="D29" t="str">
            <v>LSGHD52H6PD116690</v>
          </cell>
          <cell r="E29">
            <v>45904</v>
          </cell>
          <cell r="F29" t="str">
            <v>AVEO</v>
          </cell>
          <cell r="G29">
            <v>2023</v>
          </cell>
          <cell r="H29" t="str">
            <v>VINO</v>
          </cell>
          <cell r="I29" t="str">
            <v>CDMX</v>
          </cell>
          <cell r="J29" t="str">
            <v>ASHC</v>
          </cell>
          <cell r="K29" t="str">
            <v>ASHC</v>
          </cell>
          <cell r="L29" t="str">
            <v>ACTIVO</v>
          </cell>
        </row>
        <row r="30">
          <cell r="B30" t="str">
            <v>AVEO|2022|VINO|P62BHW</v>
          </cell>
          <cell r="C30" t="str">
            <v>P62BHW</v>
          </cell>
          <cell r="D30" t="str">
            <v>LSGHD52HXND066812</v>
          </cell>
          <cell r="E30">
            <v>45904</v>
          </cell>
          <cell r="F30" t="str">
            <v>AVEO</v>
          </cell>
          <cell r="G30">
            <v>2022</v>
          </cell>
          <cell r="H30" t="str">
            <v>VINO</v>
          </cell>
          <cell r="I30" t="str">
            <v>CDMX</v>
          </cell>
          <cell r="J30" t="str">
            <v>BYER</v>
          </cell>
          <cell r="K30" t="str">
            <v>ASHC</v>
          </cell>
          <cell r="L30" t="str">
            <v>ACTIVO</v>
          </cell>
        </row>
        <row r="31">
          <cell r="B31" t="str">
            <v>AVEO|2023|GRIS|MLC126A</v>
          </cell>
          <cell r="C31" t="str">
            <v>MLC126A</v>
          </cell>
          <cell r="D31" t="str">
            <v>LSGHD52H3PD126884</v>
          </cell>
          <cell r="E31">
            <v>45908</v>
          </cell>
          <cell r="F31" t="str">
            <v>AVEO</v>
          </cell>
          <cell r="G31">
            <v>2023</v>
          </cell>
          <cell r="H31" t="str">
            <v>GRIS</v>
          </cell>
          <cell r="I31" t="str">
            <v>EDOMEX</v>
          </cell>
          <cell r="J31" t="str">
            <v>ASHC</v>
          </cell>
          <cell r="K31" t="str">
            <v>ASHC</v>
          </cell>
          <cell r="L31" t="str">
            <v>ACTIVO</v>
          </cell>
        </row>
        <row r="32">
          <cell r="B32" t="str">
            <v>AVEO|2025|PERSUASION|MXM503C</v>
          </cell>
          <cell r="C32" t="str">
            <v>MXM503C</v>
          </cell>
          <cell r="D32" t="str">
            <v>LZWPRMGN7SF127547</v>
          </cell>
          <cell r="E32">
            <v>45951</v>
          </cell>
          <cell r="F32" t="str">
            <v>AVEO</v>
          </cell>
          <cell r="G32">
            <v>2025</v>
          </cell>
          <cell r="H32" t="str">
            <v>PERSUASIÓN</v>
          </cell>
          <cell r="I32" t="str">
            <v>EDOMEX</v>
          </cell>
          <cell r="J32" t="str">
            <v>ASHC</v>
          </cell>
          <cell r="K32" t="str">
            <v>ASHC</v>
          </cell>
          <cell r="L32" t="str">
            <v>ACTIVO</v>
          </cell>
        </row>
        <row r="33">
          <cell r="B33" t="str">
            <v>AVEO|2025|PERSUASION|MXM510C</v>
          </cell>
          <cell r="C33" t="str">
            <v>MXM510C</v>
          </cell>
          <cell r="D33" t="str">
            <v>LZWPRMGN7SF127600</v>
          </cell>
          <cell r="E33">
            <v>45951</v>
          </cell>
          <cell r="F33" t="str">
            <v>AVEO</v>
          </cell>
          <cell r="G33">
            <v>2025</v>
          </cell>
          <cell r="H33" t="str">
            <v>PERSUASIÓN</v>
          </cell>
          <cell r="I33" t="str">
            <v>EDOMEX</v>
          </cell>
          <cell r="J33" t="str">
            <v>ASHC</v>
          </cell>
          <cell r="K33" t="str">
            <v>ASHC</v>
          </cell>
          <cell r="L33" t="str">
            <v>ACTIVO</v>
          </cell>
        </row>
        <row r="34">
          <cell r="B34" t="str">
            <v>AVEO|2025|PERSUASION|MXM502C</v>
          </cell>
          <cell r="C34" t="str">
            <v>MXM502C</v>
          </cell>
          <cell r="D34" t="str">
            <v>LZWPRMGN7SF127550</v>
          </cell>
          <cell r="E34">
            <v>45951</v>
          </cell>
          <cell r="F34" t="str">
            <v>AVEO</v>
          </cell>
          <cell r="G34">
            <v>2025</v>
          </cell>
          <cell r="H34" t="str">
            <v>PERSUASIÓN</v>
          </cell>
          <cell r="I34" t="str">
            <v>EDOMEX</v>
          </cell>
          <cell r="J34" t="str">
            <v>ASHC</v>
          </cell>
          <cell r="K34" t="str">
            <v>ASHC</v>
          </cell>
          <cell r="L34" t="str">
            <v>ACTIVO</v>
          </cell>
        </row>
        <row r="35">
          <cell r="B35" t="str">
            <v>AVEO|2025|PERSUASION|MZN091C</v>
          </cell>
          <cell r="C35" t="str">
            <v>MZN091C</v>
          </cell>
          <cell r="D35" t="str">
            <v>LZWPRMGN9SF127758</v>
          </cell>
          <cell r="E35">
            <v>45957</v>
          </cell>
          <cell r="F35" t="str">
            <v>AVEO</v>
          </cell>
          <cell r="G35">
            <v>2025</v>
          </cell>
          <cell r="H35" t="str">
            <v>PERSUASIÓN</v>
          </cell>
          <cell r="I35" t="str">
            <v>EDOMEX</v>
          </cell>
          <cell r="J35" t="str">
            <v>ASHC</v>
          </cell>
          <cell r="K35" t="str">
            <v>ASHC</v>
          </cell>
          <cell r="L35" t="str">
            <v>ACTIVO</v>
          </cell>
        </row>
        <row r="36">
          <cell r="B36" t="str">
            <v>AVEO|2025|PERSUASION|MZN057C</v>
          </cell>
          <cell r="C36" t="str">
            <v>MZN057C</v>
          </cell>
          <cell r="D36" t="str">
            <v>LZWPRMGN9SF127582</v>
          </cell>
          <cell r="E36">
            <v>45957</v>
          </cell>
          <cell r="F36" t="str">
            <v>AVEO</v>
          </cell>
          <cell r="G36">
            <v>2025</v>
          </cell>
          <cell r="H36" t="str">
            <v>PERSUASIÓN</v>
          </cell>
          <cell r="I36" t="str">
            <v>EDOMEX</v>
          </cell>
          <cell r="J36" t="str">
            <v>ASHC</v>
          </cell>
          <cell r="K36" t="str">
            <v>ASHC</v>
          </cell>
          <cell r="L36" t="str">
            <v>ACTIVO</v>
          </cell>
        </row>
        <row r="37">
          <cell r="B37" t="str">
            <v>AVEOH|2024|BLANCO|MWV156C</v>
          </cell>
          <cell r="C37" t="str">
            <v>MWV156C</v>
          </cell>
          <cell r="D37" t="str">
            <v>LZWPPMGN7RF015279</v>
          </cell>
          <cell r="E37">
            <v>45997</v>
          </cell>
          <cell r="F37" t="str">
            <v>AVEO H</v>
          </cell>
          <cell r="G37">
            <v>2024</v>
          </cell>
          <cell r="H37" t="str">
            <v>BLANCO</v>
          </cell>
          <cell r="I37" t="str">
            <v>EDOMEX</v>
          </cell>
          <cell r="J37" t="str">
            <v>ASHC</v>
          </cell>
          <cell r="K37" t="str">
            <v>ASHC</v>
          </cell>
          <cell r="L37" t="str">
            <v>ACTIVO</v>
          </cell>
        </row>
        <row r="38">
          <cell r="B38" t="str">
            <v>VENTO|2020|GRIS|A19BDY</v>
          </cell>
          <cell r="C38" t="str">
            <v>A19BDY</v>
          </cell>
          <cell r="D38" t="str">
            <v>MEX5H2603LT024918</v>
          </cell>
          <cell r="E38">
            <v>45998</v>
          </cell>
          <cell r="F38" t="str">
            <v>VENTO</v>
          </cell>
          <cell r="G38">
            <v>2020</v>
          </cell>
          <cell r="H38" t="str">
            <v>GRIS</v>
          </cell>
          <cell r="I38" t="str">
            <v>CDMX</v>
          </cell>
          <cell r="J38" t="str">
            <v>ASHC</v>
          </cell>
          <cell r="K38" t="str">
            <v>ASHC</v>
          </cell>
          <cell r="L38" t="str">
            <v>ACTIVO</v>
          </cell>
        </row>
        <row r="39">
          <cell r="B39" t="str">
            <v>V DRIVE|2023|GRIS|MXW453C</v>
          </cell>
          <cell r="C39" t="str">
            <v>MXW453C</v>
          </cell>
          <cell r="D39" t="str">
            <v>3N1CN7AE6PL716905</v>
          </cell>
          <cell r="E39">
            <v>46003</v>
          </cell>
          <cell r="F39" t="str">
            <v>V DRIVE</v>
          </cell>
          <cell r="G39">
            <v>2023</v>
          </cell>
          <cell r="H39" t="str">
            <v>GRIS</v>
          </cell>
          <cell r="I39" t="str">
            <v>EDOMEX</v>
          </cell>
          <cell r="J39" t="str">
            <v>ASHC</v>
          </cell>
          <cell r="K39" t="str">
            <v>ASHC</v>
          </cell>
          <cell r="L39" t="str">
            <v>ACTIVO</v>
          </cell>
        </row>
        <row r="40">
          <cell r="B40" t="str">
            <v>VERSA|2021|BLANCO|NEJ957C</v>
          </cell>
          <cell r="C40" t="str">
            <v>NEJ957C</v>
          </cell>
          <cell r="D40" t="str">
            <v>3N1CN8AE2MK858675</v>
          </cell>
          <cell r="E40">
            <v>46008</v>
          </cell>
          <cell r="F40" t="str">
            <v>VERSA</v>
          </cell>
          <cell r="G40">
            <v>2021</v>
          </cell>
          <cell r="H40" t="str">
            <v>BLANCO</v>
          </cell>
          <cell r="I40" t="str">
            <v>EDOMEX</v>
          </cell>
          <cell r="J40" t="str">
            <v>ASHC</v>
          </cell>
          <cell r="K40" t="str">
            <v>ASHC</v>
          </cell>
          <cell r="L40" t="str">
            <v>ACTIVO</v>
          </cell>
        </row>
        <row r="41">
          <cell r="B41" t="str">
            <v>MARCH|2020|GRIS|NEJ984C</v>
          </cell>
          <cell r="C41" t="str">
            <v>NEJ984C</v>
          </cell>
          <cell r="D41" t="str">
            <v>3N1CK3CD2LL258683</v>
          </cell>
          <cell r="E41">
            <v>46008</v>
          </cell>
          <cell r="F41" t="str">
            <v>MARCH</v>
          </cell>
          <cell r="G41">
            <v>2020</v>
          </cell>
          <cell r="H41" t="str">
            <v>GRIS</v>
          </cell>
          <cell r="I41" t="str">
            <v>EDOMEX</v>
          </cell>
          <cell r="J41" t="str">
            <v>ASHC</v>
          </cell>
          <cell r="K41" t="str">
            <v>BYER</v>
          </cell>
          <cell r="L41" t="str">
            <v>ACTIVO</v>
          </cell>
        </row>
        <row r="42">
          <cell r="B42" t="str">
            <v>VENTO|2020|GRIS|NES586C</v>
          </cell>
          <cell r="C42" t="str">
            <v>NES586C</v>
          </cell>
          <cell r="D42" t="str">
            <v>MEX5G260XLT043422</v>
          </cell>
          <cell r="E42">
            <v>46008</v>
          </cell>
          <cell r="F42" t="str">
            <v>VENTO</v>
          </cell>
          <cell r="G42">
            <v>2020</v>
          </cell>
          <cell r="H42" t="str">
            <v>GRIS</v>
          </cell>
          <cell r="I42" t="str">
            <v>EDOMEX</v>
          </cell>
          <cell r="J42" t="str">
            <v>ASHC</v>
          </cell>
          <cell r="K42" t="str">
            <v>ASHC</v>
          </cell>
          <cell r="L42" t="str">
            <v>ACTIVO</v>
          </cell>
        </row>
        <row r="43">
          <cell r="B43" t="str">
            <v>VERSA|2022|GRIS|NES596C</v>
          </cell>
          <cell r="C43" t="str">
            <v>NES596C</v>
          </cell>
          <cell r="D43" t="str">
            <v>3N1CN8AE9NL838421</v>
          </cell>
          <cell r="E43">
            <v>46008</v>
          </cell>
          <cell r="F43" t="str">
            <v>VERSA</v>
          </cell>
          <cell r="G43">
            <v>2022</v>
          </cell>
          <cell r="H43" t="str">
            <v>GRIS</v>
          </cell>
          <cell r="I43" t="str">
            <v>EDOMEX</v>
          </cell>
          <cell r="J43" t="str">
            <v>ASHC</v>
          </cell>
          <cell r="K43" t="str">
            <v>ASHC</v>
          </cell>
          <cell r="L43" t="str">
            <v>ACTIVO</v>
          </cell>
        </row>
        <row r="44">
          <cell r="B44" t="str">
            <v>AVEOH|2026|ACERO|NEJ996C</v>
          </cell>
          <cell r="C44" t="str">
            <v>NEJ996C</v>
          </cell>
          <cell r="D44" t="str">
            <v>LZWPPMGN6TF009223</v>
          </cell>
          <cell r="E44">
            <v>46007</v>
          </cell>
          <cell r="F44" t="str">
            <v>AVEO H</v>
          </cell>
          <cell r="G44">
            <v>2026</v>
          </cell>
          <cell r="H44" t="str">
            <v>ACERO</v>
          </cell>
          <cell r="I44" t="str">
            <v>EDOMEX</v>
          </cell>
          <cell r="J44" t="str">
            <v>ASHC</v>
          </cell>
          <cell r="K44" t="str">
            <v>ASHC</v>
          </cell>
          <cell r="L44" t="str">
            <v>ACTIVO</v>
          </cell>
        </row>
        <row r="45">
          <cell r="B45" t="str">
            <v>AVEOH|2026|ACERO|NEJ990C</v>
          </cell>
          <cell r="C45" t="str">
            <v>NEJ990C</v>
          </cell>
          <cell r="D45" t="str">
            <v>LZWPPMGN6TF008380</v>
          </cell>
          <cell r="E45">
            <v>46007</v>
          </cell>
          <cell r="F45" t="str">
            <v>AVEO H</v>
          </cell>
          <cell r="G45">
            <v>2026</v>
          </cell>
          <cell r="H45" t="str">
            <v>ACERO</v>
          </cell>
          <cell r="I45" t="str">
            <v>EDOMEX</v>
          </cell>
          <cell r="J45" t="str">
            <v>ASHC</v>
          </cell>
          <cell r="K45" t="str">
            <v>ASHC</v>
          </cell>
          <cell r="L45" t="str">
            <v>ACTIVO</v>
          </cell>
        </row>
        <row r="46">
          <cell r="B46" t="str">
            <v>AVEOH|2026|ACERO|NEJ971C</v>
          </cell>
          <cell r="C46" t="str">
            <v>NEJ971C</v>
          </cell>
          <cell r="D46" t="str">
            <v>LZWPPMGN2TF008389</v>
          </cell>
          <cell r="E46">
            <v>46007</v>
          </cell>
          <cell r="F46" t="str">
            <v>AVEO H</v>
          </cell>
          <cell r="G46">
            <v>2026</v>
          </cell>
          <cell r="H46" t="str">
            <v>ACERO</v>
          </cell>
          <cell r="I46" t="str">
            <v>EDOMEX</v>
          </cell>
          <cell r="J46" t="str">
            <v>ASHC</v>
          </cell>
          <cell r="K46" t="str">
            <v>ASHC</v>
          </cell>
          <cell r="L46" t="str">
            <v>ACTIVO</v>
          </cell>
        </row>
        <row r="47">
          <cell r="B47" t="str">
            <v>BYD|2026|VERDE|78F032</v>
          </cell>
          <cell r="C47" t="str">
            <v>78F032</v>
          </cell>
          <cell r="D47" t="str">
            <v>LGXCE4CC6T0001365</v>
          </cell>
          <cell r="E47">
            <v>46007</v>
          </cell>
          <cell r="F47" t="str">
            <v>BYD</v>
          </cell>
          <cell r="G47">
            <v>2026</v>
          </cell>
          <cell r="H47" t="str">
            <v>VERDE</v>
          </cell>
          <cell r="I47" t="str">
            <v>CDMX</v>
          </cell>
          <cell r="J47" t="str">
            <v>BYER</v>
          </cell>
          <cell r="K47" t="str">
            <v>ASHC</v>
          </cell>
          <cell r="L47" t="str">
            <v>ACTIVO</v>
          </cell>
        </row>
        <row r="48">
          <cell r="B48" t="str">
            <v>AVEOH|2026|ROJO|NEZ101C</v>
          </cell>
          <cell r="C48" t="str">
            <v>NEZ101C</v>
          </cell>
          <cell r="D48" t="str">
            <v>LZWPPMGN7TF008355</v>
          </cell>
          <cell r="E48">
            <v>46014</v>
          </cell>
          <cell r="F48" t="str">
            <v>AVEO H</v>
          </cell>
          <cell r="G48">
            <v>2026</v>
          </cell>
          <cell r="H48" t="str">
            <v>ROJO</v>
          </cell>
          <cell r="I48" t="str">
            <v>EDOMEX</v>
          </cell>
          <cell r="J48" t="str">
            <v>ASHC</v>
          </cell>
          <cell r="K48" t="str">
            <v>ASHC</v>
          </cell>
          <cell r="L48" t="str">
            <v>ACTIVO</v>
          </cell>
        </row>
        <row r="49">
          <cell r="B49" t="str">
            <v>AVEOH|2026|ROJO|NEZ108C</v>
          </cell>
          <cell r="C49" t="str">
            <v>NEZ108C</v>
          </cell>
          <cell r="D49" t="str">
            <v>LZWPPMGN6TF008167</v>
          </cell>
          <cell r="E49">
            <v>46014</v>
          </cell>
          <cell r="F49" t="str">
            <v>AVEO H</v>
          </cell>
          <cell r="G49">
            <v>2026</v>
          </cell>
          <cell r="H49" t="str">
            <v>ROJO</v>
          </cell>
          <cell r="I49" t="str">
            <v>EDOMEX</v>
          </cell>
          <cell r="J49" t="str">
            <v>ASHC</v>
          </cell>
          <cell r="K49" t="str">
            <v>ASHC</v>
          </cell>
          <cell r="L49" t="str">
            <v>ACTIVO</v>
          </cell>
        </row>
        <row r="50">
          <cell r="B50" t="str">
            <v>AVEOH|2026|BLANCO|NJJ925C</v>
          </cell>
          <cell r="C50" t="str">
            <v>NJJ925C</v>
          </cell>
          <cell r="D50" t="str">
            <v>LZWPPMGN1TF002812</v>
          </cell>
          <cell r="E50">
            <v>46034</v>
          </cell>
          <cell r="F50" t="str">
            <v>AVEO H</v>
          </cell>
          <cell r="G50">
            <v>2026</v>
          </cell>
          <cell r="H50" t="str">
            <v>BLANCO</v>
          </cell>
          <cell r="I50" t="str">
            <v>EDOMEX</v>
          </cell>
          <cell r="J50" t="str">
            <v>ASHC</v>
          </cell>
          <cell r="K50" t="str">
            <v>ASHC</v>
          </cell>
          <cell r="L50" t="str">
            <v>ACTIVO</v>
          </cell>
        </row>
        <row r="51">
          <cell r="B51" t="str">
            <v>AVEOH|2026|BLANCO|NJG485C</v>
          </cell>
          <cell r="C51" t="str">
            <v>NJG485C</v>
          </cell>
          <cell r="D51" t="str">
            <v>LZWPPMGN9TF003030</v>
          </cell>
          <cell r="E51">
            <v>46034</v>
          </cell>
          <cell r="F51" t="str">
            <v>AVEO H</v>
          </cell>
          <cell r="G51">
            <v>2026</v>
          </cell>
          <cell r="H51" t="str">
            <v>BLANCO</v>
          </cell>
          <cell r="I51" t="str">
            <v>EDOMEX</v>
          </cell>
          <cell r="J51" t="str">
            <v>ASHC</v>
          </cell>
          <cell r="K51" t="str">
            <v>ASHC</v>
          </cell>
          <cell r="L51" t="str">
            <v>ACTIVO</v>
          </cell>
        </row>
        <row r="52">
          <cell r="B52" t="str">
            <v>AVEOH|2026|BLANCO|NJG467C</v>
          </cell>
          <cell r="C52" t="str">
            <v>NJG467C</v>
          </cell>
          <cell r="D52" t="str">
            <v>LZWPPMGN8TF003021</v>
          </cell>
          <cell r="E52">
            <v>46034</v>
          </cell>
          <cell r="F52" t="str">
            <v>AVEO H</v>
          </cell>
          <cell r="G52">
            <v>2026</v>
          </cell>
          <cell r="H52" t="str">
            <v>BLANCO</v>
          </cell>
          <cell r="I52" t="str">
            <v>EDOMEX</v>
          </cell>
          <cell r="J52" t="str">
            <v>ASHC</v>
          </cell>
          <cell r="K52" t="str">
            <v>ASHC</v>
          </cell>
          <cell r="L52" t="str">
            <v>ACTIVO</v>
          </cell>
        </row>
        <row r="53">
          <cell r="B53" t="str">
            <v>AVEOH|2026|BLANCO|NJG464C</v>
          </cell>
          <cell r="C53" t="str">
            <v>NJG464C</v>
          </cell>
          <cell r="D53" t="str">
            <v>LZWPPMGN3TF002830</v>
          </cell>
          <cell r="E53">
            <v>46034</v>
          </cell>
          <cell r="F53" t="str">
            <v>AVEO H</v>
          </cell>
          <cell r="G53">
            <v>2026</v>
          </cell>
          <cell r="H53" t="str">
            <v>BLANCO</v>
          </cell>
          <cell r="I53" t="str">
            <v>EDOMEX</v>
          </cell>
          <cell r="J53" t="str">
            <v>ASHC</v>
          </cell>
          <cell r="K53" t="str">
            <v>ASHC</v>
          </cell>
          <cell r="L53" t="str">
            <v>ACTIVO</v>
          </cell>
        </row>
        <row r="54">
          <cell r="B54" t="str">
            <v>AVEOH|2026|BLANCO|NJG451C</v>
          </cell>
          <cell r="C54" t="str">
            <v>NJG451C</v>
          </cell>
          <cell r="D54" t="str">
            <v>LZWPPMGN1TF002857</v>
          </cell>
          <cell r="E54">
            <v>46034</v>
          </cell>
          <cell r="F54" t="str">
            <v>AVEO H</v>
          </cell>
          <cell r="G54">
            <v>2026</v>
          </cell>
          <cell r="H54" t="str">
            <v>BLANCO</v>
          </cell>
          <cell r="I54" t="str">
            <v>EDOMEX</v>
          </cell>
          <cell r="J54" t="str">
            <v>ASHC</v>
          </cell>
          <cell r="K54" t="str">
            <v>ASHC</v>
          </cell>
          <cell r="L54" t="str">
            <v>ACTIVO</v>
          </cell>
        </row>
        <row r="55">
          <cell r="B55" t="str">
            <v>AVEOH|2026|BLANCO|NJG470C</v>
          </cell>
          <cell r="C55" t="str">
            <v>NJG470C</v>
          </cell>
          <cell r="D55" t="str">
            <v>LZWPPMGN7TF002846</v>
          </cell>
          <cell r="E55">
            <v>46034</v>
          </cell>
          <cell r="F55" t="str">
            <v>AVEO H</v>
          </cell>
          <cell r="G55">
            <v>2026</v>
          </cell>
          <cell r="H55" t="str">
            <v>BLANCO</v>
          </cell>
          <cell r="I55" t="str">
            <v>EDOMEX</v>
          </cell>
          <cell r="J55" t="str">
            <v>ASHC</v>
          </cell>
          <cell r="K55" t="str">
            <v>ASHC</v>
          </cell>
          <cell r="L55" t="str">
            <v>ACTIVO</v>
          </cell>
        </row>
        <row r="56">
          <cell r="B56" t="str">
            <v>VERSA|2021|AZUL|NMC875C</v>
          </cell>
          <cell r="C56" t="str">
            <v>NMC875C</v>
          </cell>
          <cell r="D56" t="str">
            <v>3N1CN8AE0MK853927</v>
          </cell>
          <cell r="E56">
            <v>46048</v>
          </cell>
          <cell r="F56" t="str">
            <v>VERSA</v>
          </cell>
          <cell r="G56">
            <v>2021</v>
          </cell>
          <cell r="H56" t="str">
            <v>AZUL</v>
          </cell>
          <cell r="I56" t="str">
            <v>EDOMEX</v>
          </cell>
          <cell r="J56" t="str">
            <v>ASHC</v>
          </cell>
          <cell r="K56" t="str">
            <v>ASHC</v>
          </cell>
          <cell r="L56" t="str">
            <v>ACTIVO</v>
          </cell>
        </row>
        <row r="57">
          <cell r="B57" t="str">
            <v>KIA|2025|AZUL|NMC863C</v>
          </cell>
          <cell r="C57" t="str">
            <v>NMC863C</v>
          </cell>
          <cell r="D57" t="str">
            <v>3KPFC4AA7SE083968</v>
          </cell>
          <cell r="E57">
            <v>46063</v>
          </cell>
          <cell r="F57" t="str">
            <v>KIA</v>
          </cell>
          <cell r="G57">
            <v>2025</v>
          </cell>
          <cell r="H57" t="str">
            <v>AZUL</v>
          </cell>
          <cell r="I57" t="str">
            <v>EDOMEX</v>
          </cell>
          <cell r="J57" t="str">
            <v>ASHC</v>
          </cell>
          <cell r="K57" t="str">
            <v>ASHC</v>
          </cell>
          <cell r="L57" t="str">
            <v>ACTIVO</v>
          </cell>
        </row>
        <row r="58">
          <cell r="B58" t="str">
            <v>AVANZA|2024|GRIS|NMC849C</v>
          </cell>
          <cell r="C58" t="str">
            <v>NMC849C</v>
          </cell>
          <cell r="D58" t="str">
            <v>MHFAB1BY7R3088083</v>
          </cell>
          <cell r="E58">
            <v>46058</v>
          </cell>
          <cell r="F58" t="str">
            <v>AVANZA</v>
          </cell>
          <cell r="G58">
            <v>2024</v>
          </cell>
          <cell r="H58" t="str">
            <v>GRIS</v>
          </cell>
          <cell r="I58" t="str">
            <v>EDOMEX</v>
          </cell>
          <cell r="J58" t="str">
            <v>ASHC</v>
          </cell>
          <cell r="K58" t="str">
            <v>ASHC</v>
          </cell>
          <cell r="L58" t="str">
            <v>ACTIVO</v>
          </cell>
        </row>
        <row r="59">
          <cell r="B59" t="str">
            <v>AVANZA|2025|BLANCA|NPP846C</v>
          </cell>
          <cell r="C59" t="str">
            <v>NPP846C</v>
          </cell>
          <cell r="D59" t="str">
            <v>MHFAB1BYXS3121647</v>
          </cell>
          <cell r="E59">
            <v>46076</v>
          </cell>
          <cell r="F59" t="str">
            <v>AVANZA</v>
          </cell>
          <cell r="G59">
            <v>2025</v>
          </cell>
          <cell r="H59" t="str">
            <v>GRIS</v>
          </cell>
          <cell r="I59" t="str">
            <v>EDOMEX</v>
          </cell>
          <cell r="J59" t="str">
            <v>ASHC</v>
          </cell>
          <cell r="K59" t="str">
            <v>ASHC</v>
          </cell>
          <cell r="L59" t="str">
            <v>ACTIVO</v>
          </cell>
        </row>
        <row r="60">
          <cell r="B60" t="str">
            <v>AVANZA|2021|BLANCA|NTM512C</v>
          </cell>
          <cell r="C60" t="str">
            <v>NTM512C</v>
          </cell>
          <cell r="D60" t="str">
            <v>MHKMF5CE5MK012634</v>
          </cell>
          <cell r="E60">
            <v>46115</v>
          </cell>
          <cell r="F60" t="str">
            <v>AVANZA</v>
          </cell>
          <cell r="G60">
            <v>2021</v>
          </cell>
          <cell r="H60" t="str">
            <v>BLANCA</v>
          </cell>
          <cell r="I60" t="str">
            <v>EDOMEX</v>
          </cell>
          <cell r="J60" t="str">
            <v>ASHC</v>
          </cell>
          <cell r="K60" t="str">
            <v>ASHC</v>
          </cell>
          <cell r="L60" t="str">
            <v>ACTIVO</v>
          </cell>
        </row>
        <row r="61">
          <cell r="B61" t="str">
            <v>VENTO|2020|ROJO|NPU174C</v>
          </cell>
          <cell r="C61" t="str">
            <v>NPU174C</v>
          </cell>
          <cell r="D61" t="str">
            <v>MEX5B2605LT084619</v>
          </cell>
          <cell r="E61">
            <v>46094</v>
          </cell>
          <cell r="F61" t="str">
            <v>VENTO</v>
          </cell>
          <cell r="G61">
            <v>2020</v>
          </cell>
          <cell r="H61" t="str">
            <v>ROJO</v>
          </cell>
          <cell r="I61" t="str">
            <v>EDOMEX</v>
          </cell>
          <cell r="J61" t="str">
            <v>ASHC</v>
          </cell>
          <cell r="K61" t="str">
            <v>ASHC</v>
          </cell>
          <cell r="L61" t="str">
            <v>ACTIVO</v>
          </cell>
        </row>
        <row r="62">
          <cell r="B62" t="str">
            <v>KIA RIO|2020|BLANCO|NTM525C</v>
          </cell>
          <cell r="C62" t="str">
            <v>NTM525C</v>
          </cell>
          <cell r="D62" t="str">
            <v>3KPA24BC0LE280561</v>
          </cell>
          <cell r="E62">
            <v>46092</v>
          </cell>
          <cell r="F62" t="str">
            <v>KIA RIO</v>
          </cell>
          <cell r="G62">
            <v>2020</v>
          </cell>
          <cell r="H62" t="str">
            <v>BLANCO</v>
          </cell>
          <cell r="I62" t="str">
            <v>EDOMEX</v>
          </cell>
          <cell r="J62" t="str">
            <v>BYER</v>
          </cell>
          <cell r="K62" t="str">
            <v>ASHC</v>
          </cell>
          <cell r="L62" t="str">
            <v>ACTIVO</v>
          </cell>
        </row>
        <row r="63">
          <cell r="B63" t="str">
            <v>AVEOH|2026|BLANCO|NTR508C</v>
          </cell>
          <cell r="C63" t="str">
            <v>NTR508C</v>
          </cell>
          <cell r="D63" t="str">
            <v>LZWPPMGN0TF004549</v>
          </cell>
          <cell r="E63">
            <v>46093</v>
          </cell>
          <cell r="F63" t="str">
            <v>AVEO H</v>
          </cell>
          <cell r="G63">
            <v>2026</v>
          </cell>
          <cell r="H63" t="str">
            <v>BLANCO</v>
          </cell>
          <cell r="I63" t="str">
            <v>EDOMEX</v>
          </cell>
          <cell r="J63" t="str">
            <v>ASHC</v>
          </cell>
          <cell r="K63" t="str">
            <v>ASHC</v>
          </cell>
          <cell r="L63" t="str">
            <v>ACTIVO</v>
          </cell>
        </row>
        <row r="64">
          <cell r="B64" t="str">
            <v>VERSA|2024|AZUL|NUN719C</v>
          </cell>
          <cell r="C64" t="str">
            <v>NUN719C</v>
          </cell>
          <cell r="D64" t="str">
            <v>3N1CN8AEXRL852950</v>
          </cell>
          <cell r="E64">
            <v>46098</v>
          </cell>
          <cell r="F64" t="str">
            <v>VERSA</v>
          </cell>
          <cell r="G64">
            <v>2024</v>
          </cell>
          <cell r="H64" t="str">
            <v>AZUL</v>
          </cell>
          <cell r="I64" t="str">
            <v>EDOMEX</v>
          </cell>
          <cell r="J64" t="str">
            <v>ASHC</v>
          </cell>
          <cell r="K64" t="str">
            <v>ASHC</v>
          </cell>
          <cell r="L64" t="str">
            <v>ACTIVO</v>
          </cell>
        </row>
        <row r="65">
          <cell r="B65" t="str">
            <v>VERSA|2021|BLANCO|NUN762C</v>
          </cell>
          <cell r="C65" t="str">
            <v>NUN762C</v>
          </cell>
          <cell r="D65" t="str">
            <v>3N1CN8AE2ML872411</v>
          </cell>
          <cell r="E65">
            <v>46098</v>
          </cell>
          <cell r="F65" t="str">
            <v>VERSA</v>
          </cell>
          <cell r="G65">
            <v>2021</v>
          </cell>
          <cell r="H65" t="str">
            <v>BLANCO</v>
          </cell>
          <cell r="I65" t="str">
            <v>EDOMEX</v>
          </cell>
          <cell r="J65" t="str">
            <v>ASHC</v>
          </cell>
          <cell r="K65" t="str">
            <v>ASHC</v>
          </cell>
          <cell r="L65" t="str">
            <v>ACTIVO</v>
          </cell>
        </row>
        <row r="66">
          <cell r="B66" t="str">
            <v>AVEOH|2026|GRIS|NEZ118C</v>
          </cell>
          <cell r="C66" t="str">
            <v>NEZ118C</v>
          </cell>
          <cell r="D66" t="str">
            <v>LZWPPMGN3TF002729</v>
          </cell>
          <cell r="F66" t="str">
            <v>AVEOH</v>
          </cell>
          <cell r="G66">
            <v>2026</v>
          </cell>
          <cell r="H66" t="str">
            <v>GRIS</v>
          </cell>
          <cell r="I66" t="str">
            <v>EDOMEX</v>
          </cell>
          <cell r="J66" t="str">
            <v>IVETT</v>
          </cell>
          <cell r="K66" t="str">
            <v>IVETT</v>
          </cell>
          <cell r="L66" t="str">
            <v>ACTIVO</v>
          </cell>
        </row>
        <row r="67">
          <cell r="B67" t="str">
            <v>AVEOH|2026|GRIS|NEZ115C</v>
          </cell>
          <cell r="C67" t="str">
            <v>NEZ115C</v>
          </cell>
          <cell r="D67" t="str">
            <v>LZWPPMGN9TF008003</v>
          </cell>
          <cell r="F67" t="str">
            <v>AVEOH</v>
          </cell>
          <cell r="G67">
            <v>2026</v>
          </cell>
          <cell r="H67" t="str">
            <v>GRIS</v>
          </cell>
          <cell r="I67" t="str">
            <v>EDOMEX</v>
          </cell>
          <cell r="J67" t="str">
            <v>IVETT</v>
          </cell>
          <cell r="K67" t="str">
            <v>IVETT</v>
          </cell>
          <cell r="L67" t="str">
            <v>ACTIVO</v>
          </cell>
        </row>
        <row r="68">
          <cell r="B68" t="str">
            <v>AVEOH|2026|GRIS|NEZ110C</v>
          </cell>
          <cell r="C68" t="str">
            <v>NEZ110C</v>
          </cell>
          <cell r="D68" t="str">
            <v>LZWPPMGNXTF002727</v>
          </cell>
          <cell r="F68" t="str">
            <v>AVEOH</v>
          </cell>
          <cell r="G68">
            <v>2026</v>
          </cell>
          <cell r="H68" t="str">
            <v>GRIS</v>
          </cell>
          <cell r="I68" t="str">
            <v>EDOMEX</v>
          </cell>
          <cell r="J68" t="str">
            <v>IVETT</v>
          </cell>
          <cell r="K68" t="str">
            <v>IVETT</v>
          </cell>
          <cell r="L68" t="str">
            <v>ACTIVO</v>
          </cell>
        </row>
        <row r="69">
          <cell r="B69" t="str">
            <v>AVEOH|2026|GRIS|NEZ103C</v>
          </cell>
          <cell r="C69" t="str">
            <v>NEZ103C</v>
          </cell>
          <cell r="D69" t="str">
            <v>LZWPPMGN1TF002745</v>
          </cell>
          <cell r="F69" t="str">
            <v>AVEOH</v>
          </cell>
          <cell r="G69">
            <v>2026</v>
          </cell>
          <cell r="H69" t="str">
            <v>GRIS</v>
          </cell>
          <cell r="I69" t="str">
            <v>EDOMEX</v>
          </cell>
          <cell r="J69" t="str">
            <v>IVETT</v>
          </cell>
          <cell r="K69" t="str">
            <v>IVETT</v>
          </cell>
          <cell r="L69" t="str">
            <v>ACTIVO</v>
          </cell>
        </row>
        <row r="70">
          <cell r="B70" t="str">
            <v>AVEO|2022|AZUL|PCH9635</v>
          </cell>
          <cell r="C70" t="str">
            <v>PCH9635</v>
          </cell>
          <cell r="D70" t="str">
            <v>LSGHD52H0ND145566</v>
          </cell>
          <cell r="E70">
            <v>46034</v>
          </cell>
          <cell r="F70" t="str">
            <v>AVEO</v>
          </cell>
          <cell r="G70">
            <v>2022</v>
          </cell>
          <cell r="H70" t="str">
            <v>AZUL</v>
          </cell>
          <cell r="I70" t="str">
            <v>EDOMEX</v>
          </cell>
          <cell r="J70" t="str">
            <v>IVETT</v>
          </cell>
          <cell r="K70" t="str">
            <v>IVETT</v>
          </cell>
          <cell r="L70" t="str">
            <v>ACTIVO</v>
          </cell>
        </row>
        <row r="71">
          <cell r="B71" t="str">
            <v>AVEOH|2026|BLANCO|NJG461C</v>
          </cell>
          <cell r="C71" t="str">
            <v>NJG461C</v>
          </cell>
          <cell r="D71" t="str">
            <v>LZWPPMGN9TF003061</v>
          </cell>
          <cell r="E71">
            <v>46034</v>
          </cell>
          <cell r="F71" t="str">
            <v>AVEOH</v>
          </cell>
          <cell r="G71">
            <v>2026</v>
          </cell>
          <cell r="H71" t="str">
            <v>BLANCO</v>
          </cell>
          <cell r="I71" t="str">
            <v>EDOMEX</v>
          </cell>
          <cell r="J71" t="str">
            <v>IVETT</v>
          </cell>
          <cell r="K71" t="str">
            <v>IVETT</v>
          </cell>
          <cell r="L71" t="str">
            <v>ACTIVO</v>
          </cell>
        </row>
        <row r="72">
          <cell r="B72" t="str">
            <v>AVEOH|2026|BLANCO|NJG480C</v>
          </cell>
          <cell r="C72" t="str">
            <v>NJG480C</v>
          </cell>
          <cell r="D72" t="str">
            <v>LZWPPMGN2TF002818</v>
          </cell>
          <cell r="E72">
            <v>46034</v>
          </cell>
          <cell r="F72" t="str">
            <v>AVEOH</v>
          </cell>
          <cell r="G72">
            <v>2026</v>
          </cell>
          <cell r="H72" t="str">
            <v>BLANCO</v>
          </cell>
          <cell r="I72" t="str">
            <v>EDOMEX</v>
          </cell>
          <cell r="J72" t="str">
            <v>IVETT</v>
          </cell>
          <cell r="K72" t="str">
            <v>IVETT</v>
          </cell>
          <cell r="L72" t="str">
            <v>ACTIVO</v>
          </cell>
        </row>
        <row r="73">
          <cell r="B73" t="str">
            <v>AVEOH|2026|BLANCO|NJG463C</v>
          </cell>
          <cell r="C73" t="str">
            <v>NJG463C</v>
          </cell>
          <cell r="D73" t="str">
            <v>LZWPPMGNXTF003067</v>
          </cell>
          <cell r="E73">
            <v>46034</v>
          </cell>
          <cell r="F73" t="str">
            <v>AVEOH</v>
          </cell>
          <cell r="G73">
            <v>2026</v>
          </cell>
          <cell r="H73" t="str">
            <v>BLANCO</v>
          </cell>
          <cell r="I73" t="str">
            <v>EDOMEX</v>
          </cell>
          <cell r="J73" t="str">
            <v>IVETT</v>
          </cell>
          <cell r="K73" t="str">
            <v>IVETT</v>
          </cell>
          <cell r="L73" t="str">
            <v>ACTIVO</v>
          </cell>
        </row>
        <row r="74">
          <cell r="B74" t="str">
            <v>AVEOH|2026|BLANCO|NJG466C</v>
          </cell>
          <cell r="C74" t="str">
            <v>NJG466C</v>
          </cell>
          <cell r="D74" t="str">
            <v>LZWPPMGN6TF003048</v>
          </cell>
          <cell r="E74">
            <v>46034</v>
          </cell>
          <cell r="F74" t="str">
            <v>AVEOH</v>
          </cell>
          <cell r="G74">
            <v>2026</v>
          </cell>
          <cell r="H74" t="str">
            <v>BLANCO</v>
          </cell>
          <cell r="I74" t="str">
            <v>EDOMEX</v>
          </cell>
          <cell r="J74" t="str">
            <v>IVETT</v>
          </cell>
          <cell r="K74" t="str">
            <v>IVETT</v>
          </cell>
          <cell r="L74" t="str">
            <v>ACTIVO</v>
          </cell>
        </row>
        <row r="75">
          <cell r="B75" t="str">
            <v>AVEOH|2026|BLANCO|NJG468C</v>
          </cell>
          <cell r="C75" t="str">
            <v>NJG468C</v>
          </cell>
          <cell r="D75" t="str">
            <v>LZWPPMGN3TF002827</v>
          </cell>
          <cell r="E75">
            <v>46034</v>
          </cell>
          <cell r="F75" t="str">
            <v>AVEOH</v>
          </cell>
          <cell r="G75">
            <v>2026</v>
          </cell>
          <cell r="H75" t="str">
            <v>BLANCO</v>
          </cell>
          <cell r="I75" t="str">
            <v>EDOMEX</v>
          </cell>
          <cell r="J75" t="str">
            <v>IVETT</v>
          </cell>
          <cell r="K75" t="str">
            <v>IVETT</v>
          </cell>
          <cell r="L75" t="str">
            <v>ACTIVO</v>
          </cell>
        </row>
        <row r="76">
          <cell r="B76" t="str">
            <v>AVEOH|2026|BLANCO|NJJ910C</v>
          </cell>
          <cell r="C76" t="str">
            <v>NJJ910C</v>
          </cell>
          <cell r="D76" t="str">
            <v>LZWPPMGN1TF002809</v>
          </cell>
          <cell r="E76">
            <v>46034</v>
          </cell>
          <cell r="F76" t="str">
            <v>AVEOH</v>
          </cell>
          <cell r="G76">
            <v>2026</v>
          </cell>
          <cell r="H76" t="str">
            <v>BLANCO</v>
          </cell>
          <cell r="I76" t="str">
            <v>EDOMEX</v>
          </cell>
          <cell r="J76" t="str">
            <v>IVETT</v>
          </cell>
          <cell r="K76" t="str">
            <v>IVETT</v>
          </cell>
          <cell r="L76" t="str">
            <v>ACTIVO</v>
          </cell>
        </row>
        <row r="77">
          <cell r="B77" t="str">
            <v>MARCH|2023|GRIS|NMC882C</v>
          </cell>
          <cell r="C77" t="str">
            <v>NMC882C</v>
          </cell>
          <cell r="D77" t="str">
            <v>3N1CK3CEXPL205485</v>
          </cell>
          <cell r="E77">
            <v>46056</v>
          </cell>
          <cell r="F77" t="str">
            <v>MARCH</v>
          </cell>
          <cell r="G77">
            <v>2023</v>
          </cell>
          <cell r="H77" t="str">
            <v>GRIS</v>
          </cell>
          <cell r="I77" t="str">
            <v>EDOMEX</v>
          </cell>
          <cell r="J77" t="str">
            <v>IVETT</v>
          </cell>
          <cell r="K77" t="str">
            <v>IVETT</v>
          </cell>
          <cell r="L77" t="str">
            <v>ACTIVO</v>
          </cell>
        </row>
        <row r="78">
          <cell r="B78" t="str">
            <v>VENTO|2019|BLANCO|LUE965C</v>
          </cell>
          <cell r="C78" t="str">
            <v>LUE965C</v>
          </cell>
          <cell r="D78" t="str">
            <v>MEX522606KT013282</v>
          </cell>
          <cell r="F78" t="str">
            <v>VENTO</v>
          </cell>
          <cell r="G78">
            <v>2019</v>
          </cell>
          <cell r="H78" t="str">
            <v>BLANCO</v>
          </cell>
          <cell r="I78" t="str">
            <v>EDOMEX</v>
          </cell>
          <cell r="J78" t="str">
            <v>JGD</v>
          </cell>
          <cell r="K78" t="str">
            <v>JGD</v>
          </cell>
          <cell r="L78" t="str">
            <v>ACTIVO</v>
          </cell>
        </row>
        <row r="79">
          <cell r="B79" t="str">
            <v>KIA RIO|2020|AZUL|LUE960C</v>
          </cell>
          <cell r="C79" t="str">
            <v>LUE960C</v>
          </cell>
          <cell r="D79" t="str">
            <v>3KPA25AC9LE223380</v>
          </cell>
          <cell r="F79" t="str">
            <v>KIA RIO</v>
          </cell>
          <cell r="G79">
            <v>2020</v>
          </cell>
          <cell r="H79" t="str">
            <v>AZUL</v>
          </cell>
          <cell r="I79" t="str">
            <v>EDOMEX</v>
          </cell>
          <cell r="J79" t="str">
            <v>JGD</v>
          </cell>
          <cell r="K79" t="str">
            <v>JGD</v>
          </cell>
          <cell r="L79" t="str">
            <v>ACTIVO</v>
          </cell>
        </row>
        <row r="80">
          <cell r="B80" t="str">
            <v>VENTO|2019|BLANCO|MGC410C</v>
          </cell>
          <cell r="C80" t="str">
            <v>MGC410C</v>
          </cell>
          <cell r="D80" t="str">
            <v>MEX5H2603KT019510</v>
          </cell>
          <cell r="F80" t="str">
            <v>VENTO</v>
          </cell>
          <cell r="G80">
            <v>2019</v>
          </cell>
          <cell r="H80" t="str">
            <v>BLANCO</v>
          </cell>
          <cell r="I80" t="str">
            <v>EDOMEX</v>
          </cell>
          <cell r="J80" t="str">
            <v>JGD</v>
          </cell>
          <cell r="K80" t="str">
            <v>JGD</v>
          </cell>
          <cell r="L80" t="str">
            <v>ACTIVO</v>
          </cell>
        </row>
        <row r="81">
          <cell r="B81" t="str">
            <v>VENTO|2020|GRIS|MGC414C</v>
          </cell>
          <cell r="C81" t="str">
            <v>MGC414C</v>
          </cell>
          <cell r="D81" t="str">
            <v>MEX5G2609LT047719</v>
          </cell>
          <cell r="F81" t="str">
            <v>VENTO</v>
          </cell>
          <cell r="G81">
            <v>2020</v>
          </cell>
          <cell r="H81" t="str">
            <v>GRIS</v>
          </cell>
          <cell r="I81" t="str">
            <v>EDOMEX</v>
          </cell>
          <cell r="J81" t="str">
            <v>JGD</v>
          </cell>
          <cell r="K81" t="str">
            <v>JGD</v>
          </cell>
          <cell r="L81" t="str">
            <v>ACTIVO</v>
          </cell>
        </row>
        <row r="82">
          <cell r="B82" t="str">
            <v>MARCH|2021|BLANCO|MGC417C</v>
          </cell>
          <cell r="C82" t="str">
            <v>MGC417C</v>
          </cell>
          <cell r="D82" t="str">
            <v>3N1CK3CE9NL214546</v>
          </cell>
          <cell r="F82" t="str">
            <v>MARCH</v>
          </cell>
          <cell r="G82">
            <v>2021</v>
          </cell>
          <cell r="H82" t="str">
            <v>BLANCO</v>
          </cell>
          <cell r="I82" t="str">
            <v>EDOMEX</v>
          </cell>
          <cell r="J82" t="str">
            <v>JGD</v>
          </cell>
          <cell r="K82" t="str">
            <v>JGD</v>
          </cell>
          <cell r="L82" t="str">
            <v>ACTIVO</v>
          </cell>
        </row>
        <row r="83">
          <cell r="B83" t="str">
            <v>AVEO|2021|OCRE|NEB156A</v>
          </cell>
          <cell r="C83" t="str">
            <v>NEB156A</v>
          </cell>
          <cell r="D83" t="str">
            <v>LSGHD52H6MD033191</v>
          </cell>
          <cell r="F83" t="str">
            <v>AVEO</v>
          </cell>
          <cell r="G83">
            <v>2021</v>
          </cell>
          <cell r="H83" t="str">
            <v>OCRE</v>
          </cell>
          <cell r="I83" t="str">
            <v>EDOMEX</v>
          </cell>
          <cell r="J83" t="str">
            <v>ASHC</v>
          </cell>
          <cell r="K83" t="str">
            <v>ASHC</v>
          </cell>
          <cell r="L83" t="str">
            <v>PÉRDIDA</v>
          </cell>
        </row>
        <row r="84">
          <cell r="B84" t="str">
            <v>VENTO|2017|GRIS|NZV7888</v>
          </cell>
          <cell r="C84" t="str">
            <v>NZV7888</v>
          </cell>
          <cell r="D84" t="str">
            <v>MEX5H2600HT051064</v>
          </cell>
          <cell r="E84">
            <v>44698</v>
          </cell>
          <cell r="F84" t="str">
            <v>VENTO</v>
          </cell>
          <cell r="G84">
            <v>2017</v>
          </cell>
          <cell r="H84" t="str">
            <v>GRIS</v>
          </cell>
          <cell r="I84" t="str">
            <v>EDOMEX</v>
          </cell>
          <cell r="J84" t="str">
            <v>ASHC</v>
          </cell>
          <cell r="K84" t="str">
            <v>ASHC</v>
          </cell>
          <cell r="L84" t="str">
            <v>CPLACA</v>
          </cell>
        </row>
        <row r="85">
          <cell r="B85" t="str">
            <v>VERSA|2017|ACERO|X24APU</v>
          </cell>
          <cell r="C85" t="str">
            <v>X24APU</v>
          </cell>
          <cell r="D85" t="str">
            <v>3N1CN7AD1HK463488</v>
          </cell>
          <cell r="F85" t="str">
            <v>VERSA</v>
          </cell>
          <cell r="G85">
            <v>2017</v>
          </cell>
          <cell r="H85" t="str">
            <v>ACERO</v>
          </cell>
          <cell r="I85" t="str">
            <v>CDMX</v>
          </cell>
          <cell r="J85" t="str">
            <v>ASHC</v>
          </cell>
          <cell r="K85" t="str">
            <v>ASHC</v>
          </cell>
          <cell r="L85" t="str">
            <v>VENTA</v>
          </cell>
        </row>
        <row r="86">
          <cell r="B86" t="str">
            <v>VENTO|2018|AMARILLO|PED1652</v>
          </cell>
          <cell r="C86" t="str">
            <v>PED1652</v>
          </cell>
          <cell r="D86" t="str">
            <v>MEX5G2609JT042162</v>
          </cell>
          <cell r="E86">
            <v>45609</v>
          </cell>
          <cell r="F86" t="str">
            <v>VENTO</v>
          </cell>
          <cell r="G86">
            <v>2018</v>
          </cell>
          <cell r="H86" t="str">
            <v>AMARILLO</v>
          </cell>
          <cell r="I86" t="str">
            <v>EDOMEX</v>
          </cell>
          <cell r="J86" t="str">
            <v>ASHC</v>
          </cell>
          <cell r="K86" t="str">
            <v>ASHC</v>
          </cell>
          <cell r="L86" t="str">
            <v>ACTIVO</v>
          </cell>
        </row>
      </sheetData>
      <sheetData sheetId="5"/>
      <sheetData sheetId="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B40BE29D-23EA-4604-AEB2-23FA1864402D}">
    <nsvFilter filterId="{00000000-0001-0000-0100-000000000000}" ref="A1:AD1354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3D6329AA-D859-4F85-B143-3E90A4DDC71F}"/>
  <namedSheetView name="Vista 2" id="{8325E7AA-A203-49B7-994C-4E4D2ACCC324}">
    <nsvFilter filterId="{5A3CDDD4-4845-4FAF-B738-2592C5BC4B76}" ref="A1:AD869" tableId="0">
      <columnFilter colId="0">
        <filter colId="0">
          <x:filters>
            <x:filter val="1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5C949078-918A-4EAB-AA48-CFFA440E6DA6}"/>
  <namedSheetView name="Vista 1" id="{79BDE665-56AF-4E66-8002-153EBDB5C1AC}"/>
  <namedSheetView name="Vista 2" id="{59081210-D3EF-4C2D-BB9F-143386A7FF13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lizabeth ASHC" id="{545440E0-4282-4D01-81F0-4B3C7E8D36D0}" userId="2d7de9c77b2934ab" providerId="Windows Live"/>
  <person displayName="Paola Villanueva" id="{B47FF310-15EB-4255-AF26-B9F92A2179EE}" userId="8741936b1f108ae7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219" dT="2026-01-29T15:08:45.54" personId="{B47FF310-15EB-4255-AF26-B9F92A2179EE}" id="{02C9048D-1876-4681-9E9C-A94CF34434F4}">
    <text>REVISAR CON ELI, PAG DE 1500</text>
  </threadedComment>
  <threadedComment ref="Q243" dT="2026-02-02T17:44:54.31" personId="{545440E0-4282-4D01-81F0-4B3C7E8D36D0}" id="{E40FE768-AEB6-4593-961C-898AC99007BD}">
    <text>SALDO A FAV SEM PASADA</text>
  </threadedComment>
  <threadedComment ref="Q257" dT="2026-02-02T17:34:05.95" personId="{545440E0-4282-4D01-81F0-4B3C7E8D36D0}" id="{86AB6DCB-CF17-4E69-A6B7-A9F309099024}">
    <text xml:space="preserve">PAGO DE MAS
</text>
  </threadedComment>
  <threadedComment ref="P258" dT="2026-01-30T20:47:02.07" personId="{B47FF310-15EB-4255-AF26-B9F92A2179EE}" id="{332F2ABF-0875-48FE-93ED-67F023AD76A6}">
    <text>se cobran 4 días</text>
  </threadedComment>
  <threadedComment ref="Q341" dT="2026-02-09T15:05:33.59" personId="{545440E0-4282-4D01-81F0-4B3C7E8D36D0}" id="{42148E51-EF45-4416-9BE0-246EAA49F1BB}">
    <text>Hojalateria sem pasada</text>
  </threadedComment>
  <threadedComment ref="P558" dT="2026-04-09T01:16:56.67" personId="{B47FF310-15EB-4255-AF26-B9F92A2179EE}" id="{FDFD2FA3-604C-4A8F-8AF8-5D649CF59EE5}">
    <text>ACUERDO</text>
  </threadedComment>
  <threadedComment ref="N581" dT="2026-03-09T14:56:45.90" personId="{B47FF310-15EB-4255-AF26-B9F92A2179EE}" id="{B1E72808-F117-485D-A3E1-BA0A6817012C}">
    <text>CRUZA DOS TAG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B9DD-B2F0-4521-9E0D-32033408D7BA}">
  <sheetPr>
    <tabColor rgb="FF002060"/>
    <pageSetUpPr fitToPage="1"/>
  </sheetPr>
  <dimension ref="A1:AE1354"/>
  <sheetViews>
    <sheetView workbookViewId="0">
      <selection activeCell="A2" sqref="A2"/>
    </sheetView>
  </sheetViews>
  <sheetFormatPr baseColWidth="10" defaultColWidth="14.44140625" defaultRowHeight="15" customHeight="1" outlineLevelCol="1" x14ac:dyDescent="0.3"/>
  <cols>
    <col min="1" max="1" width="9.109375" style="149" customWidth="1"/>
    <col min="2" max="2" width="25.109375" style="149" customWidth="1"/>
    <col min="3" max="3" width="27.88671875" style="149" customWidth="1"/>
    <col min="4" max="4" width="16" style="149" customWidth="1"/>
    <col min="5" max="5" width="10.5546875" style="149" bestFit="1" customWidth="1"/>
    <col min="6" max="6" width="11.109375" style="149" customWidth="1"/>
    <col min="7" max="7" width="9.5546875" style="149" customWidth="1"/>
    <col min="8" max="8" width="13.44140625" style="149" customWidth="1" outlineLevel="1"/>
    <col min="9" max="9" width="14.44140625" style="149" customWidth="1" outlineLevel="1"/>
    <col min="10" max="10" width="14" style="149" customWidth="1" outlineLevel="1"/>
    <col min="11" max="11" width="11.88671875" style="149" customWidth="1" outlineLevel="1"/>
    <col min="12" max="12" width="12.88671875" style="149" customWidth="1" outlineLevel="1"/>
    <col min="13" max="13" width="15.44140625" style="149" customWidth="1" outlineLevel="1"/>
    <col min="14" max="14" width="8.5546875" style="149" customWidth="1"/>
    <col min="15" max="15" width="11" style="149" customWidth="1"/>
    <col min="16" max="16" width="11.5546875" style="149" customWidth="1"/>
    <col min="17" max="17" width="15.109375" style="149" customWidth="1" outlineLevel="1"/>
    <col min="18" max="19" width="10.88671875" style="149" customWidth="1" outlineLevel="1"/>
    <col min="20" max="20" width="15.109375" style="149" customWidth="1" outlineLevel="1"/>
    <col min="21" max="21" width="15.5546875" style="149" customWidth="1" outlineLevel="1"/>
    <col min="22" max="22" width="8.109375" style="149" customWidth="1" outlineLevel="1"/>
    <col min="23" max="24" width="10.109375" style="149" customWidth="1"/>
    <col min="25" max="25" width="17.44140625" style="149" customWidth="1"/>
    <col min="26" max="26" width="12.109375" style="149" bestFit="1" customWidth="1"/>
    <col min="27" max="27" width="7.88671875" style="149" customWidth="1"/>
    <col min="28" max="28" width="22" style="149" bestFit="1" customWidth="1"/>
    <col min="29" max="29" width="30.88671875" style="149" customWidth="1"/>
    <col min="30" max="30" width="9.109375" style="149" customWidth="1"/>
    <col min="31" max="16384" width="14.44140625" style="149"/>
  </cols>
  <sheetData>
    <row r="1" spans="1:30" ht="12.75" customHeight="1" x14ac:dyDescent="0.3">
      <c r="A1" s="150" t="s">
        <v>842</v>
      </c>
      <c r="B1" s="151" t="s">
        <v>6</v>
      </c>
      <c r="C1" s="151" t="s">
        <v>843</v>
      </c>
      <c r="D1" s="151" t="s">
        <v>844</v>
      </c>
      <c r="E1" s="152" t="s">
        <v>8</v>
      </c>
      <c r="F1" s="152" t="s">
        <v>845</v>
      </c>
      <c r="G1" s="151" t="s">
        <v>846</v>
      </c>
      <c r="H1" s="153" t="s">
        <v>847</v>
      </c>
      <c r="I1" s="153" t="s">
        <v>848</v>
      </c>
      <c r="J1" s="153" t="s">
        <v>849</v>
      </c>
      <c r="K1" s="153" t="s">
        <v>850</v>
      </c>
      <c r="L1" s="153" t="s">
        <v>364</v>
      </c>
      <c r="M1" s="154" t="s">
        <v>851</v>
      </c>
      <c r="N1" s="153" t="s">
        <v>844</v>
      </c>
      <c r="O1" s="155" t="s">
        <v>852</v>
      </c>
      <c r="P1" s="153" t="s">
        <v>853</v>
      </c>
      <c r="Q1" s="153" t="s">
        <v>854</v>
      </c>
      <c r="R1" s="153" t="s">
        <v>855</v>
      </c>
      <c r="S1" s="153" t="s">
        <v>815</v>
      </c>
      <c r="T1" s="153" t="s">
        <v>441</v>
      </c>
      <c r="U1" s="153" t="s">
        <v>856</v>
      </c>
      <c r="V1" s="153" t="s">
        <v>857</v>
      </c>
      <c r="W1" s="153" t="s">
        <v>858</v>
      </c>
      <c r="X1" s="153" t="s">
        <v>859</v>
      </c>
      <c r="Y1" s="156" t="s">
        <v>860</v>
      </c>
      <c r="Z1" s="156" t="s">
        <v>374</v>
      </c>
      <c r="AA1" s="156" t="s">
        <v>861</v>
      </c>
      <c r="AB1" s="156" t="s">
        <v>862</v>
      </c>
      <c r="AC1" s="157" t="s">
        <v>13</v>
      </c>
      <c r="AD1" s="158"/>
    </row>
    <row r="2" spans="1:30" ht="12.75" customHeight="1" x14ac:dyDescent="0.3">
      <c r="A2" s="147">
        <v>1</v>
      </c>
      <c r="B2" s="158" t="s">
        <v>585</v>
      </c>
      <c r="C2" s="158" t="s">
        <v>863</v>
      </c>
      <c r="D2" s="159" t="s">
        <v>864</v>
      </c>
      <c r="E2" s="160" t="s">
        <v>25</v>
      </c>
      <c r="F2" s="160" t="s">
        <v>865</v>
      </c>
      <c r="G2" s="160" t="s">
        <v>866</v>
      </c>
      <c r="H2" s="161">
        <v>1943.26</v>
      </c>
      <c r="I2" s="161">
        <v>-16</v>
      </c>
      <c r="J2" s="161">
        <v>0</v>
      </c>
      <c r="K2" s="161">
        <v>0</v>
      </c>
      <c r="L2" s="161">
        <v>-758.4</v>
      </c>
      <c r="M2" s="162">
        <f>-38.8652+32</f>
        <v>-6.8652000000000015</v>
      </c>
      <c r="N2" s="161">
        <v>0</v>
      </c>
      <c r="O2" s="162">
        <f t="shared" ref="O2:O65" si="0">SUM(H2:N2)</f>
        <v>1161.9948000000002</v>
      </c>
      <c r="P2" s="161">
        <v>-2142.85</v>
      </c>
      <c r="Q2" s="161">
        <v>0</v>
      </c>
      <c r="R2" s="161">
        <v>0</v>
      </c>
      <c r="S2" s="161">
        <v>0</v>
      </c>
      <c r="T2" s="161">
        <v>0</v>
      </c>
      <c r="U2" s="161">
        <v>0</v>
      </c>
      <c r="V2" s="161">
        <v>0</v>
      </c>
      <c r="W2" s="161">
        <f t="shared" ref="W2:W65" si="1">+O2+SUM(P2:V2)</f>
        <v>-980.85519999999974</v>
      </c>
      <c r="X2" s="161">
        <f t="shared" ref="X2:X65" si="2">IF(W2&gt;=0,W2,0)</f>
        <v>0</v>
      </c>
      <c r="Y2" s="161">
        <f t="shared" ref="Y2:Y65" si="3">IF(W2&lt;=0,W2,0)</f>
        <v>-980.85519999999974</v>
      </c>
      <c r="Z2" s="161">
        <v>981</v>
      </c>
      <c r="AA2" s="161">
        <f t="shared" ref="AA2:AA65" si="4">+Y2+Z2</f>
        <v>0.14480000000025939</v>
      </c>
      <c r="AB2" s="161">
        <f t="shared" ref="AB2:AB65" si="5">+O2-X2+Z2+AA2</f>
        <v>2143.1396000000004</v>
      </c>
      <c r="AC2" s="158"/>
      <c r="AD2" s="158"/>
    </row>
    <row r="3" spans="1:30" ht="12.75" customHeight="1" x14ac:dyDescent="0.3">
      <c r="A3" s="147">
        <v>1</v>
      </c>
      <c r="B3" s="158" t="s">
        <v>867</v>
      </c>
      <c r="C3" s="160" t="s">
        <v>46</v>
      </c>
      <c r="D3" s="158" t="s">
        <v>20</v>
      </c>
      <c r="E3" s="160" t="s">
        <v>25</v>
      </c>
      <c r="F3" s="160" t="s">
        <v>25</v>
      </c>
      <c r="G3" s="160" t="s">
        <v>866</v>
      </c>
      <c r="H3" s="161">
        <v>6825.48</v>
      </c>
      <c r="I3" s="161">
        <v>-448</v>
      </c>
      <c r="J3" s="161">
        <v>0</v>
      </c>
      <c r="K3" s="161">
        <v>0</v>
      </c>
      <c r="L3" s="161">
        <v>-1537.44</v>
      </c>
      <c r="M3" s="162">
        <v>-136.50960000000001</v>
      </c>
      <c r="N3" s="161">
        <v>0</v>
      </c>
      <c r="O3" s="162">
        <f t="shared" si="0"/>
        <v>4703.5303999999987</v>
      </c>
      <c r="P3" s="161">
        <v>-2142.85</v>
      </c>
      <c r="Q3" s="161">
        <v>0</v>
      </c>
      <c r="R3" s="161">
        <v>0</v>
      </c>
      <c r="S3" s="161">
        <v>0</v>
      </c>
      <c r="T3" s="161">
        <v>0</v>
      </c>
      <c r="U3" s="161">
        <v>0</v>
      </c>
      <c r="V3" s="161">
        <v>0</v>
      </c>
      <c r="W3" s="161">
        <f t="shared" si="1"/>
        <v>2560.6803999999988</v>
      </c>
      <c r="X3" s="161">
        <f t="shared" si="2"/>
        <v>2560.6803999999988</v>
      </c>
      <c r="Y3" s="161">
        <f t="shared" si="3"/>
        <v>0</v>
      </c>
      <c r="Z3" s="161">
        <v>0</v>
      </c>
      <c r="AA3" s="161">
        <f t="shared" si="4"/>
        <v>0</v>
      </c>
      <c r="AB3" s="161">
        <f t="shared" si="5"/>
        <v>2142.85</v>
      </c>
      <c r="AC3" s="158"/>
      <c r="AD3" s="158"/>
    </row>
    <row r="4" spans="1:30" ht="12.75" customHeight="1" x14ac:dyDescent="0.3">
      <c r="A4" s="147">
        <v>1</v>
      </c>
      <c r="B4" s="158" t="s">
        <v>868</v>
      </c>
      <c r="C4" s="160" t="s">
        <v>68</v>
      </c>
      <c r="D4" s="163" t="s">
        <v>869</v>
      </c>
      <c r="E4" s="160" t="s">
        <v>25</v>
      </c>
      <c r="F4" s="160" t="s">
        <v>865</v>
      </c>
      <c r="G4" s="160" t="s">
        <v>866</v>
      </c>
      <c r="H4" s="161">
        <v>0</v>
      </c>
      <c r="I4" s="161">
        <v>0</v>
      </c>
      <c r="J4" s="161">
        <v>0</v>
      </c>
      <c r="K4" s="161">
        <v>0</v>
      </c>
      <c r="L4" s="161">
        <v>0</v>
      </c>
      <c r="M4" s="162">
        <v>0</v>
      </c>
      <c r="N4" s="161">
        <v>0</v>
      </c>
      <c r="O4" s="162">
        <f t="shared" si="0"/>
        <v>0</v>
      </c>
      <c r="P4" s="161">
        <v>-2142.85</v>
      </c>
      <c r="Q4" s="161">
        <v>-67</v>
      </c>
      <c r="R4" s="161">
        <v>0</v>
      </c>
      <c r="S4" s="161">
        <v>0</v>
      </c>
      <c r="T4" s="161">
        <v>0</v>
      </c>
      <c r="U4" s="161">
        <v>0</v>
      </c>
      <c r="V4" s="161">
        <v>0</v>
      </c>
      <c r="W4" s="161">
        <f t="shared" si="1"/>
        <v>-2209.85</v>
      </c>
      <c r="X4" s="161">
        <f t="shared" si="2"/>
        <v>0</v>
      </c>
      <c r="Y4" s="161">
        <f t="shared" si="3"/>
        <v>-2209.85</v>
      </c>
      <c r="Z4" s="161">
        <v>2210</v>
      </c>
      <c r="AA4" s="161">
        <f t="shared" si="4"/>
        <v>0.15000000000009095</v>
      </c>
      <c r="AB4" s="161">
        <f t="shared" si="5"/>
        <v>2210.15</v>
      </c>
      <c r="AC4" s="158"/>
      <c r="AD4" s="158"/>
    </row>
    <row r="5" spans="1:30" ht="12.75" customHeight="1" x14ac:dyDescent="0.3">
      <c r="A5" s="147">
        <v>1</v>
      </c>
      <c r="B5" s="158" t="s">
        <v>870</v>
      </c>
      <c r="C5" s="158" t="s">
        <v>169</v>
      </c>
      <c r="D5" s="158" t="s">
        <v>20</v>
      </c>
      <c r="E5" s="160" t="s">
        <v>871</v>
      </c>
      <c r="F5" s="160" t="s">
        <v>25</v>
      </c>
      <c r="G5" s="160" t="s">
        <v>866</v>
      </c>
      <c r="H5" s="161">
        <v>3855.54</v>
      </c>
      <c r="I5" s="161">
        <v>-30.4</v>
      </c>
      <c r="J5" s="161">
        <v>0</v>
      </c>
      <c r="K5" s="161">
        <v>0</v>
      </c>
      <c r="L5" s="161">
        <v>-2145.89</v>
      </c>
      <c r="M5" s="162">
        <v>-77.110799999999998</v>
      </c>
      <c r="N5" s="161">
        <v>0</v>
      </c>
      <c r="O5" s="162">
        <f t="shared" si="0"/>
        <v>1602.1392000000001</v>
      </c>
      <c r="P5" s="161">
        <v>-2142.85</v>
      </c>
      <c r="Q5" s="161">
        <v>-510.28</v>
      </c>
      <c r="R5" s="161">
        <v>0</v>
      </c>
      <c r="S5" s="161">
        <v>0</v>
      </c>
      <c r="T5" s="161">
        <v>0</v>
      </c>
      <c r="U5" s="161">
        <v>0</v>
      </c>
      <c r="V5" s="161">
        <v>0</v>
      </c>
      <c r="W5" s="161">
        <f t="shared" si="1"/>
        <v>-1050.9908</v>
      </c>
      <c r="X5" s="161">
        <f t="shared" si="2"/>
        <v>0</v>
      </c>
      <c r="Y5" s="161">
        <f t="shared" si="3"/>
        <v>-1050.9908</v>
      </c>
      <c r="Z5" s="161">
        <v>1051</v>
      </c>
      <c r="AA5" s="161">
        <f t="shared" si="4"/>
        <v>9.1999999999643478E-3</v>
      </c>
      <c r="AB5" s="161">
        <f t="shared" si="5"/>
        <v>2653.1484</v>
      </c>
      <c r="AC5" s="158"/>
      <c r="AD5" s="158"/>
    </row>
    <row r="6" spans="1:30" ht="12.75" customHeight="1" x14ac:dyDescent="0.3">
      <c r="A6" s="147">
        <v>1</v>
      </c>
      <c r="B6" s="158" t="s">
        <v>872</v>
      </c>
      <c r="C6" s="160" t="s">
        <v>36</v>
      </c>
      <c r="D6" s="160" t="s">
        <v>873</v>
      </c>
      <c r="E6" s="160" t="s">
        <v>25</v>
      </c>
      <c r="F6" s="160" t="s">
        <v>25</v>
      </c>
      <c r="G6" s="160" t="s">
        <v>866</v>
      </c>
      <c r="H6" s="161">
        <v>3884.89</v>
      </c>
      <c r="I6" s="161">
        <v>0</v>
      </c>
      <c r="J6" s="161">
        <v>0</v>
      </c>
      <c r="K6" s="161">
        <v>0</v>
      </c>
      <c r="L6" s="161">
        <v>-2355.1</v>
      </c>
      <c r="M6" s="162">
        <v>-90.247799999999998</v>
      </c>
      <c r="N6" s="161">
        <v>-70.97</v>
      </c>
      <c r="O6" s="162">
        <f t="shared" si="0"/>
        <v>1368.5721999999998</v>
      </c>
      <c r="P6" s="161">
        <v>-714.28</v>
      </c>
      <c r="Q6" s="161">
        <v>0</v>
      </c>
      <c r="R6" s="161">
        <v>0</v>
      </c>
      <c r="S6" s="161">
        <v>0</v>
      </c>
      <c r="T6" s="161">
        <v>-500</v>
      </c>
      <c r="U6" s="161">
        <v>0</v>
      </c>
      <c r="V6" s="161">
        <v>0</v>
      </c>
      <c r="W6" s="161">
        <f t="shared" si="1"/>
        <v>154.29219999999987</v>
      </c>
      <c r="X6" s="161">
        <f t="shared" si="2"/>
        <v>154.29219999999987</v>
      </c>
      <c r="Y6" s="161">
        <f t="shared" si="3"/>
        <v>0</v>
      </c>
      <c r="Z6" s="161">
        <v>0</v>
      </c>
      <c r="AA6" s="161">
        <f t="shared" si="4"/>
        <v>0</v>
      </c>
      <c r="AB6" s="161">
        <f t="shared" si="5"/>
        <v>1214.28</v>
      </c>
      <c r="AC6" s="158"/>
      <c r="AD6" s="158"/>
    </row>
    <row r="7" spans="1:30" ht="12.75" customHeight="1" x14ac:dyDescent="0.3">
      <c r="A7" s="147">
        <v>1</v>
      </c>
      <c r="B7" s="158" t="s">
        <v>874</v>
      </c>
      <c r="C7" s="158" t="s">
        <v>183</v>
      </c>
      <c r="D7" s="158" t="s">
        <v>20</v>
      </c>
      <c r="E7" s="160" t="s">
        <v>25</v>
      </c>
      <c r="F7" s="160" t="s">
        <v>25</v>
      </c>
      <c r="G7" s="160" t="s">
        <v>866</v>
      </c>
      <c r="H7" s="161">
        <v>4885.68</v>
      </c>
      <c r="I7" s="161">
        <v>0</v>
      </c>
      <c r="J7" s="161">
        <v>0</v>
      </c>
      <c r="K7" s="161">
        <v>0</v>
      </c>
      <c r="L7" s="161">
        <v>-2620.14</v>
      </c>
      <c r="M7" s="162">
        <v>-97.713600000000014</v>
      </c>
      <c r="N7" s="161">
        <v>0</v>
      </c>
      <c r="O7" s="162">
        <f t="shared" si="0"/>
        <v>2167.8264000000004</v>
      </c>
      <c r="P7" s="161">
        <v>-2142.85</v>
      </c>
      <c r="Q7" s="161">
        <v>-683.71</v>
      </c>
      <c r="R7" s="161">
        <v>0</v>
      </c>
      <c r="S7" s="161">
        <v>0</v>
      </c>
      <c r="T7" s="161">
        <v>0</v>
      </c>
      <c r="U7" s="161">
        <v>0</v>
      </c>
      <c r="V7" s="161">
        <v>0</v>
      </c>
      <c r="W7" s="161">
        <f t="shared" si="1"/>
        <v>-658.73359999999957</v>
      </c>
      <c r="X7" s="161">
        <f t="shared" si="2"/>
        <v>0</v>
      </c>
      <c r="Y7" s="161">
        <f t="shared" si="3"/>
        <v>-658.73359999999957</v>
      </c>
      <c r="Z7" s="161">
        <v>659</v>
      </c>
      <c r="AA7" s="161">
        <f t="shared" si="4"/>
        <v>0.26640000000043074</v>
      </c>
      <c r="AB7" s="161">
        <f t="shared" si="5"/>
        <v>2827.0928000000008</v>
      </c>
      <c r="AC7" s="158"/>
      <c r="AD7" s="158"/>
    </row>
    <row r="8" spans="1:30" ht="12.75" customHeight="1" x14ac:dyDescent="0.3">
      <c r="A8" s="147">
        <v>1</v>
      </c>
      <c r="B8" s="158" t="s">
        <v>875</v>
      </c>
      <c r="C8" s="158" t="s">
        <v>46</v>
      </c>
      <c r="D8" s="158" t="s">
        <v>20</v>
      </c>
      <c r="E8" s="160" t="s">
        <v>25</v>
      </c>
      <c r="F8" s="160" t="s">
        <v>25</v>
      </c>
      <c r="G8" s="160" t="s">
        <v>866</v>
      </c>
      <c r="H8" s="161">
        <v>9781.33</v>
      </c>
      <c r="I8" s="161">
        <v>0</v>
      </c>
      <c r="J8" s="161">
        <v>0</v>
      </c>
      <c r="K8" s="161">
        <v>0</v>
      </c>
      <c r="L8" s="161">
        <v>-4655.05</v>
      </c>
      <c r="M8" s="162">
        <v>-195.6266</v>
      </c>
      <c r="N8" s="161">
        <v>0</v>
      </c>
      <c r="O8" s="162">
        <f t="shared" si="0"/>
        <v>4930.6534000000001</v>
      </c>
      <c r="P8" s="161">
        <v>-2142.85</v>
      </c>
      <c r="Q8" s="161">
        <v>0</v>
      </c>
      <c r="R8" s="161">
        <v>0</v>
      </c>
      <c r="S8" s="161">
        <v>0</v>
      </c>
      <c r="T8" s="161">
        <v>0</v>
      </c>
      <c r="U8" s="161">
        <v>0</v>
      </c>
      <c r="V8" s="161">
        <v>0</v>
      </c>
      <c r="W8" s="161">
        <f t="shared" si="1"/>
        <v>2787.8034000000002</v>
      </c>
      <c r="X8" s="161">
        <f t="shared" si="2"/>
        <v>2787.8034000000002</v>
      </c>
      <c r="Y8" s="161">
        <f t="shared" si="3"/>
        <v>0</v>
      </c>
      <c r="Z8" s="161">
        <v>0</v>
      </c>
      <c r="AA8" s="161">
        <f t="shared" si="4"/>
        <v>0</v>
      </c>
      <c r="AB8" s="161">
        <f t="shared" si="5"/>
        <v>2142.85</v>
      </c>
      <c r="AC8" s="158"/>
      <c r="AD8" s="158"/>
    </row>
    <row r="9" spans="1:30" ht="12.75" customHeight="1" x14ac:dyDescent="0.3">
      <c r="A9" s="147">
        <v>1</v>
      </c>
      <c r="B9" s="158" t="s">
        <v>876</v>
      </c>
      <c r="C9" s="158" t="s">
        <v>150</v>
      </c>
      <c r="D9" s="159" t="s">
        <v>877</v>
      </c>
      <c r="E9" s="160" t="s">
        <v>25</v>
      </c>
      <c r="F9" s="160" t="s">
        <v>25</v>
      </c>
      <c r="G9" s="160" t="s">
        <v>866</v>
      </c>
      <c r="H9" s="161">
        <v>5089.8500000000004</v>
      </c>
      <c r="I9" s="161">
        <v>-24</v>
      </c>
      <c r="J9" s="161">
        <v>0</v>
      </c>
      <c r="K9" s="161">
        <v>0</v>
      </c>
      <c r="L9" s="161">
        <v>-3520.73</v>
      </c>
      <c r="M9" s="162">
        <f>-101.797+48</f>
        <v>-53.796999999999997</v>
      </c>
      <c r="N9" s="161">
        <v>0</v>
      </c>
      <c r="O9" s="162">
        <f t="shared" si="0"/>
        <v>1491.3230000000003</v>
      </c>
      <c r="P9" s="161">
        <v>-2142.85</v>
      </c>
      <c r="Q9" s="161">
        <v>0</v>
      </c>
      <c r="R9" s="161">
        <v>-500</v>
      </c>
      <c r="S9" s="161">
        <v>0</v>
      </c>
      <c r="T9" s="161">
        <v>0</v>
      </c>
      <c r="U9" s="161">
        <v>0</v>
      </c>
      <c r="V9" s="161">
        <v>0</v>
      </c>
      <c r="W9" s="161">
        <f t="shared" si="1"/>
        <v>-1151.5269999999996</v>
      </c>
      <c r="X9" s="161">
        <f t="shared" si="2"/>
        <v>0</v>
      </c>
      <c r="Y9" s="161">
        <f t="shared" si="3"/>
        <v>-1151.5269999999996</v>
      </c>
      <c r="Z9" s="161">
        <v>1152</v>
      </c>
      <c r="AA9" s="161">
        <f t="shared" si="4"/>
        <v>0.47300000000041109</v>
      </c>
      <c r="AB9" s="161">
        <f t="shared" si="5"/>
        <v>2643.7960000000007</v>
      </c>
      <c r="AC9" s="158"/>
      <c r="AD9" s="158"/>
    </row>
    <row r="10" spans="1:30" ht="12.75" customHeight="1" x14ac:dyDescent="0.3">
      <c r="A10" s="147">
        <v>1</v>
      </c>
      <c r="B10" s="158" t="s">
        <v>408</v>
      </c>
      <c r="C10" s="160" t="s">
        <v>878</v>
      </c>
      <c r="D10" s="160" t="s">
        <v>879</v>
      </c>
      <c r="E10" s="160" t="s">
        <v>25</v>
      </c>
      <c r="F10" s="160" t="s">
        <v>25</v>
      </c>
      <c r="G10" s="160" t="s">
        <v>866</v>
      </c>
      <c r="H10" s="161">
        <v>4940.33</v>
      </c>
      <c r="I10" s="161">
        <v>-38.4</v>
      </c>
      <c r="J10" s="161">
        <v>0</v>
      </c>
      <c r="K10" s="161">
        <v>0</v>
      </c>
      <c r="L10" s="161">
        <v>-2048.73</v>
      </c>
      <c r="M10" s="162">
        <f>-98.8066+77</f>
        <v>-21.806600000000003</v>
      </c>
      <c r="N10" s="161">
        <v>0</v>
      </c>
      <c r="O10" s="162">
        <f t="shared" si="0"/>
        <v>2831.3934000000004</v>
      </c>
      <c r="P10" s="161">
        <v>-2142.85</v>
      </c>
      <c r="Q10" s="161">
        <v>-375.31</v>
      </c>
      <c r="R10" s="161">
        <v>-500</v>
      </c>
      <c r="S10" s="161">
        <v>0</v>
      </c>
      <c r="T10" s="161">
        <v>0</v>
      </c>
      <c r="U10" s="161">
        <v>0</v>
      </c>
      <c r="V10" s="161">
        <v>0</v>
      </c>
      <c r="W10" s="161">
        <f t="shared" si="1"/>
        <v>-186.76659999999947</v>
      </c>
      <c r="X10" s="161">
        <f t="shared" si="2"/>
        <v>0</v>
      </c>
      <c r="Y10" s="161">
        <f t="shared" si="3"/>
        <v>-186.76659999999947</v>
      </c>
      <c r="Z10" s="161">
        <v>187</v>
      </c>
      <c r="AA10" s="161">
        <f t="shared" si="4"/>
        <v>0.23340000000052896</v>
      </c>
      <c r="AB10" s="161">
        <f t="shared" si="5"/>
        <v>3018.6268000000009</v>
      </c>
      <c r="AC10" s="158"/>
      <c r="AD10" s="158"/>
    </row>
    <row r="11" spans="1:30" ht="12.75" customHeight="1" x14ac:dyDescent="0.3">
      <c r="A11" s="147">
        <v>1</v>
      </c>
      <c r="B11" s="158" t="s">
        <v>880</v>
      </c>
      <c r="C11" s="160" t="s">
        <v>57</v>
      </c>
      <c r="D11" s="159" t="s">
        <v>881</v>
      </c>
      <c r="E11" s="160" t="s">
        <v>25</v>
      </c>
      <c r="F11" s="160" t="s">
        <v>25</v>
      </c>
      <c r="G11" s="160" t="s">
        <v>866</v>
      </c>
      <c r="H11" s="161">
        <v>4068.3</v>
      </c>
      <c r="I11" s="161">
        <v>-38.4</v>
      </c>
      <c r="J11" s="161">
        <v>0</v>
      </c>
      <c r="K11" s="161">
        <v>0</v>
      </c>
      <c r="L11" s="161">
        <v>-935.09</v>
      </c>
      <c r="M11" s="162">
        <f>-81.366+77</f>
        <v>-4.3659999999999997</v>
      </c>
      <c r="N11" s="161">
        <v>0</v>
      </c>
      <c r="O11" s="162">
        <f t="shared" si="0"/>
        <v>3090.444</v>
      </c>
      <c r="P11" s="161">
        <v>-1971.42</v>
      </c>
      <c r="Q11" s="161">
        <v>-1063</v>
      </c>
      <c r="R11" s="161">
        <v>-500</v>
      </c>
      <c r="S11" s="161">
        <v>0</v>
      </c>
      <c r="T11" s="161">
        <v>0</v>
      </c>
      <c r="U11" s="161">
        <v>0</v>
      </c>
      <c r="V11" s="161">
        <v>0</v>
      </c>
      <c r="W11" s="161">
        <f t="shared" si="1"/>
        <v>-443.97600000000011</v>
      </c>
      <c r="X11" s="161">
        <f t="shared" si="2"/>
        <v>0</v>
      </c>
      <c r="Y11" s="161">
        <f t="shared" si="3"/>
        <v>-443.97600000000011</v>
      </c>
      <c r="Z11" s="161">
        <v>444</v>
      </c>
      <c r="AA11" s="161">
        <f t="shared" si="4"/>
        <v>2.3999999999887223E-2</v>
      </c>
      <c r="AB11" s="161">
        <f t="shared" si="5"/>
        <v>3534.4679999999998</v>
      </c>
      <c r="AC11" s="158"/>
      <c r="AD11" s="158"/>
    </row>
    <row r="12" spans="1:30" ht="12.75" customHeight="1" x14ac:dyDescent="0.3">
      <c r="A12" s="147">
        <v>1</v>
      </c>
      <c r="B12" s="158" t="s">
        <v>882</v>
      </c>
      <c r="C12" s="160" t="s">
        <v>120</v>
      </c>
      <c r="D12" s="160" t="s">
        <v>883</v>
      </c>
      <c r="E12" s="160" t="s">
        <v>25</v>
      </c>
      <c r="F12" s="160" t="s">
        <v>865</v>
      </c>
      <c r="G12" s="160" t="s">
        <v>866</v>
      </c>
      <c r="H12" s="161">
        <v>5393.23</v>
      </c>
      <c r="I12" s="161">
        <v>-68.8</v>
      </c>
      <c r="J12" s="161">
        <v>0</v>
      </c>
      <c r="K12" s="161">
        <v>0</v>
      </c>
      <c r="L12" s="161">
        <v>-2447.29</v>
      </c>
      <c r="M12" s="162">
        <v>-107.8646</v>
      </c>
      <c r="N12" s="161">
        <v>0</v>
      </c>
      <c r="O12" s="162">
        <f t="shared" si="0"/>
        <v>2769.2753999999995</v>
      </c>
      <c r="P12" s="161">
        <v>-2142.85</v>
      </c>
      <c r="Q12" s="161">
        <v>0</v>
      </c>
      <c r="R12" s="161">
        <v>0</v>
      </c>
      <c r="S12" s="161">
        <v>0</v>
      </c>
      <c r="T12" s="161">
        <v>0</v>
      </c>
      <c r="U12" s="161">
        <v>0</v>
      </c>
      <c r="V12" s="161">
        <v>0</v>
      </c>
      <c r="W12" s="161">
        <f t="shared" si="1"/>
        <v>626.42539999999963</v>
      </c>
      <c r="X12" s="161">
        <f t="shared" si="2"/>
        <v>626.42539999999963</v>
      </c>
      <c r="Y12" s="161">
        <f t="shared" si="3"/>
        <v>0</v>
      </c>
      <c r="Z12" s="161">
        <v>0</v>
      </c>
      <c r="AA12" s="161">
        <f t="shared" si="4"/>
        <v>0</v>
      </c>
      <c r="AB12" s="161">
        <f t="shared" si="5"/>
        <v>2142.85</v>
      </c>
      <c r="AC12" s="158"/>
      <c r="AD12" s="158"/>
    </row>
    <row r="13" spans="1:30" ht="12.75" customHeight="1" x14ac:dyDescent="0.3">
      <c r="A13" s="147">
        <v>2</v>
      </c>
      <c r="B13" s="158" t="s">
        <v>884</v>
      </c>
      <c r="C13" s="160" t="s">
        <v>195</v>
      </c>
      <c r="D13" s="158" t="s">
        <v>20</v>
      </c>
      <c r="E13" s="160" t="s">
        <v>871</v>
      </c>
      <c r="F13" s="160" t="s">
        <v>25</v>
      </c>
      <c r="G13" s="160" t="s">
        <v>866</v>
      </c>
      <c r="H13" s="161">
        <v>1382.8</v>
      </c>
      <c r="I13" s="161">
        <v>-22.4</v>
      </c>
      <c r="J13" s="161">
        <v>0</v>
      </c>
      <c r="K13" s="161">
        <v>0</v>
      </c>
      <c r="L13" s="161">
        <v>-723.89</v>
      </c>
      <c r="M13" s="162">
        <v>-27.655999999999999</v>
      </c>
      <c r="N13" s="161">
        <v>0</v>
      </c>
      <c r="O13" s="162">
        <f t="shared" si="0"/>
        <v>608.85399999999993</v>
      </c>
      <c r="P13" s="161">
        <v>-1428.56</v>
      </c>
      <c r="Q13" s="161">
        <v>0</v>
      </c>
      <c r="R13" s="161">
        <v>0</v>
      </c>
      <c r="S13" s="161">
        <v>0</v>
      </c>
      <c r="T13" s="161">
        <v>0</v>
      </c>
      <c r="U13" s="161">
        <v>0</v>
      </c>
      <c r="V13" s="161">
        <v>0</v>
      </c>
      <c r="W13" s="161">
        <f t="shared" si="1"/>
        <v>-819.70600000000002</v>
      </c>
      <c r="X13" s="161">
        <f t="shared" si="2"/>
        <v>0</v>
      </c>
      <c r="Y13" s="161">
        <f t="shared" si="3"/>
        <v>-819.70600000000002</v>
      </c>
      <c r="Z13" s="161">
        <v>0</v>
      </c>
      <c r="AA13" s="161">
        <f t="shared" si="4"/>
        <v>-819.70600000000002</v>
      </c>
      <c r="AB13" s="161">
        <f t="shared" si="5"/>
        <v>-210.85200000000009</v>
      </c>
      <c r="AC13" s="158" t="s">
        <v>885</v>
      </c>
      <c r="AD13" s="158"/>
    </row>
    <row r="14" spans="1:30" ht="12.75" customHeight="1" x14ac:dyDescent="0.3">
      <c r="A14" s="147">
        <v>2</v>
      </c>
      <c r="B14" s="158" t="s">
        <v>585</v>
      </c>
      <c r="C14" s="158" t="s">
        <v>863</v>
      </c>
      <c r="D14" s="159" t="s">
        <v>864</v>
      </c>
      <c r="E14" s="160" t="s">
        <v>25</v>
      </c>
      <c r="F14" s="160" t="s">
        <v>865</v>
      </c>
      <c r="G14" s="160" t="s">
        <v>866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2">
        <v>0</v>
      </c>
      <c r="N14" s="161">
        <v>0</v>
      </c>
      <c r="O14" s="162">
        <f t="shared" si="0"/>
        <v>0</v>
      </c>
      <c r="P14" s="161">
        <v>-2500</v>
      </c>
      <c r="Q14" s="161">
        <v>0</v>
      </c>
      <c r="R14" s="161">
        <v>0</v>
      </c>
      <c r="S14" s="161">
        <v>0</v>
      </c>
      <c r="T14" s="161">
        <v>0</v>
      </c>
      <c r="U14" s="161">
        <v>0</v>
      </c>
      <c r="V14" s="161">
        <v>0</v>
      </c>
      <c r="W14" s="161">
        <f t="shared" si="1"/>
        <v>-2500</v>
      </c>
      <c r="X14" s="161">
        <f t="shared" si="2"/>
        <v>0</v>
      </c>
      <c r="Y14" s="161">
        <f t="shared" si="3"/>
        <v>-2500</v>
      </c>
      <c r="Z14" s="161">
        <v>2500</v>
      </c>
      <c r="AA14" s="161">
        <f t="shared" si="4"/>
        <v>0</v>
      </c>
      <c r="AB14" s="161">
        <f t="shared" si="5"/>
        <v>2500</v>
      </c>
      <c r="AC14" s="158"/>
      <c r="AD14" s="158"/>
    </row>
    <row r="15" spans="1:30" ht="12.75" customHeight="1" x14ac:dyDescent="0.3">
      <c r="A15" s="147">
        <v>2</v>
      </c>
      <c r="B15" s="158" t="s">
        <v>867</v>
      </c>
      <c r="C15" s="160" t="s">
        <v>46</v>
      </c>
      <c r="D15" s="158" t="s">
        <v>20</v>
      </c>
      <c r="E15" s="160" t="s">
        <v>25</v>
      </c>
      <c r="F15" s="160" t="s">
        <v>25</v>
      </c>
      <c r="G15" s="160" t="s">
        <v>866</v>
      </c>
      <c r="H15" s="161">
        <v>3130.3</v>
      </c>
      <c r="I15" s="161">
        <v>0</v>
      </c>
      <c r="J15" s="161">
        <v>0</v>
      </c>
      <c r="K15" s="161">
        <v>0</v>
      </c>
      <c r="L15" s="161">
        <v>-1220.45</v>
      </c>
      <c r="M15" s="162">
        <v>-62.606000000000002</v>
      </c>
      <c r="N15" s="161">
        <v>0</v>
      </c>
      <c r="O15" s="162">
        <f t="shared" si="0"/>
        <v>1847.2440000000001</v>
      </c>
      <c r="P15" s="161">
        <v>-2500</v>
      </c>
      <c r="Q15" s="161">
        <v>0</v>
      </c>
      <c r="R15" s="161">
        <v>0</v>
      </c>
      <c r="S15" s="161">
        <v>0</v>
      </c>
      <c r="T15" s="161">
        <v>0</v>
      </c>
      <c r="U15" s="161">
        <v>0</v>
      </c>
      <c r="V15" s="161">
        <v>0</v>
      </c>
      <c r="W15" s="161">
        <f t="shared" si="1"/>
        <v>-652.75599999999986</v>
      </c>
      <c r="X15" s="161">
        <f t="shared" si="2"/>
        <v>0</v>
      </c>
      <c r="Y15" s="161">
        <f t="shared" si="3"/>
        <v>-652.75599999999986</v>
      </c>
      <c r="Z15" s="161">
        <v>653</v>
      </c>
      <c r="AA15" s="161">
        <f t="shared" si="4"/>
        <v>0.24400000000014188</v>
      </c>
      <c r="AB15" s="161">
        <f t="shared" si="5"/>
        <v>2500.4880000000003</v>
      </c>
      <c r="AC15" s="158"/>
      <c r="AD15" s="158"/>
    </row>
    <row r="16" spans="1:30" ht="12.75" customHeight="1" x14ac:dyDescent="0.3">
      <c r="A16" s="147">
        <v>2</v>
      </c>
      <c r="B16" s="158" t="s">
        <v>868</v>
      </c>
      <c r="C16" s="160" t="s">
        <v>68</v>
      </c>
      <c r="D16" s="163" t="s">
        <v>869</v>
      </c>
      <c r="E16" s="160" t="s">
        <v>25</v>
      </c>
      <c r="F16" s="160" t="s">
        <v>865</v>
      </c>
      <c r="G16" s="160" t="s">
        <v>866</v>
      </c>
      <c r="H16" s="161">
        <v>0</v>
      </c>
      <c r="I16" s="161">
        <v>0</v>
      </c>
      <c r="J16" s="161">
        <v>0</v>
      </c>
      <c r="K16" s="161">
        <v>0</v>
      </c>
      <c r="L16" s="161">
        <v>0</v>
      </c>
      <c r="M16" s="162">
        <v>0</v>
      </c>
      <c r="N16" s="161">
        <v>0</v>
      </c>
      <c r="O16" s="162">
        <f t="shared" si="0"/>
        <v>0</v>
      </c>
      <c r="P16" s="161">
        <v>-2500</v>
      </c>
      <c r="Q16" s="161">
        <v>0</v>
      </c>
      <c r="R16" s="161">
        <v>0</v>
      </c>
      <c r="S16" s="161">
        <v>0</v>
      </c>
      <c r="T16" s="161">
        <v>0</v>
      </c>
      <c r="U16" s="161">
        <v>0</v>
      </c>
      <c r="V16" s="161">
        <v>0</v>
      </c>
      <c r="W16" s="161">
        <f t="shared" si="1"/>
        <v>-2500</v>
      </c>
      <c r="X16" s="161">
        <f t="shared" si="2"/>
        <v>0</v>
      </c>
      <c r="Y16" s="161">
        <f t="shared" si="3"/>
        <v>-2500</v>
      </c>
      <c r="Z16" s="161">
        <v>2500</v>
      </c>
      <c r="AA16" s="161">
        <f t="shared" si="4"/>
        <v>0</v>
      </c>
      <c r="AB16" s="161">
        <f t="shared" si="5"/>
        <v>2500</v>
      </c>
      <c r="AC16" s="158"/>
      <c r="AD16" s="158"/>
    </row>
    <row r="17" spans="1:30" ht="12.75" customHeight="1" x14ac:dyDescent="0.3">
      <c r="A17" s="147">
        <v>2</v>
      </c>
      <c r="B17" s="158" t="s">
        <v>870</v>
      </c>
      <c r="C17" s="158" t="s">
        <v>169</v>
      </c>
      <c r="D17" s="158" t="s">
        <v>20</v>
      </c>
      <c r="E17" s="160" t="s">
        <v>871</v>
      </c>
      <c r="F17" s="160" t="s">
        <v>25</v>
      </c>
      <c r="G17" s="160" t="s">
        <v>866</v>
      </c>
      <c r="H17" s="161">
        <v>3759.89</v>
      </c>
      <c r="I17" s="161">
        <v>-60.8</v>
      </c>
      <c r="J17" s="161">
        <v>0</v>
      </c>
      <c r="K17" s="161">
        <v>0</v>
      </c>
      <c r="L17" s="161">
        <v>-1578.07</v>
      </c>
      <c r="M17" s="162">
        <v>-75.197800000000001</v>
      </c>
      <c r="N17" s="161">
        <v>0</v>
      </c>
      <c r="O17" s="162">
        <f t="shared" si="0"/>
        <v>2045.8221999999996</v>
      </c>
      <c r="P17" s="161">
        <v>-2500</v>
      </c>
      <c r="Q17" s="161">
        <v>0</v>
      </c>
      <c r="R17" s="161">
        <v>0</v>
      </c>
      <c r="S17" s="161">
        <v>0</v>
      </c>
      <c r="T17" s="161">
        <v>0</v>
      </c>
      <c r="U17" s="161">
        <v>0</v>
      </c>
      <c r="V17" s="161">
        <v>0</v>
      </c>
      <c r="W17" s="161">
        <f t="shared" si="1"/>
        <v>-454.17780000000039</v>
      </c>
      <c r="X17" s="161">
        <f t="shared" si="2"/>
        <v>0</v>
      </c>
      <c r="Y17" s="161">
        <f t="shared" si="3"/>
        <v>-454.17780000000039</v>
      </c>
      <c r="Z17" s="161">
        <v>0</v>
      </c>
      <c r="AA17" s="161">
        <f t="shared" si="4"/>
        <v>-454.17780000000039</v>
      </c>
      <c r="AB17" s="161">
        <f t="shared" si="5"/>
        <v>1591.6443999999992</v>
      </c>
      <c r="AC17" s="158" t="s">
        <v>885</v>
      </c>
      <c r="AD17" s="158"/>
    </row>
    <row r="18" spans="1:30" ht="12.75" customHeight="1" x14ac:dyDescent="0.3">
      <c r="A18" s="147">
        <v>2</v>
      </c>
      <c r="B18" s="158" t="s">
        <v>886</v>
      </c>
      <c r="C18" s="160" t="s">
        <v>183</v>
      </c>
      <c r="D18" s="160" t="s">
        <v>887</v>
      </c>
      <c r="E18" s="160" t="s">
        <v>25</v>
      </c>
      <c r="F18" s="160" t="s">
        <v>25</v>
      </c>
      <c r="G18" s="160" t="s">
        <v>866</v>
      </c>
      <c r="H18" s="161">
        <v>2574.35</v>
      </c>
      <c r="I18" s="161">
        <v>0</v>
      </c>
      <c r="J18" s="161">
        <v>0</v>
      </c>
      <c r="K18" s="161">
        <v>0</v>
      </c>
      <c r="L18" s="161">
        <v>-1659.48</v>
      </c>
      <c r="M18" s="162">
        <v>-51.487000000000002</v>
      </c>
      <c r="N18" s="161">
        <v>0</v>
      </c>
      <c r="O18" s="162">
        <f t="shared" si="0"/>
        <v>863.38299999999992</v>
      </c>
      <c r="P18" s="161">
        <v>-1428.56</v>
      </c>
      <c r="Q18" s="161">
        <v>0</v>
      </c>
      <c r="R18" s="161">
        <v>-500</v>
      </c>
      <c r="S18" s="161">
        <v>0</v>
      </c>
      <c r="T18" s="161">
        <v>0</v>
      </c>
      <c r="U18" s="161">
        <v>0</v>
      </c>
      <c r="V18" s="161">
        <v>0</v>
      </c>
      <c r="W18" s="161">
        <f t="shared" si="1"/>
        <v>-1065.1770000000001</v>
      </c>
      <c r="X18" s="161">
        <f t="shared" si="2"/>
        <v>0</v>
      </c>
      <c r="Y18" s="161">
        <f t="shared" si="3"/>
        <v>-1065.1770000000001</v>
      </c>
      <c r="Z18" s="161">
        <v>1065</v>
      </c>
      <c r="AA18" s="161">
        <f t="shared" si="4"/>
        <v>-0.17700000000013461</v>
      </c>
      <c r="AB18" s="161">
        <f t="shared" si="5"/>
        <v>1928.2059999999997</v>
      </c>
      <c r="AC18" s="158"/>
      <c r="AD18" s="158"/>
    </row>
    <row r="19" spans="1:30" ht="12.75" customHeight="1" x14ac:dyDescent="0.3">
      <c r="A19" s="147">
        <v>2</v>
      </c>
      <c r="B19" s="158" t="s">
        <v>888</v>
      </c>
      <c r="C19" s="160" t="s">
        <v>409</v>
      </c>
      <c r="D19" s="159" t="s">
        <v>889</v>
      </c>
      <c r="E19" s="160" t="s">
        <v>25</v>
      </c>
      <c r="F19" s="160" t="s">
        <v>25</v>
      </c>
      <c r="G19" s="160" t="s">
        <v>866</v>
      </c>
      <c r="H19" s="161">
        <v>4536.9799999999996</v>
      </c>
      <c r="I19" s="161">
        <v>-119.2</v>
      </c>
      <c r="J19" s="161">
        <v>0</v>
      </c>
      <c r="K19" s="161">
        <v>0</v>
      </c>
      <c r="L19" s="161">
        <v>-898.58</v>
      </c>
      <c r="M19" s="162">
        <v>-113.3596</v>
      </c>
      <c r="N19" s="161">
        <v>0</v>
      </c>
      <c r="O19" s="162">
        <f t="shared" si="0"/>
        <v>3405.8404</v>
      </c>
      <c r="P19" s="161">
        <v>-2500</v>
      </c>
      <c r="Q19" s="161">
        <v>0</v>
      </c>
      <c r="R19" s="161">
        <v>0</v>
      </c>
      <c r="S19" s="161">
        <v>-500</v>
      </c>
      <c r="T19" s="161">
        <v>0</v>
      </c>
      <c r="U19" s="161">
        <v>0</v>
      </c>
      <c r="V19" s="161">
        <v>0</v>
      </c>
      <c r="W19" s="161">
        <f t="shared" si="1"/>
        <v>405.84040000000005</v>
      </c>
      <c r="X19" s="161">
        <f t="shared" si="2"/>
        <v>405.84040000000005</v>
      </c>
      <c r="Y19" s="161">
        <f t="shared" si="3"/>
        <v>0</v>
      </c>
      <c r="Z19" s="161">
        <v>0</v>
      </c>
      <c r="AA19" s="161">
        <f t="shared" si="4"/>
        <v>0</v>
      </c>
      <c r="AB19" s="161">
        <f t="shared" si="5"/>
        <v>3000</v>
      </c>
      <c r="AC19" s="158"/>
      <c r="AD19" s="158"/>
    </row>
    <row r="20" spans="1:30" ht="12.75" customHeight="1" x14ac:dyDescent="0.3">
      <c r="A20" s="147">
        <v>2</v>
      </c>
      <c r="B20" s="158" t="s">
        <v>890</v>
      </c>
      <c r="C20" s="160" t="s">
        <v>426</v>
      </c>
      <c r="D20" s="160" t="s">
        <v>891</v>
      </c>
      <c r="E20" s="160" t="s">
        <v>25</v>
      </c>
      <c r="F20" s="160" t="s">
        <v>25</v>
      </c>
      <c r="G20" s="160" t="s">
        <v>866</v>
      </c>
      <c r="H20" s="161">
        <v>6165.24</v>
      </c>
      <c r="I20" s="161">
        <v>0</v>
      </c>
      <c r="J20" s="161">
        <v>0</v>
      </c>
      <c r="K20" s="161">
        <v>0</v>
      </c>
      <c r="L20" s="161">
        <v>-2465.5100000000002</v>
      </c>
      <c r="M20" s="162">
        <v>-123.3048</v>
      </c>
      <c r="N20" s="161">
        <v>0</v>
      </c>
      <c r="O20" s="162">
        <f t="shared" si="0"/>
        <v>3576.4251999999997</v>
      </c>
      <c r="P20" s="161">
        <v>-2500</v>
      </c>
      <c r="Q20" s="161">
        <v>0</v>
      </c>
      <c r="R20" s="161">
        <v>0</v>
      </c>
      <c r="S20" s="161">
        <v>-500</v>
      </c>
      <c r="T20" s="161">
        <v>0</v>
      </c>
      <c r="U20" s="161">
        <v>0</v>
      </c>
      <c r="V20" s="161">
        <v>0</v>
      </c>
      <c r="W20" s="161">
        <f t="shared" si="1"/>
        <v>576.42519999999968</v>
      </c>
      <c r="X20" s="161">
        <f t="shared" si="2"/>
        <v>576.42519999999968</v>
      </c>
      <c r="Y20" s="161">
        <f t="shared" si="3"/>
        <v>0</v>
      </c>
      <c r="Z20" s="161">
        <v>0</v>
      </c>
      <c r="AA20" s="161">
        <f t="shared" si="4"/>
        <v>0</v>
      </c>
      <c r="AB20" s="161">
        <f t="shared" si="5"/>
        <v>3000</v>
      </c>
      <c r="AC20" s="158"/>
      <c r="AD20" s="158"/>
    </row>
    <row r="21" spans="1:30" ht="12.75" customHeight="1" x14ac:dyDescent="0.3">
      <c r="A21" s="147">
        <v>2</v>
      </c>
      <c r="B21" s="158" t="s">
        <v>872</v>
      </c>
      <c r="C21" s="160" t="s">
        <v>36</v>
      </c>
      <c r="D21" s="160" t="s">
        <v>873</v>
      </c>
      <c r="E21" s="160" t="s">
        <v>25</v>
      </c>
      <c r="F21" s="160" t="s">
        <v>25</v>
      </c>
      <c r="G21" s="160" t="s">
        <v>866</v>
      </c>
      <c r="H21" s="161">
        <v>11072.8</v>
      </c>
      <c r="I21" s="161">
        <v>-262.39999999999998</v>
      </c>
      <c r="J21" s="161">
        <v>0</v>
      </c>
      <c r="K21" s="161">
        <v>0</v>
      </c>
      <c r="L21" s="161">
        <v>-4296.05</v>
      </c>
      <c r="M21" s="162">
        <v>-221.45599999999999</v>
      </c>
      <c r="N21" s="161">
        <v>-46</v>
      </c>
      <c r="O21" s="162">
        <f t="shared" si="0"/>
        <v>6246.8939999999993</v>
      </c>
      <c r="P21" s="161">
        <v>-2500</v>
      </c>
      <c r="Q21" s="161">
        <v>0</v>
      </c>
      <c r="R21" s="161">
        <v>0</v>
      </c>
      <c r="S21" s="161">
        <v>0</v>
      </c>
      <c r="T21" s="161">
        <v>-500</v>
      </c>
      <c r="U21" s="161">
        <v>0</v>
      </c>
      <c r="V21" s="161">
        <v>0</v>
      </c>
      <c r="W21" s="161">
        <f t="shared" si="1"/>
        <v>3246.8939999999993</v>
      </c>
      <c r="X21" s="161">
        <f t="shared" si="2"/>
        <v>3246.8939999999993</v>
      </c>
      <c r="Y21" s="161">
        <f t="shared" si="3"/>
        <v>0</v>
      </c>
      <c r="Z21" s="161">
        <v>0</v>
      </c>
      <c r="AA21" s="161">
        <f t="shared" si="4"/>
        <v>0</v>
      </c>
      <c r="AB21" s="161">
        <f t="shared" si="5"/>
        <v>3000</v>
      </c>
      <c r="AC21" s="158"/>
      <c r="AD21" s="158"/>
    </row>
    <row r="22" spans="1:30" ht="12.75" customHeight="1" x14ac:dyDescent="0.3">
      <c r="A22" s="147">
        <v>2</v>
      </c>
      <c r="B22" s="158" t="s">
        <v>874</v>
      </c>
      <c r="C22" s="158" t="s">
        <v>183</v>
      </c>
      <c r="D22" s="158" t="s">
        <v>20</v>
      </c>
      <c r="E22" s="160" t="s">
        <v>25</v>
      </c>
      <c r="F22" s="160" t="s">
        <v>25</v>
      </c>
      <c r="G22" s="160" t="s">
        <v>866</v>
      </c>
      <c r="H22" s="161">
        <v>2251.02</v>
      </c>
      <c r="I22" s="161">
        <v>0</v>
      </c>
      <c r="J22" s="161">
        <v>0</v>
      </c>
      <c r="K22" s="161">
        <v>0</v>
      </c>
      <c r="L22" s="161">
        <v>-1814.27</v>
      </c>
      <c r="M22" s="162">
        <v>-45.020400000000002</v>
      </c>
      <c r="N22" s="161">
        <v>-127.82</v>
      </c>
      <c r="O22" s="162">
        <f t="shared" si="0"/>
        <v>263.90960000000001</v>
      </c>
      <c r="P22" s="161">
        <v>-714.28</v>
      </c>
      <c r="Q22" s="161">
        <v>0</v>
      </c>
      <c r="R22" s="161">
        <v>0</v>
      </c>
      <c r="S22" s="161">
        <v>0</v>
      </c>
      <c r="T22" s="161">
        <v>0</v>
      </c>
      <c r="U22" s="161">
        <v>0</v>
      </c>
      <c r="V22" s="161">
        <v>0</v>
      </c>
      <c r="W22" s="161">
        <f t="shared" si="1"/>
        <v>-450.37039999999996</v>
      </c>
      <c r="X22" s="161">
        <f t="shared" si="2"/>
        <v>0</v>
      </c>
      <c r="Y22" s="161">
        <f t="shared" si="3"/>
        <v>-450.37039999999996</v>
      </c>
      <c r="Z22" s="161">
        <v>450</v>
      </c>
      <c r="AA22" s="161">
        <f t="shared" si="4"/>
        <v>-0.37039999999996098</v>
      </c>
      <c r="AB22" s="161">
        <f t="shared" si="5"/>
        <v>713.53919999999994</v>
      </c>
      <c r="AC22" s="158"/>
      <c r="AD22" s="158"/>
    </row>
    <row r="23" spans="1:30" ht="12.75" customHeight="1" x14ac:dyDescent="0.3">
      <c r="A23" s="147">
        <v>2</v>
      </c>
      <c r="B23" s="158" t="s">
        <v>875</v>
      </c>
      <c r="C23" s="158" t="s">
        <v>46</v>
      </c>
      <c r="D23" s="158" t="s">
        <v>20</v>
      </c>
      <c r="E23" s="160" t="s">
        <v>25</v>
      </c>
      <c r="F23" s="160" t="s">
        <v>25</v>
      </c>
      <c r="G23" s="160" t="s">
        <v>866</v>
      </c>
      <c r="H23" s="161">
        <v>3233.43</v>
      </c>
      <c r="I23" s="161">
        <v>0</v>
      </c>
      <c r="J23" s="161">
        <v>0</v>
      </c>
      <c r="K23" s="161">
        <v>0</v>
      </c>
      <c r="L23" s="161">
        <v>-628.14</v>
      </c>
      <c r="M23" s="162">
        <v>-64.668599999999998</v>
      </c>
      <c r="N23" s="161">
        <v>0</v>
      </c>
      <c r="O23" s="162">
        <f t="shared" si="0"/>
        <v>2540.6214</v>
      </c>
      <c r="P23" s="161">
        <v>-2500</v>
      </c>
      <c r="Q23" s="161">
        <v>0</v>
      </c>
      <c r="R23" s="161">
        <v>0</v>
      </c>
      <c r="S23" s="161">
        <v>0</v>
      </c>
      <c r="T23" s="161">
        <v>0</v>
      </c>
      <c r="U23" s="161">
        <v>0</v>
      </c>
      <c r="V23" s="161">
        <v>0</v>
      </c>
      <c r="W23" s="161">
        <f t="shared" si="1"/>
        <v>40.621399999999994</v>
      </c>
      <c r="X23" s="161">
        <f t="shared" si="2"/>
        <v>40.621399999999994</v>
      </c>
      <c r="Y23" s="161">
        <f t="shared" si="3"/>
        <v>0</v>
      </c>
      <c r="Z23" s="161">
        <v>0</v>
      </c>
      <c r="AA23" s="161">
        <f t="shared" si="4"/>
        <v>0</v>
      </c>
      <c r="AB23" s="161">
        <f t="shared" si="5"/>
        <v>2500</v>
      </c>
      <c r="AC23" s="158"/>
      <c r="AD23" s="158"/>
    </row>
    <row r="24" spans="1:30" ht="12.75" customHeight="1" x14ac:dyDescent="0.3">
      <c r="A24" s="147">
        <v>2</v>
      </c>
      <c r="B24" s="158" t="s">
        <v>876</v>
      </c>
      <c r="C24" s="158" t="s">
        <v>150</v>
      </c>
      <c r="D24" s="159" t="s">
        <v>877</v>
      </c>
      <c r="E24" s="160" t="s">
        <v>25</v>
      </c>
      <c r="F24" s="160" t="s">
        <v>25</v>
      </c>
      <c r="G24" s="160" t="s">
        <v>866</v>
      </c>
      <c r="H24" s="161">
        <v>5208.21</v>
      </c>
      <c r="I24" s="161">
        <v>0</v>
      </c>
      <c r="J24" s="161">
        <v>0</v>
      </c>
      <c r="K24" s="161">
        <v>0</v>
      </c>
      <c r="L24" s="161">
        <v>-3087.32</v>
      </c>
      <c r="M24" s="162">
        <v>-104.16420000000001</v>
      </c>
      <c r="N24" s="161">
        <v>0</v>
      </c>
      <c r="O24" s="162">
        <f t="shared" si="0"/>
        <v>2016.7257999999999</v>
      </c>
      <c r="P24" s="161">
        <v>-2500</v>
      </c>
      <c r="Q24" s="161">
        <v>-1151.53</v>
      </c>
      <c r="R24" s="161">
        <v>-500</v>
      </c>
      <c r="S24" s="161">
        <v>0</v>
      </c>
      <c r="T24" s="161">
        <v>0</v>
      </c>
      <c r="U24" s="161">
        <v>0</v>
      </c>
      <c r="V24" s="161">
        <v>0</v>
      </c>
      <c r="W24" s="161">
        <f t="shared" si="1"/>
        <v>-2134.8041999999996</v>
      </c>
      <c r="X24" s="161">
        <f t="shared" si="2"/>
        <v>0</v>
      </c>
      <c r="Y24" s="161">
        <f t="shared" si="3"/>
        <v>-2134.8041999999996</v>
      </c>
      <c r="Z24" s="161">
        <v>2135</v>
      </c>
      <c r="AA24" s="161">
        <f t="shared" si="4"/>
        <v>0.19580000000041764</v>
      </c>
      <c r="AB24" s="161">
        <f t="shared" si="5"/>
        <v>4151.9216000000006</v>
      </c>
      <c r="AC24" s="158"/>
      <c r="AD24" s="158"/>
    </row>
    <row r="25" spans="1:30" ht="12.75" customHeight="1" x14ac:dyDescent="0.3">
      <c r="A25" s="147">
        <v>2</v>
      </c>
      <c r="B25" s="158" t="s">
        <v>484</v>
      </c>
      <c r="C25" s="160" t="s">
        <v>123</v>
      </c>
      <c r="D25" s="160" t="s">
        <v>892</v>
      </c>
      <c r="E25" s="160" t="s">
        <v>871</v>
      </c>
      <c r="F25" s="160" t="s">
        <v>25</v>
      </c>
      <c r="G25" s="160" t="s">
        <v>866</v>
      </c>
      <c r="H25" s="161">
        <v>6685.99</v>
      </c>
      <c r="I25" s="161">
        <v>-164.8</v>
      </c>
      <c r="J25" s="161">
        <v>0</v>
      </c>
      <c r="K25" s="161">
        <v>0</v>
      </c>
      <c r="L25" s="161">
        <v>-3647.5</v>
      </c>
      <c r="M25" s="162">
        <v>-133.71979999999999</v>
      </c>
      <c r="N25" s="161">
        <v>0</v>
      </c>
      <c r="O25" s="162">
        <f t="shared" si="0"/>
        <v>2739.9701999999997</v>
      </c>
      <c r="P25" s="161">
        <v>-2500</v>
      </c>
      <c r="Q25" s="161">
        <v>0</v>
      </c>
      <c r="R25" s="161">
        <v>0</v>
      </c>
      <c r="S25" s="161">
        <v>0</v>
      </c>
      <c r="T25" s="161">
        <v>0</v>
      </c>
      <c r="U25" s="161">
        <v>0</v>
      </c>
      <c r="V25" s="161">
        <v>0</v>
      </c>
      <c r="W25" s="161">
        <f t="shared" si="1"/>
        <v>239.97019999999975</v>
      </c>
      <c r="X25" s="161">
        <f t="shared" si="2"/>
        <v>239.97019999999975</v>
      </c>
      <c r="Y25" s="161">
        <f t="shared" si="3"/>
        <v>0</v>
      </c>
      <c r="Z25" s="161">
        <v>0</v>
      </c>
      <c r="AA25" s="161">
        <f t="shared" si="4"/>
        <v>0</v>
      </c>
      <c r="AB25" s="161">
        <f t="shared" si="5"/>
        <v>2500</v>
      </c>
      <c r="AC25" s="158"/>
      <c r="AD25" s="158"/>
    </row>
    <row r="26" spans="1:30" ht="12.75" customHeight="1" x14ac:dyDescent="0.3">
      <c r="A26" s="147">
        <v>2</v>
      </c>
      <c r="B26" s="158" t="s">
        <v>408</v>
      </c>
      <c r="C26" s="160" t="s">
        <v>878</v>
      </c>
      <c r="D26" s="160" t="s">
        <v>879</v>
      </c>
      <c r="E26" s="160" t="s">
        <v>25</v>
      </c>
      <c r="F26" s="160" t="s">
        <v>25</v>
      </c>
      <c r="G26" s="160" t="s">
        <v>866</v>
      </c>
      <c r="H26" s="161">
        <v>3188.12</v>
      </c>
      <c r="I26" s="161">
        <v>-48</v>
      </c>
      <c r="J26" s="161">
        <v>0</v>
      </c>
      <c r="K26" s="161">
        <v>0</v>
      </c>
      <c r="L26" s="161">
        <v>-1867.2</v>
      </c>
      <c r="M26" s="162">
        <v>-63.7624</v>
      </c>
      <c r="N26" s="161">
        <v>0</v>
      </c>
      <c r="O26" s="162">
        <f t="shared" si="0"/>
        <v>1209.1575999999998</v>
      </c>
      <c r="P26" s="161">
        <v>-2500</v>
      </c>
      <c r="Q26" s="161">
        <v>-186.97</v>
      </c>
      <c r="R26" s="161">
        <v>-500</v>
      </c>
      <c r="S26" s="161">
        <v>0</v>
      </c>
      <c r="T26" s="161">
        <v>0</v>
      </c>
      <c r="U26" s="161">
        <v>0</v>
      </c>
      <c r="V26" s="161">
        <v>0</v>
      </c>
      <c r="W26" s="161">
        <f t="shared" si="1"/>
        <v>-1977.8124</v>
      </c>
      <c r="X26" s="161">
        <f t="shared" si="2"/>
        <v>0</v>
      </c>
      <c r="Y26" s="161">
        <f t="shared" si="3"/>
        <v>-1977.8124</v>
      </c>
      <c r="Z26" s="161">
        <v>1882</v>
      </c>
      <c r="AA26" s="161">
        <f t="shared" si="4"/>
        <v>-95.812400000000025</v>
      </c>
      <c r="AB26" s="161">
        <f t="shared" si="5"/>
        <v>2995.3451999999997</v>
      </c>
      <c r="AC26" s="158"/>
      <c r="AD26" s="158"/>
    </row>
    <row r="27" spans="1:30" ht="12.75" customHeight="1" x14ac:dyDescent="0.3">
      <c r="A27" s="147">
        <v>2</v>
      </c>
      <c r="B27" s="158" t="s">
        <v>880</v>
      </c>
      <c r="C27" s="160" t="s">
        <v>57</v>
      </c>
      <c r="D27" s="159" t="s">
        <v>881</v>
      </c>
      <c r="E27" s="160" t="s">
        <v>25</v>
      </c>
      <c r="F27" s="160" t="s">
        <v>25</v>
      </c>
      <c r="G27" s="160" t="s">
        <v>866</v>
      </c>
      <c r="H27" s="161">
        <v>4151.87</v>
      </c>
      <c r="I27" s="161">
        <v>-81.599999999999994</v>
      </c>
      <c r="J27" s="161">
        <v>0</v>
      </c>
      <c r="K27" s="161">
        <v>0</v>
      </c>
      <c r="L27" s="161">
        <v>-1247.8699999999999</v>
      </c>
      <c r="M27" s="162">
        <v>-83.037400000000005</v>
      </c>
      <c r="N27" s="161">
        <v>0</v>
      </c>
      <c r="O27" s="162">
        <f t="shared" si="0"/>
        <v>2739.3625999999999</v>
      </c>
      <c r="P27" s="161">
        <v>-2300</v>
      </c>
      <c r="Q27" s="161">
        <v>0</v>
      </c>
      <c r="R27" s="161">
        <v>-339</v>
      </c>
      <c r="S27" s="161">
        <v>-257</v>
      </c>
      <c r="T27" s="161">
        <v>0</v>
      </c>
      <c r="U27" s="161">
        <v>0</v>
      </c>
      <c r="V27" s="161">
        <v>0</v>
      </c>
      <c r="W27" s="161">
        <f t="shared" si="1"/>
        <v>-156.63740000000007</v>
      </c>
      <c r="X27" s="161">
        <f t="shared" si="2"/>
        <v>0</v>
      </c>
      <c r="Y27" s="161">
        <f t="shared" si="3"/>
        <v>-156.63740000000007</v>
      </c>
      <c r="Z27" s="161">
        <v>157</v>
      </c>
      <c r="AA27" s="161">
        <f t="shared" si="4"/>
        <v>0.36259999999992942</v>
      </c>
      <c r="AB27" s="161">
        <f t="shared" si="5"/>
        <v>2896.7251999999999</v>
      </c>
      <c r="AC27" s="158"/>
      <c r="AD27" s="158"/>
    </row>
    <row r="28" spans="1:30" ht="12.75" customHeight="1" x14ac:dyDescent="0.3">
      <c r="A28" s="147">
        <v>2</v>
      </c>
      <c r="B28" s="158" t="s">
        <v>882</v>
      </c>
      <c r="C28" s="160" t="s">
        <v>120</v>
      </c>
      <c r="D28" s="160" t="s">
        <v>883</v>
      </c>
      <c r="E28" s="160" t="s">
        <v>25</v>
      </c>
      <c r="F28" s="160" t="s">
        <v>865</v>
      </c>
      <c r="G28" s="160" t="s">
        <v>866</v>
      </c>
      <c r="H28" s="161">
        <v>7618.92</v>
      </c>
      <c r="I28" s="161">
        <v>-139.19999999999999</v>
      </c>
      <c r="J28" s="161">
        <v>0</v>
      </c>
      <c r="K28" s="161">
        <v>0</v>
      </c>
      <c r="L28" s="161">
        <v>-4430.72</v>
      </c>
      <c r="M28" s="162">
        <v>-152.3784</v>
      </c>
      <c r="N28" s="161">
        <v>0</v>
      </c>
      <c r="O28" s="162">
        <f t="shared" si="0"/>
        <v>2896.6215999999999</v>
      </c>
      <c r="P28" s="161">
        <v>-2500</v>
      </c>
      <c r="Q28" s="161">
        <v>0</v>
      </c>
      <c r="R28" s="161">
        <v>0</v>
      </c>
      <c r="S28" s="161">
        <v>0</v>
      </c>
      <c r="T28" s="161">
        <v>0</v>
      </c>
      <c r="U28" s="161">
        <v>0</v>
      </c>
      <c r="V28" s="161">
        <v>0</v>
      </c>
      <c r="W28" s="161">
        <f t="shared" si="1"/>
        <v>396.62159999999994</v>
      </c>
      <c r="X28" s="161">
        <f t="shared" si="2"/>
        <v>396.62159999999994</v>
      </c>
      <c r="Y28" s="161">
        <f t="shared" si="3"/>
        <v>0</v>
      </c>
      <c r="Z28" s="161">
        <v>0</v>
      </c>
      <c r="AA28" s="161">
        <f t="shared" si="4"/>
        <v>0</v>
      </c>
      <c r="AB28" s="161">
        <f t="shared" si="5"/>
        <v>2500</v>
      </c>
      <c r="AC28" s="158"/>
      <c r="AD28" s="158"/>
    </row>
    <row r="29" spans="1:30" ht="12.75" customHeight="1" x14ac:dyDescent="0.3">
      <c r="A29" s="147">
        <v>3</v>
      </c>
      <c r="B29" s="158" t="s">
        <v>884</v>
      </c>
      <c r="C29" s="160" t="s">
        <v>195</v>
      </c>
      <c r="D29" s="158" t="s">
        <v>20</v>
      </c>
      <c r="E29" s="160" t="s">
        <v>871</v>
      </c>
      <c r="F29" s="160" t="s">
        <v>25</v>
      </c>
      <c r="G29" s="160" t="s">
        <v>866</v>
      </c>
      <c r="H29" s="161">
        <v>2639.76</v>
      </c>
      <c r="I29" s="161">
        <v>0</v>
      </c>
      <c r="J29" s="161">
        <v>0</v>
      </c>
      <c r="K29" s="161">
        <v>0</v>
      </c>
      <c r="L29" s="161">
        <v>-2186.2399999999998</v>
      </c>
      <c r="M29" s="162">
        <v>-52.795200000000008</v>
      </c>
      <c r="N29" s="161">
        <v>0</v>
      </c>
      <c r="O29" s="162">
        <f t="shared" si="0"/>
        <v>400.72480000000041</v>
      </c>
      <c r="P29" s="161">
        <v>-2500</v>
      </c>
      <c r="Q29" s="161">
        <v>-35</v>
      </c>
      <c r="R29" s="161">
        <v>0</v>
      </c>
      <c r="S29" s="161">
        <v>0</v>
      </c>
      <c r="T29" s="161">
        <v>0</v>
      </c>
      <c r="U29" s="161">
        <v>0</v>
      </c>
      <c r="V29" s="161">
        <v>0</v>
      </c>
      <c r="W29" s="161">
        <f t="shared" si="1"/>
        <v>-2134.2751999999996</v>
      </c>
      <c r="X29" s="161">
        <f t="shared" si="2"/>
        <v>0</v>
      </c>
      <c r="Y29" s="161">
        <f t="shared" si="3"/>
        <v>-2134.2751999999996</v>
      </c>
      <c r="Z29" s="161">
        <v>0</v>
      </c>
      <c r="AA29" s="161">
        <f t="shared" si="4"/>
        <v>-2134.2751999999996</v>
      </c>
      <c r="AB29" s="161">
        <f t="shared" si="5"/>
        <v>-1733.5503999999992</v>
      </c>
      <c r="AC29" s="158" t="s">
        <v>885</v>
      </c>
      <c r="AD29" s="158"/>
    </row>
    <row r="30" spans="1:30" ht="12.75" customHeight="1" x14ac:dyDescent="0.3">
      <c r="A30" s="147">
        <v>3</v>
      </c>
      <c r="B30" s="158" t="s">
        <v>585</v>
      </c>
      <c r="C30" s="158" t="s">
        <v>863</v>
      </c>
      <c r="D30" s="159" t="s">
        <v>864</v>
      </c>
      <c r="E30" s="160" t="s">
        <v>25</v>
      </c>
      <c r="F30" s="160" t="s">
        <v>25</v>
      </c>
      <c r="G30" s="160" t="s">
        <v>866</v>
      </c>
      <c r="H30" s="161">
        <v>50.31</v>
      </c>
      <c r="I30" s="161">
        <v>0</v>
      </c>
      <c r="J30" s="161">
        <v>0</v>
      </c>
      <c r="K30" s="161">
        <v>0</v>
      </c>
      <c r="L30" s="161">
        <v>0</v>
      </c>
      <c r="M30" s="162">
        <v>0</v>
      </c>
      <c r="N30" s="161">
        <v>0</v>
      </c>
      <c r="O30" s="162">
        <f t="shared" si="0"/>
        <v>50.31</v>
      </c>
      <c r="P30" s="161">
        <v>-1071</v>
      </c>
      <c r="Q30" s="161">
        <v>0</v>
      </c>
      <c r="R30" s="161">
        <v>0</v>
      </c>
      <c r="S30" s="161">
        <v>0</v>
      </c>
      <c r="T30" s="161">
        <v>0</v>
      </c>
      <c r="U30" s="161">
        <v>0</v>
      </c>
      <c r="V30" s="161">
        <v>0</v>
      </c>
      <c r="W30" s="161">
        <f t="shared" si="1"/>
        <v>-1020.69</v>
      </c>
      <c r="X30" s="161">
        <f t="shared" si="2"/>
        <v>0</v>
      </c>
      <c r="Y30" s="161">
        <f t="shared" si="3"/>
        <v>-1020.69</v>
      </c>
      <c r="Z30" s="161">
        <v>1021</v>
      </c>
      <c r="AA30" s="161">
        <f t="shared" si="4"/>
        <v>0.30999999999994543</v>
      </c>
      <c r="AB30" s="161">
        <f t="shared" si="5"/>
        <v>1071.6199999999999</v>
      </c>
      <c r="AC30" s="158"/>
      <c r="AD30" s="158"/>
    </row>
    <row r="31" spans="1:30" ht="12.75" customHeight="1" x14ac:dyDescent="0.3">
      <c r="A31" s="147">
        <v>3</v>
      </c>
      <c r="B31" s="158" t="s">
        <v>585</v>
      </c>
      <c r="C31" s="158" t="s">
        <v>863</v>
      </c>
      <c r="D31" s="159" t="s">
        <v>864</v>
      </c>
      <c r="E31" s="160" t="s">
        <v>25</v>
      </c>
      <c r="F31" s="160" t="s">
        <v>865</v>
      </c>
      <c r="G31" s="160" t="s">
        <v>866</v>
      </c>
      <c r="H31" s="161">
        <v>1787.03</v>
      </c>
      <c r="I31" s="161">
        <v>0</v>
      </c>
      <c r="J31" s="161">
        <v>0</v>
      </c>
      <c r="K31" s="161">
        <v>0</v>
      </c>
      <c r="L31" s="161">
        <v>-586.14</v>
      </c>
      <c r="M31" s="162">
        <v>-35.740600000000001</v>
      </c>
      <c r="N31" s="161">
        <v>0</v>
      </c>
      <c r="O31" s="162">
        <f t="shared" si="0"/>
        <v>1165.1493999999998</v>
      </c>
      <c r="P31" s="161">
        <v>-1429</v>
      </c>
      <c r="Q31" s="161">
        <v>0</v>
      </c>
      <c r="R31" s="161">
        <v>0</v>
      </c>
      <c r="S31" s="161">
        <v>0</v>
      </c>
      <c r="T31" s="161">
        <v>0</v>
      </c>
      <c r="U31" s="161">
        <v>0</v>
      </c>
      <c r="V31" s="161">
        <v>0</v>
      </c>
      <c r="W31" s="161">
        <f t="shared" si="1"/>
        <v>-263.85060000000021</v>
      </c>
      <c r="X31" s="161">
        <f t="shared" si="2"/>
        <v>0</v>
      </c>
      <c r="Y31" s="161">
        <f t="shared" si="3"/>
        <v>-263.85060000000021</v>
      </c>
      <c r="Z31" s="161">
        <v>264</v>
      </c>
      <c r="AA31" s="161">
        <f t="shared" si="4"/>
        <v>0.14939999999978681</v>
      </c>
      <c r="AB31" s="161">
        <f t="shared" si="5"/>
        <v>1429.2987999999996</v>
      </c>
      <c r="AC31" s="158"/>
      <c r="AD31" s="158"/>
    </row>
    <row r="32" spans="1:30" ht="12.75" customHeight="1" x14ac:dyDescent="0.3">
      <c r="A32" s="147">
        <v>3</v>
      </c>
      <c r="B32" s="158" t="s">
        <v>867</v>
      </c>
      <c r="C32" s="160" t="s">
        <v>46</v>
      </c>
      <c r="D32" s="158" t="s">
        <v>20</v>
      </c>
      <c r="E32" s="160" t="s">
        <v>25</v>
      </c>
      <c r="F32" s="160" t="s">
        <v>25</v>
      </c>
      <c r="G32" s="160" t="s">
        <v>866</v>
      </c>
      <c r="H32" s="161">
        <v>3737.75</v>
      </c>
      <c r="I32" s="161">
        <v>0</v>
      </c>
      <c r="J32" s="161">
        <v>0</v>
      </c>
      <c r="K32" s="161">
        <v>0</v>
      </c>
      <c r="L32" s="161">
        <v>-1707.4</v>
      </c>
      <c r="M32" s="162">
        <v>-74.754999999999995</v>
      </c>
      <c r="N32" s="161">
        <v>0</v>
      </c>
      <c r="O32" s="162">
        <f t="shared" si="0"/>
        <v>1955.5949999999998</v>
      </c>
      <c r="P32" s="161">
        <v>-2500</v>
      </c>
      <c r="Q32" s="161">
        <v>0</v>
      </c>
      <c r="R32" s="161">
        <v>0</v>
      </c>
      <c r="S32" s="161">
        <v>0</v>
      </c>
      <c r="T32" s="161">
        <v>0</v>
      </c>
      <c r="U32" s="161">
        <v>0</v>
      </c>
      <c r="V32" s="161">
        <v>0</v>
      </c>
      <c r="W32" s="161">
        <f t="shared" si="1"/>
        <v>-544.4050000000002</v>
      </c>
      <c r="X32" s="161">
        <f t="shared" si="2"/>
        <v>0</v>
      </c>
      <c r="Y32" s="161">
        <f t="shared" si="3"/>
        <v>-544.4050000000002</v>
      </c>
      <c r="Z32" s="161">
        <v>544</v>
      </c>
      <c r="AA32" s="161">
        <f t="shared" si="4"/>
        <v>-0.40500000000020009</v>
      </c>
      <c r="AB32" s="161">
        <f t="shared" si="5"/>
        <v>2499.1899999999996</v>
      </c>
      <c r="AC32" s="158"/>
      <c r="AD32" s="158"/>
    </row>
    <row r="33" spans="1:30" ht="12.75" customHeight="1" x14ac:dyDescent="0.3">
      <c r="A33" s="147">
        <v>3</v>
      </c>
      <c r="B33" s="158" t="s">
        <v>868</v>
      </c>
      <c r="C33" s="160" t="s">
        <v>68</v>
      </c>
      <c r="D33" s="163" t="s">
        <v>869</v>
      </c>
      <c r="E33" s="160" t="s">
        <v>25</v>
      </c>
      <c r="F33" s="160" t="s">
        <v>25</v>
      </c>
      <c r="G33" s="160" t="s">
        <v>866</v>
      </c>
      <c r="H33" s="161">
        <v>0</v>
      </c>
      <c r="I33" s="161">
        <v>0</v>
      </c>
      <c r="J33" s="161">
        <v>0</v>
      </c>
      <c r="K33" s="161">
        <v>0</v>
      </c>
      <c r="L33" s="161">
        <v>0</v>
      </c>
      <c r="M33" s="162">
        <v>0</v>
      </c>
      <c r="N33" s="161">
        <v>0</v>
      </c>
      <c r="O33" s="162">
        <f t="shared" si="0"/>
        <v>0</v>
      </c>
      <c r="P33" s="161">
        <v>-1071</v>
      </c>
      <c r="Q33" s="161">
        <v>-1300</v>
      </c>
      <c r="R33" s="161">
        <v>0</v>
      </c>
      <c r="S33" s="161">
        <v>0</v>
      </c>
      <c r="T33" s="161">
        <v>0</v>
      </c>
      <c r="U33" s="161">
        <v>0</v>
      </c>
      <c r="V33" s="161">
        <v>0</v>
      </c>
      <c r="W33" s="161">
        <f t="shared" si="1"/>
        <v>-2371</v>
      </c>
      <c r="X33" s="161">
        <f t="shared" si="2"/>
        <v>0</v>
      </c>
      <c r="Y33" s="161">
        <f t="shared" si="3"/>
        <v>-2371</v>
      </c>
      <c r="Z33" s="161">
        <v>2371</v>
      </c>
      <c r="AA33" s="161">
        <f t="shared" si="4"/>
        <v>0</v>
      </c>
      <c r="AB33" s="161">
        <f t="shared" si="5"/>
        <v>2371</v>
      </c>
      <c r="AC33" s="158" t="s">
        <v>374</v>
      </c>
      <c r="AD33" s="158"/>
    </row>
    <row r="34" spans="1:30" ht="12.75" customHeight="1" x14ac:dyDescent="0.3">
      <c r="A34" s="147">
        <v>3</v>
      </c>
      <c r="B34" s="158" t="s">
        <v>868</v>
      </c>
      <c r="C34" s="160" t="s">
        <v>68</v>
      </c>
      <c r="D34" s="163" t="s">
        <v>869</v>
      </c>
      <c r="E34" s="160" t="s">
        <v>25</v>
      </c>
      <c r="F34" s="160" t="s">
        <v>865</v>
      </c>
      <c r="G34" s="160" t="s">
        <v>866</v>
      </c>
      <c r="H34" s="161">
        <v>0</v>
      </c>
      <c r="I34" s="161">
        <v>0</v>
      </c>
      <c r="J34" s="161">
        <v>0</v>
      </c>
      <c r="K34" s="161">
        <v>0</v>
      </c>
      <c r="L34" s="161">
        <v>0</v>
      </c>
      <c r="M34" s="162">
        <v>0</v>
      </c>
      <c r="N34" s="161">
        <v>0</v>
      </c>
      <c r="O34" s="162">
        <f t="shared" si="0"/>
        <v>0</v>
      </c>
      <c r="P34" s="161">
        <v>-1429</v>
      </c>
      <c r="Q34" s="161">
        <v>0</v>
      </c>
      <c r="R34" s="161">
        <v>0</v>
      </c>
      <c r="S34" s="161">
        <v>0</v>
      </c>
      <c r="T34" s="161">
        <v>0</v>
      </c>
      <c r="U34" s="161">
        <v>0</v>
      </c>
      <c r="V34" s="161">
        <v>0</v>
      </c>
      <c r="W34" s="161">
        <f t="shared" si="1"/>
        <v>-1429</v>
      </c>
      <c r="X34" s="161">
        <f t="shared" si="2"/>
        <v>0</v>
      </c>
      <c r="Y34" s="161">
        <f t="shared" si="3"/>
        <v>-1429</v>
      </c>
      <c r="Z34" s="161">
        <v>1429</v>
      </c>
      <c r="AA34" s="161">
        <f t="shared" si="4"/>
        <v>0</v>
      </c>
      <c r="AB34" s="161">
        <f t="shared" si="5"/>
        <v>1429</v>
      </c>
      <c r="AC34" s="158" t="s">
        <v>374</v>
      </c>
      <c r="AD34" s="158"/>
    </row>
    <row r="35" spans="1:30" ht="12.75" customHeight="1" x14ac:dyDescent="0.3">
      <c r="A35" s="147">
        <v>3</v>
      </c>
      <c r="B35" s="160" t="s">
        <v>870</v>
      </c>
      <c r="C35" s="158" t="s">
        <v>169</v>
      </c>
      <c r="D35" s="158" t="s">
        <v>20</v>
      </c>
      <c r="E35" s="160" t="s">
        <v>871</v>
      </c>
      <c r="F35" s="160" t="s">
        <v>25</v>
      </c>
      <c r="G35" s="160" t="s">
        <v>866</v>
      </c>
      <c r="H35" s="161">
        <v>449.82</v>
      </c>
      <c r="I35" s="161">
        <v>0</v>
      </c>
      <c r="J35" s="161">
        <v>0</v>
      </c>
      <c r="K35" s="161">
        <v>0</v>
      </c>
      <c r="L35" s="161">
        <v>-93.56</v>
      </c>
      <c r="M35" s="162">
        <v>0</v>
      </c>
      <c r="N35" s="161">
        <v>0</v>
      </c>
      <c r="O35" s="162">
        <f t="shared" si="0"/>
        <v>356.26</v>
      </c>
      <c r="P35" s="161">
        <v>0</v>
      </c>
      <c r="Q35" s="161">
        <v>0</v>
      </c>
      <c r="R35" s="161">
        <v>0</v>
      </c>
      <c r="S35" s="161">
        <v>0</v>
      </c>
      <c r="T35" s="161">
        <v>0</v>
      </c>
      <c r="U35" s="161">
        <v>0</v>
      </c>
      <c r="V35" s="161">
        <v>0</v>
      </c>
      <c r="W35" s="161">
        <f t="shared" si="1"/>
        <v>356.26</v>
      </c>
      <c r="X35" s="161">
        <f t="shared" si="2"/>
        <v>356.26</v>
      </c>
      <c r="Y35" s="161">
        <f t="shared" si="3"/>
        <v>0</v>
      </c>
      <c r="Z35" s="161">
        <v>0</v>
      </c>
      <c r="AA35" s="161">
        <f t="shared" si="4"/>
        <v>0</v>
      </c>
      <c r="AB35" s="161">
        <f t="shared" si="5"/>
        <v>0</v>
      </c>
      <c r="AC35" s="158"/>
      <c r="AD35" s="158"/>
    </row>
    <row r="36" spans="1:30" ht="12.75" customHeight="1" x14ac:dyDescent="0.3">
      <c r="A36" s="147">
        <v>3</v>
      </c>
      <c r="B36" s="158" t="s">
        <v>886</v>
      </c>
      <c r="C36" s="160" t="s">
        <v>183</v>
      </c>
      <c r="D36" s="160" t="s">
        <v>887</v>
      </c>
      <c r="E36" s="160" t="s">
        <v>25</v>
      </c>
      <c r="F36" s="160" t="s">
        <v>25</v>
      </c>
      <c r="G36" s="160" t="s">
        <v>866</v>
      </c>
      <c r="H36" s="161">
        <v>4532.4399999999996</v>
      </c>
      <c r="I36" s="161">
        <v>0</v>
      </c>
      <c r="J36" s="161">
        <v>0</v>
      </c>
      <c r="K36" s="161">
        <v>0</v>
      </c>
      <c r="L36" s="161">
        <v>-2041.45</v>
      </c>
      <c r="M36" s="162">
        <v>-101.0688</v>
      </c>
      <c r="N36" s="161">
        <v>0</v>
      </c>
      <c r="O36" s="162">
        <f t="shared" si="0"/>
        <v>2389.9211999999998</v>
      </c>
      <c r="P36" s="161">
        <v>-2500</v>
      </c>
      <c r="Q36" s="161">
        <v>0</v>
      </c>
      <c r="R36" s="161">
        <v>-500</v>
      </c>
      <c r="S36" s="161">
        <v>0</v>
      </c>
      <c r="T36" s="161">
        <v>0</v>
      </c>
      <c r="U36" s="161">
        <v>0</v>
      </c>
      <c r="V36" s="161">
        <v>0</v>
      </c>
      <c r="W36" s="161">
        <f t="shared" si="1"/>
        <v>-610.07880000000023</v>
      </c>
      <c r="X36" s="161">
        <f t="shared" si="2"/>
        <v>0</v>
      </c>
      <c r="Y36" s="161">
        <f t="shared" si="3"/>
        <v>-610.07880000000023</v>
      </c>
      <c r="Z36" s="161">
        <v>620</v>
      </c>
      <c r="AA36" s="161">
        <f t="shared" si="4"/>
        <v>9.9211999999997715</v>
      </c>
      <c r="AB36" s="161">
        <f t="shared" si="5"/>
        <v>3019.8423999999995</v>
      </c>
      <c r="AC36" s="158" t="s">
        <v>893</v>
      </c>
      <c r="AD36" s="158"/>
    </row>
    <row r="37" spans="1:30" ht="12.75" customHeight="1" x14ac:dyDescent="0.3">
      <c r="A37" s="147">
        <v>3</v>
      </c>
      <c r="B37" s="160" t="s">
        <v>888</v>
      </c>
      <c r="C37" s="160" t="s">
        <v>409</v>
      </c>
      <c r="D37" s="159" t="s">
        <v>889</v>
      </c>
      <c r="E37" s="160" t="s">
        <v>25</v>
      </c>
      <c r="F37" s="160" t="s">
        <v>25</v>
      </c>
      <c r="G37" s="160" t="s">
        <v>866</v>
      </c>
      <c r="H37" s="161">
        <v>5544.83</v>
      </c>
      <c r="I37" s="161">
        <v>-101.6</v>
      </c>
      <c r="J37" s="161">
        <v>0</v>
      </c>
      <c r="K37" s="161">
        <v>0</v>
      </c>
      <c r="L37" s="161">
        <v>-1756.2</v>
      </c>
      <c r="M37" s="162">
        <v>-137.71244999999999</v>
      </c>
      <c r="N37" s="161">
        <v>0</v>
      </c>
      <c r="O37" s="162">
        <f t="shared" si="0"/>
        <v>3549.3175499999998</v>
      </c>
      <c r="P37" s="161">
        <v>-2500</v>
      </c>
      <c r="Q37" s="161">
        <v>0</v>
      </c>
      <c r="R37" s="161">
        <v>0</v>
      </c>
      <c r="S37" s="161">
        <v>-500</v>
      </c>
      <c r="T37" s="161">
        <v>0</v>
      </c>
      <c r="U37" s="161">
        <v>0</v>
      </c>
      <c r="V37" s="161">
        <v>0</v>
      </c>
      <c r="W37" s="161">
        <f t="shared" si="1"/>
        <v>549.31754999999976</v>
      </c>
      <c r="X37" s="161">
        <f t="shared" si="2"/>
        <v>549.31754999999976</v>
      </c>
      <c r="Y37" s="161">
        <f t="shared" si="3"/>
        <v>0</v>
      </c>
      <c r="Z37" s="161">
        <v>0</v>
      </c>
      <c r="AA37" s="161">
        <f t="shared" si="4"/>
        <v>0</v>
      </c>
      <c r="AB37" s="161">
        <f t="shared" si="5"/>
        <v>3000</v>
      </c>
      <c r="AC37" s="158"/>
      <c r="AD37" s="158"/>
    </row>
    <row r="38" spans="1:30" ht="12.75" customHeight="1" x14ac:dyDescent="0.3">
      <c r="A38" s="147">
        <v>3</v>
      </c>
      <c r="B38" s="158" t="s">
        <v>894</v>
      </c>
      <c r="C38" s="160" t="s">
        <v>59</v>
      </c>
      <c r="D38" s="160" t="s">
        <v>895</v>
      </c>
      <c r="E38" s="160" t="s">
        <v>25</v>
      </c>
      <c r="F38" s="160" t="s">
        <v>25</v>
      </c>
      <c r="G38" s="160" t="s">
        <v>866</v>
      </c>
      <c r="H38" s="161">
        <v>7403.76</v>
      </c>
      <c r="I38" s="161">
        <v>-138.4</v>
      </c>
      <c r="J38" s="161">
        <v>0</v>
      </c>
      <c r="K38" s="161">
        <v>0</v>
      </c>
      <c r="L38" s="161">
        <v>-1056.42</v>
      </c>
      <c r="M38" s="162">
        <v>-148.0752</v>
      </c>
      <c r="N38" s="161">
        <v>0</v>
      </c>
      <c r="O38" s="162">
        <f t="shared" si="0"/>
        <v>6060.8648000000003</v>
      </c>
      <c r="P38" s="161">
        <v>-1968</v>
      </c>
      <c r="Q38" s="161">
        <v>0</v>
      </c>
      <c r="R38" s="161">
        <v>-500</v>
      </c>
      <c r="S38" s="161">
        <v>0</v>
      </c>
      <c r="T38" s="161">
        <v>0</v>
      </c>
      <c r="U38" s="161">
        <v>0</v>
      </c>
      <c r="V38" s="161">
        <v>0</v>
      </c>
      <c r="W38" s="161">
        <f t="shared" si="1"/>
        <v>3592.8648000000003</v>
      </c>
      <c r="X38" s="161">
        <f t="shared" si="2"/>
        <v>3592.8648000000003</v>
      </c>
      <c r="Y38" s="161">
        <f t="shared" si="3"/>
        <v>0</v>
      </c>
      <c r="Z38" s="161">
        <v>0</v>
      </c>
      <c r="AA38" s="161">
        <f t="shared" si="4"/>
        <v>0</v>
      </c>
      <c r="AB38" s="161">
        <f t="shared" si="5"/>
        <v>2468</v>
      </c>
      <c r="AC38" s="158"/>
      <c r="AD38" s="158"/>
    </row>
    <row r="39" spans="1:30" ht="12.75" customHeight="1" x14ac:dyDescent="0.3">
      <c r="A39" s="147">
        <v>3</v>
      </c>
      <c r="B39" s="158" t="s">
        <v>890</v>
      </c>
      <c r="C39" s="160" t="s">
        <v>426</v>
      </c>
      <c r="D39" s="160" t="s">
        <v>891</v>
      </c>
      <c r="E39" s="160" t="s">
        <v>25</v>
      </c>
      <c r="F39" s="160" t="s">
        <v>25</v>
      </c>
      <c r="G39" s="160" t="s">
        <v>866</v>
      </c>
      <c r="H39" s="161">
        <v>5136.53</v>
      </c>
      <c r="I39" s="161">
        <v>-54.31</v>
      </c>
      <c r="J39" s="161">
        <v>0</v>
      </c>
      <c r="K39" s="161">
        <v>0</v>
      </c>
      <c r="L39" s="161">
        <v>-1437.61</v>
      </c>
      <c r="M39" s="162">
        <v>-77.04795</v>
      </c>
      <c r="N39" s="161">
        <v>-55</v>
      </c>
      <c r="O39" s="162">
        <f t="shared" si="0"/>
        <v>3512.5620499999995</v>
      </c>
      <c r="P39" s="161">
        <v>-2500</v>
      </c>
      <c r="Q39" s="161">
        <v>0</v>
      </c>
      <c r="R39" s="161">
        <v>0</v>
      </c>
      <c r="S39" s="161">
        <v>-300</v>
      </c>
      <c r="T39" s="161">
        <v>0</v>
      </c>
      <c r="U39" s="161">
        <v>0</v>
      </c>
      <c r="V39" s="161">
        <v>0</v>
      </c>
      <c r="W39" s="161">
        <f t="shared" si="1"/>
        <v>712.56204999999954</v>
      </c>
      <c r="X39" s="161">
        <f t="shared" si="2"/>
        <v>712.56204999999954</v>
      </c>
      <c r="Y39" s="161">
        <f t="shared" si="3"/>
        <v>0</v>
      </c>
      <c r="Z39" s="161">
        <v>0</v>
      </c>
      <c r="AA39" s="161">
        <f t="shared" si="4"/>
        <v>0</v>
      </c>
      <c r="AB39" s="161">
        <f t="shared" si="5"/>
        <v>2800</v>
      </c>
      <c r="AC39" s="158"/>
      <c r="AD39" s="158"/>
    </row>
    <row r="40" spans="1:30" ht="12.75" customHeight="1" x14ac:dyDescent="0.3">
      <c r="A40" s="147">
        <v>3</v>
      </c>
      <c r="B40" s="158" t="s">
        <v>872</v>
      </c>
      <c r="C40" s="160" t="s">
        <v>36</v>
      </c>
      <c r="D40" s="160" t="s">
        <v>873</v>
      </c>
      <c r="E40" s="160" t="s">
        <v>25</v>
      </c>
      <c r="F40" s="160" t="s">
        <v>25</v>
      </c>
      <c r="G40" s="160" t="s">
        <v>866</v>
      </c>
      <c r="H40" s="161">
        <v>9859.83</v>
      </c>
      <c r="I40" s="161">
        <v>-121.6</v>
      </c>
      <c r="J40" s="161">
        <v>0</v>
      </c>
      <c r="K40" s="161">
        <v>0</v>
      </c>
      <c r="L40" s="161">
        <v>-4486.28</v>
      </c>
      <c r="M40" s="162">
        <v>-197.19659999999999</v>
      </c>
      <c r="N40" s="161">
        <v>-217.97</v>
      </c>
      <c r="O40" s="162">
        <f t="shared" si="0"/>
        <v>4836.7833999999993</v>
      </c>
      <c r="P40" s="161">
        <v>-2500</v>
      </c>
      <c r="Q40" s="161">
        <v>-1500</v>
      </c>
      <c r="R40" s="161">
        <v>0</v>
      </c>
      <c r="S40" s="161">
        <v>0</v>
      </c>
      <c r="T40" s="161">
        <v>-500</v>
      </c>
      <c r="U40" s="161">
        <v>0</v>
      </c>
      <c r="V40" s="161">
        <v>0</v>
      </c>
      <c r="W40" s="161">
        <f t="shared" si="1"/>
        <v>336.78339999999935</v>
      </c>
      <c r="X40" s="161">
        <f t="shared" si="2"/>
        <v>336.78339999999935</v>
      </c>
      <c r="Y40" s="161">
        <f t="shared" si="3"/>
        <v>0</v>
      </c>
      <c r="Z40" s="161">
        <v>0</v>
      </c>
      <c r="AA40" s="161">
        <f t="shared" si="4"/>
        <v>0</v>
      </c>
      <c r="AB40" s="161">
        <f t="shared" si="5"/>
        <v>4500</v>
      </c>
      <c r="AC40" s="158"/>
      <c r="AD40" s="158"/>
    </row>
    <row r="41" spans="1:30" ht="12.75" customHeight="1" x14ac:dyDescent="0.3">
      <c r="A41" s="147">
        <v>3</v>
      </c>
      <c r="B41" s="158" t="s">
        <v>875</v>
      </c>
      <c r="C41" s="158" t="s">
        <v>46</v>
      </c>
      <c r="D41" s="158" t="s">
        <v>20</v>
      </c>
      <c r="E41" s="160" t="s">
        <v>25</v>
      </c>
      <c r="F41" s="160" t="s">
        <v>25</v>
      </c>
      <c r="G41" s="160" t="s">
        <v>866</v>
      </c>
      <c r="H41" s="161">
        <v>861.11</v>
      </c>
      <c r="I41" s="161">
        <v>0</v>
      </c>
      <c r="J41" s="161">
        <v>0</v>
      </c>
      <c r="K41" s="161">
        <v>0</v>
      </c>
      <c r="L41" s="161">
        <v>-251.63</v>
      </c>
      <c r="M41" s="162">
        <v>-17.222200000000001</v>
      </c>
      <c r="N41" s="161">
        <v>0</v>
      </c>
      <c r="O41" s="162">
        <f t="shared" si="0"/>
        <v>592.25779999999997</v>
      </c>
      <c r="P41" s="161">
        <v>-357.15</v>
      </c>
      <c r="Q41" s="161">
        <v>0</v>
      </c>
      <c r="R41" s="161">
        <v>0</v>
      </c>
      <c r="S41" s="161">
        <v>0</v>
      </c>
      <c r="T41" s="161">
        <v>0</v>
      </c>
      <c r="U41" s="161">
        <v>0</v>
      </c>
      <c r="V41" s="161">
        <v>0</v>
      </c>
      <c r="W41" s="161">
        <f t="shared" si="1"/>
        <v>235.1078</v>
      </c>
      <c r="X41" s="161">
        <f t="shared" si="2"/>
        <v>235.1078</v>
      </c>
      <c r="Y41" s="161">
        <f t="shared" si="3"/>
        <v>0</v>
      </c>
      <c r="Z41" s="161">
        <v>0</v>
      </c>
      <c r="AA41" s="161">
        <f t="shared" si="4"/>
        <v>0</v>
      </c>
      <c r="AB41" s="161">
        <f t="shared" si="5"/>
        <v>357.15</v>
      </c>
      <c r="AC41" s="158"/>
      <c r="AD41" s="158"/>
    </row>
    <row r="42" spans="1:30" ht="12.75" customHeight="1" x14ac:dyDescent="0.3">
      <c r="A42" s="147">
        <v>3</v>
      </c>
      <c r="B42" s="158" t="s">
        <v>876</v>
      </c>
      <c r="C42" s="158" t="s">
        <v>150</v>
      </c>
      <c r="D42" s="159" t="s">
        <v>877</v>
      </c>
      <c r="E42" s="160" t="s">
        <v>25</v>
      </c>
      <c r="F42" s="160" t="s">
        <v>25</v>
      </c>
      <c r="G42" s="160" t="s">
        <v>866</v>
      </c>
      <c r="H42" s="161">
        <v>5945.25</v>
      </c>
      <c r="I42" s="161">
        <v>0</v>
      </c>
      <c r="J42" s="161">
        <v>0</v>
      </c>
      <c r="K42" s="161">
        <v>0</v>
      </c>
      <c r="L42" s="161">
        <v>-2654.06</v>
      </c>
      <c r="M42" s="162">
        <v>-90.418749999999989</v>
      </c>
      <c r="N42" s="161">
        <v>0</v>
      </c>
      <c r="O42" s="162">
        <f t="shared" si="0"/>
        <v>3200.7712500000002</v>
      </c>
      <c r="P42" s="161">
        <v>-2500</v>
      </c>
      <c r="Q42" s="161">
        <v>-1153</v>
      </c>
      <c r="R42" s="161">
        <v>0</v>
      </c>
      <c r="S42" s="161">
        <v>0</v>
      </c>
      <c r="T42" s="161">
        <v>0</v>
      </c>
      <c r="U42" s="161">
        <v>0</v>
      </c>
      <c r="V42" s="161">
        <v>0</v>
      </c>
      <c r="W42" s="161">
        <f t="shared" si="1"/>
        <v>-452.22874999999976</v>
      </c>
      <c r="X42" s="161">
        <f t="shared" si="2"/>
        <v>0</v>
      </c>
      <c r="Y42" s="161">
        <f t="shared" si="3"/>
        <v>-452.22874999999976</v>
      </c>
      <c r="Z42" s="161">
        <v>453</v>
      </c>
      <c r="AA42" s="161">
        <f t="shared" si="4"/>
        <v>0.77125000000023647</v>
      </c>
      <c r="AB42" s="161">
        <f t="shared" si="5"/>
        <v>3654.5425000000005</v>
      </c>
      <c r="AC42" s="158"/>
      <c r="AD42" s="158"/>
    </row>
    <row r="43" spans="1:30" ht="12.75" customHeight="1" x14ac:dyDescent="0.3">
      <c r="A43" s="147">
        <v>3</v>
      </c>
      <c r="B43" s="158" t="s">
        <v>484</v>
      </c>
      <c r="C43" s="160" t="s">
        <v>123</v>
      </c>
      <c r="D43" s="160" t="s">
        <v>892</v>
      </c>
      <c r="E43" s="160" t="s">
        <v>871</v>
      </c>
      <c r="F43" s="160" t="s">
        <v>25</v>
      </c>
      <c r="G43" s="160" t="s">
        <v>866</v>
      </c>
      <c r="H43" s="161">
        <v>7475.53</v>
      </c>
      <c r="I43" s="161">
        <v>-199.2</v>
      </c>
      <c r="J43" s="161">
        <v>0</v>
      </c>
      <c r="K43" s="161">
        <v>0</v>
      </c>
      <c r="L43" s="161">
        <v>-3393.99</v>
      </c>
      <c r="M43" s="162">
        <v>-149.51060000000001</v>
      </c>
      <c r="N43" s="161">
        <v>0</v>
      </c>
      <c r="O43" s="162">
        <f t="shared" si="0"/>
        <v>3732.8294000000001</v>
      </c>
      <c r="P43" s="161">
        <v>-2500</v>
      </c>
      <c r="Q43" s="161">
        <v>0</v>
      </c>
      <c r="R43" s="161">
        <v>0</v>
      </c>
      <c r="S43" s="161">
        <v>0</v>
      </c>
      <c r="T43" s="161">
        <v>-500</v>
      </c>
      <c r="U43" s="161">
        <v>0</v>
      </c>
      <c r="V43" s="161">
        <v>0</v>
      </c>
      <c r="W43" s="161">
        <f t="shared" si="1"/>
        <v>732.82940000000008</v>
      </c>
      <c r="X43" s="161">
        <f t="shared" si="2"/>
        <v>732.82940000000008</v>
      </c>
      <c r="Y43" s="161">
        <f t="shared" si="3"/>
        <v>0</v>
      </c>
      <c r="Z43" s="161">
        <v>0</v>
      </c>
      <c r="AA43" s="161">
        <f t="shared" si="4"/>
        <v>0</v>
      </c>
      <c r="AB43" s="161">
        <f t="shared" si="5"/>
        <v>3000</v>
      </c>
      <c r="AC43" s="158"/>
      <c r="AD43" s="158"/>
    </row>
    <row r="44" spans="1:30" ht="12.75" customHeight="1" x14ac:dyDescent="0.3">
      <c r="A44" s="147">
        <v>3</v>
      </c>
      <c r="B44" s="158" t="s">
        <v>408</v>
      </c>
      <c r="C44" s="160" t="s">
        <v>878</v>
      </c>
      <c r="D44" s="160" t="s">
        <v>879</v>
      </c>
      <c r="E44" s="160" t="s">
        <v>25</v>
      </c>
      <c r="F44" s="160" t="s">
        <v>25</v>
      </c>
      <c r="G44" s="160" t="s">
        <v>866</v>
      </c>
      <c r="H44" s="161">
        <v>4692.05</v>
      </c>
      <c r="I44" s="161">
        <v>0</v>
      </c>
      <c r="J44" s="161">
        <v>0</v>
      </c>
      <c r="K44" s="161">
        <v>0</v>
      </c>
      <c r="L44" s="161">
        <v>-2385.04</v>
      </c>
      <c r="M44" s="162">
        <v>-70.380750000000006</v>
      </c>
      <c r="N44" s="161">
        <v>0</v>
      </c>
      <c r="O44" s="162">
        <f t="shared" si="0"/>
        <v>2236.6292500000004</v>
      </c>
      <c r="P44" s="161">
        <v>-2500</v>
      </c>
      <c r="Q44" s="161">
        <v>-559</v>
      </c>
      <c r="R44" s="161">
        <v>-500</v>
      </c>
      <c r="S44" s="161">
        <v>0</v>
      </c>
      <c r="T44" s="161">
        <v>0</v>
      </c>
      <c r="U44" s="161">
        <v>0</v>
      </c>
      <c r="V44" s="161">
        <v>0</v>
      </c>
      <c r="W44" s="161">
        <f t="shared" si="1"/>
        <v>-1322.3707499999996</v>
      </c>
      <c r="X44" s="161">
        <f t="shared" si="2"/>
        <v>0</v>
      </c>
      <c r="Y44" s="161">
        <f t="shared" si="3"/>
        <v>-1322.3707499999996</v>
      </c>
      <c r="Z44" s="161">
        <v>1322</v>
      </c>
      <c r="AA44" s="161">
        <f t="shared" si="4"/>
        <v>-0.37074999999958891</v>
      </c>
      <c r="AB44" s="161">
        <f t="shared" si="5"/>
        <v>3558.2585000000008</v>
      </c>
      <c r="AC44" s="158"/>
      <c r="AD44" s="158"/>
    </row>
    <row r="45" spans="1:30" ht="12.75" customHeight="1" x14ac:dyDescent="0.3">
      <c r="A45" s="147">
        <v>3</v>
      </c>
      <c r="B45" s="160" t="s">
        <v>896</v>
      </c>
      <c r="C45" s="158" t="s">
        <v>347</v>
      </c>
      <c r="D45" s="160" t="s">
        <v>897</v>
      </c>
      <c r="E45" s="160" t="s">
        <v>25</v>
      </c>
      <c r="F45" s="160" t="s">
        <v>865</v>
      </c>
      <c r="G45" s="160" t="s">
        <v>866</v>
      </c>
      <c r="H45" s="161">
        <v>3798.92</v>
      </c>
      <c r="I45" s="161">
        <v>0</v>
      </c>
      <c r="J45" s="161">
        <v>0</v>
      </c>
      <c r="K45" s="161">
        <v>0</v>
      </c>
      <c r="L45" s="161">
        <v>-2545.8000000000002</v>
      </c>
      <c r="M45" s="162">
        <v>-71.879199999999997</v>
      </c>
      <c r="N45" s="161">
        <v>0</v>
      </c>
      <c r="O45" s="162">
        <f t="shared" si="0"/>
        <v>1181.2407999999998</v>
      </c>
      <c r="P45" s="161">
        <v>-1252</v>
      </c>
      <c r="Q45" s="161">
        <v>0</v>
      </c>
      <c r="R45" s="161">
        <v>0</v>
      </c>
      <c r="S45" s="161">
        <v>0</v>
      </c>
      <c r="T45" s="161">
        <v>0</v>
      </c>
      <c r="U45" s="161">
        <v>0</v>
      </c>
      <c r="V45" s="161">
        <v>0</v>
      </c>
      <c r="W45" s="161">
        <f t="shared" si="1"/>
        <v>-70.759200000000192</v>
      </c>
      <c r="X45" s="161">
        <f t="shared" si="2"/>
        <v>0</v>
      </c>
      <c r="Y45" s="161">
        <f t="shared" si="3"/>
        <v>-70.759200000000192</v>
      </c>
      <c r="Z45" s="161">
        <v>105</v>
      </c>
      <c r="AA45" s="161">
        <f t="shared" si="4"/>
        <v>34.240799999999808</v>
      </c>
      <c r="AB45" s="161">
        <f t="shared" si="5"/>
        <v>1320.4815999999996</v>
      </c>
      <c r="AC45" s="158"/>
      <c r="AD45" s="158"/>
    </row>
    <row r="46" spans="1:30" ht="12.75" customHeight="1" x14ac:dyDescent="0.3">
      <c r="A46" s="147">
        <v>3</v>
      </c>
      <c r="B46" s="158" t="s">
        <v>880</v>
      </c>
      <c r="C46" s="160" t="s">
        <v>57</v>
      </c>
      <c r="D46" s="159" t="s">
        <v>881</v>
      </c>
      <c r="E46" s="160" t="s">
        <v>25</v>
      </c>
      <c r="F46" s="160" t="s">
        <v>25</v>
      </c>
      <c r="G46" s="160" t="s">
        <v>866</v>
      </c>
      <c r="H46" s="161">
        <v>4987.6899999999996</v>
      </c>
      <c r="I46" s="161">
        <v>-61.6</v>
      </c>
      <c r="J46" s="161">
        <v>0</v>
      </c>
      <c r="K46" s="161">
        <v>0</v>
      </c>
      <c r="L46" s="161">
        <v>-2062.35</v>
      </c>
      <c r="M46" s="162">
        <v>-74.815349999999995</v>
      </c>
      <c r="N46" s="161">
        <v>-97</v>
      </c>
      <c r="O46" s="162">
        <f t="shared" si="0"/>
        <v>2691.9246499999995</v>
      </c>
      <c r="P46" s="161">
        <v>-2300</v>
      </c>
      <c r="Q46" s="161">
        <v>0</v>
      </c>
      <c r="R46" s="161">
        <v>0</v>
      </c>
      <c r="S46" s="161">
        <v>-500</v>
      </c>
      <c r="T46" s="161">
        <v>0</v>
      </c>
      <c r="U46" s="161">
        <v>0</v>
      </c>
      <c r="V46" s="161">
        <v>0</v>
      </c>
      <c r="W46" s="161">
        <f t="shared" si="1"/>
        <v>-108.07535000000053</v>
      </c>
      <c r="X46" s="161">
        <f t="shared" si="2"/>
        <v>0</v>
      </c>
      <c r="Y46" s="161">
        <f t="shared" si="3"/>
        <v>-108.07535000000053</v>
      </c>
      <c r="Z46" s="161">
        <v>108</v>
      </c>
      <c r="AA46" s="161">
        <f t="shared" si="4"/>
        <v>-7.5350000000526052E-2</v>
      </c>
      <c r="AB46" s="161">
        <f t="shared" si="5"/>
        <v>2799.8492999999989</v>
      </c>
      <c r="AC46" s="158"/>
      <c r="AD46" s="158"/>
    </row>
    <row r="47" spans="1:30" ht="12.75" customHeight="1" x14ac:dyDescent="0.3">
      <c r="A47" s="147">
        <v>3</v>
      </c>
      <c r="B47" s="158" t="s">
        <v>882</v>
      </c>
      <c r="C47" s="160" t="s">
        <v>120</v>
      </c>
      <c r="D47" s="160" t="s">
        <v>883</v>
      </c>
      <c r="E47" s="160" t="s">
        <v>25</v>
      </c>
      <c r="F47" s="160" t="s">
        <v>25</v>
      </c>
      <c r="G47" s="160" t="s">
        <v>866</v>
      </c>
      <c r="H47" s="161">
        <v>4374.6400000000003</v>
      </c>
      <c r="I47" s="161">
        <v>-53.6</v>
      </c>
      <c r="J47" s="161">
        <v>0</v>
      </c>
      <c r="K47" s="161">
        <v>0</v>
      </c>
      <c r="L47" s="161">
        <v>-2304.06</v>
      </c>
      <c r="M47" s="162">
        <v>-87.492800000000003</v>
      </c>
      <c r="N47" s="161">
        <v>0</v>
      </c>
      <c r="O47" s="162">
        <f t="shared" si="0"/>
        <v>1929.4872</v>
      </c>
      <c r="P47" s="161">
        <v>-1071</v>
      </c>
      <c r="Q47" s="161">
        <v>0</v>
      </c>
      <c r="R47" s="161">
        <v>0</v>
      </c>
      <c r="S47" s="161">
        <v>0</v>
      </c>
      <c r="T47" s="161">
        <v>0</v>
      </c>
      <c r="U47" s="161">
        <v>0</v>
      </c>
      <c r="V47" s="161">
        <v>0</v>
      </c>
      <c r="W47" s="161">
        <f t="shared" si="1"/>
        <v>858.48720000000003</v>
      </c>
      <c r="X47" s="161">
        <f t="shared" si="2"/>
        <v>858.48720000000003</v>
      </c>
      <c r="Y47" s="161">
        <f t="shared" si="3"/>
        <v>0</v>
      </c>
      <c r="Z47" s="161">
        <v>0</v>
      </c>
      <c r="AA47" s="161">
        <f t="shared" si="4"/>
        <v>0</v>
      </c>
      <c r="AB47" s="161">
        <f t="shared" si="5"/>
        <v>1071</v>
      </c>
      <c r="AC47" s="158"/>
      <c r="AD47" s="158"/>
    </row>
    <row r="48" spans="1:30" ht="12.75" customHeight="1" x14ac:dyDescent="0.3">
      <c r="A48" s="147">
        <v>3</v>
      </c>
      <c r="B48" s="158" t="s">
        <v>882</v>
      </c>
      <c r="C48" s="160" t="s">
        <v>120</v>
      </c>
      <c r="D48" s="160" t="s">
        <v>883</v>
      </c>
      <c r="E48" s="160" t="s">
        <v>25</v>
      </c>
      <c r="F48" s="160" t="s">
        <v>865</v>
      </c>
      <c r="G48" s="160" t="s">
        <v>866</v>
      </c>
      <c r="H48" s="161">
        <v>3116.48</v>
      </c>
      <c r="I48" s="161">
        <v>-72.8</v>
      </c>
      <c r="J48" s="161">
        <v>0</v>
      </c>
      <c r="K48" s="161">
        <v>0</v>
      </c>
      <c r="L48" s="161">
        <v>-1226.18</v>
      </c>
      <c r="M48" s="162">
        <v>-62.329599999999999</v>
      </c>
      <c r="N48" s="161">
        <v>-10.78</v>
      </c>
      <c r="O48" s="162">
        <f t="shared" si="0"/>
        <v>1744.3903999999998</v>
      </c>
      <c r="P48" s="161">
        <v>-1429</v>
      </c>
      <c r="Q48" s="161">
        <v>0</v>
      </c>
      <c r="R48" s="161">
        <v>0</v>
      </c>
      <c r="S48" s="161">
        <v>0</v>
      </c>
      <c r="T48" s="161">
        <v>0</v>
      </c>
      <c r="U48" s="161">
        <v>0</v>
      </c>
      <c r="V48" s="161">
        <v>0</v>
      </c>
      <c r="W48" s="161">
        <f t="shared" si="1"/>
        <v>315.39039999999977</v>
      </c>
      <c r="X48" s="161">
        <f t="shared" si="2"/>
        <v>315.39039999999977</v>
      </c>
      <c r="Y48" s="161">
        <f t="shared" si="3"/>
        <v>0</v>
      </c>
      <c r="Z48" s="161">
        <v>0</v>
      </c>
      <c r="AA48" s="161">
        <f t="shared" si="4"/>
        <v>0</v>
      </c>
      <c r="AB48" s="161">
        <f t="shared" si="5"/>
        <v>1429</v>
      </c>
      <c r="AC48" s="158"/>
      <c r="AD48" s="158"/>
    </row>
    <row r="49" spans="1:30" ht="12.75" customHeight="1" x14ac:dyDescent="0.3">
      <c r="A49" s="147">
        <v>4</v>
      </c>
      <c r="B49" s="158" t="s">
        <v>585</v>
      </c>
      <c r="C49" s="158" t="s">
        <v>863</v>
      </c>
      <c r="D49" s="163" t="s">
        <v>864</v>
      </c>
      <c r="E49" s="160" t="s">
        <v>25</v>
      </c>
      <c r="F49" s="160" t="s">
        <v>865</v>
      </c>
      <c r="G49" s="160" t="s">
        <v>866</v>
      </c>
      <c r="H49" s="161">
        <v>0</v>
      </c>
      <c r="I49" s="161">
        <v>0</v>
      </c>
      <c r="J49" s="161">
        <v>0</v>
      </c>
      <c r="K49" s="161">
        <v>0</v>
      </c>
      <c r="L49" s="161">
        <v>0</v>
      </c>
      <c r="M49" s="162">
        <v>-30</v>
      </c>
      <c r="N49" s="161">
        <v>0</v>
      </c>
      <c r="O49" s="162">
        <f t="shared" si="0"/>
        <v>-30</v>
      </c>
      <c r="P49" s="161">
        <v>-2500</v>
      </c>
      <c r="Q49" s="161">
        <v>0</v>
      </c>
      <c r="R49" s="161">
        <v>0</v>
      </c>
      <c r="S49" s="161">
        <v>0</v>
      </c>
      <c r="T49" s="161">
        <v>0</v>
      </c>
      <c r="U49" s="161">
        <v>0</v>
      </c>
      <c r="V49" s="161">
        <v>0</v>
      </c>
      <c r="W49" s="161">
        <f t="shared" si="1"/>
        <v>-2530</v>
      </c>
      <c r="X49" s="161">
        <f t="shared" si="2"/>
        <v>0</v>
      </c>
      <c r="Y49" s="161">
        <f t="shared" si="3"/>
        <v>-2530</v>
      </c>
      <c r="Z49" s="161">
        <v>2530</v>
      </c>
      <c r="AA49" s="161">
        <f t="shared" si="4"/>
        <v>0</v>
      </c>
      <c r="AB49" s="161">
        <f t="shared" si="5"/>
        <v>2500</v>
      </c>
      <c r="AC49" s="158"/>
      <c r="AD49" s="158"/>
    </row>
    <row r="50" spans="1:30" ht="12.75" customHeight="1" x14ac:dyDescent="0.3">
      <c r="A50" s="147">
        <v>4</v>
      </c>
      <c r="B50" s="158" t="s">
        <v>867</v>
      </c>
      <c r="C50" s="158" t="s">
        <v>46</v>
      </c>
      <c r="D50" s="158" t="s">
        <v>20</v>
      </c>
      <c r="E50" s="160" t="s">
        <v>25</v>
      </c>
      <c r="F50" s="158" t="s">
        <v>25</v>
      </c>
      <c r="G50" s="160" t="s">
        <v>866</v>
      </c>
      <c r="H50" s="161">
        <v>0</v>
      </c>
      <c r="I50" s="161">
        <v>-200</v>
      </c>
      <c r="J50" s="161">
        <v>0</v>
      </c>
      <c r="K50" s="161">
        <v>0</v>
      </c>
      <c r="L50" s="161">
        <v>0</v>
      </c>
      <c r="M50" s="162">
        <v>0</v>
      </c>
      <c r="N50" s="161">
        <v>0</v>
      </c>
      <c r="O50" s="162">
        <f t="shared" si="0"/>
        <v>-200</v>
      </c>
      <c r="P50" s="161">
        <v>0</v>
      </c>
      <c r="Q50" s="161">
        <v>0</v>
      </c>
      <c r="R50" s="161">
        <v>0</v>
      </c>
      <c r="S50" s="161">
        <v>0</v>
      </c>
      <c r="T50" s="161">
        <v>0</v>
      </c>
      <c r="U50" s="161">
        <v>0</v>
      </c>
      <c r="V50" s="161">
        <v>0</v>
      </c>
      <c r="W50" s="161">
        <f t="shared" si="1"/>
        <v>-200</v>
      </c>
      <c r="X50" s="161">
        <f t="shared" si="2"/>
        <v>0</v>
      </c>
      <c r="Y50" s="161">
        <f t="shared" si="3"/>
        <v>-200</v>
      </c>
      <c r="Z50" s="161">
        <v>0</v>
      </c>
      <c r="AA50" s="161">
        <f t="shared" si="4"/>
        <v>-200</v>
      </c>
      <c r="AB50" s="161">
        <f t="shared" si="5"/>
        <v>-400</v>
      </c>
      <c r="AC50" s="158"/>
      <c r="AD50" s="158"/>
    </row>
    <row r="51" spans="1:30" ht="12.75" customHeight="1" x14ac:dyDescent="0.3">
      <c r="A51" s="147">
        <v>4</v>
      </c>
      <c r="B51" s="158" t="s">
        <v>868</v>
      </c>
      <c r="C51" s="158" t="s">
        <v>68</v>
      </c>
      <c r="D51" s="163" t="s">
        <v>869</v>
      </c>
      <c r="E51" s="160" t="s">
        <v>25</v>
      </c>
      <c r="F51" s="160" t="s">
        <v>865</v>
      </c>
      <c r="G51" s="160" t="s">
        <v>866</v>
      </c>
      <c r="H51" s="161">
        <v>0</v>
      </c>
      <c r="I51" s="161">
        <v>0</v>
      </c>
      <c r="J51" s="161">
        <v>0</v>
      </c>
      <c r="K51" s="161">
        <v>0</v>
      </c>
      <c r="L51" s="161">
        <v>0</v>
      </c>
      <c r="M51" s="162">
        <v>0</v>
      </c>
      <c r="N51" s="161">
        <v>0</v>
      </c>
      <c r="O51" s="162">
        <f t="shared" si="0"/>
        <v>0</v>
      </c>
      <c r="P51" s="161">
        <v>-2500</v>
      </c>
      <c r="Q51" s="161">
        <v>0</v>
      </c>
      <c r="R51" s="161">
        <v>0</v>
      </c>
      <c r="S51" s="161">
        <v>0</v>
      </c>
      <c r="T51" s="161">
        <v>0</v>
      </c>
      <c r="U51" s="161">
        <v>0</v>
      </c>
      <c r="V51" s="161">
        <v>0</v>
      </c>
      <c r="W51" s="161">
        <f t="shared" si="1"/>
        <v>-2500</v>
      </c>
      <c r="X51" s="161">
        <f t="shared" si="2"/>
        <v>0</v>
      </c>
      <c r="Y51" s="161">
        <f t="shared" si="3"/>
        <v>-2500</v>
      </c>
      <c r="Z51" s="161">
        <v>0</v>
      </c>
      <c r="AA51" s="161">
        <f t="shared" si="4"/>
        <v>-2500</v>
      </c>
      <c r="AB51" s="161">
        <f t="shared" si="5"/>
        <v>-2500</v>
      </c>
      <c r="AC51" s="158"/>
      <c r="AD51" s="158"/>
    </row>
    <row r="52" spans="1:30" ht="12.75" customHeight="1" x14ac:dyDescent="0.3">
      <c r="A52" s="147">
        <v>4</v>
      </c>
      <c r="B52" s="158" t="s">
        <v>886</v>
      </c>
      <c r="C52" s="158" t="s">
        <v>183</v>
      </c>
      <c r="D52" s="158" t="s">
        <v>887</v>
      </c>
      <c r="E52" s="160" t="s">
        <v>25</v>
      </c>
      <c r="F52" s="158" t="s">
        <v>25</v>
      </c>
      <c r="G52" s="160" t="s">
        <v>866</v>
      </c>
      <c r="H52" s="161">
        <v>3186.86</v>
      </c>
      <c r="I52" s="161">
        <v>0</v>
      </c>
      <c r="J52" s="161">
        <v>0</v>
      </c>
      <c r="K52" s="161">
        <v>0</v>
      </c>
      <c r="L52" s="161">
        <v>-1760.81</v>
      </c>
      <c r="M52" s="162">
        <v>-25</v>
      </c>
      <c r="N52" s="161">
        <v>0</v>
      </c>
      <c r="O52" s="162">
        <f t="shared" si="0"/>
        <v>1401.0500000000002</v>
      </c>
      <c r="P52" s="161">
        <v>-2500</v>
      </c>
      <c r="Q52" s="161">
        <v>0</v>
      </c>
      <c r="R52" s="161">
        <v>-500</v>
      </c>
      <c r="S52" s="161">
        <v>0</v>
      </c>
      <c r="T52" s="161">
        <v>0</v>
      </c>
      <c r="U52" s="161">
        <v>0</v>
      </c>
      <c r="V52" s="161">
        <v>0</v>
      </c>
      <c r="W52" s="161">
        <f t="shared" si="1"/>
        <v>-1598.9499999999998</v>
      </c>
      <c r="X52" s="161">
        <f t="shared" si="2"/>
        <v>0</v>
      </c>
      <c r="Y52" s="161">
        <f t="shared" si="3"/>
        <v>-1598.9499999999998</v>
      </c>
      <c r="Z52" s="161">
        <v>1599</v>
      </c>
      <c r="AA52" s="161">
        <f t="shared" si="4"/>
        <v>5.0000000000181899E-2</v>
      </c>
      <c r="AB52" s="161">
        <f t="shared" si="5"/>
        <v>3000.1000000000004</v>
      </c>
      <c r="AC52" s="158" t="s">
        <v>898</v>
      </c>
      <c r="AD52" s="158"/>
    </row>
    <row r="53" spans="1:30" ht="12.75" customHeight="1" x14ac:dyDescent="0.3">
      <c r="A53" s="147">
        <v>4</v>
      </c>
      <c r="B53" s="160" t="s">
        <v>888</v>
      </c>
      <c r="C53" s="158" t="s">
        <v>409</v>
      </c>
      <c r="D53" s="163" t="s">
        <v>889</v>
      </c>
      <c r="E53" s="160" t="s">
        <v>25</v>
      </c>
      <c r="F53" s="158" t="s">
        <v>25</v>
      </c>
      <c r="G53" s="160" t="s">
        <v>866</v>
      </c>
      <c r="H53" s="161">
        <v>7979.51</v>
      </c>
      <c r="I53" s="161">
        <v>-94.4</v>
      </c>
      <c r="J53" s="161">
        <v>0</v>
      </c>
      <c r="K53" s="161">
        <v>0</v>
      </c>
      <c r="L53" s="161">
        <v>-1948.64</v>
      </c>
      <c r="M53" s="162">
        <v>-60.83</v>
      </c>
      <c r="N53" s="161">
        <v>0</v>
      </c>
      <c r="O53" s="162">
        <f t="shared" si="0"/>
        <v>5875.64</v>
      </c>
      <c r="P53" s="161">
        <v>-2500</v>
      </c>
      <c r="Q53" s="161">
        <v>0</v>
      </c>
      <c r="R53" s="161">
        <v>0</v>
      </c>
      <c r="S53" s="161">
        <v>-500</v>
      </c>
      <c r="T53" s="161">
        <v>0</v>
      </c>
      <c r="U53" s="161">
        <v>0</v>
      </c>
      <c r="V53" s="161">
        <v>0</v>
      </c>
      <c r="W53" s="161">
        <f t="shared" si="1"/>
        <v>2875.6400000000003</v>
      </c>
      <c r="X53" s="161">
        <f t="shared" si="2"/>
        <v>2875.6400000000003</v>
      </c>
      <c r="Y53" s="161">
        <f t="shared" si="3"/>
        <v>0</v>
      </c>
      <c r="Z53" s="161">
        <v>0</v>
      </c>
      <c r="AA53" s="161">
        <f t="shared" si="4"/>
        <v>0</v>
      </c>
      <c r="AB53" s="161">
        <f t="shared" si="5"/>
        <v>3000</v>
      </c>
      <c r="AC53" s="158"/>
      <c r="AD53" s="158"/>
    </row>
    <row r="54" spans="1:30" ht="12.75" customHeight="1" x14ac:dyDescent="0.3">
      <c r="A54" s="147">
        <v>4</v>
      </c>
      <c r="B54" s="158" t="s">
        <v>894</v>
      </c>
      <c r="C54" s="158" t="s">
        <v>59</v>
      </c>
      <c r="D54" s="158" t="s">
        <v>895</v>
      </c>
      <c r="E54" s="160" t="s">
        <v>25</v>
      </c>
      <c r="F54" s="158" t="s">
        <v>25</v>
      </c>
      <c r="G54" s="160" t="s">
        <v>866</v>
      </c>
      <c r="H54" s="161">
        <v>6015.72</v>
      </c>
      <c r="I54" s="161">
        <v>-96</v>
      </c>
      <c r="J54" s="161">
        <v>0</v>
      </c>
      <c r="K54" s="161">
        <v>0</v>
      </c>
      <c r="L54" s="161">
        <v>-2519.4699999999998</v>
      </c>
      <c r="M54" s="162">
        <v>-40</v>
      </c>
      <c r="N54" s="161">
        <v>-68</v>
      </c>
      <c r="O54" s="162">
        <f t="shared" si="0"/>
        <v>3292.2500000000005</v>
      </c>
      <c r="P54" s="161">
        <v>-2500</v>
      </c>
      <c r="Q54" s="161">
        <v>0</v>
      </c>
      <c r="R54" s="161">
        <v>-500</v>
      </c>
      <c r="S54" s="161">
        <v>0</v>
      </c>
      <c r="T54" s="161">
        <v>0</v>
      </c>
      <c r="U54" s="161">
        <v>0</v>
      </c>
      <c r="V54" s="161">
        <v>0</v>
      </c>
      <c r="W54" s="161">
        <f t="shared" si="1"/>
        <v>292.25000000000045</v>
      </c>
      <c r="X54" s="161">
        <f t="shared" si="2"/>
        <v>292.25000000000045</v>
      </c>
      <c r="Y54" s="161">
        <f t="shared" si="3"/>
        <v>0</v>
      </c>
      <c r="Z54" s="161">
        <v>0</v>
      </c>
      <c r="AA54" s="161">
        <f t="shared" si="4"/>
        <v>0</v>
      </c>
      <c r="AB54" s="161">
        <f t="shared" si="5"/>
        <v>3000</v>
      </c>
      <c r="AC54" s="158"/>
      <c r="AD54" s="158"/>
    </row>
    <row r="55" spans="1:30" ht="12.75" customHeight="1" x14ac:dyDescent="0.3">
      <c r="A55" s="147">
        <v>4</v>
      </c>
      <c r="B55" s="158" t="s">
        <v>890</v>
      </c>
      <c r="C55" s="160" t="s">
        <v>426</v>
      </c>
      <c r="D55" s="158" t="s">
        <v>891</v>
      </c>
      <c r="E55" s="160" t="s">
        <v>25</v>
      </c>
      <c r="F55" s="158" t="s">
        <v>25</v>
      </c>
      <c r="G55" s="160" t="s">
        <v>866</v>
      </c>
      <c r="H55" s="161">
        <v>5446.08</v>
      </c>
      <c r="I55" s="161">
        <v>0</v>
      </c>
      <c r="J55" s="161">
        <v>0</v>
      </c>
      <c r="K55" s="161">
        <v>0</v>
      </c>
      <c r="L55" s="161">
        <v>-1740.95</v>
      </c>
      <c r="M55" s="162">
        <v>-45</v>
      </c>
      <c r="N55" s="161">
        <v>-111</v>
      </c>
      <c r="O55" s="162">
        <f t="shared" si="0"/>
        <v>3549.13</v>
      </c>
      <c r="P55" s="161">
        <v>-2500</v>
      </c>
      <c r="Q55" s="161">
        <v>0</v>
      </c>
      <c r="R55" s="161">
        <v>0</v>
      </c>
      <c r="S55" s="161">
        <v>-500</v>
      </c>
      <c r="T55" s="161">
        <v>0</v>
      </c>
      <c r="U55" s="161">
        <v>0</v>
      </c>
      <c r="V55" s="161">
        <v>0</v>
      </c>
      <c r="W55" s="161">
        <f t="shared" si="1"/>
        <v>549.13000000000011</v>
      </c>
      <c r="X55" s="161">
        <f t="shared" si="2"/>
        <v>549.13000000000011</v>
      </c>
      <c r="Y55" s="161">
        <f t="shared" si="3"/>
        <v>0</v>
      </c>
      <c r="Z55" s="161">
        <v>0</v>
      </c>
      <c r="AA55" s="161">
        <f t="shared" si="4"/>
        <v>0</v>
      </c>
      <c r="AB55" s="161">
        <f t="shared" si="5"/>
        <v>3000</v>
      </c>
      <c r="AC55" s="158"/>
      <c r="AD55" s="158"/>
    </row>
    <row r="56" spans="1:30" ht="12.75" customHeight="1" x14ac:dyDescent="0.3">
      <c r="A56" s="147">
        <v>4</v>
      </c>
      <c r="B56" s="158" t="s">
        <v>872</v>
      </c>
      <c r="C56" s="158" t="s">
        <v>36</v>
      </c>
      <c r="D56" s="158" t="s">
        <v>873</v>
      </c>
      <c r="E56" s="160" t="s">
        <v>25</v>
      </c>
      <c r="F56" s="158" t="s">
        <v>25</v>
      </c>
      <c r="G56" s="160" t="s">
        <v>866</v>
      </c>
      <c r="H56" s="161">
        <v>10172.049999999999</v>
      </c>
      <c r="I56" s="161">
        <v>-184</v>
      </c>
      <c r="J56" s="161">
        <v>0</v>
      </c>
      <c r="K56" s="161">
        <v>0</v>
      </c>
      <c r="L56" s="161">
        <v>-4557.47</v>
      </c>
      <c r="M56" s="162">
        <v>-97.57</v>
      </c>
      <c r="N56" s="161">
        <v>-503.08</v>
      </c>
      <c r="O56" s="162">
        <f t="shared" si="0"/>
        <v>4829.9299999999994</v>
      </c>
      <c r="P56" s="161">
        <v>-2500</v>
      </c>
      <c r="Q56" s="161">
        <v>0</v>
      </c>
      <c r="R56" s="161">
        <v>0</v>
      </c>
      <c r="S56" s="161">
        <v>0</v>
      </c>
      <c r="T56" s="161">
        <v>-500</v>
      </c>
      <c r="U56" s="161">
        <v>0</v>
      </c>
      <c r="V56" s="161">
        <v>0</v>
      </c>
      <c r="W56" s="161">
        <f t="shared" si="1"/>
        <v>1829.9299999999994</v>
      </c>
      <c r="X56" s="161">
        <f t="shared" si="2"/>
        <v>1829.9299999999994</v>
      </c>
      <c r="Y56" s="161">
        <f t="shared" si="3"/>
        <v>0</v>
      </c>
      <c r="Z56" s="161">
        <v>0</v>
      </c>
      <c r="AA56" s="161">
        <f t="shared" si="4"/>
        <v>0</v>
      </c>
      <c r="AB56" s="161">
        <f t="shared" si="5"/>
        <v>3000</v>
      </c>
      <c r="AC56" s="158"/>
      <c r="AD56" s="158"/>
    </row>
    <row r="57" spans="1:30" ht="12.75" customHeight="1" x14ac:dyDescent="0.3">
      <c r="A57" s="147">
        <v>4</v>
      </c>
      <c r="B57" s="158" t="s">
        <v>876</v>
      </c>
      <c r="C57" s="158" t="s">
        <v>150</v>
      </c>
      <c r="D57" s="163" t="s">
        <v>877</v>
      </c>
      <c r="E57" s="160" t="s">
        <v>25</v>
      </c>
      <c r="F57" s="158" t="s">
        <v>25</v>
      </c>
      <c r="G57" s="160" t="s">
        <v>866</v>
      </c>
      <c r="H57" s="161">
        <v>4194.92</v>
      </c>
      <c r="I57" s="161">
        <v>0</v>
      </c>
      <c r="J57" s="161">
        <v>0</v>
      </c>
      <c r="K57" s="161">
        <v>0</v>
      </c>
      <c r="L57" s="161">
        <v>-2079.62</v>
      </c>
      <c r="M57" s="162">
        <v>-35</v>
      </c>
      <c r="N57" s="161">
        <v>0</v>
      </c>
      <c r="O57" s="162">
        <f t="shared" si="0"/>
        <v>2080.3000000000002</v>
      </c>
      <c r="P57" s="161">
        <v>-2500</v>
      </c>
      <c r="Q57" s="161">
        <v>0</v>
      </c>
      <c r="R57" s="161">
        <v>0</v>
      </c>
      <c r="S57" s="161">
        <v>0</v>
      </c>
      <c r="T57" s="161">
        <v>0</v>
      </c>
      <c r="U57" s="161">
        <v>0</v>
      </c>
      <c r="V57" s="161">
        <v>0</v>
      </c>
      <c r="W57" s="161">
        <f t="shared" si="1"/>
        <v>-419.69999999999982</v>
      </c>
      <c r="X57" s="161">
        <f t="shared" si="2"/>
        <v>0</v>
      </c>
      <c r="Y57" s="161">
        <f t="shared" si="3"/>
        <v>-419.69999999999982</v>
      </c>
      <c r="Z57" s="161">
        <v>0</v>
      </c>
      <c r="AA57" s="161">
        <f t="shared" si="4"/>
        <v>-419.69999999999982</v>
      </c>
      <c r="AB57" s="161">
        <f t="shared" si="5"/>
        <v>1660.6000000000004</v>
      </c>
      <c r="AC57" s="158" t="s">
        <v>899</v>
      </c>
      <c r="AD57" s="158"/>
    </row>
    <row r="58" spans="1:30" ht="12.75" customHeight="1" x14ac:dyDescent="0.3">
      <c r="A58" s="147">
        <v>4</v>
      </c>
      <c r="B58" s="158" t="s">
        <v>484</v>
      </c>
      <c r="C58" s="158" t="s">
        <v>123</v>
      </c>
      <c r="D58" s="158" t="s">
        <v>892</v>
      </c>
      <c r="E58" s="160" t="s">
        <v>871</v>
      </c>
      <c r="F58" s="158" t="s">
        <v>25</v>
      </c>
      <c r="G58" s="160" t="s">
        <v>866</v>
      </c>
      <c r="H58" s="161">
        <v>7059.17</v>
      </c>
      <c r="I58" s="161">
        <v>-155.19999999999999</v>
      </c>
      <c r="J58" s="161">
        <v>0</v>
      </c>
      <c r="K58" s="161">
        <v>0</v>
      </c>
      <c r="L58" s="161">
        <v>-3771.6</v>
      </c>
      <c r="M58" s="162">
        <v>-50</v>
      </c>
      <c r="N58" s="161">
        <v>0</v>
      </c>
      <c r="O58" s="162">
        <f t="shared" si="0"/>
        <v>3082.3700000000003</v>
      </c>
      <c r="P58" s="161">
        <v>-2500</v>
      </c>
      <c r="Q58" s="161">
        <v>0</v>
      </c>
      <c r="R58" s="161">
        <v>0</v>
      </c>
      <c r="S58" s="161">
        <v>0</v>
      </c>
      <c r="T58" s="161">
        <v>0</v>
      </c>
      <c r="U58" s="161">
        <v>0</v>
      </c>
      <c r="V58" s="161">
        <v>0</v>
      </c>
      <c r="W58" s="161">
        <f t="shared" si="1"/>
        <v>582.37000000000035</v>
      </c>
      <c r="X58" s="161">
        <f t="shared" si="2"/>
        <v>582.37000000000035</v>
      </c>
      <c r="Y58" s="161">
        <f t="shared" si="3"/>
        <v>0</v>
      </c>
      <c r="Z58" s="161">
        <v>0</v>
      </c>
      <c r="AA58" s="161">
        <f t="shared" si="4"/>
        <v>0</v>
      </c>
      <c r="AB58" s="161">
        <f t="shared" si="5"/>
        <v>2500</v>
      </c>
      <c r="AC58" s="158"/>
      <c r="AD58" s="158"/>
    </row>
    <row r="59" spans="1:30" ht="12.75" customHeight="1" x14ac:dyDescent="0.3">
      <c r="A59" s="147">
        <v>4</v>
      </c>
      <c r="B59" s="158" t="s">
        <v>408</v>
      </c>
      <c r="C59" s="158" t="s">
        <v>878</v>
      </c>
      <c r="D59" s="158" t="s">
        <v>879</v>
      </c>
      <c r="E59" s="160" t="s">
        <v>25</v>
      </c>
      <c r="F59" s="158" t="s">
        <v>25</v>
      </c>
      <c r="G59" s="160" t="s">
        <v>866</v>
      </c>
      <c r="H59" s="161">
        <v>4787.08</v>
      </c>
      <c r="I59" s="161">
        <v>-29.31</v>
      </c>
      <c r="J59" s="161">
        <v>0</v>
      </c>
      <c r="K59" s="161">
        <v>0</v>
      </c>
      <c r="L59" s="161">
        <v>-1967.22</v>
      </c>
      <c r="M59" s="162">
        <v>-30</v>
      </c>
      <c r="N59" s="161">
        <v>0</v>
      </c>
      <c r="O59" s="162">
        <f t="shared" si="0"/>
        <v>2760.5499999999993</v>
      </c>
      <c r="P59" s="161">
        <v>-2500</v>
      </c>
      <c r="Q59" s="161">
        <v>0</v>
      </c>
      <c r="R59" s="161">
        <v>-500</v>
      </c>
      <c r="S59" s="161">
        <v>0</v>
      </c>
      <c r="T59" s="161">
        <v>0</v>
      </c>
      <c r="U59" s="161">
        <v>0</v>
      </c>
      <c r="V59" s="161">
        <v>0</v>
      </c>
      <c r="W59" s="161">
        <f t="shared" si="1"/>
        <v>-239.45000000000073</v>
      </c>
      <c r="X59" s="161">
        <f t="shared" si="2"/>
        <v>0</v>
      </c>
      <c r="Y59" s="161">
        <f t="shared" si="3"/>
        <v>-239.45000000000073</v>
      </c>
      <c r="Z59" s="161">
        <v>181</v>
      </c>
      <c r="AA59" s="161">
        <f t="shared" si="4"/>
        <v>-58.450000000000728</v>
      </c>
      <c r="AB59" s="161">
        <f t="shared" si="5"/>
        <v>2883.0999999999985</v>
      </c>
      <c r="AC59" s="158" t="s">
        <v>899</v>
      </c>
      <c r="AD59" s="158"/>
    </row>
    <row r="60" spans="1:30" ht="12.75" customHeight="1" x14ac:dyDescent="0.3">
      <c r="A60" s="147">
        <v>4</v>
      </c>
      <c r="B60" s="160" t="s">
        <v>896</v>
      </c>
      <c r="C60" s="158" t="s">
        <v>347</v>
      </c>
      <c r="D60" s="158" t="s">
        <v>897</v>
      </c>
      <c r="E60" s="160" t="s">
        <v>25</v>
      </c>
      <c r="F60" s="160" t="s">
        <v>865</v>
      </c>
      <c r="G60" s="160" t="s">
        <v>866</v>
      </c>
      <c r="H60" s="161">
        <v>5743.67</v>
      </c>
      <c r="I60" s="161">
        <v>0</v>
      </c>
      <c r="J60" s="161">
        <v>0</v>
      </c>
      <c r="K60" s="161">
        <v>0</v>
      </c>
      <c r="L60" s="161">
        <v>-2576.79</v>
      </c>
      <c r="M60" s="162">
        <v>-45</v>
      </c>
      <c r="N60" s="161">
        <v>-58</v>
      </c>
      <c r="O60" s="162">
        <f t="shared" si="0"/>
        <v>3063.88</v>
      </c>
      <c r="P60" s="161">
        <v>-2500</v>
      </c>
      <c r="Q60" s="161">
        <v>0</v>
      </c>
      <c r="R60" s="161">
        <v>0</v>
      </c>
      <c r="S60" s="161">
        <v>0</v>
      </c>
      <c r="T60" s="161">
        <v>0</v>
      </c>
      <c r="U60" s="161">
        <v>0</v>
      </c>
      <c r="V60" s="161">
        <v>0</v>
      </c>
      <c r="W60" s="161">
        <f t="shared" si="1"/>
        <v>563.88000000000011</v>
      </c>
      <c r="X60" s="161">
        <f t="shared" si="2"/>
        <v>563.88000000000011</v>
      </c>
      <c r="Y60" s="161">
        <f t="shared" si="3"/>
        <v>0</v>
      </c>
      <c r="Z60" s="161">
        <v>0</v>
      </c>
      <c r="AA60" s="161">
        <f t="shared" si="4"/>
        <v>0</v>
      </c>
      <c r="AB60" s="161">
        <f t="shared" si="5"/>
        <v>2500</v>
      </c>
      <c r="AC60" s="158"/>
      <c r="AD60" s="158"/>
    </row>
    <row r="61" spans="1:30" ht="12.75" customHeight="1" x14ac:dyDescent="0.3">
      <c r="A61" s="147">
        <v>4</v>
      </c>
      <c r="B61" s="158" t="s">
        <v>880</v>
      </c>
      <c r="C61" s="158" t="s">
        <v>57</v>
      </c>
      <c r="D61" s="163" t="s">
        <v>881</v>
      </c>
      <c r="E61" s="160" t="s">
        <v>25</v>
      </c>
      <c r="F61" s="158" t="s">
        <v>25</v>
      </c>
      <c r="G61" s="160" t="s">
        <v>866</v>
      </c>
      <c r="H61" s="161">
        <v>3430.61</v>
      </c>
      <c r="I61" s="161">
        <v>-16</v>
      </c>
      <c r="J61" s="161">
        <v>0</v>
      </c>
      <c r="K61" s="161">
        <v>0</v>
      </c>
      <c r="L61" s="161">
        <v>-2162.8200000000002</v>
      </c>
      <c r="M61" s="162">
        <v>-25</v>
      </c>
      <c r="N61" s="161">
        <v>0</v>
      </c>
      <c r="O61" s="162">
        <f t="shared" si="0"/>
        <v>1226.79</v>
      </c>
      <c r="P61" s="161">
        <v>-2300</v>
      </c>
      <c r="Q61" s="161">
        <v>120</v>
      </c>
      <c r="R61" s="161">
        <v>0</v>
      </c>
      <c r="S61" s="161">
        <v>-500</v>
      </c>
      <c r="T61" s="161">
        <v>0</v>
      </c>
      <c r="U61" s="161">
        <v>0</v>
      </c>
      <c r="V61" s="161">
        <v>0</v>
      </c>
      <c r="W61" s="161">
        <f t="shared" si="1"/>
        <v>-1453.21</v>
      </c>
      <c r="X61" s="161">
        <f t="shared" si="2"/>
        <v>0</v>
      </c>
      <c r="Y61" s="161">
        <f t="shared" si="3"/>
        <v>-1453.21</v>
      </c>
      <c r="Z61" s="161">
        <v>1421</v>
      </c>
      <c r="AA61" s="161">
        <f t="shared" si="4"/>
        <v>-32.210000000000036</v>
      </c>
      <c r="AB61" s="161">
        <f t="shared" si="5"/>
        <v>2615.58</v>
      </c>
      <c r="AC61" s="158" t="s">
        <v>900</v>
      </c>
      <c r="AD61" s="158"/>
    </row>
    <row r="62" spans="1:30" ht="12.75" customHeight="1" x14ac:dyDescent="0.3">
      <c r="A62" s="147">
        <v>4</v>
      </c>
      <c r="B62" s="160" t="s">
        <v>901</v>
      </c>
      <c r="C62" s="158" t="s">
        <v>195</v>
      </c>
      <c r="D62" s="158" t="s">
        <v>20</v>
      </c>
      <c r="E62" s="160" t="s">
        <v>871</v>
      </c>
      <c r="F62" s="158" t="s">
        <v>25</v>
      </c>
      <c r="G62" s="160" t="s">
        <v>866</v>
      </c>
      <c r="H62" s="161">
        <v>0</v>
      </c>
      <c r="I62" s="161">
        <v>0</v>
      </c>
      <c r="J62" s="161">
        <v>0</v>
      </c>
      <c r="K62" s="161">
        <v>0</v>
      </c>
      <c r="L62" s="161">
        <v>0</v>
      </c>
      <c r="M62" s="162">
        <v>0</v>
      </c>
      <c r="N62" s="161">
        <v>0</v>
      </c>
      <c r="O62" s="162">
        <f t="shared" si="0"/>
        <v>0</v>
      </c>
      <c r="P62" s="161">
        <v>0</v>
      </c>
      <c r="Q62" s="161">
        <v>0</v>
      </c>
      <c r="R62" s="161">
        <v>0</v>
      </c>
      <c r="S62" s="161">
        <v>0</v>
      </c>
      <c r="T62" s="161">
        <v>0</v>
      </c>
      <c r="U62" s="161">
        <v>0</v>
      </c>
      <c r="V62" s="161">
        <v>0</v>
      </c>
      <c r="W62" s="161">
        <f t="shared" si="1"/>
        <v>0</v>
      </c>
      <c r="X62" s="161">
        <f t="shared" si="2"/>
        <v>0</v>
      </c>
      <c r="Y62" s="161">
        <f t="shared" si="3"/>
        <v>0</v>
      </c>
      <c r="Z62" s="161">
        <v>0</v>
      </c>
      <c r="AA62" s="161">
        <f t="shared" si="4"/>
        <v>0</v>
      </c>
      <c r="AB62" s="161">
        <f t="shared" si="5"/>
        <v>0</v>
      </c>
      <c r="AC62" s="158"/>
      <c r="AD62" s="158"/>
    </row>
    <row r="63" spans="1:30" ht="12.75" customHeight="1" x14ac:dyDescent="0.3">
      <c r="A63" s="147">
        <v>4</v>
      </c>
      <c r="B63" s="158" t="s">
        <v>882</v>
      </c>
      <c r="C63" s="158" t="s">
        <v>120</v>
      </c>
      <c r="D63" s="158" t="s">
        <v>883</v>
      </c>
      <c r="E63" s="160" t="s">
        <v>25</v>
      </c>
      <c r="F63" s="160" t="s">
        <v>865</v>
      </c>
      <c r="G63" s="160" t="s">
        <v>866</v>
      </c>
      <c r="H63" s="161">
        <v>5452.14</v>
      </c>
      <c r="I63" s="161">
        <v>-67.2</v>
      </c>
      <c r="J63" s="161">
        <v>0</v>
      </c>
      <c r="K63" s="161">
        <v>0</v>
      </c>
      <c r="L63" s="161">
        <v>-1513.04</v>
      </c>
      <c r="M63" s="162">
        <v>-78</v>
      </c>
      <c r="N63" s="161">
        <v>-75.209999999999994</v>
      </c>
      <c r="O63" s="162">
        <f t="shared" si="0"/>
        <v>3718.6900000000005</v>
      </c>
      <c r="P63" s="161">
        <v>-2500</v>
      </c>
      <c r="Q63" s="161">
        <v>0</v>
      </c>
      <c r="R63" s="161">
        <v>0</v>
      </c>
      <c r="S63" s="161">
        <v>0</v>
      </c>
      <c r="T63" s="161">
        <v>0</v>
      </c>
      <c r="U63" s="161">
        <v>0</v>
      </c>
      <c r="V63" s="161">
        <v>0</v>
      </c>
      <c r="W63" s="161">
        <f t="shared" si="1"/>
        <v>1218.6900000000005</v>
      </c>
      <c r="X63" s="161">
        <f t="shared" si="2"/>
        <v>1218.6900000000005</v>
      </c>
      <c r="Y63" s="161">
        <f t="shared" si="3"/>
        <v>0</v>
      </c>
      <c r="Z63" s="161">
        <v>0</v>
      </c>
      <c r="AA63" s="161">
        <f t="shared" si="4"/>
        <v>0</v>
      </c>
      <c r="AB63" s="161">
        <f t="shared" si="5"/>
        <v>2500</v>
      </c>
      <c r="AC63" s="158"/>
      <c r="AD63" s="158"/>
    </row>
    <row r="64" spans="1:30" ht="12.75" customHeight="1" x14ac:dyDescent="0.3">
      <c r="A64" s="147">
        <v>5</v>
      </c>
      <c r="B64" s="158" t="s">
        <v>585</v>
      </c>
      <c r="C64" s="158" t="s">
        <v>863</v>
      </c>
      <c r="D64" s="163" t="s">
        <v>864</v>
      </c>
      <c r="E64" s="160" t="s">
        <v>25</v>
      </c>
      <c r="F64" s="160" t="s">
        <v>865</v>
      </c>
      <c r="G64" s="160" t="s">
        <v>866</v>
      </c>
      <c r="H64" s="164">
        <v>675.51</v>
      </c>
      <c r="I64" s="161">
        <v>9.15</v>
      </c>
      <c r="J64" s="161">
        <v>0</v>
      </c>
      <c r="K64" s="161">
        <v>0</v>
      </c>
      <c r="L64" s="161">
        <v>0</v>
      </c>
      <c r="M64" s="162">
        <v>-19</v>
      </c>
      <c r="N64" s="161">
        <v>0</v>
      </c>
      <c r="O64" s="162">
        <f t="shared" si="0"/>
        <v>665.66</v>
      </c>
      <c r="P64" s="161">
        <v>-2500</v>
      </c>
      <c r="Q64" s="161">
        <v>0</v>
      </c>
      <c r="R64" s="161">
        <v>0</v>
      </c>
      <c r="S64" s="161">
        <v>0</v>
      </c>
      <c r="T64" s="161">
        <v>0</v>
      </c>
      <c r="U64" s="161">
        <v>0</v>
      </c>
      <c r="V64" s="161">
        <v>0</v>
      </c>
      <c r="W64" s="161">
        <f t="shared" si="1"/>
        <v>-1834.3400000000001</v>
      </c>
      <c r="X64" s="161">
        <f t="shared" si="2"/>
        <v>0</v>
      </c>
      <c r="Y64" s="161">
        <f t="shared" si="3"/>
        <v>-1834.3400000000001</v>
      </c>
      <c r="Z64" s="161">
        <v>1834</v>
      </c>
      <c r="AA64" s="161">
        <f t="shared" si="4"/>
        <v>-0.34000000000014552</v>
      </c>
      <c r="AB64" s="161">
        <f t="shared" si="5"/>
        <v>2499.3199999999997</v>
      </c>
      <c r="AC64" s="158"/>
      <c r="AD64" s="158"/>
    </row>
    <row r="65" spans="1:30" ht="12.75" customHeight="1" x14ac:dyDescent="0.3">
      <c r="A65" s="147">
        <v>5</v>
      </c>
      <c r="B65" s="158" t="s">
        <v>867</v>
      </c>
      <c r="C65" s="158" t="s">
        <v>46</v>
      </c>
      <c r="D65" s="158" t="s">
        <v>20</v>
      </c>
      <c r="E65" s="160" t="s">
        <v>25</v>
      </c>
      <c r="F65" s="160" t="s">
        <v>25</v>
      </c>
      <c r="G65" s="160" t="s">
        <v>866</v>
      </c>
      <c r="H65" s="161">
        <v>0</v>
      </c>
      <c r="I65" s="161">
        <v>0</v>
      </c>
      <c r="J65" s="161">
        <v>0</v>
      </c>
      <c r="K65" s="161">
        <v>0</v>
      </c>
      <c r="L65" s="161">
        <v>0</v>
      </c>
      <c r="M65" s="162">
        <v>0</v>
      </c>
      <c r="N65" s="161">
        <v>0</v>
      </c>
      <c r="O65" s="162">
        <f t="shared" si="0"/>
        <v>0</v>
      </c>
      <c r="P65" s="161">
        <v>0</v>
      </c>
      <c r="Q65" s="161">
        <v>0</v>
      </c>
      <c r="R65" s="161">
        <v>0</v>
      </c>
      <c r="S65" s="161">
        <v>0</v>
      </c>
      <c r="T65" s="161">
        <v>0</v>
      </c>
      <c r="U65" s="161">
        <v>0</v>
      </c>
      <c r="V65" s="161">
        <v>0</v>
      </c>
      <c r="W65" s="161">
        <f t="shared" si="1"/>
        <v>0</v>
      </c>
      <c r="X65" s="161">
        <f t="shared" si="2"/>
        <v>0</v>
      </c>
      <c r="Y65" s="161">
        <f t="shared" si="3"/>
        <v>0</v>
      </c>
      <c r="Z65" s="161">
        <v>0</v>
      </c>
      <c r="AA65" s="161">
        <f t="shared" si="4"/>
        <v>0</v>
      </c>
      <c r="AB65" s="161">
        <f t="shared" si="5"/>
        <v>0</v>
      </c>
      <c r="AC65" s="158"/>
      <c r="AD65" s="158"/>
    </row>
    <row r="66" spans="1:30" ht="12.75" customHeight="1" x14ac:dyDescent="0.3">
      <c r="A66" s="147">
        <v>5</v>
      </c>
      <c r="B66" s="158" t="s">
        <v>868</v>
      </c>
      <c r="C66" s="158" t="s">
        <v>68</v>
      </c>
      <c r="D66" s="163" t="s">
        <v>869</v>
      </c>
      <c r="E66" s="160" t="s">
        <v>25</v>
      </c>
      <c r="F66" s="160" t="s">
        <v>865</v>
      </c>
      <c r="G66" s="160" t="s">
        <v>866</v>
      </c>
      <c r="H66" s="161">
        <v>0</v>
      </c>
      <c r="I66" s="161">
        <v>0</v>
      </c>
      <c r="J66" s="161">
        <v>0</v>
      </c>
      <c r="K66" s="161">
        <v>0</v>
      </c>
      <c r="L66" s="161">
        <v>0</v>
      </c>
      <c r="M66" s="162">
        <v>0</v>
      </c>
      <c r="N66" s="161">
        <v>0</v>
      </c>
      <c r="O66" s="162">
        <f t="shared" ref="O66:O129" si="6">SUM(H66:N66)</f>
        <v>0</v>
      </c>
      <c r="P66" s="161">
        <v>-2500</v>
      </c>
      <c r="Q66" s="161">
        <v>0</v>
      </c>
      <c r="R66" s="161">
        <v>0</v>
      </c>
      <c r="S66" s="161">
        <v>0</v>
      </c>
      <c r="T66" s="161">
        <v>0</v>
      </c>
      <c r="U66" s="161">
        <v>0</v>
      </c>
      <c r="V66" s="161">
        <v>0</v>
      </c>
      <c r="W66" s="161">
        <f t="shared" ref="W66:W129" si="7">+O66+SUM(P66:V66)</f>
        <v>-2500</v>
      </c>
      <c r="X66" s="161">
        <f t="shared" ref="X66:X129" si="8">IF(W66&gt;=0,W66,0)</f>
        <v>0</v>
      </c>
      <c r="Y66" s="161">
        <f t="shared" ref="Y66:Y129" si="9">IF(W66&lt;=0,W66,0)</f>
        <v>-2500</v>
      </c>
      <c r="Z66" s="161">
        <v>5000</v>
      </c>
      <c r="AA66" s="161">
        <f t="shared" ref="AA66:AA129" si="10">+Y66+Z66</f>
        <v>2500</v>
      </c>
      <c r="AB66" s="161">
        <f t="shared" ref="AB66:AB129" si="11">+O66-X66+Z66+AA66</f>
        <v>7500</v>
      </c>
      <c r="AC66" s="158"/>
      <c r="AD66" s="158"/>
    </row>
    <row r="67" spans="1:30" ht="12.75" customHeight="1" x14ac:dyDescent="0.3">
      <c r="A67" s="147">
        <v>5</v>
      </c>
      <c r="B67" s="158" t="s">
        <v>886</v>
      </c>
      <c r="C67" s="158" t="s">
        <v>183</v>
      </c>
      <c r="D67" s="158" t="s">
        <v>887</v>
      </c>
      <c r="E67" s="160" t="s">
        <v>25</v>
      </c>
      <c r="F67" s="160" t="s">
        <v>25</v>
      </c>
      <c r="G67" s="160" t="s">
        <v>866</v>
      </c>
      <c r="H67" s="161">
        <v>4292.37</v>
      </c>
      <c r="I67" s="161">
        <v>0</v>
      </c>
      <c r="J67" s="161">
        <v>0</v>
      </c>
      <c r="K67" s="161">
        <v>0</v>
      </c>
      <c r="L67" s="161">
        <v>-1767.76</v>
      </c>
      <c r="M67" s="162">
        <v>-35</v>
      </c>
      <c r="N67" s="161">
        <v>-55.000000000000455</v>
      </c>
      <c r="O67" s="162">
        <f t="shared" si="6"/>
        <v>2434.6099999999992</v>
      </c>
      <c r="P67" s="161">
        <v>-2500</v>
      </c>
      <c r="Q67" s="161">
        <v>0</v>
      </c>
      <c r="R67" s="161">
        <v>-25</v>
      </c>
      <c r="S67" s="161">
        <v>0</v>
      </c>
      <c r="T67" s="161">
        <v>0</v>
      </c>
      <c r="U67" s="161">
        <v>0</v>
      </c>
      <c r="V67" s="161">
        <v>0</v>
      </c>
      <c r="W67" s="161">
        <f t="shared" si="7"/>
        <v>-90.390000000000782</v>
      </c>
      <c r="X67" s="161">
        <f t="shared" si="8"/>
        <v>0</v>
      </c>
      <c r="Y67" s="161">
        <f t="shared" si="9"/>
        <v>-90.390000000000782</v>
      </c>
      <c r="Z67" s="161">
        <v>0</v>
      </c>
      <c r="AA67" s="161">
        <f t="shared" si="10"/>
        <v>-90.390000000000782</v>
      </c>
      <c r="AB67" s="161">
        <f t="shared" si="11"/>
        <v>2344.2199999999984</v>
      </c>
      <c r="AC67" s="158" t="s">
        <v>902</v>
      </c>
      <c r="AD67" s="158"/>
    </row>
    <row r="68" spans="1:30" ht="12.75" customHeight="1" x14ac:dyDescent="0.3">
      <c r="A68" s="147">
        <v>5</v>
      </c>
      <c r="B68" s="160" t="s">
        <v>888</v>
      </c>
      <c r="C68" s="158" t="s">
        <v>409</v>
      </c>
      <c r="D68" s="163" t="s">
        <v>889</v>
      </c>
      <c r="E68" s="160" t="s">
        <v>25</v>
      </c>
      <c r="F68" s="160" t="s">
        <v>25</v>
      </c>
      <c r="G68" s="160" t="s">
        <v>866</v>
      </c>
      <c r="H68" s="161">
        <v>8172.09</v>
      </c>
      <c r="I68" s="161">
        <v>206.4</v>
      </c>
      <c r="J68" s="161">
        <v>0</v>
      </c>
      <c r="K68" s="161">
        <v>0</v>
      </c>
      <c r="L68" s="161">
        <v>-1598.72</v>
      </c>
      <c r="M68" s="162">
        <v>-95</v>
      </c>
      <c r="N68" s="161">
        <v>-15.100000000004911</v>
      </c>
      <c r="O68" s="162">
        <f t="shared" si="6"/>
        <v>6669.6699999999946</v>
      </c>
      <c r="P68" s="161">
        <v>-2500</v>
      </c>
      <c r="Q68" s="161">
        <v>0</v>
      </c>
      <c r="R68" s="161">
        <v>0</v>
      </c>
      <c r="S68" s="161">
        <v>-500</v>
      </c>
      <c r="T68" s="161">
        <v>0</v>
      </c>
      <c r="U68" s="161">
        <v>0</v>
      </c>
      <c r="V68" s="161">
        <v>0</v>
      </c>
      <c r="W68" s="161">
        <f t="shared" si="7"/>
        <v>3669.6699999999946</v>
      </c>
      <c r="X68" s="161">
        <f t="shared" si="8"/>
        <v>3669.6699999999946</v>
      </c>
      <c r="Y68" s="161">
        <f t="shared" si="9"/>
        <v>0</v>
      </c>
      <c r="Z68" s="161">
        <v>0</v>
      </c>
      <c r="AA68" s="161">
        <f t="shared" si="10"/>
        <v>0</v>
      </c>
      <c r="AB68" s="161">
        <f t="shared" si="11"/>
        <v>3000</v>
      </c>
      <c r="AC68" s="158"/>
      <c r="AD68" s="158"/>
    </row>
    <row r="69" spans="1:30" ht="12.75" customHeight="1" x14ac:dyDescent="0.3">
      <c r="A69" s="147">
        <v>5</v>
      </c>
      <c r="B69" s="158" t="s">
        <v>894</v>
      </c>
      <c r="C69" s="158" t="s">
        <v>59</v>
      </c>
      <c r="D69" s="163" t="s">
        <v>895</v>
      </c>
      <c r="E69" s="160" t="s">
        <v>25</v>
      </c>
      <c r="F69" s="160" t="s">
        <v>25</v>
      </c>
      <c r="G69" s="160" t="s">
        <v>866</v>
      </c>
      <c r="H69" s="161">
        <v>5850.36</v>
      </c>
      <c r="I69" s="161">
        <v>120</v>
      </c>
      <c r="J69" s="161">
        <v>0</v>
      </c>
      <c r="K69" s="161">
        <v>0</v>
      </c>
      <c r="L69" s="161">
        <v>-2290.38</v>
      </c>
      <c r="M69" s="162">
        <v>-49</v>
      </c>
      <c r="N69" s="161">
        <v>-68</v>
      </c>
      <c r="O69" s="162">
        <f t="shared" si="6"/>
        <v>3562.9799999999996</v>
      </c>
      <c r="P69" s="161">
        <v>-2500</v>
      </c>
      <c r="Q69" s="161">
        <v>465</v>
      </c>
      <c r="R69" s="161">
        <v>-500</v>
      </c>
      <c r="S69" s="161">
        <v>0</v>
      </c>
      <c r="T69" s="161">
        <v>0</v>
      </c>
      <c r="U69" s="161">
        <v>0</v>
      </c>
      <c r="V69" s="161">
        <v>0</v>
      </c>
      <c r="W69" s="161">
        <f t="shared" si="7"/>
        <v>1027.9799999999996</v>
      </c>
      <c r="X69" s="161">
        <f t="shared" si="8"/>
        <v>1027.9799999999996</v>
      </c>
      <c r="Y69" s="161">
        <f t="shared" si="9"/>
        <v>0</v>
      </c>
      <c r="Z69" s="161">
        <v>0</v>
      </c>
      <c r="AA69" s="161">
        <f t="shared" si="10"/>
        <v>0</v>
      </c>
      <c r="AB69" s="161">
        <f t="shared" si="11"/>
        <v>2535</v>
      </c>
      <c r="AC69" s="158" t="s">
        <v>374</v>
      </c>
      <c r="AD69" s="158"/>
    </row>
    <row r="70" spans="1:30" ht="12.75" customHeight="1" x14ac:dyDescent="0.3">
      <c r="A70" s="147">
        <v>5</v>
      </c>
      <c r="B70" s="158" t="s">
        <v>890</v>
      </c>
      <c r="C70" s="160" t="s">
        <v>426</v>
      </c>
      <c r="D70" s="163" t="s">
        <v>903</v>
      </c>
      <c r="E70" s="160" t="s">
        <v>25</v>
      </c>
      <c r="F70" s="160" t="s">
        <v>25</v>
      </c>
      <c r="G70" s="160" t="s">
        <v>866</v>
      </c>
      <c r="H70" s="161">
        <v>4096.6400000000003</v>
      </c>
      <c r="I70" s="161">
        <v>0</v>
      </c>
      <c r="J70" s="161">
        <v>0</v>
      </c>
      <c r="K70" s="161">
        <v>0</v>
      </c>
      <c r="L70" s="161">
        <v>-1452.54</v>
      </c>
      <c r="M70" s="162">
        <v>-45</v>
      </c>
      <c r="N70" s="161">
        <v>-91.000000000000455</v>
      </c>
      <c r="O70" s="162">
        <f t="shared" si="6"/>
        <v>2508.1</v>
      </c>
      <c r="P70" s="161">
        <v>-1964.2857142857135</v>
      </c>
      <c r="Q70" s="161">
        <v>0</v>
      </c>
      <c r="R70" s="161">
        <v>0</v>
      </c>
      <c r="S70" s="161">
        <v>-300</v>
      </c>
      <c r="T70" s="161">
        <v>0</v>
      </c>
      <c r="U70" s="161">
        <v>0</v>
      </c>
      <c r="V70" s="161">
        <v>0</v>
      </c>
      <c r="W70" s="161">
        <f t="shared" si="7"/>
        <v>243.81428571428614</v>
      </c>
      <c r="X70" s="161">
        <f t="shared" si="8"/>
        <v>243.81428571428614</v>
      </c>
      <c r="Y70" s="161">
        <f t="shared" si="9"/>
        <v>0</v>
      </c>
      <c r="Z70" s="161">
        <v>0</v>
      </c>
      <c r="AA70" s="161">
        <f t="shared" si="10"/>
        <v>0</v>
      </c>
      <c r="AB70" s="161">
        <f t="shared" si="11"/>
        <v>2264.2857142857138</v>
      </c>
      <c r="AC70" s="158"/>
      <c r="AD70" s="158"/>
    </row>
    <row r="71" spans="1:30" ht="12.75" customHeight="1" x14ac:dyDescent="0.3">
      <c r="A71" s="147">
        <v>5</v>
      </c>
      <c r="B71" s="158" t="s">
        <v>872</v>
      </c>
      <c r="C71" s="158" t="s">
        <v>36</v>
      </c>
      <c r="D71" s="163" t="s">
        <v>904</v>
      </c>
      <c r="E71" s="160" t="s">
        <v>25</v>
      </c>
      <c r="F71" s="160" t="s">
        <v>25</v>
      </c>
      <c r="G71" s="160" t="s">
        <v>866</v>
      </c>
      <c r="H71" s="161">
        <v>10628.31</v>
      </c>
      <c r="I71" s="161">
        <v>223.2</v>
      </c>
      <c r="J71" s="161">
        <v>0</v>
      </c>
      <c r="K71" s="161">
        <v>0</v>
      </c>
      <c r="L71" s="161">
        <v>-4537.2700000000004</v>
      </c>
      <c r="M71" s="162">
        <v>-90</v>
      </c>
      <c r="N71" s="161">
        <v>-328.97000000000025</v>
      </c>
      <c r="O71" s="162">
        <f t="shared" si="6"/>
        <v>5895.2699999999995</v>
      </c>
      <c r="P71" s="161">
        <v>-2500</v>
      </c>
      <c r="Q71" s="161">
        <v>0</v>
      </c>
      <c r="R71" s="161">
        <v>0</v>
      </c>
      <c r="S71" s="161">
        <v>0</v>
      </c>
      <c r="T71" s="161">
        <v>-500</v>
      </c>
      <c r="U71" s="161">
        <v>0</v>
      </c>
      <c r="V71" s="161">
        <v>0</v>
      </c>
      <c r="W71" s="161">
        <f t="shared" si="7"/>
        <v>2895.2699999999995</v>
      </c>
      <c r="X71" s="161">
        <f t="shared" si="8"/>
        <v>2895.2699999999995</v>
      </c>
      <c r="Y71" s="161">
        <f t="shared" si="9"/>
        <v>0</v>
      </c>
      <c r="Z71" s="161">
        <v>0</v>
      </c>
      <c r="AA71" s="161">
        <f t="shared" si="10"/>
        <v>0</v>
      </c>
      <c r="AB71" s="161">
        <f t="shared" si="11"/>
        <v>3000</v>
      </c>
      <c r="AC71" s="158"/>
      <c r="AD71" s="158"/>
    </row>
    <row r="72" spans="1:30" ht="12.75" customHeight="1" x14ac:dyDescent="0.3">
      <c r="A72" s="147">
        <v>5</v>
      </c>
      <c r="B72" s="158" t="s">
        <v>876</v>
      </c>
      <c r="C72" s="158" t="s">
        <v>150</v>
      </c>
      <c r="D72" s="163" t="s">
        <v>877</v>
      </c>
      <c r="E72" s="160" t="s">
        <v>25</v>
      </c>
      <c r="F72" s="160" t="s">
        <v>25</v>
      </c>
      <c r="G72" s="160" t="s">
        <v>866</v>
      </c>
      <c r="H72" s="161">
        <v>5033.08</v>
      </c>
      <c r="I72" s="161">
        <v>0</v>
      </c>
      <c r="J72" s="161">
        <v>0</v>
      </c>
      <c r="K72" s="161">
        <v>0</v>
      </c>
      <c r="L72" s="161">
        <v>-1722.51</v>
      </c>
      <c r="M72" s="162">
        <v>-58.83</v>
      </c>
      <c r="N72" s="161">
        <v>0</v>
      </c>
      <c r="O72" s="162">
        <f t="shared" si="6"/>
        <v>3251.74</v>
      </c>
      <c r="P72" s="161">
        <v>-2500</v>
      </c>
      <c r="Q72" s="161">
        <v>-420</v>
      </c>
      <c r="R72" s="161">
        <v>0</v>
      </c>
      <c r="S72" s="161">
        <v>0</v>
      </c>
      <c r="T72" s="161">
        <v>0</v>
      </c>
      <c r="U72" s="161">
        <v>0</v>
      </c>
      <c r="V72" s="161">
        <v>0</v>
      </c>
      <c r="W72" s="161">
        <f t="shared" si="7"/>
        <v>331.73999999999978</v>
      </c>
      <c r="X72" s="161">
        <f t="shared" si="8"/>
        <v>331.73999999999978</v>
      </c>
      <c r="Y72" s="161">
        <f t="shared" si="9"/>
        <v>0</v>
      </c>
      <c r="Z72" s="161">
        <v>0</v>
      </c>
      <c r="AA72" s="161">
        <f t="shared" si="10"/>
        <v>0</v>
      </c>
      <c r="AB72" s="161">
        <f t="shared" si="11"/>
        <v>2920</v>
      </c>
      <c r="AC72" s="158" t="s">
        <v>374</v>
      </c>
      <c r="AD72" s="158"/>
    </row>
    <row r="73" spans="1:30" ht="12.75" customHeight="1" x14ac:dyDescent="0.3">
      <c r="A73" s="147">
        <v>5</v>
      </c>
      <c r="B73" s="158" t="s">
        <v>484</v>
      </c>
      <c r="C73" s="158" t="s">
        <v>123</v>
      </c>
      <c r="D73" s="163" t="s">
        <v>892</v>
      </c>
      <c r="E73" s="160" t="s">
        <v>871</v>
      </c>
      <c r="F73" s="160" t="s">
        <v>25</v>
      </c>
      <c r="G73" s="160" t="s">
        <v>866</v>
      </c>
      <c r="H73" s="161">
        <v>6762.66</v>
      </c>
      <c r="I73" s="161">
        <v>100</v>
      </c>
      <c r="J73" s="161">
        <v>0</v>
      </c>
      <c r="K73" s="161">
        <v>0</v>
      </c>
      <c r="L73" s="161">
        <v>-4033.67</v>
      </c>
      <c r="M73" s="162">
        <v>-48</v>
      </c>
      <c r="N73" s="161">
        <v>0</v>
      </c>
      <c r="O73" s="162">
        <f t="shared" si="6"/>
        <v>2780.99</v>
      </c>
      <c r="P73" s="161">
        <v>-2500</v>
      </c>
      <c r="Q73" s="161">
        <v>28</v>
      </c>
      <c r="R73" s="161">
        <v>0</v>
      </c>
      <c r="S73" s="161">
        <v>0</v>
      </c>
      <c r="T73" s="161">
        <v>0</v>
      </c>
      <c r="U73" s="161">
        <v>0</v>
      </c>
      <c r="V73" s="161">
        <v>0</v>
      </c>
      <c r="W73" s="161">
        <f t="shared" si="7"/>
        <v>308.98999999999978</v>
      </c>
      <c r="X73" s="161">
        <f t="shared" si="8"/>
        <v>308.98999999999978</v>
      </c>
      <c r="Y73" s="161">
        <f t="shared" si="9"/>
        <v>0</v>
      </c>
      <c r="Z73" s="161">
        <v>0</v>
      </c>
      <c r="AA73" s="161">
        <f t="shared" si="10"/>
        <v>0</v>
      </c>
      <c r="AB73" s="161">
        <f t="shared" si="11"/>
        <v>2472</v>
      </c>
      <c r="AC73" s="158" t="s">
        <v>905</v>
      </c>
      <c r="AD73" s="158"/>
    </row>
    <row r="74" spans="1:30" ht="12.75" customHeight="1" x14ac:dyDescent="0.3">
      <c r="A74" s="147">
        <v>5</v>
      </c>
      <c r="B74" s="158" t="s">
        <v>408</v>
      </c>
      <c r="C74" s="158" t="s">
        <v>878</v>
      </c>
      <c r="D74" s="158" t="s">
        <v>879</v>
      </c>
      <c r="E74" s="160" t="s">
        <v>25</v>
      </c>
      <c r="F74" s="160" t="s">
        <v>25</v>
      </c>
      <c r="G74" s="160" t="s">
        <v>866</v>
      </c>
      <c r="H74" s="161">
        <v>4727.71</v>
      </c>
      <c r="I74" s="161">
        <v>0</v>
      </c>
      <c r="J74" s="161">
        <v>0</v>
      </c>
      <c r="K74" s="161">
        <v>0</v>
      </c>
      <c r="L74" s="161">
        <v>-1513.29</v>
      </c>
      <c r="M74" s="162">
        <v>-55</v>
      </c>
      <c r="N74" s="161">
        <v>0</v>
      </c>
      <c r="O74" s="162">
        <f t="shared" si="6"/>
        <v>3159.42</v>
      </c>
      <c r="P74" s="161">
        <v>-2500</v>
      </c>
      <c r="Q74" s="161">
        <v>0</v>
      </c>
      <c r="R74" s="161">
        <v>-500</v>
      </c>
      <c r="S74" s="161">
        <v>0</v>
      </c>
      <c r="T74" s="161">
        <v>0</v>
      </c>
      <c r="U74" s="161">
        <v>0</v>
      </c>
      <c r="V74" s="161">
        <v>0</v>
      </c>
      <c r="W74" s="161">
        <f t="shared" si="7"/>
        <v>159.42000000000007</v>
      </c>
      <c r="X74" s="161">
        <f t="shared" si="8"/>
        <v>159.42000000000007</v>
      </c>
      <c r="Y74" s="161">
        <f t="shared" si="9"/>
        <v>0</v>
      </c>
      <c r="Z74" s="161">
        <v>0</v>
      </c>
      <c r="AA74" s="161">
        <f t="shared" si="10"/>
        <v>0</v>
      </c>
      <c r="AB74" s="161">
        <f t="shared" si="11"/>
        <v>3000</v>
      </c>
      <c r="AC74" s="158" t="s">
        <v>906</v>
      </c>
      <c r="AD74" s="158"/>
    </row>
    <row r="75" spans="1:30" ht="12.75" customHeight="1" x14ac:dyDescent="0.3">
      <c r="A75" s="147">
        <v>5</v>
      </c>
      <c r="B75" s="160" t="s">
        <v>896</v>
      </c>
      <c r="C75" s="158" t="s">
        <v>347</v>
      </c>
      <c r="D75" s="158" t="s">
        <v>897</v>
      </c>
      <c r="E75" s="160" t="s">
        <v>25</v>
      </c>
      <c r="F75" s="160" t="s">
        <v>865</v>
      </c>
      <c r="G75" s="160" t="s">
        <v>866</v>
      </c>
      <c r="H75" s="164">
        <v>6000.31</v>
      </c>
      <c r="I75" s="161">
        <v>0</v>
      </c>
      <c r="J75" s="161">
        <v>0</v>
      </c>
      <c r="K75" s="161">
        <v>0</v>
      </c>
      <c r="L75" s="164">
        <v>-3123.9</v>
      </c>
      <c r="M75" s="162">
        <v>0</v>
      </c>
      <c r="N75" s="161">
        <v>-43</v>
      </c>
      <c r="O75" s="162">
        <f t="shared" si="6"/>
        <v>2833.4100000000003</v>
      </c>
      <c r="P75" s="161">
        <v>-2500</v>
      </c>
      <c r="Q75" s="161">
        <v>0</v>
      </c>
      <c r="R75" s="161">
        <v>-500</v>
      </c>
      <c r="S75" s="161">
        <v>0</v>
      </c>
      <c r="T75" s="161">
        <v>0</v>
      </c>
      <c r="U75" s="161">
        <v>0</v>
      </c>
      <c r="V75" s="161">
        <v>0</v>
      </c>
      <c r="W75" s="161">
        <f t="shared" si="7"/>
        <v>-166.58999999999969</v>
      </c>
      <c r="X75" s="161">
        <f t="shared" si="8"/>
        <v>0</v>
      </c>
      <c r="Y75" s="161">
        <f t="shared" si="9"/>
        <v>-166.58999999999969</v>
      </c>
      <c r="Z75" s="161">
        <v>0</v>
      </c>
      <c r="AA75" s="161">
        <f t="shared" si="10"/>
        <v>-166.58999999999969</v>
      </c>
      <c r="AB75" s="161">
        <f t="shared" si="11"/>
        <v>2666.8200000000006</v>
      </c>
      <c r="AC75" s="158"/>
      <c r="AD75" s="158"/>
    </row>
    <row r="76" spans="1:30" ht="12.75" customHeight="1" x14ac:dyDescent="0.3">
      <c r="A76" s="147">
        <v>5</v>
      </c>
      <c r="B76" s="158" t="s">
        <v>880</v>
      </c>
      <c r="C76" s="158" t="s">
        <v>57</v>
      </c>
      <c r="D76" s="163" t="s">
        <v>881</v>
      </c>
      <c r="E76" s="160" t="s">
        <v>25</v>
      </c>
      <c r="F76" s="160" t="s">
        <v>25</v>
      </c>
      <c r="G76" s="160" t="s">
        <v>866</v>
      </c>
      <c r="H76" s="161">
        <v>3945.89</v>
      </c>
      <c r="I76" s="161">
        <v>24</v>
      </c>
      <c r="J76" s="161">
        <v>0</v>
      </c>
      <c r="K76" s="161">
        <v>0</v>
      </c>
      <c r="L76" s="161">
        <v>-1941.72</v>
      </c>
      <c r="M76" s="162">
        <v>-30</v>
      </c>
      <c r="N76" s="161">
        <v>-4.9700000000000273</v>
      </c>
      <c r="O76" s="162">
        <f t="shared" si="6"/>
        <v>1993.1999999999998</v>
      </c>
      <c r="P76" s="161">
        <v>-2300</v>
      </c>
      <c r="Q76" s="161">
        <v>0</v>
      </c>
      <c r="R76" s="161">
        <v>0</v>
      </c>
      <c r="S76" s="161">
        <v>-500</v>
      </c>
      <c r="T76" s="161">
        <v>0</v>
      </c>
      <c r="U76" s="161">
        <v>0</v>
      </c>
      <c r="V76" s="161">
        <v>0</v>
      </c>
      <c r="W76" s="161">
        <f t="shared" si="7"/>
        <v>-806.80000000000018</v>
      </c>
      <c r="X76" s="161">
        <f t="shared" si="8"/>
        <v>0</v>
      </c>
      <c r="Y76" s="161">
        <f t="shared" si="9"/>
        <v>-806.80000000000018</v>
      </c>
      <c r="Z76" s="161">
        <v>0</v>
      </c>
      <c r="AA76" s="161">
        <f t="shared" si="10"/>
        <v>-806.80000000000018</v>
      </c>
      <c r="AB76" s="161">
        <f t="shared" si="11"/>
        <v>1186.3999999999996</v>
      </c>
      <c r="AC76" s="158" t="s">
        <v>907</v>
      </c>
      <c r="AD76" s="158"/>
    </row>
    <row r="77" spans="1:30" ht="12.75" customHeight="1" x14ac:dyDescent="0.3">
      <c r="A77" s="147">
        <v>5</v>
      </c>
      <c r="B77" s="160" t="s">
        <v>901</v>
      </c>
      <c r="C77" s="158" t="s">
        <v>195</v>
      </c>
      <c r="D77" s="158" t="s">
        <v>20</v>
      </c>
      <c r="E77" s="160" t="s">
        <v>871</v>
      </c>
      <c r="F77" s="160" t="s">
        <v>25</v>
      </c>
      <c r="G77" s="160" t="s">
        <v>866</v>
      </c>
      <c r="H77" s="161">
        <v>0</v>
      </c>
      <c r="I77" s="161">
        <v>0</v>
      </c>
      <c r="J77" s="161">
        <v>0</v>
      </c>
      <c r="K77" s="161">
        <v>0</v>
      </c>
      <c r="L77" s="161">
        <v>0</v>
      </c>
      <c r="M77" s="162">
        <v>0</v>
      </c>
      <c r="N77" s="161">
        <v>0</v>
      </c>
      <c r="O77" s="162">
        <f t="shared" si="6"/>
        <v>0</v>
      </c>
      <c r="P77" s="161">
        <v>0</v>
      </c>
      <c r="Q77" s="161">
        <v>0</v>
      </c>
      <c r="R77" s="161">
        <v>0</v>
      </c>
      <c r="S77" s="161">
        <v>0</v>
      </c>
      <c r="T77" s="161">
        <v>0</v>
      </c>
      <c r="U77" s="161">
        <v>0</v>
      </c>
      <c r="V77" s="161">
        <v>0</v>
      </c>
      <c r="W77" s="161">
        <f t="shared" si="7"/>
        <v>0</v>
      </c>
      <c r="X77" s="161">
        <f t="shared" si="8"/>
        <v>0</v>
      </c>
      <c r="Y77" s="161">
        <f t="shared" si="9"/>
        <v>0</v>
      </c>
      <c r="Z77" s="161">
        <v>0</v>
      </c>
      <c r="AA77" s="161">
        <f t="shared" si="10"/>
        <v>0</v>
      </c>
      <c r="AB77" s="161">
        <f t="shared" si="11"/>
        <v>0</v>
      </c>
      <c r="AC77" s="158"/>
      <c r="AD77" s="158"/>
    </row>
    <row r="78" spans="1:30" ht="12.75" customHeight="1" x14ac:dyDescent="0.3">
      <c r="A78" s="147">
        <v>5</v>
      </c>
      <c r="B78" s="158" t="s">
        <v>882</v>
      </c>
      <c r="C78" s="158" t="s">
        <v>120</v>
      </c>
      <c r="D78" s="163" t="s">
        <v>883</v>
      </c>
      <c r="E78" s="160" t="s">
        <v>25</v>
      </c>
      <c r="F78" s="160" t="s">
        <v>865</v>
      </c>
      <c r="G78" s="160" t="s">
        <v>866</v>
      </c>
      <c r="H78" s="165">
        <v>6031.51</v>
      </c>
      <c r="I78" s="161">
        <v>63.2</v>
      </c>
      <c r="J78" s="161">
        <v>0</v>
      </c>
      <c r="K78" s="161">
        <v>0</v>
      </c>
      <c r="L78" s="164">
        <v>-2551.25</v>
      </c>
      <c r="M78" s="162">
        <v>0</v>
      </c>
      <c r="N78" s="161">
        <v>-381.72</v>
      </c>
      <c r="O78" s="162">
        <f t="shared" si="6"/>
        <v>3161.74</v>
      </c>
      <c r="P78" s="161">
        <v>-2500</v>
      </c>
      <c r="Q78" s="161">
        <v>0</v>
      </c>
      <c r="R78" s="161">
        <v>0</v>
      </c>
      <c r="S78" s="161">
        <v>0</v>
      </c>
      <c r="T78" s="161">
        <v>0</v>
      </c>
      <c r="U78" s="161">
        <v>0</v>
      </c>
      <c r="V78" s="161">
        <v>0</v>
      </c>
      <c r="W78" s="161">
        <f t="shared" si="7"/>
        <v>661.73999999999978</v>
      </c>
      <c r="X78" s="161">
        <f t="shared" si="8"/>
        <v>661.73999999999978</v>
      </c>
      <c r="Y78" s="161">
        <f t="shared" si="9"/>
        <v>0</v>
      </c>
      <c r="Z78" s="161">
        <v>0</v>
      </c>
      <c r="AA78" s="161">
        <f t="shared" si="10"/>
        <v>0</v>
      </c>
      <c r="AB78" s="161">
        <f t="shared" si="11"/>
        <v>2500</v>
      </c>
      <c r="AC78" s="158"/>
      <c r="AD78" s="158"/>
    </row>
    <row r="79" spans="1:30" ht="12.75" customHeight="1" x14ac:dyDescent="0.3">
      <c r="A79" s="147">
        <v>6</v>
      </c>
      <c r="B79" s="158" t="s">
        <v>585</v>
      </c>
      <c r="C79" s="158" t="s">
        <v>863</v>
      </c>
      <c r="D79" s="163" t="s">
        <v>864</v>
      </c>
      <c r="E79" s="160" t="s">
        <v>25</v>
      </c>
      <c r="F79" s="160" t="s">
        <v>865</v>
      </c>
      <c r="G79" s="160" t="s">
        <v>866</v>
      </c>
      <c r="H79" s="161">
        <v>0</v>
      </c>
      <c r="I79" s="161">
        <v>0</v>
      </c>
      <c r="J79" s="161">
        <v>0</v>
      </c>
      <c r="K79" s="161">
        <v>0</v>
      </c>
      <c r="L79" s="161">
        <v>0</v>
      </c>
      <c r="M79" s="162">
        <v>0</v>
      </c>
      <c r="N79" s="161">
        <v>0</v>
      </c>
      <c r="O79" s="162">
        <f t="shared" si="6"/>
        <v>0</v>
      </c>
      <c r="P79" s="161">
        <v>-2500</v>
      </c>
      <c r="Q79" s="161">
        <v>0</v>
      </c>
      <c r="R79" s="161">
        <v>0</v>
      </c>
      <c r="S79" s="166">
        <v>0</v>
      </c>
      <c r="T79" s="161">
        <v>0</v>
      </c>
      <c r="U79" s="161">
        <v>0</v>
      </c>
      <c r="V79" s="161">
        <v>0</v>
      </c>
      <c r="W79" s="161">
        <f t="shared" si="7"/>
        <v>-2500</v>
      </c>
      <c r="X79" s="161">
        <f t="shared" si="8"/>
        <v>0</v>
      </c>
      <c r="Y79" s="161">
        <f t="shared" si="9"/>
        <v>-2500</v>
      </c>
      <c r="Z79" s="161">
        <v>2500</v>
      </c>
      <c r="AA79" s="161">
        <f t="shared" si="10"/>
        <v>0</v>
      </c>
      <c r="AB79" s="161">
        <f t="shared" si="11"/>
        <v>2500</v>
      </c>
      <c r="AC79" s="158" t="s">
        <v>908</v>
      </c>
      <c r="AD79" s="158"/>
    </row>
    <row r="80" spans="1:30" ht="12.75" customHeight="1" x14ac:dyDescent="0.3">
      <c r="A80" s="147">
        <v>6</v>
      </c>
      <c r="B80" s="158" t="s">
        <v>868</v>
      </c>
      <c r="C80" s="158" t="s">
        <v>68</v>
      </c>
      <c r="D80" s="163" t="s">
        <v>869</v>
      </c>
      <c r="E80" s="160" t="s">
        <v>25</v>
      </c>
      <c r="F80" s="160" t="s">
        <v>865</v>
      </c>
      <c r="G80" s="160" t="s">
        <v>866</v>
      </c>
      <c r="H80" s="161">
        <v>0</v>
      </c>
      <c r="I80" s="161">
        <v>0</v>
      </c>
      <c r="J80" s="161">
        <v>0</v>
      </c>
      <c r="K80" s="161">
        <v>0</v>
      </c>
      <c r="L80" s="161">
        <v>0</v>
      </c>
      <c r="M80" s="162">
        <v>0</v>
      </c>
      <c r="N80" s="161">
        <v>0</v>
      </c>
      <c r="O80" s="162">
        <f t="shared" si="6"/>
        <v>0</v>
      </c>
      <c r="P80" s="161">
        <v>-2500</v>
      </c>
      <c r="Q80" s="161">
        <v>0</v>
      </c>
      <c r="R80" s="161">
        <v>0</v>
      </c>
      <c r="S80" s="161">
        <v>0</v>
      </c>
      <c r="T80" s="161">
        <v>0</v>
      </c>
      <c r="U80" s="161">
        <v>0</v>
      </c>
      <c r="V80" s="161">
        <v>0</v>
      </c>
      <c r="W80" s="161">
        <f t="shared" si="7"/>
        <v>-2500</v>
      </c>
      <c r="X80" s="161">
        <f t="shared" si="8"/>
        <v>0</v>
      </c>
      <c r="Y80" s="161">
        <f t="shared" si="9"/>
        <v>-2500</v>
      </c>
      <c r="Z80" s="161">
        <v>2500</v>
      </c>
      <c r="AA80" s="161">
        <f t="shared" si="10"/>
        <v>0</v>
      </c>
      <c r="AB80" s="161">
        <f t="shared" si="11"/>
        <v>2500</v>
      </c>
      <c r="AC80" s="158" t="s">
        <v>325</v>
      </c>
      <c r="AD80" s="158"/>
    </row>
    <row r="81" spans="1:30" ht="12.75" customHeight="1" x14ac:dyDescent="0.3">
      <c r="A81" s="147">
        <v>6</v>
      </c>
      <c r="B81" s="158" t="s">
        <v>886</v>
      </c>
      <c r="C81" s="158" t="s">
        <v>183</v>
      </c>
      <c r="D81" s="158" t="s">
        <v>887</v>
      </c>
      <c r="E81" s="160" t="s">
        <v>25</v>
      </c>
      <c r="F81" s="160" t="s">
        <v>25</v>
      </c>
      <c r="G81" s="160" t="s">
        <v>866</v>
      </c>
      <c r="H81" s="161">
        <v>4542.3100000000004</v>
      </c>
      <c r="I81" s="161">
        <v>0</v>
      </c>
      <c r="J81" s="161">
        <v>0</v>
      </c>
      <c r="K81" s="161">
        <v>0</v>
      </c>
      <c r="L81" s="161">
        <v>-2505.7399999999998</v>
      </c>
      <c r="M81" s="162">
        <v>0</v>
      </c>
      <c r="N81" s="161">
        <v>0</v>
      </c>
      <c r="O81" s="162">
        <f t="shared" si="6"/>
        <v>2036.5700000000006</v>
      </c>
      <c r="P81" s="161">
        <v>-2500</v>
      </c>
      <c r="Q81" s="161">
        <v>0</v>
      </c>
      <c r="R81" s="161">
        <v>0</v>
      </c>
      <c r="S81" s="161">
        <v>0</v>
      </c>
      <c r="T81" s="161">
        <v>0</v>
      </c>
      <c r="U81" s="161">
        <v>0</v>
      </c>
      <c r="V81" s="161">
        <v>0</v>
      </c>
      <c r="W81" s="161">
        <f t="shared" si="7"/>
        <v>-463.42999999999938</v>
      </c>
      <c r="X81" s="161">
        <f t="shared" si="8"/>
        <v>0</v>
      </c>
      <c r="Y81" s="161">
        <f t="shared" si="9"/>
        <v>-463.42999999999938</v>
      </c>
      <c r="Z81" s="161">
        <v>0</v>
      </c>
      <c r="AA81" s="161">
        <f t="shared" si="10"/>
        <v>-463.42999999999938</v>
      </c>
      <c r="AB81" s="161">
        <f t="shared" si="11"/>
        <v>1573.1400000000012</v>
      </c>
      <c r="AC81" s="158"/>
      <c r="AD81" s="158"/>
    </row>
    <row r="82" spans="1:30" ht="12.75" customHeight="1" x14ac:dyDescent="0.3">
      <c r="A82" s="147">
        <v>6</v>
      </c>
      <c r="B82" s="160" t="s">
        <v>888</v>
      </c>
      <c r="C82" s="158" t="s">
        <v>409</v>
      </c>
      <c r="D82" s="163" t="s">
        <v>889</v>
      </c>
      <c r="E82" s="160" t="s">
        <v>25</v>
      </c>
      <c r="F82" s="160" t="s">
        <v>25</v>
      </c>
      <c r="G82" s="160" t="s">
        <v>866</v>
      </c>
      <c r="H82" s="161">
        <v>7372.52</v>
      </c>
      <c r="I82" s="161">
        <v>139.19999999999999</v>
      </c>
      <c r="J82" s="161">
        <v>0</v>
      </c>
      <c r="K82" s="161">
        <v>0</v>
      </c>
      <c r="L82" s="161">
        <v>-1389.35</v>
      </c>
      <c r="M82" s="162">
        <v>-96</v>
      </c>
      <c r="N82" s="161">
        <v>0</v>
      </c>
      <c r="O82" s="162">
        <f t="shared" si="6"/>
        <v>6026.3700000000008</v>
      </c>
      <c r="P82" s="161">
        <v>-2500</v>
      </c>
      <c r="Q82" s="161">
        <v>0</v>
      </c>
      <c r="R82" s="161">
        <v>0</v>
      </c>
      <c r="S82" s="166">
        <v>-343</v>
      </c>
      <c r="T82" s="161">
        <v>0</v>
      </c>
      <c r="U82" s="161">
        <v>0</v>
      </c>
      <c r="V82" s="161">
        <v>0</v>
      </c>
      <c r="W82" s="161">
        <f t="shared" si="7"/>
        <v>3183.3700000000008</v>
      </c>
      <c r="X82" s="161">
        <f t="shared" si="8"/>
        <v>3183.3700000000008</v>
      </c>
      <c r="Y82" s="161">
        <f t="shared" si="9"/>
        <v>0</v>
      </c>
      <c r="Z82" s="161">
        <v>0</v>
      </c>
      <c r="AA82" s="161">
        <f t="shared" si="10"/>
        <v>0</v>
      </c>
      <c r="AB82" s="161">
        <f t="shared" si="11"/>
        <v>2843</v>
      </c>
      <c r="AC82" s="158"/>
      <c r="AD82" s="158"/>
    </row>
    <row r="83" spans="1:30" ht="12.75" customHeight="1" x14ac:dyDescent="0.3">
      <c r="A83" s="147">
        <v>6</v>
      </c>
      <c r="B83" s="158" t="s">
        <v>894</v>
      </c>
      <c r="C83" s="158" t="s">
        <v>59</v>
      </c>
      <c r="D83" s="163" t="s">
        <v>895</v>
      </c>
      <c r="E83" s="160" t="s">
        <v>25</v>
      </c>
      <c r="F83" s="160" t="s">
        <v>25</v>
      </c>
      <c r="G83" s="160" t="s">
        <v>866</v>
      </c>
      <c r="H83" s="161">
        <v>3023.97</v>
      </c>
      <c r="I83" s="161">
        <v>0</v>
      </c>
      <c r="J83" s="161">
        <v>0</v>
      </c>
      <c r="K83" s="161">
        <v>0</v>
      </c>
      <c r="L83" s="161">
        <v>-588.19000000000005</v>
      </c>
      <c r="M83" s="162">
        <v>0</v>
      </c>
      <c r="N83" s="161">
        <v>0</v>
      </c>
      <c r="O83" s="162">
        <f t="shared" si="6"/>
        <v>2435.7799999999997</v>
      </c>
      <c r="P83" s="161">
        <v>-2500</v>
      </c>
      <c r="Q83" s="161">
        <v>0</v>
      </c>
      <c r="R83" s="161">
        <v>-500</v>
      </c>
      <c r="S83" s="161">
        <v>0</v>
      </c>
      <c r="T83" s="161">
        <v>0</v>
      </c>
      <c r="U83" s="161">
        <v>0</v>
      </c>
      <c r="V83" s="161">
        <v>0</v>
      </c>
      <c r="W83" s="161">
        <f t="shared" si="7"/>
        <v>-564.22000000000025</v>
      </c>
      <c r="X83" s="161">
        <f t="shared" si="8"/>
        <v>0</v>
      </c>
      <c r="Y83" s="161">
        <f t="shared" si="9"/>
        <v>-564.22000000000025</v>
      </c>
      <c r="Z83" s="161">
        <v>545</v>
      </c>
      <c r="AA83" s="161">
        <f t="shared" si="10"/>
        <v>-19.220000000000255</v>
      </c>
      <c r="AB83" s="161">
        <f t="shared" si="11"/>
        <v>2961.5599999999995</v>
      </c>
      <c r="AC83" s="158"/>
      <c r="AD83" s="158"/>
    </row>
    <row r="84" spans="1:30" ht="12.75" customHeight="1" x14ac:dyDescent="0.3">
      <c r="A84" s="147">
        <v>6</v>
      </c>
      <c r="B84" s="158" t="s">
        <v>890</v>
      </c>
      <c r="C84" s="160" t="s">
        <v>426</v>
      </c>
      <c r="D84" s="163" t="s">
        <v>903</v>
      </c>
      <c r="E84" s="160" t="s">
        <v>25</v>
      </c>
      <c r="F84" s="160" t="s">
        <v>25</v>
      </c>
      <c r="G84" s="160" t="s">
        <v>866</v>
      </c>
      <c r="H84" s="161">
        <v>4975.22</v>
      </c>
      <c r="I84" s="161">
        <v>0</v>
      </c>
      <c r="J84" s="161">
        <v>0</v>
      </c>
      <c r="K84" s="161">
        <v>0</v>
      </c>
      <c r="L84" s="161">
        <v>-1753.47</v>
      </c>
      <c r="M84" s="162">
        <v>-56</v>
      </c>
      <c r="N84" s="161">
        <v>0</v>
      </c>
      <c r="O84" s="162">
        <f t="shared" si="6"/>
        <v>3165.75</v>
      </c>
      <c r="P84" s="161">
        <v>-2500</v>
      </c>
      <c r="Q84" s="161">
        <v>0</v>
      </c>
      <c r="R84" s="161">
        <v>0</v>
      </c>
      <c r="S84" s="166">
        <v>-500</v>
      </c>
      <c r="T84" s="161">
        <v>0</v>
      </c>
      <c r="U84" s="161">
        <v>0</v>
      </c>
      <c r="V84" s="161">
        <v>0</v>
      </c>
      <c r="W84" s="161">
        <f t="shared" si="7"/>
        <v>165.75</v>
      </c>
      <c r="X84" s="161">
        <f t="shared" si="8"/>
        <v>165.75</v>
      </c>
      <c r="Y84" s="161">
        <f t="shared" si="9"/>
        <v>0</v>
      </c>
      <c r="Z84" s="161">
        <v>0</v>
      </c>
      <c r="AA84" s="161">
        <f t="shared" si="10"/>
        <v>0</v>
      </c>
      <c r="AB84" s="161">
        <f t="shared" si="11"/>
        <v>3000</v>
      </c>
      <c r="AC84" s="158"/>
      <c r="AD84" s="158"/>
    </row>
    <row r="85" spans="1:30" ht="12.75" customHeight="1" x14ac:dyDescent="0.3">
      <c r="A85" s="147">
        <v>6</v>
      </c>
      <c r="B85" s="158" t="s">
        <v>872</v>
      </c>
      <c r="C85" s="158" t="s">
        <v>36</v>
      </c>
      <c r="D85" s="163" t="s">
        <v>904</v>
      </c>
      <c r="E85" s="160" t="s">
        <v>25</v>
      </c>
      <c r="F85" s="160" t="s">
        <v>25</v>
      </c>
      <c r="G85" s="160" t="s">
        <v>866</v>
      </c>
      <c r="H85" s="161">
        <v>8889.43</v>
      </c>
      <c r="I85" s="161">
        <v>89.6</v>
      </c>
      <c r="J85" s="161">
        <v>-54</v>
      </c>
      <c r="K85" s="161">
        <v>0</v>
      </c>
      <c r="L85" s="161">
        <v>-4457.29</v>
      </c>
      <c r="M85" s="162">
        <v>-85</v>
      </c>
      <c r="N85" s="161">
        <v>-172.05</v>
      </c>
      <c r="O85" s="162">
        <f t="shared" si="6"/>
        <v>4210.6900000000005</v>
      </c>
      <c r="P85" s="161">
        <v>-2500</v>
      </c>
      <c r="Q85" s="161">
        <v>0</v>
      </c>
      <c r="R85" s="161">
        <v>0</v>
      </c>
      <c r="S85" s="166">
        <v>-500</v>
      </c>
      <c r="T85" s="161">
        <v>-65</v>
      </c>
      <c r="U85" s="161">
        <v>0</v>
      </c>
      <c r="V85" s="161">
        <v>0</v>
      </c>
      <c r="W85" s="161">
        <f t="shared" si="7"/>
        <v>1145.6900000000005</v>
      </c>
      <c r="X85" s="161">
        <f t="shared" si="8"/>
        <v>1145.6900000000005</v>
      </c>
      <c r="Y85" s="161">
        <f t="shared" si="9"/>
        <v>0</v>
      </c>
      <c r="Z85" s="161">
        <v>0</v>
      </c>
      <c r="AA85" s="161">
        <f t="shared" si="10"/>
        <v>0</v>
      </c>
      <c r="AB85" s="161">
        <f t="shared" si="11"/>
        <v>3065</v>
      </c>
      <c r="AC85" s="158"/>
      <c r="AD85" s="158"/>
    </row>
    <row r="86" spans="1:30" ht="12.75" customHeight="1" x14ac:dyDescent="0.3">
      <c r="A86" s="147">
        <v>6</v>
      </c>
      <c r="B86" s="158" t="s">
        <v>876</v>
      </c>
      <c r="C86" s="158" t="s">
        <v>150</v>
      </c>
      <c r="D86" s="163" t="s">
        <v>877</v>
      </c>
      <c r="E86" s="160" t="s">
        <v>25</v>
      </c>
      <c r="F86" s="160" t="s">
        <v>25</v>
      </c>
      <c r="G86" s="160" t="s">
        <v>866</v>
      </c>
      <c r="H86" s="161">
        <v>4661.12</v>
      </c>
      <c r="I86" s="161">
        <v>0</v>
      </c>
      <c r="J86" s="161">
        <v>0</v>
      </c>
      <c r="K86" s="161">
        <v>0</v>
      </c>
      <c r="L86" s="161">
        <v>-2350.13</v>
      </c>
      <c r="M86" s="162">
        <v>-45</v>
      </c>
      <c r="N86" s="161">
        <v>0</v>
      </c>
      <c r="O86" s="162">
        <f t="shared" si="6"/>
        <v>2265.9899999999998</v>
      </c>
      <c r="P86" s="161">
        <v>-2500</v>
      </c>
      <c r="Q86" s="161">
        <v>0</v>
      </c>
      <c r="R86" s="161">
        <v>0</v>
      </c>
      <c r="S86" s="161">
        <v>0</v>
      </c>
      <c r="T86" s="161">
        <v>0</v>
      </c>
      <c r="U86" s="161">
        <v>0</v>
      </c>
      <c r="V86" s="161">
        <v>0</v>
      </c>
      <c r="W86" s="161">
        <f t="shared" si="7"/>
        <v>-234.01000000000022</v>
      </c>
      <c r="X86" s="161">
        <f t="shared" si="8"/>
        <v>0</v>
      </c>
      <c r="Y86" s="161">
        <f t="shared" si="9"/>
        <v>-234.01000000000022</v>
      </c>
      <c r="Z86" s="161">
        <v>234</v>
      </c>
      <c r="AA86" s="161">
        <f t="shared" si="10"/>
        <v>-1.0000000000218279E-2</v>
      </c>
      <c r="AB86" s="161">
        <f t="shared" si="11"/>
        <v>2499.9799999999996</v>
      </c>
      <c r="AC86" s="158"/>
      <c r="AD86" s="158"/>
    </row>
    <row r="87" spans="1:30" ht="12.75" customHeight="1" x14ac:dyDescent="0.3">
      <c r="A87" s="147">
        <v>6</v>
      </c>
      <c r="B87" s="158" t="s">
        <v>484</v>
      </c>
      <c r="C87" s="158" t="s">
        <v>123</v>
      </c>
      <c r="D87" s="163" t="s">
        <v>892</v>
      </c>
      <c r="E87" s="160" t="s">
        <v>871</v>
      </c>
      <c r="F87" s="160" t="s">
        <v>25</v>
      </c>
      <c r="G87" s="160" t="s">
        <v>866</v>
      </c>
      <c r="H87" s="161">
        <v>6463.43</v>
      </c>
      <c r="I87" s="161">
        <v>117.60000000000001</v>
      </c>
      <c r="J87" s="161">
        <v>0</v>
      </c>
      <c r="K87" s="161">
        <v>0</v>
      </c>
      <c r="L87" s="161">
        <v>-3597.86</v>
      </c>
      <c r="M87" s="162">
        <v>-78</v>
      </c>
      <c r="N87" s="161">
        <v>0</v>
      </c>
      <c r="O87" s="162">
        <f t="shared" si="6"/>
        <v>2905.1700000000005</v>
      </c>
      <c r="P87" s="161">
        <v>-2500</v>
      </c>
      <c r="Q87" s="161">
        <v>9</v>
      </c>
      <c r="R87" s="161">
        <v>0</v>
      </c>
      <c r="S87" s="161">
        <v>0</v>
      </c>
      <c r="T87" s="161">
        <v>0</v>
      </c>
      <c r="U87" s="161">
        <v>0</v>
      </c>
      <c r="V87" s="161">
        <v>0</v>
      </c>
      <c r="W87" s="161">
        <f t="shared" si="7"/>
        <v>414.17000000000053</v>
      </c>
      <c r="X87" s="161">
        <f t="shared" si="8"/>
        <v>414.17000000000053</v>
      </c>
      <c r="Y87" s="161">
        <f t="shared" si="9"/>
        <v>0</v>
      </c>
      <c r="Z87" s="161">
        <v>0</v>
      </c>
      <c r="AA87" s="161">
        <f t="shared" si="10"/>
        <v>0</v>
      </c>
      <c r="AB87" s="161">
        <f t="shared" si="11"/>
        <v>2491</v>
      </c>
      <c r="AC87" s="158"/>
      <c r="AD87" s="158"/>
    </row>
    <row r="88" spans="1:30" ht="12.75" customHeight="1" x14ac:dyDescent="0.3">
      <c r="A88" s="147">
        <v>6</v>
      </c>
      <c r="B88" s="158" t="s">
        <v>408</v>
      </c>
      <c r="C88" s="158" t="s">
        <v>878</v>
      </c>
      <c r="D88" s="158" t="s">
        <v>879</v>
      </c>
      <c r="E88" s="160" t="s">
        <v>25</v>
      </c>
      <c r="F88" s="160" t="s">
        <v>25</v>
      </c>
      <c r="G88" s="160" t="s">
        <v>866</v>
      </c>
      <c r="H88" s="161">
        <v>3144.49</v>
      </c>
      <c r="I88" s="161">
        <v>0</v>
      </c>
      <c r="J88" s="161">
        <v>0</v>
      </c>
      <c r="K88" s="161">
        <v>0</v>
      </c>
      <c r="L88" s="161">
        <v>-831.67</v>
      </c>
      <c r="M88" s="162">
        <v>0</v>
      </c>
      <c r="N88" s="161">
        <v>-75</v>
      </c>
      <c r="O88" s="162">
        <f t="shared" si="6"/>
        <v>2237.8199999999997</v>
      </c>
      <c r="P88" s="161">
        <v>-2321.4285714285716</v>
      </c>
      <c r="Q88" s="161">
        <v>0</v>
      </c>
      <c r="R88" s="161">
        <v>-500</v>
      </c>
      <c r="S88" s="161">
        <v>0</v>
      </c>
      <c r="T88" s="161">
        <v>0</v>
      </c>
      <c r="U88" s="161">
        <v>0</v>
      </c>
      <c r="V88" s="161">
        <v>0</v>
      </c>
      <c r="W88" s="161">
        <f t="shared" si="7"/>
        <v>-583.60857142857185</v>
      </c>
      <c r="X88" s="161">
        <f t="shared" si="8"/>
        <v>0</v>
      </c>
      <c r="Y88" s="161">
        <f t="shared" si="9"/>
        <v>-583.60857142857185</v>
      </c>
      <c r="Z88" s="161">
        <v>584</v>
      </c>
      <c r="AA88" s="161">
        <f t="shared" si="10"/>
        <v>0.39142857142815046</v>
      </c>
      <c r="AB88" s="161">
        <f t="shared" si="11"/>
        <v>2822.2114285714279</v>
      </c>
      <c r="AC88" s="158"/>
      <c r="AD88" s="158"/>
    </row>
    <row r="89" spans="1:30" ht="12.75" customHeight="1" x14ac:dyDescent="0.3">
      <c r="A89" s="147">
        <v>6</v>
      </c>
      <c r="B89" s="160" t="s">
        <v>896</v>
      </c>
      <c r="C89" s="158" t="s">
        <v>347</v>
      </c>
      <c r="D89" s="158" t="s">
        <v>897</v>
      </c>
      <c r="E89" s="160" t="s">
        <v>25</v>
      </c>
      <c r="F89" s="160" t="s">
        <v>865</v>
      </c>
      <c r="G89" s="160" t="s">
        <v>866</v>
      </c>
      <c r="H89" s="165">
        <v>659.52</v>
      </c>
      <c r="I89" s="161">
        <v>0</v>
      </c>
      <c r="J89" s="161">
        <v>0</v>
      </c>
      <c r="K89" s="161">
        <v>0</v>
      </c>
      <c r="L89" s="161">
        <v>-220</v>
      </c>
      <c r="M89" s="162">
        <v>0</v>
      </c>
      <c r="N89" s="161">
        <v>-114</v>
      </c>
      <c r="O89" s="162">
        <f t="shared" si="6"/>
        <v>325.52</v>
      </c>
      <c r="P89" s="161">
        <v>-1786</v>
      </c>
      <c r="Q89" s="161">
        <v>0</v>
      </c>
      <c r="R89" s="161">
        <v>0</v>
      </c>
      <c r="S89" s="161">
        <v>0</v>
      </c>
      <c r="T89" s="161">
        <v>0</v>
      </c>
      <c r="U89" s="161">
        <v>0</v>
      </c>
      <c r="V89" s="161">
        <v>0</v>
      </c>
      <c r="W89" s="161">
        <f t="shared" si="7"/>
        <v>-1460.48</v>
      </c>
      <c r="X89" s="161">
        <f t="shared" si="8"/>
        <v>0</v>
      </c>
      <c r="Y89" s="161">
        <f t="shared" si="9"/>
        <v>-1460.48</v>
      </c>
      <c r="Z89" s="161">
        <v>3167</v>
      </c>
      <c r="AA89" s="161">
        <f t="shared" si="10"/>
        <v>1706.52</v>
      </c>
      <c r="AB89" s="161">
        <f t="shared" si="11"/>
        <v>5199.04</v>
      </c>
      <c r="AC89" s="158" t="s">
        <v>909</v>
      </c>
      <c r="AD89" s="158"/>
    </row>
    <row r="90" spans="1:30" ht="12.75" customHeight="1" x14ac:dyDescent="0.3">
      <c r="A90" s="147">
        <v>6</v>
      </c>
      <c r="B90" s="158" t="s">
        <v>910</v>
      </c>
      <c r="C90" s="158" t="s">
        <v>46</v>
      </c>
      <c r="D90" s="158" t="s">
        <v>20</v>
      </c>
      <c r="E90" s="160" t="s">
        <v>25</v>
      </c>
      <c r="F90" s="160" t="s">
        <v>25</v>
      </c>
      <c r="G90" s="160" t="s">
        <v>866</v>
      </c>
      <c r="H90" s="161">
        <v>3054.64</v>
      </c>
      <c r="I90" s="161">
        <v>0.31</v>
      </c>
      <c r="J90" s="161">
        <v>0</v>
      </c>
      <c r="K90" s="161">
        <v>0</v>
      </c>
      <c r="L90" s="161">
        <v>-1378.41</v>
      </c>
      <c r="M90" s="162">
        <v>-0.83</v>
      </c>
      <c r="N90" s="161">
        <v>0</v>
      </c>
      <c r="O90" s="162">
        <f t="shared" si="6"/>
        <v>1675.7099999999998</v>
      </c>
      <c r="P90" s="161">
        <v>-1785.7142857142858</v>
      </c>
      <c r="Q90" s="161">
        <v>0</v>
      </c>
      <c r="R90" s="161">
        <v>-500</v>
      </c>
      <c r="S90" s="161">
        <v>0</v>
      </c>
      <c r="T90" s="161">
        <v>0</v>
      </c>
      <c r="U90" s="161">
        <v>0</v>
      </c>
      <c r="V90" s="161">
        <v>0</v>
      </c>
      <c r="W90" s="161">
        <f t="shared" si="7"/>
        <v>-610.00428571428597</v>
      </c>
      <c r="X90" s="161">
        <f t="shared" si="8"/>
        <v>0</v>
      </c>
      <c r="Y90" s="161">
        <f t="shared" si="9"/>
        <v>-610.00428571428597</v>
      </c>
      <c r="Z90" s="161">
        <v>0</v>
      </c>
      <c r="AA90" s="161">
        <f t="shared" si="10"/>
        <v>-610.00428571428597</v>
      </c>
      <c r="AB90" s="161">
        <f t="shared" si="11"/>
        <v>1065.7057142857138</v>
      </c>
      <c r="AC90" s="158"/>
      <c r="AD90" s="158"/>
    </row>
    <row r="91" spans="1:30" ht="12.75" customHeight="1" x14ac:dyDescent="0.3">
      <c r="A91" s="147">
        <v>6</v>
      </c>
      <c r="B91" s="158" t="s">
        <v>880</v>
      </c>
      <c r="C91" s="158" t="s">
        <v>57</v>
      </c>
      <c r="D91" s="163" t="s">
        <v>881</v>
      </c>
      <c r="E91" s="160" t="s">
        <v>25</v>
      </c>
      <c r="F91" s="160" t="s">
        <v>25</v>
      </c>
      <c r="G91" s="160" t="s">
        <v>866</v>
      </c>
      <c r="H91" s="161">
        <v>5375.28</v>
      </c>
      <c r="I91" s="161">
        <v>28.799999999999997</v>
      </c>
      <c r="J91" s="161">
        <v>0</v>
      </c>
      <c r="K91" s="161">
        <v>0</v>
      </c>
      <c r="L91" s="161">
        <v>-1997.86</v>
      </c>
      <c r="M91" s="162">
        <v>-67</v>
      </c>
      <c r="N91" s="161">
        <v>0</v>
      </c>
      <c r="O91" s="162">
        <f t="shared" si="6"/>
        <v>3339.2200000000003</v>
      </c>
      <c r="P91" s="161">
        <v>-2300</v>
      </c>
      <c r="Q91" s="161">
        <v>0</v>
      </c>
      <c r="R91" s="161">
        <v>0</v>
      </c>
      <c r="S91" s="166">
        <v>-500</v>
      </c>
      <c r="T91" s="161">
        <v>0</v>
      </c>
      <c r="U91" s="161">
        <v>0</v>
      </c>
      <c r="V91" s="161">
        <v>0</v>
      </c>
      <c r="W91" s="161">
        <f t="shared" si="7"/>
        <v>539.22000000000025</v>
      </c>
      <c r="X91" s="161">
        <f t="shared" si="8"/>
        <v>539.22000000000025</v>
      </c>
      <c r="Y91" s="161">
        <f t="shared" si="9"/>
        <v>0</v>
      </c>
      <c r="Z91" s="161">
        <v>0</v>
      </c>
      <c r="AA91" s="161">
        <f t="shared" si="10"/>
        <v>0</v>
      </c>
      <c r="AB91" s="161">
        <f t="shared" si="11"/>
        <v>2800</v>
      </c>
      <c r="AC91" s="158"/>
      <c r="AD91" s="158"/>
    </row>
    <row r="92" spans="1:30" ht="12.75" customHeight="1" x14ac:dyDescent="0.3">
      <c r="A92" s="147">
        <v>6</v>
      </c>
      <c r="B92" s="167" t="s">
        <v>911</v>
      </c>
      <c r="C92" s="158" t="s">
        <v>195</v>
      </c>
      <c r="D92" s="168" t="s">
        <v>912</v>
      </c>
      <c r="E92" s="160" t="s">
        <v>871</v>
      </c>
      <c r="F92" s="160" t="s">
        <v>25</v>
      </c>
      <c r="G92" s="160" t="s">
        <v>866</v>
      </c>
      <c r="H92" s="161">
        <v>2278.65</v>
      </c>
      <c r="I92" s="161">
        <v>0</v>
      </c>
      <c r="J92" s="161">
        <v>0</v>
      </c>
      <c r="K92" s="161">
        <v>0</v>
      </c>
      <c r="L92" s="161">
        <v>-1184.24</v>
      </c>
      <c r="M92" s="162">
        <v>0</v>
      </c>
      <c r="N92" s="161">
        <v>0</v>
      </c>
      <c r="O92" s="162">
        <f t="shared" si="6"/>
        <v>1094.4100000000001</v>
      </c>
      <c r="P92" s="161">
        <v>-1785.7142857142858</v>
      </c>
      <c r="Q92" s="161">
        <v>0</v>
      </c>
      <c r="R92" s="161">
        <v>-500</v>
      </c>
      <c r="S92" s="161">
        <v>0</v>
      </c>
      <c r="T92" s="161">
        <v>0</v>
      </c>
      <c r="U92" s="161">
        <v>0</v>
      </c>
      <c r="V92" s="161">
        <v>0</v>
      </c>
      <c r="W92" s="161">
        <f t="shared" si="7"/>
        <v>-1191.3042857142857</v>
      </c>
      <c r="X92" s="161">
        <f t="shared" si="8"/>
        <v>0</v>
      </c>
      <c r="Y92" s="161">
        <f t="shared" si="9"/>
        <v>-1191.3042857142857</v>
      </c>
      <c r="Z92" s="161">
        <v>0</v>
      </c>
      <c r="AA92" s="161">
        <f t="shared" si="10"/>
        <v>-1191.3042857142857</v>
      </c>
      <c r="AB92" s="161">
        <f t="shared" si="11"/>
        <v>-96.894285714285616</v>
      </c>
      <c r="AC92" s="158"/>
      <c r="AD92" s="158"/>
    </row>
    <row r="93" spans="1:30" ht="12.75" customHeight="1" x14ac:dyDescent="0.3">
      <c r="A93" s="147">
        <v>6</v>
      </c>
      <c r="B93" s="158" t="s">
        <v>882</v>
      </c>
      <c r="C93" s="158" t="s">
        <v>120</v>
      </c>
      <c r="D93" s="163" t="s">
        <v>883</v>
      </c>
      <c r="E93" s="160" t="s">
        <v>25</v>
      </c>
      <c r="F93" s="160" t="s">
        <v>865</v>
      </c>
      <c r="G93" s="160" t="s">
        <v>866</v>
      </c>
      <c r="H93" s="165">
        <v>4559.7</v>
      </c>
      <c r="I93" s="161">
        <v>8</v>
      </c>
      <c r="J93" s="161">
        <v>0</v>
      </c>
      <c r="K93" s="161">
        <v>0</v>
      </c>
      <c r="L93" s="161">
        <v>-1681.88</v>
      </c>
      <c r="M93" s="162">
        <v>0</v>
      </c>
      <c r="N93" s="161">
        <v>0</v>
      </c>
      <c r="O93" s="162">
        <f t="shared" si="6"/>
        <v>2885.8199999999997</v>
      </c>
      <c r="P93" s="161">
        <v>-2500</v>
      </c>
      <c r="Q93" s="161">
        <v>0</v>
      </c>
      <c r="R93" s="161">
        <v>0</v>
      </c>
      <c r="S93" s="161">
        <v>0</v>
      </c>
      <c r="T93" s="161">
        <v>0</v>
      </c>
      <c r="U93" s="161">
        <v>0</v>
      </c>
      <c r="V93" s="161">
        <v>0</v>
      </c>
      <c r="W93" s="161">
        <f t="shared" si="7"/>
        <v>385.81999999999971</v>
      </c>
      <c r="X93" s="161">
        <f t="shared" si="8"/>
        <v>385.81999999999971</v>
      </c>
      <c r="Y93" s="161">
        <f t="shared" si="9"/>
        <v>0</v>
      </c>
      <c r="Z93" s="161">
        <v>0</v>
      </c>
      <c r="AA93" s="161">
        <f t="shared" si="10"/>
        <v>0</v>
      </c>
      <c r="AB93" s="161">
        <f t="shared" si="11"/>
        <v>2500</v>
      </c>
      <c r="AC93" s="158"/>
      <c r="AD93" s="158"/>
    </row>
    <row r="94" spans="1:30" ht="12.75" customHeight="1" x14ac:dyDescent="0.3">
      <c r="A94" s="147">
        <v>7</v>
      </c>
      <c r="B94" s="158" t="s">
        <v>585</v>
      </c>
      <c r="C94" s="158" t="s">
        <v>863</v>
      </c>
      <c r="D94" s="158" t="s">
        <v>864</v>
      </c>
      <c r="E94" s="160" t="s">
        <v>25</v>
      </c>
      <c r="F94" s="158" t="s">
        <v>865</v>
      </c>
      <c r="G94" s="160" t="s">
        <v>866</v>
      </c>
      <c r="H94" s="169">
        <v>0</v>
      </c>
      <c r="I94" s="161">
        <v>0</v>
      </c>
      <c r="J94" s="161">
        <v>0</v>
      </c>
      <c r="K94" s="161">
        <v>0</v>
      </c>
      <c r="L94" s="161">
        <v>0</v>
      </c>
      <c r="M94" s="162">
        <v>0</v>
      </c>
      <c r="N94" s="161">
        <v>0</v>
      </c>
      <c r="O94" s="162">
        <f t="shared" si="6"/>
        <v>0</v>
      </c>
      <c r="P94" s="161">
        <v>0</v>
      </c>
      <c r="Q94" s="161">
        <v>0</v>
      </c>
      <c r="R94" s="161">
        <v>0</v>
      </c>
      <c r="S94" s="161">
        <v>0</v>
      </c>
      <c r="T94" s="161">
        <v>0</v>
      </c>
      <c r="U94" s="161">
        <v>0</v>
      </c>
      <c r="V94" s="161">
        <v>0</v>
      </c>
      <c r="W94" s="161">
        <f t="shared" si="7"/>
        <v>0</v>
      </c>
      <c r="X94" s="161">
        <f t="shared" si="8"/>
        <v>0</v>
      </c>
      <c r="Y94" s="161">
        <f t="shared" si="9"/>
        <v>0</v>
      </c>
      <c r="Z94" s="161">
        <v>0</v>
      </c>
      <c r="AA94" s="161">
        <f t="shared" si="10"/>
        <v>0</v>
      </c>
      <c r="AB94" s="161">
        <f t="shared" si="11"/>
        <v>0</v>
      </c>
      <c r="AC94" s="158"/>
      <c r="AD94" s="158"/>
    </row>
    <row r="95" spans="1:30" ht="12.75" customHeight="1" x14ac:dyDescent="0.3">
      <c r="A95" s="147">
        <v>7</v>
      </c>
      <c r="B95" s="158" t="s">
        <v>868</v>
      </c>
      <c r="C95" s="158" t="s">
        <v>68</v>
      </c>
      <c r="D95" s="163" t="s">
        <v>869</v>
      </c>
      <c r="E95" s="160" t="s">
        <v>25</v>
      </c>
      <c r="F95" s="158" t="s">
        <v>865</v>
      </c>
      <c r="G95" s="160" t="s">
        <v>866</v>
      </c>
      <c r="H95" s="169">
        <v>0</v>
      </c>
      <c r="I95" s="161">
        <v>0</v>
      </c>
      <c r="J95" s="161">
        <v>0</v>
      </c>
      <c r="K95" s="161">
        <v>0</v>
      </c>
      <c r="L95" s="161">
        <v>0</v>
      </c>
      <c r="M95" s="162">
        <v>0</v>
      </c>
      <c r="N95" s="161">
        <v>0</v>
      </c>
      <c r="O95" s="162">
        <f t="shared" si="6"/>
        <v>0</v>
      </c>
      <c r="P95" s="161">
        <v>-2500</v>
      </c>
      <c r="Q95" s="161">
        <v>0</v>
      </c>
      <c r="R95" s="161">
        <v>0</v>
      </c>
      <c r="S95" s="161">
        <v>0</v>
      </c>
      <c r="T95" s="161">
        <v>0</v>
      </c>
      <c r="U95" s="161">
        <v>0</v>
      </c>
      <c r="V95" s="161">
        <v>0</v>
      </c>
      <c r="W95" s="161">
        <f t="shared" si="7"/>
        <v>-2500</v>
      </c>
      <c r="X95" s="161">
        <f t="shared" si="8"/>
        <v>0</v>
      </c>
      <c r="Y95" s="161">
        <f t="shared" si="9"/>
        <v>-2500</v>
      </c>
      <c r="Z95" s="161">
        <v>2500</v>
      </c>
      <c r="AA95" s="161">
        <f t="shared" si="10"/>
        <v>0</v>
      </c>
      <c r="AB95" s="161">
        <f t="shared" si="11"/>
        <v>2500</v>
      </c>
      <c r="AC95" s="158"/>
      <c r="AD95" s="158"/>
    </row>
    <row r="96" spans="1:30" ht="12.75" customHeight="1" x14ac:dyDescent="0.3">
      <c r="A96" s="147">
        <v>7</v>
      </c>
      <c r="B96" s="158" t="s">
        <v>886</v>
      </c>
      <c r="C96" s="158" t="s">
        <v>183</v>
      </c>
      <c r="D96" s="158" t="s">
        <v>887</v>
      </c>
      <c r="E96" s="160" t="s">
        <v>25</v>
      </c>
      <c r="F96" s="158" t="s">
        <v>25</v>
      </c>
      <c r="G96" s="160" t="s">
        <v>866</v>
      </c>
      <c r="H96" s="170">
        <v>3240.77</v>
      </c>
      <c r="I96" s="170">
        <v>0</v>
      </c>
      <c r="J96" s="161">
        <v>0</v>
      </c>
      <c r="K96" s="161">
        <v>0</v>
      </c>
      <c r="L96" s="170">
        <v>-1738.57</v>
      </c>
      <c r="M96" s="162">
        <v>-26</v>
      </c>
      <c r="N96" s="161">
        <v>-295.29000000000002</v>
      </c>
      <c r="O96" s="162">
        <f t="shared" si="6"/>
        <v>1180.9100000000001</v>
      </c>
      <c r="P96" s="161">
        <v>-2500</v>
      </c>
      <c r="Q96" s="161">
        <v>0</v>
      </c>
      <c r="R96" s="161">
        <v>0</v>
      </c>
      <c r="S96" s="161">
        <v>0</v>
      </c>
      <c r="T96" s="161">
        <v>0</v>
      </c>
      <c r="U96" s="161">
        <v>0</v>
      </c>
      <c r="V96" s="161">
        <v>0</v>
      </c>
      <c r="W96" s="161">
        <f t="shared" si="7"/>
        <v>-1319.09</v>
      </c>
      <c r="X96" s="161">
        <f t="shared" si="8"/>
        <v>0</v>
      </c>
      <c r="Y96" s="161">
        <f t="shared" si="9"/>
        <v>-1319.09</v>
      </c>
      <c r="Z96" s="161">
        <v>0</v>
      </c>
      <c r="AA96" s="161">
        <f t="shared" si="10"/>
        <v>-1319.09</v>
      </c>
      <c r="AB96" s="161">
        <f t="shared" si="11"/>
        <v>-138.17999999999984</v>
      </c>
      <c r="AC96" s="158"/>
      <c r="AD96" s="158"/>
    </row>
    <row r="97" spans="1:30" ht="12.75" customHeight="1" x14ac:dyDescent="0.3">
      <c r="A97" s="147">
        <v>7</v>
      </c>
      <c r="B97" s="158" t="s">
        <v>888</v>
      </c>
      <c r="C97" s="158" t="s">
        <v>409</v>
      </c>
      <c r="D97" s="163" t="s">
        <v>889</v>
      </c>
      <c r="E97" s="160" t="s">
        <v>25</v>
      </c>
      <c r="F97" s="158" t="s">
        <v>25</v>
      </c>
      <c r="G97" s="160" t="s">
        <v>866</v>
      </c>
      <c r="H97" s="170">
        <v>5003.53</v>
      </c>
      <c r="I97" s="170">
        <v>0</v>
      </c>
      <c r="J97" s="161">
        <v>0</v>
      </c>
      <c r="K97" s="161">
        <v>0</v>
      </c>
      <c r="L97" s="170">
        <v>-731.26</v>
      </c>
      <c r="M97" s="162">
        <v>-45</v>
      </c>
      <c r="N97" s="161">
        <v>-8.73</v>
      </c>
      <c r="O97" s="162">
        <f t="shared" si="6"/>
        <v>4218.54</v>
      </c>
      <c r="P97" s="161">
        <v>-96</v>
      </c>
      <c r="Q97" s="161">
        <v>0</v>
      </c>
      <c r="R97" s="161">
        <v>0</v>
      </c>
      <c r="S97" s="161">
        <v>0</v>
      </c>
      <c r="T97" s="161">
        <v>0</v>
      </c>
      <c r="U97" s="161">
        <v>0</v>
      </c>
      <c r="V97" s="161">
        <v>0</v>
      </c>
      <c r="W97" s="161">
        <f t="shared" si="7"/>
        <v>4122.54</v>
      </c>
      <c r="X97" s="161">
        <f t="shared" si="8"/>
        <v>4122.54</v>
      </c>
      <c r="Y97" s="161">
        <f t="shared" si="9"/>
        <v>0</v>
      </c>
      <c r="Z97" s="161">
        <v>0</v>
      </c>
      <c r="AA97" s="161">
        <f t="shared" si="10"/>
        <v>0</v>
      </c>
      <c r="AB97" s="161">
        <f t="shared" si="11"/>
        <v>96</v>
      </c>
      <c r="AC97" s="158"/>
      <c r="AD97" s="158"/>
    </row>
    <row r="98" spans="1:30" ht="12.75" customHeight="1" x14ac:dyDescent="0.3">
      <c r="A98" s="147">
        <v>7</v>
      </c>
      <c r="B98" s="158" t="s">
        <v>894</v>
      </c>
      <c r="C98" s="158" t="s">
        <v>59</v>
      </c>
      <c r="D98" s="158" t="s">
        <v>895</v>
      </c>
      <c r="E98" s="160" t="s">
        <v>25</v>
      </c>
      <c r="F98" s="158" t="s">
        <v>25</v>
      </c>
      <c r="G98" s="160" t="s">
        <v>866</v>
      </c>
      <c r="H98" s="170">
        <v>79.680000000000007</v>
      </c>
      <c r="I98" s="170">
        <v>0</v>
      </c>
      <c r="J98" s="161">
        <v>0</v>
      </c>
      <c r="K98" s="161">
        <v>0</v>
      </c>
      <c r="L98" s="170">
        <v>0</v>
      </c>
      <c r="M98" s="162">
        <v>0</v>
      </c>
      <c r="N98" s="161">
        <v>-71</v>
      </c>
      <c r="O98" s="162">
        <f t="shared" si="6"/>
        <v>8.6800000000000068</v>
      </c>
      <c r="P98" s="161">
        <v>0</v>
      </c>
      <c r="Q98" s="161">
        <v>0</v>
      </c>
      <c r="R98" s="161">
        <v>0</v>
      </c>
      <c r="S98" s="161">
        <v>0</v>
      </c>
      <c r="T98" s="161">
        <v>0</v>
      </c>
      <c r="U98" s="161">
        <v>0</v>
      </c>
      <c r="V98" s="161">
        <v>0</v>
      </c>
      <c r="W98" s="161">
        <f t="shared" si="7"/>
        <v>8.6800000000000068</v>
      </c>
      <c r="X98" s="161">
        <f t="shared" si="8"/>
        <v>8.6800000000000068</v>
      </c>
      <c r="Y98" s="161">
        <f t="shared" si="9"/>
        <v>0</v>
      </c>
      <c r="Z98" s="161">
        <v>0</v>
      </c>
      <c r="AA98" s="161">
        <f t="shared" si="10"/>
        <v>0</v>
      </c>
      <c r="AB98" s="161">
        <f t="shared" si="11"/>
        <v>0</v>
      </c>
      <c r="AC98" s="158"/>
      <c r="AD98" s="158"/>
    </row>
    <row r="99" spans="1:30" ht="12.75" customHeight="1" x14ac:dyDescent="0.3">
      <c r="A99" s="147">
        <v>7</v>
      </c>
      <c r="B99" s="158" t="s">
        <v>890</v>
      </c>
      <c r="C99" s="160" t="s">
        <v>426</v>
      </c>
      <c r="D99" s="158" t="s">
        <v>903</v>
      </c>
      <c r="E99" s="160" t="s">
        <v>25</v>
      </c>
      <c r="F99" s="158" t="s">
        <v>25</v>
      </c>
      <c r="G99" s="160" t="s">
        <v>866</v>
      </c>
      <c r="H99" s="170">
        <v>4390.43</v>
      </c>
      <c r="I99" s="170">
        <v>0</v>
      </c>
      <c r="J99" s="161">
        <v>0</v>
      </c>
      <c r="K99" s="161">
        <v>0</v>
      </c>
      <c r="L99" s="170">
        <v>-1581.18</v>
      </c>
      <c r="M99" s="162">
        <v>0</v>
      </c>
      <c r="N99" s="161">
        <v>0</v>
      </c>
      <c r="O99" s="162">
        <f t="shared" si="6"/>
        <v>2809.25</v>
      </c>
      <c r="P99" s="161">
        <v>-56</v>
      </c>
      <c r="Q99" s="161">
        <v>0</v>
      </c>
      <c r="R99" s="161">
        <v>0</v>
      </c>
      <c r="S99" s="161">
        <v>-300</v>
      </c>
      <c r="T99" s="161">
        <v>0</v>
      </c>
      <c r="U99" s="161">
        <v>0</v>
      </c>
      <c r="V99" s="161">
        <v>0</v>
      </c>
      <c r="W99" s="161">
        <f t="shared" si="7"/>
        <v>2453.25</v>
      </c>
      <c r="X99" s="161">
        <f t="shared" si="8"/>
        <v>2453.25</v>
      </c>
      <c r="Y99" s="161">
        <f t="shared" si="9"/>
        <v>0</v>
      </c>
      <c r="Z99" s="161">
        <v>0</v>
      </c>
      <c r="AA99" s="161">
        <f t="shared" si="10"/>
        <v>0</v>
      </c>
      <c r="AB99" s="161">
        <f t="shared" si="11"/>
        <v>356</v>
      </c>
      <c r="AC99" s="158"/>
      <c r="AD99" s="158"/>
    </row>
    <row r="100" spans="1:30" ht="12.75" customHeight="1" x14ac:dyDescent="0.3">
      <c r="A100" s="147">
        <v>7</v>
      </c>
      <c r="B100" s="158" t="s">
        <v>872</v>
      </c>
      <c r="C100" s="158" t="s">
        <v>36</v>
      </c>
      <c r="D100" s="158" t="s">
        <v>904</v>
      </c>
      <c r="E100" s="160" t="s">
        <v>25</v>
      </c>
      <c r="F100" s="158" t="s">
        <v>25</v>
      </c>
      <c r="G100" s="160" t="s">
        <v>866</v>
      </c>
      <c r="H100" s="170">
        <v>9463.2000000000007</v>
      </c>
      <c r="I100" s="170">
        <v>-55.2</v>
      </c>
      <c r="J100" s="161">
        <v>0</v>
      </c>
      <c r="K100" s="161">
        <v>0</v>
      </c>
      <c r="L100" s="170">
        <v>-5047.87</v>
      </c>
      <c r="M100" s="162">
        <v>-98</v>
      </c>
      <c r="N100" s="161">
        <v>-431.45</v>
      </c>
      <c r="O100" s="162">
        <f t="shared" si="6"/>
        <v>3830.6800000000003</v>
      </c>
      <c r="P100" s="161">
        <v>-85</v>
      </c>
      <c r="Q100" s="161">
        <v>-500</v>
      </c>
      <c r="R100" s="161">
        <v>0</v>
      </c>
      <c r="S100" s="161">
        <v>-500</v>
      </c>
      <c r="T100" s="161">
        <v>0</v>
      </c>
      <c r="U100" s="161">
        <v>0</v>
      </c>
      <c r="V100" s="161">
        <v>0</v>
      </c>
      <c r="W100" s="161">
        <f t="shared" si="7"/>
        <v>2745.6800000000003</v>
      </c>
      <c r="X100" s="161">
        <f t="shared" si="8"/>
        <v>2745.6800000000003</v>
      </c>
      <c r="Y100" s="161">
        <f t="shared" si="9"/>
        <v>0</v>
      </c>
      <c r="Z100" s="161">
        <v>0</v>
      </c>
      <c r="AA100" s="161">
        <f t="shared" si="10"/>
        <v>0</v>
      </c>
      <c r="AB100" s="161">
        <f t="shared" si="11"/>
        <v>1085</v>
      </c>
      <c r="AC100" s="158"/>
      <c r="AD100" s="158"/>
    </row>
    <row r="101" spans="1:30" ht="12.75" customHeight="1" x14ac:dyDescent="0.3">
      <c r="A101" s="147">
        <v>7</v>
      </c>
      <c r="B101" s="158" t="s">
        <v>876</v>
      </c>
      <c r="C101" s="158" t="s">
        <v>150</v>
      </c>
      <c r="D101" s="158" t="s">
        <v>877</v>
      </c>
      <c r="E101" s="160" t="s">
        <v>25</v>
      </c>
      <c r="F101" s="158" t="s">
        <v>25</v>
      </c>
      <c r="G101" s="160" t="s">
        <v>866</v>
      </c>
      <c r="H101" s="170">
        <v>5882.5</v>
      </c>
      <c r="I101" s="170">
        <v>0</v>
      </c>
      <c r="J101" s="161">
        <v>0</v>
      </c>
      <c r="K101" s="161">
        <v>0</v>
      </c>
      <c r="L101" s="170">
        <v>-2894.54</v>
      </c>
      <c r="M101" s="162">
        <v>-49</v>
      </c>
      <c r="N101" s="161">
        <v>0</v>
      </c>
      <c r="O101" s="162">
        <f t="shared" si="6"/>
        <v>2938.96</v>
      </c>
      <c r="P101" s="161">
        <v>-45</v>
      </c>
      <c r="Q101" s="161">
        <v>0</v>
      </c>
      <c r="R101" s="161">
        <v>0</v>
      </c>
      <c r="S101" s="161">
        <v>0</v>
      </c>
      <c r="T101" s="161">
        <v>0</v>
      </c>
      <c r="U101" s="161">
        <v>0</v>
      </c>
      <c r="V101" s="161">
        <v>0</v>
      </c>
      <c r="W101" s="161">
        <f t="shared" si="7"/>
        <v>2893.96</v>
      </c>
      <c r="X101" s="161">
        <f t="shared" si="8"/>
        <v>2893.96</v>
      </c>
      <c r="Y101" s="161">
        <f t="shared" si="9"/>
        <v>0</v>
      </c>
      <c r="Z101" s="161">
        <v>0</v>
      </c>
      <c r="AA101" s="161">
        <f t="shared" si="10"/>
        <v>0</v>
      </c>
      <c r="AB101" s="161">
        <f t="shared" si="11"/>
        <v>45</v>
      </c>
      <c r="AC101" s="158"/>
      <c r="AD101" s="158"/>
    </row>
    <row r="102" spans="1:30" ht="12.75" customHeight="1" x14ac:dyDescent="0.3">
      <c r="A102" s="147">
        <v>7</v>
      </c>
      <c r="B102" s="158" t="s">
        <v>484</v>
      </c>
      <c r="C102" s="158" t="s">
        <v>123</v>
      </c>
      <c r="D102" s="158" t="s">
        <v>892</v>
      </c>
      <c r="E102" s="160" t="s">
        <v>871</v>
      </c>
      <c r="F102" s="158" t="s">
        <v>25</v>
      </c>
      <c r="G102" s="160" t="s">
        <v>866</v>
      </c>
      <c r="H102" s="170">
        <v>7845.5</v>
      </c>
      <c r="I102" s="170">
        <v>-104.80000000000001</v>
      </c>
      <c r="J102" s="161">
        <v>0</v>
      </c>
      <c r="K102" s="161">
        <v>0</v>
      </c>
      <c r="L102" s="170">
        <v>-5215.32</v>
      </c>
      <c r="M102" s="162">
        <v>-78</v>
      </c>
      <c r="N102" s="161">
        <v>0</v>
      </c>
      <c r="O102" s="162">
        <f t="shared" si="6"/>
        <v>2447.38</v>
      </c>
      <c r="P102" s="161">
        <v>-78</v>
      </c>
      <c r="Q102" s="161">
        <v>58</v>
      </c>
      <c r="R102" s="161">
        <v>0</v>
      </c>
      <c r="S102" s="161">
        <v>0</v>
      </c>
      <c r="T102" s="161">
        <v>0</v>
      </c>
      <c r="U102" s="161">
        <v>0</v>
      </c>
      <c r="V102" s="161">
        <v>0</v>
      </c>
      <c r="W102" s="161">
        <f t="shared" si="7"/>
        <v>2427.38</v>
      </c>
      <c r="X102" s="161">
        <f t="shared" si="8"/>
        <v>2427.38</v>
      </c>
      <c r="Y102" s="161">
        <f t="shared" si="9"/>
        <v>0</v>
      </c>
      <c r="Z102" s="161">
        <v>0</v>
      </c>
      <c r="AA102" s="161">
        <f t="shared" si="10"/>
        <v>0</v>
      </c>
      <c r="AB102" s="161">
        <f t="shared" si="11"/>
        <v>20</v>
      </c>
      <c r="AC102" s="158"/>
      <c r="AD102" s="158"/>
    </row>
    <row r="103" spans="1:30" ht="12.75" customHeight="1" x14ac:dyDescent="0.3">
      <c r="A103" s="147">
        <v>7</v>
      </c>
      <c r="B103" s="158" t="s">
        <v>408</v>
      </c>
      <c r="C103" s="158" t="s">
        <v>878</v>
      </c>
      <c r="D103" s="158" t="s">
        <v>879</v>
      </c>
      <c r="E103" s="160" t="s">
        <v>25</v>
      </c>
      <c r="F103" s="158" t="s">
        <v>25</v>
      </c>
      <c r="G103" s="160" t="s">
        <v>866</v>
      </c>
      <c r="H103" s="170">
        <v>2538.63</v>
      </c>
      <c r="I103" s="170">
        <v>0</v>
      </c>
      <c r="J103" s="161">
        <v>0</v>
      </c>
      <c r="K103" s="161">
        <v>0</v>
      </c>
      <c r="L103" s="170">
        <v>-532.49</v>
      </c>
      <c r="M103" s="162">
        <v>-23</v>
      </c>
      <c r="N103" s="161">
        <v>0</v>
      </c>
      <c r="O103" s="162">
        <f t="shared" si="6"/>
        <v>1983.14</v>
      </c>
      <c r="P103" s="161">
        <v>-2500</v>
      </c>
      <c r="Q103" s="161">
        <v>0</v>
      </c>
      <c r="R103" s="161">
        <v>-326</v>
      </c>
      <c r="S103" s="161">
        <v>0</v>
      </c>
      <c r="T103" s="161">
        <v>0</v>
      </c>
      <c r="U103" s="161">
        <v>0</v>
      </c>
      <c r="V103" s="161">
        <v>0</v>
      </c>
      <c r="W103" s="161">
        <f t="shared" si="7"/>
        <v>-842.8599999999999</v>
      </c>
      <c r="X103" s="161">
        <f t="shared" si="8"/>
        <v>0</v>
      </c>
      <c r="Y103" s="161">
        <f t="shared" si="9"/>
        <v>-842.8599999999999</v>
      </c>
      <c r="Z103" s="161">
        <v>843</v>
      </c>
      <c r="AA103" s="161">
        <f t="shared" si="10"/>
        <v>0.14000000000010004</v>
      </c>
      <c r="AB103" s="161">
        <f t="shared" si="11"/>
        <v>2826.2800000000007</v>
      </c>
      <c r="AC103" s="158"/>
      <c r="AD103" s="158"/>
    </row>
    <row r="104" spans="1:30" ht="12.75" customHeight="1" x14ac:dyDescent="0.3">
      <c r="A104" s="147">
        <v>7</v>
      </c>
      <c r="B104" s="158" t="s">
        <v>896</v>
      </c>
      <c r="C104" s="158" t="s">
        <v>347</v>
      </c>
      <c r="D104" s="158" t="s">
        <v>897</v>
      </c>
      <c r="E104" s="160" t="s">
        <v>25</v>
      </c>
      <c r="F104" s="158" t="s">
        <v>865</v>
      </c>
      <c r="G104" s="160" t="s">
        <v>866</v>
      </c>
      <c r="H104" s="169">
        <v>0</v>
      </c>
      <c r="I104" s="161">
        <v>0</v>
      </c>
      <c r="J104" s="161">
        <v>0</v>
      </c>
      <c r="K104" s="161">
        <v>0</v>
      </c>
      <c r="L104" s="161">
        <v>0</v>
      </c>
      <c r="M104" s="162">
        <v>0</v>
      </c>
      <c r="N104" s="161">
        <v>0</v>
      </c>
      <c r="O104" s="162">
        <f t="shared" si="6"/>
        <v>0</v>
      </c>
      <c r="P104" s="161">
        <v>0</v>
      </c>
      <c r="Q104" s="161">
        <v>0</v>
      </c>
      <c r="R104" s="161">
        <v>0</v>
      </c>
      <c r="S104" s="161">
        <v>0</v>
      </c>
      <c r="T104" s="161">
        <v>0</v>
      </c>
      <c r="U104" s="161">
        <v>0</v>
      </c>
      <c r="V104" s="161">
        <v>0</v>
      </c>
      <c r="W104" s="161">
        <f t="shared" si="7"/>
        <v>0</v>
      </c>
      <c r="X104" s="161">
        <f t="shared" si="8"/>
        <v>0</v>
      </c>
      <c r="Y104" s="161">
        <f t="shared" si="9"/>
        <v>0</v>
      </c>
      <c r="Z104" s="161">
        <v>0</v>
      </c>
      <c r="AA104" s="161">
        <f t="shared" si="10"/>
        <v>0</v>
      </c>
      <c r="AB104" s="161">
        <f t="shared" si="11"/>
        <v>0</v>
      </c>
      <c r="AC104" s="158"/>
      <c r="AD104" s="158"/>
    </row>
    <row r="105" spans="1:30" ht="12.75" customHeight="1" x14ac:dyDescent="0.3">
      <c r="A105" s="147">
        <v>7</v>
      </c>
      <c r="B105" s="158" t="s">
        <v>910</v>
      </c>
      <c r="C105" s="158" t="s">
        <v>46</v>
      </c>
      <c r="D105" s="158" t="s">
        <v>20</v>
      </c>
      <c r="E105" s="160" t="s">
        <v>25</v>
      </c>
      <c r="F105" s="158" t="s">
        <v>25</v>
      </c>
      <c r="G105" s="160" t="s">
        <v>866</v>
      </c>
      <c r="H105" s="170">
        <v>4591.28</v>
      </c>
      <c r="I105" s="170">
        <v>0</v>
      </c>
      <c r="J105" s="161">
        <v>0</v>
      </c>
      <c r="K105" s="161">
        <v>0</v>
      </c>
      <c r="L105" s="170">
        <v>-2715.4</v>
      </c>
      <c r="M105" s="162">
        <v>-29</v>
      </c>
      <c r="N105" s="161">
        <v>0</v>
      </c>
      <c r="O105" s="162">
        <f t="shared" si="6"/>
        <v>1846.8799999999997</v>
      </c>
      <c r="P105" s="161">
        <v>-2500</v>
      </c>
      <c r="Q105" s="161">
        <v>0</v>
      </c>
      <c r="R105" s="161">
        <v>-500</v>
      </c>
      <c r="S105" s="161">
        <v>0</v>
      </c>
      <c r="T105" s="161">
        <v>0</v>
      </c>
      <c r="U105" s="161">
        <v>0</v>
      </c>
      <c r="V105" s="161">
        <v>0</v>
      </c>
      <c r="W105" s="161">
        <f t="shared" si="7"/>
        <v>-1153.1200000000003</v>
      </c>
      <c r="X105" s="161">
        <f t="shared" si="8"/>
        <v>0</v>
      </c>
      <c r="Y105" s="161">
        <f t="shared" si="9"/>
        <v>-1153.1200000000003</v>
      </c>
      <c r="Z105" s="161">
        <v>0</v>
      </c>
      <c r="AA105" s="161">
        <f t="shared" si="10"/>
        <v>-1153.1200000000003</v>
      </c>
      <c r="AB105" s="161">
        <f t="shared" si="11"/>
        <v>693.75999999999931</v>
      </c>
      <c r="AC105" s="158"/>
      <c r="AD105" s="158"/>
    </row>
    <row r="106" spans="1:30" ht="12.75" customHeight="1" x14ac:dyDescent="0.3">
      <c r="A106" s="147">
        <v>7</v>
      </c>
      <c r="B106" s="158" t="s">
        <v>880</v>
      </c>
      <c r="C106" s="158" t="s">
        <v>57</v>
      </c>
      <c r="D106" s="158" t="s">
        <v>881</v>
      </c>
      <c r="E106" s="160" t="s">
        <v>25</v>
      </c>
      <c r="F106" s="158" t="s">
        <v>25</v>
      </c>
      <c r="G106" s="160" t="s">
        <v>866</v>
      </c>
      <c r="H106" s="170">
        <v>4677.2</v>
      </c>
      <c r="I106" s="170">
        <v>-48</v>
      </c>
      <c r="J106" s="161">
        <v>0</v>
      </c>
      <c r="K106" s="161">
        <v>0</v>
      </c>
      <c r="L106" s="170">
        <v>-1618.04</v>
      </c>
      <c r="M106" s="162">
        <v>-34</v>
      </c>
      <c r="N106" s="161">
        <v>-156</v>
      </c>
      <c r="O106" s="162">
        <f t="shared" si="6"/>
        <v>2821.16</v>
      </c>
      <c r="P106" s="161">
        <v>-67</v>
      </c>
      <c r="Q106" s="161">
        <v>0</v>
      </c>
      <c r="R106" s="161">
        <v>0</v>
      </c>
      <c r="S106" s="161">
        <v>-500</v>
      </c>
      <c r="T106" s="161">
        <v>0</v>
      </c>
      <c r="U106" s="161">
        <v>0</v>
      </c>
      <c r="V106" s="161">
        <v>0</v>
      </c>
      <c r="W106" s="161">
        <f t="shared" si="7"/>
        <v>2254.16</v>
      </c>
      <c r="X106" s="161">
        <f t="shared" si="8"/>
        <v>2254.16</v>
      </c>
      <c r="Y106" s="161">
        <f t="shared" si="9"/>
        <v>0</v>
      </c>
      <c r="Z106" s="161">
        <v>0</v>
      </c>
      <c r="AA106" s="161">
        <f t="shared" si="10"/>
        <v>0</v>
      </c>
      <c r="AB106" s="161">
        <f t="shared" si="11"/>
        <v>567</v>
      </c>
      <c r="AC106" s="158"/>
      <c r="AD106" s="158"/>
    </row>
    <row r="107" spans="1:30" ht="12.75" customHeight="1" x14ac:dyDescent="0.3">
      <c r="A107" s="147">
        <v>7</v>
      </c>
      <c r="B107" s="158" t="s">
        <v>911</v>
      </c>
      <c r="C107" s="158" t="s">
        <v>195</v>
      </c>
      <c r="D107" s="158" t="s">
        <v>20</v>
      </c>
      <c r="E107" s="160" t="s">
        <v>871</v>
      </c>
      <c r="F107" s="158" t="s">
        <v>25</v>
      </c>
      <c r="G107" s="160" t="s">
        <v>866</v>
      </c>
      <c r="H107" s="170">
        <v>3796.1</v>
      </c>
      <c r="I107" s="170">
        <v>0</v>
      </c>
      <c r="J107" s="161">
        <v>0</v>
      </c>
      <c r="K107" s="161">
        <v>0</v>
      </c>
      <c r="L107" s="170">
        <v>-1964.25</v>
      </c>
      <c r="M107" s="162">
        <v>-22</v>
      </c>
      <c r="N107" s="161">
        <v>0</v>
      </c>
      <c r="O107" s="162">
        <f t="shared" si="6"/>
        <v>1809.85</v>
      </c>
      <c r="P107" s="161">
        <v>-2500</v>
      </c>
      <c r="Q107" s="161">
        <v>0</v>
      </c>
      <c r="R107" s="161">
        <v>-500</v>
      </c>
      <c r="S107" s="161">
        <v>0</v>
      </c>
      <c r="T107" s="161">
        <v>0</v>
      </c>
      <c r="U107" s="161">
        <v>0</v>
      </c>
      <c r="V107" s="161">
        <v>0</v>
      </c>
      <c r="W107" s="161">
        <f t="shared" si="7"/>
        <v>-1190.1500000000001</v>
      </c>
      <c r="X107" s="161">
        <f t="shared" si="8"/>
        <v>0</v>
      </c>
      <c r="Y107" s="161">
        <f t="shared" si="9"/>
        <v>-1190.1500000000001</v>
      </c>
      <c r="Z107" s="161">
        <v>0</v>
      </c>
      <c r="AA107" s="161">
        <f t="shared" si="10"/>
        <v>-1190.1500000000001</v>
      </c>
      <c r="AB107" s="161">
        <f t="shared" si="11"/>
        <v>619.69999999999982</v>
      </c>
      <c r="AC107" s="158"/>
      <c r="AD107" s="158"/>
    </row>
    <row r="108" spans="1:30" ht="12.75" customHeight="1" x14ac:dyDescent="0.3">
      <c r="A108" s="147">
        <v>7</v>
      </c>
      <c r="B108" s="158" t="s">
        <v>882</v>
      </c>
      <c r="C108" s="158" t="s">
        <v>120</v>
      </c>
      <c r="D108" s="158" t="s">
        <v>883</v>
      </c>
      <c r="E108" s="160" t="s">
        <v>25</v>
      </c>
      <c r="F108" s="158" t="s">
        <v>865</v>
      </c>
      <c r="G108" s="160" t="s">
        <v>866</v>
      </c>
      <c r="H108" s="169">
        <v>0</v>
      </c>
      <c r="I108" s="161">
        <v>0</v>
      </c>
      <c r="J108" s="161">
        <v>0</v>
      </c>
      <c r="K108" s="161">
        <v>0</v>
      </c>
      <c r="L108" s="161">
        <v>0</v>
      </c>
      <c r="M108" s="162">
        <v>0</v>
      </c>
      <c r="N108" s="161">
        <v>0</v>
      </c>
      <c r="O108" s="162">
        <f t="shared" si="6"/>
        <v>0</v>
      </c>
      <c r="P108" s="161">
        <v>0</v>
      </c>
      <c r="Q108" s="161">
        <v>0</v>
      </c>
      <c r="R108" s="161">
        <v>0</v>
      </c>
      <c r="S108" s="161">
        <v>0</v>
      </c>
      <c r="T108" s="161">
        <v>0</v>
      </c>
      <c r="U108" s="161">
        <v>0</v>
      </c>
      <c r="V108" s="161">
        <v>0</v>
      </c>
      <c r="W108" s="161">
        <f t="shared" si="7"/>
        <v>0</v>
      </c>
      <c r="X108" s="161">
        <f t="shared" si="8"/>
        <v>0</v>
      </c>
      <c r="Y108" s="161">
        <f t="shared" si="9"/>
        <v>0</v>
      </c>
      <c r="Z108" s="161">
        <v>0</v>
      </c>
      <c r="AA108" s="161">
        <f t="shared" si="10"/>
        <v>0</v>
      </c>
      <c r="AB108" s="161">
        <f t="shared" si="11"/>
        <v>0</v>
      </c>
      <c r="AC108" s="158"/>
      <c r="AD108" s="158"/>
    </row>
    <row r="109" spans="1:30" ht="12.75" customHeight="1" x14ac:dyDescent="0.3">
      <c r="A109" s="147">
        <v>8</v>
      </c>
      <c r="B109" s="158" t="s">
        <v>585</v>
      </c>
      <c r="C109" s="158" t="s">
        <v>863</v>
      </c>
      <c r="D109" s="158" t="s">
        <v>864</v>
      </c>
      <c r="E109" s="160" t="s">
        <v>25</v>
      </c>
      <c r="F109" s="158" t="s">
        <v>865</v>
      </c>
      <c r="G109" s="160" t="s">
        <v>866</v>
      </c>
      <c r="H109" s="161">
        <v>2644.3</v>
      </c>
      <c r="I109" s="161">
        <v>0</v>
      </c>
      <c r="J109" s="161">
        <v>0</v>
      </c>
      <c r="K109" s="161">
        <v>0</v>
      </c>
      <c r="L109" s="161">
        <v>-834.09</v>
      </c>
      <c r="M109" s="162">
        <v>0</v>
      </c>
      <c r="N109" s="161">
        <v>0</v>
      </c>
      <c r="O109" s="162">
        <f t="shared" si="6"/>
        <v>1810.21</v>
      </c>
      <c r="P109" s="161">
        <v>0</v>
      </c>
      <c r="Q109" s="161">
        <v>0</v>
      </c>
      <c r="R109" s="161">
        <v>0</v>
      </c>
      <c r="S109" s="161">
        <v>0</v>
      </c>
      <c r="T109" s="161">
        <v>0</v>
      </c>
      <c r="U109" s="161">
        <v>0</v>
      </c>
      <c r="V109" s="161">
        <v>0</v>
      </c>
      <c r="W109" s="161">
        <f t="shared" si="7"/>
        <v>1810.21</v>
      </c>
      <c r="X109" s="161">
        <f t="shared" si="8"/>
        <v>1810.21</v>
      </c>
      <c r="Y109" s="161">
        <f t="shared" si="9"/>
        <v>0</v>
      </c>
      <c r="Z109" s="161">
        <v>0</v>
      </c>
      <c r="AA109" s="161">
        <f t="shared" si="10"/>
        <v>0</v>
      </c>
      <c r="AB109" s="161">
        <f t="shared" si="11"/>
        <v>0</v>
      </c>
      <c r="AC109" s="158"/>
      <c r="AD109" s="158"/>
    </row>
    <row r="110" spans="1:30" ht="12.75" customHeight="1" x14ac:dyDescent="0.3">
      <c r="A110" s="147">
        <v>8</v>
      </c>
      <c r="B110" s="158" t="s">
        <v>868</v>
      </c>
      <c r="C110" s="158" t="s">
        <v>68</v>
      </c>
      <c r="D110" s="158" t="s">
        <v>869</v>
      </c>
      <c r="E110" s="160" t="s">
        <v>25</v>
      </c>
      <c r="F110" s="158" t="s">
        <v>865</v>
      </c>
      <c r="G110" s="160" t="s">
        <v>866</v>
      </c>
      <c r="H110" s="161">
        <v>1472.4</v>
      </c>
      <c r="I110" s="161">
        <v>0</v>
      </c>
      <c r="J110" s="161">
        <v>0</v>
      </c>
      <c r="K110" s="161">
        <v>0</v>
      </c>
      <c r="L110" s="161">
        <v>-499.64</v>
      </c>
      <c r="M110" s="162">
        <v>0</v>
      </c>
      <c r="N110" s="161">
        <v>0</v>
      </c>
      <c r="O110" s="162">
        <f t="shared" si="6"/>
        <v>972.7600000000001</v>
      </c>
      <c r="P110" s="161">
        <v>-2500</v>
      </c>
      <c r="Q110" s="161">
        <v>0</v>
      </c>
      <c r="R110" s="161">
        <v>0</v>
      </c>
      <c r="S110" s="161">
        <v>0</v>
      </c>
      <c r="T110" s="161">
        <v>0</v>
      </c>
      <c r="U110" s="161">
        <v>0</v>
      </c>
      <c r="V110" s="161">
        <v>0</v>
      </c>
      <c r="W110" s="161">
        <f t="shared" si="7"/>
        <v>-1527.2399999999998</v>
      </c>
      <c r="X110" s="161">
        <f t="shared" si="8"/>
        <v>0</v>
      </c>
      <c r="Y110" s="161">
        <f t="shared" si="9"/>
        <v>-1527.2399999999998</v>
      </c>
      <c r="Z110" s="161">
        <v>0</v>
      </c>
      <c r="AA110" s="161">
        <f t="shared" si="10"/>
        <v>-1527.2399999999998</v>
      </c>
      <c r="AB110" s="161">
        <f t="shared" si="11"/>
        <v>-554.47999999999968</v>
      </c>
      <c r="AC110" s="158"/>
      <c r="AD110" s="158"/>
    </row>
    <row r="111" spans="1:30" ht="12.75" customHeight="1" x14ac:dyDescent="0.3">
      <c r="A111" s="147">
        <v>8</v>
      </c>
      <c r="B111" s="158" t="s">
        <v>913</v>
      </c>
      <c r="C111" s="158" t="s">
        <v>195</v>
      </c>
      <c r="D111" s="158" t="s">
        <v>20</v>
      </c>
      <c r="E111" s="160" t="s">
        <v>871</v>
      </c>
      <c r="F111" s="158" t="s">
        <v>25</v>
      </c>
      <c r="G111" s="160" t="s">
        <v>866</v>
      </c>
      <c r="H111" s="161">
        <v>3487.81</v>
      </c>
      <c r="I111" s="161">
        <v>-8</v>
      </c>
      <c r="J111" s="161">
        <v>0</v>
      </c>
      <c r="K111" s="161">
        <v>0</v>
      </c>
      <c r="L111" s="161">
        <v>-1828.37</v>
      </c>
      <c r="M111" s="162">
        <v>-36.869978464560809</v>
      </c>
      <c r="N111" s="161">
        <v>0</v>
      </c>
      <c r="O111" s="162">
        <f t="shared" si="6"/>
        <v>1614.5700215354393</v>
      </c>
      <c r="P111" s="161">
        <v>-1542.8571428571427</v>
      </c>
      <c r="Q111" s="161">
        <v>0</v>
      </c>
      <c r="R111" s="161">
        <v>-500</v>
      </c>
      <c r="S111" s="161">
        <v>0</v>
      </c>
      <c r="T111" s="161">
        <v>0</v>
      </c>
      <c r="U111" s="161">
        <v>0</v>
      </c>
      <c r="V111" s="161">
        <v>0</v>
      </c>
      <c r="W111" s="161">
        <f t="shared" si="7"/>
        <v>-428.28712132170335</v>
      </c>
      <c r="X111" s="161">
        <f t="shared" si="8"/>
        <v>0</v>
      </c>
      <c r="Y111" s="161">
        <f t="shared" si="9"/>
        <v>-428.28712132170335</v>
      </c>
      <c r="Z111" s="161">
        <v>0</v>
      </c>
      <c r="AA111" s="161">
        <f t="shared" si="10"/>
        <v>-428.28712132170335</v>
      </c>
      <c r="AB111" s="161">
        <f t="shared" si="11"/>
        <v>1186.282900213736</v>
      </c>
      <c r="AC111" s="158"/>
      <c r="AD111" s="158"/>
    </row>
    <row r="112" spans="1:30" ht="12.75" customHeight="1" x14ac:dyDescent="0.3">
      <c r="A112" s="147">
        <v>8</v>
      </c>
      <c r="B112" s="158" t="s">
        <v>886</v>
      </c>
      <c r="C112" s="158" t="s">
        <v>183</v>
      </c>
      <c r="D112" s="158" t="s">
        <v>887</v>
      </c>
      <c r="E112" s="160" t="s">
        <v>25</v>
      </c>
      <c r="F112" s="158" t="s">
        <v>25</v>
      </c>
      <c r="G112" s="160" t="s">
        <v>866</v>
      </c>
      <c r="H112" s="161">
        <v>1798.32</v>
      </c>
      <c r="I112" s="161">
        <v>0</v>
      </c>
      <c r="J112" s="161">
        <v>0</v>
      </c>
      <c r="K112" s="161">
        <v>0</v>
      </c>
      <c r="L112" s="161">
        <v>-1254.48</v>
      </c>
      <c r="M112" s="162">
        <v>0</v>
      </c>
      <c r="N112" s="161">
        <v>-55</v>
      </c>
      <c r="O112" s="162">
        <f t="shared" si="6"/>
        <v>488.83999999999992</v>
      </c>
      <c r="P112" s="161">
        <v>0</v>
      </c>
      <c r="Q112" s="161">
        <v>0</v>
      </c>
      <c r="R112" s="161">
        <v>0</v>
      </c>
      <c r="S112" s="161">
        <v>0</v>
      </c>
      <c r="T112" s="161">
        <v>0</v>
      </c>
      <c r="U112" s="161">
        <v>0</v>
      </c>
      <c r="V112" s="161">
        <v>0</v>
      </c>
      <c r="W112" s="161">
        <f t="shared" si="7"/>
        <v>488.83999999999992</v>
      </c>
      <c r="X112" s="161">
        <f t="shared" si="8"/>
        <v>488.83999999999992</v>
      </c>
      <c r="Y112" s="161">
        <f t="shared" si="9"/>
        <v>0</v>
      </c>
      <c r="Z112" s="161">
        <v>0</v>
      </c>
      <c r="AA112" s="161">
        <f t="shared" si="10"/>
        <v>0</v>
      </c>
      <c r="AB112" s="161">
        <f t="shared" si="11"/>
        <v>0</v>
      </c>
      <c r="AC112" s="158"/>
      <c r="AD112" s="158"/>
    </row>
    <row r="113" spans="1:30" ht="12.75" customHeight="1" x14ac:dyDescent="0.3">
      <c r="A113" s="147">
        <v>8</v>
      </c>
      <c r="B113" s="158" t="s">
        <v>888</v>
      </c>
      <c r="C113" s="158" t="s">
        <v>409</v>
      </c>
      <c r="D113" s="163" t="s">
        <v>889</v>
      </c>
      <c r="E113" s="160" t="s">
        <v>25</v>
      </c>
      <c r="F113" s="158" t="s">
        <v>25</v>
      </c>
      <c r="G113" s="160" t="s">
        <v>866</v>
      </c>
      <c r="H113" s="161">
        <v>0</v>
      </c>
      <c r="I113" s="161">
        <v>0</v>
      </c>
      <c r="J113" s="161">
        <v>0</v>
      </c>
      <c r="K113" s="161">
        <v>0</v>
      </c>
      <c r="L113" s="161">
        <v>0</v>
      </c>
      <c r="M113" s="162">
        <v>0</v>
      </c>
      <c r="N113" s="161">
        <v>0</v>
      </c>
      <c r="O113" s="162">
        <f t="shared" si="6"/>
        <v>0</v>
      </c>
      <c r="P113" s="161">
        <v>0</v>
      </c>
      <c r="Q113" s="161">
        <v>0</v>
      </c>
      <c r="R113" s="161">
        <v>500</v>
      </c>
      <c r="S113" s="161">
        <v>0</v>
      </c>
      <c r="T113" s="161">
        <v>0</v>
      </c>
      <c r="U113" s="161">
        <v>0</v>
      </c>
      <c r="V113" s="161">
        <v>0</v>
      </c>
      <c r="W113" s="161">
        <f t="shared" si="7"/>
        <v>500</v>
      </c>
      <c r="X113" s="161">
        <f t="shared" si="8"/>
        <v>500</v>
      </c>
      <c r="Y113" s="161">
        <f t="shared" si="9"/>
        <v>0</v>
      </c>
      <c r="Z113" s="161">
        <v>0</v>
      </c>
      <c r="AA113" s="161">
        <f t="shared" si="10"/>
        <v>0</v>
      </c>
      <c r="AB113" s="161">
        <f t="shared" si="11"/>
        <v>-500</v>
      </c>
      <c r="AC113" s="158"/>
      <c r="AD113" s="158"/>
    </row>
    <row r="114" spans="1:30" ht="12.75" customHeight="1" x14ac:dyDescent="0.3">
      <c r="A114" s="147">
        <v>8</v>
      </c>
      <c r="B114" s="158" t="s">
        <v>894</v>
      </c>
      <c r="C114" s="158" t="s">
        <v>347</v>
      </c>
      <c r="D114" s="158" t="s">
        <v>897</v>
      </c>
      <c r="E114" s="160" t="s">
        <v>25</v>
      </c>
      <c r="F114" s="158" t="s">
        <v>25</v>
      </c>
      <c r="G114" s="160" t="s">
        <v>866</v>
      </c>
      <c r="H114" s="161">
        <v>770.77</v>
      </c>
      <c r="I114" s="161">
        <v>0</v>
      </c>
      <c r="J114" s="161">
        <v>0</v>
      </c>
      <c r="K114" s="161">
        <v>0</v>
      </c>
      <c r="L114" s="161">
        <v>-595.05999999999995</v>
      </c>
      <c r="M114" s="162">
        <v>-8.1478845754583933</v>
      </c>
      <c r="N114" s="161">
        <v>-145</v>
      </c>
      <c r="O114" s="162">
        <f t="shared" si="6"/>
        <v>22.562115424541645</v>
      </c>
      <c r="P114" s="161">
        <v>-1428.5714285714287</v>
      </c>
      <c r="Q114" s="161">
        <v>0</v>
      </c>
      <c r="R114" s="161">
        <v>-285.71428571428572</v>
      </c>
      <c r="S114" s="161">
        <v>0</v>
      </c>
      <c r="T114" s="161">
        <v>0</v>
      </c>
      <c r="U114" s="161">
        <v>0</v>
      </c>
      <c r="V114" s="161">
        <v>0</v>
      </c>
      <c r="W114" s="161">
        <f t="shared" si="7"/>
        <v>-1691.7235988611728</v>
      </c>
      <c r="X114" s="161">
        <f t="shared" si="8"/>
        <v>0</v>
      </c>
      <c r="Y114" s="161">
        <f t="shared" si="9"/>
        <v>-1691.7235988611728</v>
      </c>
      <c r="Z114" s="161">
        <v>1392</v>
      </c>
      <c r="AA114" s="161">
        <f t="shared" si="10"/>
        <v>-299.72359886117283</v>
      </c>
      <c r="AB114" s="161">
        <f t="shared" si="11"/>
        <v>1114.8385165633688</v>
      </c>
      <c r="AC114" s="158"/>
      <c r="AD114" s="158"/>
    </row>
    <row r="115" spans="1:30" ht="12.75" customHeight="1" x14ac:dyDescent="0.3">
      <c r="A115" s="147">
        <v>8</v>
      </c>
      <c r="B115" s="158" t="s">
        <v>890</v>
      </c>
      <c r="C115" s="158" t="s">
        <v>64</v>
      </c>
      <c r="D115" s="158" t="s">
        <v>903</v>
      </c>
      <c r="E115" s="160" t="s">
        <v>25</v>
      </c>
      <c r="F115" s="158" t="s">
        <v>25</v>
      </c>
      <c r="G115" s="160" t="s">
        <v>866</v>
      </c>
      <c r="H115" s="161">
        <v>509.1</v>
      </c>
      <c r="I115" s="161">
        <v>0</v>
      </c>
      <c r="J115" s="161">
        <v>0</v>
      </c>
      <c r="K115" s="161">
        <v>0</v>
      </c>
      <c r="L115" s="161">
        <v>-319.97000000000003</v>
      </c>
      <c r="M115" s="162">
        <v>0</v>
      </c>
      <c r="N115" s="161">
        <v>0</v>
      </c>
      <c r="O115" s="162">
        <f t="shared" si="6"/>
        <v>189.13</v>
      </c>
      <c r="P115" s="161">
        <v>0</v>
      </c>
      <c r="Q115" s="161">
        <v>0</v>
      </c>
      <c r="R115" s="161">
        <v>0</v>
      </c>
      <c r="S115" s="161">
        <v>-189.13</v>
      </c>
      <c r="T115" s="161">
        <v>0</v>
      </c>
      <c r="U115" s="161">
        <v>0</v>
      </c>
      <c r="V115" s="161">
        <v>0</v>
      </c>
      <c r="W115" s="161">
        <f t="shared" si="7"/>
        <v>0</v>
      </c>
      <c r="X115" s="161">
        <f t="shared" si="8"/>
        <v>0</v>
      </c>
      <c r="Y115" s="161">
        <f t="shared" si="9"/>
        <v>0</v>
      </c>
      <c r="Z115" s="161">
        <v>0</v>
      </c>
      <c r="AA115" s="161">
        <f t="shared" si="10"/>
        <v>0</v>
      </c>
      <c r="AB115" s="161">
        <f t="shared" si="11"/>
        <v>189.13</v>
      </c>
      <c r="AC115" s="158"/>
      <c r="AD115" s="158"/>
    </row>
    <row r="116" spans="1:30" ht="12.75" customHeight="1" x14ac:dyDescent="0.3">
      <c r="A116" s="147">
        <v>8</v>
      </c>
      <c r="B116" s="158" t="s">
        <v>872</v>
      </c>
      <c r="C116" s="158" t="s">
        <v>36</v>
      </c>
      <c r="D116" s="158" t="s">
        <v>904</v>
      </c>
      <c r="E116" s="160" t="s">
        <v>25</v>
      </c>
      <c r="F116" s="158" t="s">
        <v>25</v>
      </c>
      <c r="G116" s="160" t="s">
        <v>866</v>
      </c>
      <c r="H116" s="161">
        <v>10899.63</v>
      </c>
      <c r="I116" s="161">
        <v>-137.60000000000002</v>
      </c>
      <c r="J116" s="161">
        <v>0</v>
      </c>
      <c r="K116" s="161">
        <v>0</v>
      </c>
      <c r="L116" s="161">
        <v>-5571.2</v>
      </c>
      <c r="M116" s="162">
        <v>-75</v>
      </c>
      <c r="N116" s="161">
        <v>-466.22</v>
      </c>
      <c r="O116" s="162">
        <f t="shared" si="6"/>
        <v>4649.6099999999988</v>
      </c>
      <c r="P116" s="161">
        <v>-2500</v>
      </c>
      <c r="Q116" s="161">
        <v>-500</v>
      </c>
      <c r="R116" s="161">
        <v>0</v>
      </c>
      <c r="S116" s="161">
        <v>-500</v>
      </c>
      <c r="T116" s="161">
        <v>0</v>
      </c>
      <c r="U116" s="161">
        <v>0</v>
      </c>
      <c r="V116" s="161">
        <v>0</v>
      </c>
      <c r="W116" s="161">
        <f t="shared" si="7"/>
        <v>1149.6099999999988</v>
      </c>
      <c r="X116" s="161">
        <f t="shared" si="8"/>
        <v>1149.6099999999988</v>
      </c>
      <c r="Y116" s="161">
        <f t="shared" si="9"/>
        <v>0</v>
      </c>
      <c r="Z116" s="161">
        <v>0</v>
      </c>
      <c r="AA116" s="161">
        <f t="shared" si="10"/>
        <v>0</v>
      </c>
      <c r="AB116" s="161">
        <f t="shared" si="11"/>
        <v>3500</v>
      </c>
      <c r="AC116" s="158"/>
      <c r="AD116" s="158"/>
    </row>
    <row r="117" spans="1:30" ht="12.75" customHeight="1" x14ac:dyDescent="0.3">
      <c r="A117" s="147">
        <v>8</v>
      </c>
      <c r="B117" s="158" t="s">
        <v>874</v>
      </c>
      <c r="C117" s="158" t="s">
        <v>183</v>
      </c>
      <c r="D117" s="158" t="s">
        <v>887</v>
      </c>
      <c r="E117" s="160" t="s">
        <v>25</v>
      </c>
      <c r="F117" s="158" t="s">
        <v>25</v>
      </c>
      <c r="G117" s="160" t="s">
        <v>866</v>
      </c>
      <c r="H117" s="161">
        <v>666.67</v>
      </c>
      <c r="I117" s="161">
        <v>0</v>
      </c>
      <c r="J117" s="161">
        <v>0</v>
      </c>
      <c r="K117" s="161">
        <v>0</v>
      </c>
      <c r="L117" s="161">
        <v>-199.87</v>
      </c>
      <c r="M117" s="162">
        <v>199.87</v>
      </c>
      <c r="N117" s="161">
        <v>0</v>
      </c>
      <c r="O117" s="162">
        <f t="shared" si="6"/>
        <v>666.67</v>
      </c>
      <c r="P117" s="161">
        <v>0</v>
      </c>
      <c r="Q117" s="161">
        <v>0</v>
      </c>
      <c r="R117" s="161">
        <v>0</v>
      </c>
      <c r="S117" s="161">
        <v>0</v>
      </c>
      <c r="T117" s="161">
        <v>0</v>
      </c>
      <c r="U117" s="161">
        <v>0</v>
      </c>
      <c r="V117" s="161">
        <v>0</v>
      </c>
      <c r="W117" s="161">
        <f t="shared" si="7"/>
        <v>666.67</v>
      </c>
      <c r="X117" s="161">
        <f t="shared" si="8"/>
        <v>666.67</v>
      </c>
      <c r="Y117" s="161">
        <f t="shared" si="9"/>
        <v>0</v>
      </c>
      <c r="Z117" s="161">
        <v>200</v>
      </c>
      <c r="AA117" s="161">
        <f t="shared" si="10"/>
        <v>200</v>
      </c>
      <c r="AB117" s="161">
        <f t="shared" si="11"/>
        <v>400</v>
      </c>
      <c r="AC117" s="168" t="s">
        <v>914</v>
      </c>
      <c r="AD117" s="158"/>
    </row>
    <row r="118" spans="1:30" ht="12.75" customHeight="1" x14ac:dyDescent="0.3">
      <c r="A118" s="147">
        <v>8</v>
      </c>
      <c r="B118" s="158" t="s">
        <v>876</v>
      </c>
      <c r="C118" s="158" t="s">
        <v>150</v>
      </c>
      <c r="D118" s="158" t="s">
        <v>915</v>
      </c>
      <c r="E118" s="160" t="s">
        <v>25</v>
      </c>
      <c r="F118" s="158" t="s">
        <v>25</v>
      </c>
      <c r="G118" s="160" t="s">
        <v>866</v>
      </c>
      <c r="H118" s="161">
        <v>5681.43</v>
      </c>
      <c r="I118" s="161">
        <v>0</v>
      </c>
      <c r="J118" s="161">
        <v>0</v>
      </c>
      <c r="K118" s="161">
        <v>0</v>
      </c>
      <c r="L118" s="161">
        <v>-2828.89</v>
      </c>
      <c r="M118" s="162">
        <v>-60.058948666329236</v>
      </c>
      <c r="N118" s="161">
        <v>0</v>
      </c>
      <c r="O118" s="162">
        <f t="shared" si="6"/>
        <v>2792.4810513336711</v>
      </c>
      <c r="P118" s="161">
        <v>-2500</v>
      </c>
      <c r="Q118" s="161">
        <v>0</v>
      </c>
      <c r="R118" s="161">
        <v>0</v>
      </c>
      <c r="S118" s="161">
        <v>0</v>
      </c>
      <c r="T118" s="161">
        <v>0</v>
      </c>
      <c r="U118" s="161">
        <v>0</v>
      </c>
      <c r="V118" s="161">
        <v>0</v>
      </c>
      <c r="W118" s="161">
        <f t="shared" si="7"/>
        <v>292.48105133367108</v>
      </c>
      <c r="X118" s="161">
        <f t="shared" si="8"/>
        <v>292.48105133367108</v>
      </c>
      <c r="Y118" s="161">
        <f t="shared" si="9"/>
        <v>0</v>
      </c>
      <c r="Z118" s="161">
        <v>0</v>
      </c>
      <c r="AA118" s="161">
        <f t="shared" si="10"/>
        <v>0</v>
      </c>
      <c r="AB118" s="161">
        <f t="shared" si="11"/>
        <v>2500</v>
      </c>
      <c r="AC118" s="158"/>
      <c r="AD118" s="158"/>
    </row>
    <row r="119" spans="1:30" ht="12.75" customHeight="1" x14ac:dyDescent="0.3">
      <c r="A119" s="147">
        <v>8</v>
      </c>
      <c r="B119" s="158" t="s">
        <v>484</v>
      </c>
      <c r="C119" s="158" t="s">
        <v>46</v>
      </c>
      <c r="D119" s="158" t="s">
        <v>20</v>
      </c>
      <c r="E119" s="160" t="s">
        <v>25</v>
      </c>
      <c r="F119" s="158" t="s">
        <v>25</v>
      </c>
      <c r="G119" s="160" t="s">
        <v>866</v>
      </c>
      <c r="H119" s="161">
        <v>7249.24</v>
      </c>
      <c r="I119" s="161">
        <v>-155.19999999999999</v>
      </c>
      <c r="J119" s="161">
        <v>0</v>
      </c>
      <c r="K119" s="161">
        <v>0</v>
      </c>
      <c r="L119" s="161">
        <v>-4431.63</v>
      </c>
      <c r="M119" s="162">
        <v>-76.632420540233795</v>
      </c>
      <c r="N119" s="161">
        <v>0</v>
      </c>
      <c r="O119" s="162">
        <f t="shared" si="6"/>
        <v>2585.777579459766</v>
      </c>
      <c r="P119" s="161">
        <v>-2142.8571428571431</v>
      </c>
      <c r="Q119" s="161">
        <v>15</v>
      </c>
      <c r="R119" s="161">
        <v>0</v>
      </c>
      <c r="S119" s="161">
        <v>0</v>
      </c>
      <c r="T119" s="161">
        <v>0</v>
      </c>
      <c r="U119" s="161">
        <v>0</v>
      </c>
      <c r="V119" s="161">
        <v>0</v>
      </c>
      <c r="W119" s="161">
        <f t="shared" si="7"/>
        <v>457.92043660262289</v>
      </c>
      <c r="X119" s="161">
        <f t="shared" si="8"/>
        <v>457.92043660262289</v>
      </c>
      <c r="Y119" s="161">
        <f t="shared" si="9"/>
        <v>0</v>
      </c>
      <c r="Z119" s="161">
        <v>0</v>
      </c>
      <c r="AA119" s="161">
        <f t="shared" si="10"/>
        <v>0</v>
      </c>
      <c r="AB119" s="161">
        <f t="shared" si="11"/>
        <v>2127.8571428571431</v>
      </c>
      <c r="AC119" s="158"/>
      <c r="AD119" s="158"/>
    </row>
    <row r="120" spans="1:30" ht="12.75" customHeight="1" x14ac:dyDescent="0.3">
      <c r="A120" s="147">
        <v>8</v>
      </c>
      <c r="B120" s="158" t="s">
        <v>408</v>
      </c>
      <c r="C120" s="158" t="s">
        <v>878</v>
      </c>
      <c r="D120" s="158" t="s">
        <v>879</v>
      </c>
      <c r="E120" s="160" t="s">
        <v>25</v>
      </c>
      <c r="F120" s="158" t="s">
        <v>25</v>
      </c>
      <c r="G120" s="160" t="s">
        <v>866</v>
      </c>
      <c r="H120" s="161">
        <v>6045.31</v>
      </c>
      <c r="I120" s="161">
        <v>-34.400000000000006</v>
      </c>
      <c r="J120" s="161">
        <v>0</v>
      </c>
      <c r="K120" s="161">
        <v>0</v>
      </c>
      <c r="L120" s="161">
        <v>-2635.75</v>
      </c>
      <c r="M120" s="162">
        <v>-63.905559509145895</v>
      </c>
      <c r="N120" s="161">
        <v>0</v>
      </c>
      <c r="O120" s="162">
        <f t="shared" si="6"/>
        <v>3311.2544404908549</v>
      </c>
      <c r="P120" s="161">
        <v>-2500</v>
      </c>
      <c r="Q120" s="161">
        <v>0</v>
      </c>
      <c r="R120" s="161">
        <v>0</v>
      </c>
      <c r="S120" s="161">
        <v>0</v>
      </c>
      <c r="T120" s="161">
        <v>0</v>
      </c>
      <c r="U120" s="161">
        <v>0</v>
      </c>
      <c r="V120" s="161">
        <v>0</v>
      </c>
      <c r="W120" s="161">
        <f t="shared" si="7"/>
        <v>811.2544404908549</v>
      </c>
      <c r="X120" s="161">
        <f t="shared" si="8"/>
        <v>811.2544404908549</v>
      </c>
      <c r="Y120" s="161">
        <f t="shared" si="9"/>
        <v>0</v>
      </c>
      <c r="Z120" s="161">
        <v>0</v>
      </c>
      <c r="AA120" s="161">
        <f t="shared" si="10"/>
        <v>0</v>
      </c>
      <c r="AB120" s="161">
        <f t="shared" si="11"/>
        <v>2500</v>
      </c>
      <c r="AC120" s="158"/>
      <c r="AD120" s="158"/>
    </row>
    <row r="121" spans="1:30" ht="12.75" customHeight="1" x14ac:dyDescent="0.3">
      <c r="A121" s="147">
        <v>8</v>
      </c>
      <c r="B121" s="158" t="s">
        <v>916</v>
      </c>
      <c r="C121" s="158" t="s">
        <v>409</v>
      </c>
      <c r="D121" s="158" t="s">
        <v>889</v>
      </c>
      <c r="E121" s="160" t="s">
        <v>25</v>
      </c>
      <c r="F121" s="158" t="s">
        <v>25</v>
      </c>
      <c r="G121" s="160" t="s">
        <v>866</v>
      </c>
      <c r="H121" s="161">
        <v>4121.57</v>
      </c>
      <c r="I121" s="161">
        <v>0</v>
      </c>
      <c r="J121" s="161">
        <v>0</v>
      </c>
      <c r="K121" s="161">
        <v>0</v>
      </c>
      <c r="L121" s="161">
        <v>-1552.55</v>
      </c>
      <c r="M121" s="162">
        <v>-40</v>
      </c>
      <c r="N121" s="161">
        <v>0</v>
      </c>
      <c r="O121" s="162">
        <f t="shared" si="6"/>
        <v>2529.0199999999995</v>
      </c>
      <c r="P121" s="161">
        <v>-2142.8571428571431</v>
      </c>
      <c r="Q121" s="161">
        <v>0</v>
      </c>
      <c r="R121" s="161">
        <v>0</v>
      </c>
      <c r="S121" s="161">
        <v>0</v>
      </c>
      <c r="T121" s="161">
        <v>0</v>
      </c>
      <c r="U121" s="161">
        <v>0</v>
      </c>
      <c r="V121" s="161">
        <v>0</v>
      </c>
      <c r="W121" s="161">
        <f t="shared" si="7"/>
        <v>386.16285714285641</v>
      </c>
      <c r="X121" s="161">
        <f t="shared" si="8"/>
        <v>386.16285714285641</v>
      </c>
      <c r="Y121" s="161">
        <f t="shared" si="9"/>
        <v>0</v>
      </c>
      <c r="Z121" s="161">
        <v>0</v>
      </c>
      <c r="AA121" s="161">
        <f t="shared" si="10"/>
        <v>0</v>
      </c>
      <c r="AB121" s="161">
        <f t="shared" si="11"/>
        <v>2142.8571428571431</v>
      </c>
      <c r="AC121" s="158"/>
      <c r="AD121" s="158"/>
    </row>
    <row r="122" spans="1:30" ht="12.75" customHeight="1" x14ac:dyDescent="0.3">
      <c r="A122" s="147">
        <v>8</v>
      </c>
      <c r="B122" s="158" t="s">
        <v>880</v>
      </c>
      <c r="C122" s="158" t="s">
        <v>57</v>
      </c>
      <c r="D122" s="158" t="s">
        <v>881</v>
      </c>
      <c r="E122" s="160" t="s">
        <v>25</v>
      </c>
      <c r="F122" s="158" t="s">
        <v>25</v>
      </c>
      <c r="G122" s="160" t="s">
        <v>866</v>
      </c>
      <c r="H122" s="161">
        <v>4323.7299999999996</v>
      </c>
      <c r="I122" s="161">
        <v>-1.33</v>
      </c>
      <c r="J122" s="161">
        <v>0</v>
      </c>
      <c r="K122" s="161">
        <v>0</v>
      </c>
      <c r="L122" s="161">
        <v>-1673.59</v>
      </c>
      <c r="M122" s="162">
        <v>-45.706570021467776</v>
      </c>
      <c r="N122" s="161">
        <v>0</v>
      </c>
      <c r="O122" s="162">
        <f t="shared" si="6"/>
        <v>2603.1034299785315</v>
      </c>
      <c r="P122" s="161">
        <v>-2300</v>
      </c>
      <c r="Q122" s="161">
        <v>0</v>
      </c>
      <c r="R122" s="161">
        <v>0</v>
      </c>
      <c r="S122" s="161">
        <v>-257</v>
      </c>
      <c r="T122" s="161">
        <v>0</v>
      </c>
      <c r="U122" s="161">
        <v>0</v>
      </c>
      <c r="V122" s="161">
        <v>0</v>
      </c>
      <c r="W122" s="161">
        <f t="shared" si="7"/>
        <v>46.103429978531494</v>
      </c>
      <c r="X122" s="161">
        <f t="shared" si="8"/>
        <v>46.103429978531494</v>
      </c>
      <c r="Y122" s="161">
        <f t="shared" si="9"/>
        <v>0</v>
      </c>
      <c r="Z122" s="161">
        <v>0</v>
      </c>
      <c r="AA122" s="161">
        <f t="shared" si="10"/>
        <v>0</v>
      </c>
      <c r="AB122" s="161">
        <f t="shared" si="11"/>
        <v>2557</v>
      </c>
      <c r="AC122" s="158"/>
      <c r="AD122" s="158"/>
    </row>
    <row r="123" spans="1:30" ht="12.75" customHeight="1" x14ac:dyDescent="0.3">
      <c r="A123" s="147">
        <v>8</v>
      </c>
      <c r="B123" s="158" t="s">
        <v>882</v>
      </c>
      <c r="C123" s="158" t="s">
        <v>120</v>
      </c>
      <c r="D123" s="158" t="s">
        <v>917</v>
      </c>
      <c r="E123" s="160" t="s">
        <v>25</v>
      </c>
      <c r="F123" s="158" t="s">
        <v>865</v>
      </c>
      <c r="G123" s="160" t="s">
        <v>866</v>
      </c>
      <c r="H123" s="161">
        <v>757.47</v>
      </c>
      <c r="I123" s="161">
        <v>0</v>
      </c>
      <c r="J123" s="161">
        <v>0</v>
      </c>
      <c r="K123" s="161">
        <v>0</v>
      </c>
      <c r="L123" s="161">
        <v>-193.43</v>
      </c>
      <c r="M123" s="162">
        <v>-8.007288982929369</v>
      </c>
      <c r="N123" s="161">
        <v>0</v>
      </c>
      <c r="O123" s="162">
        <f t="shared" si="6"/>
        <v>556.0327110170706</v>
      </c>
      <c r="P123" s="161">
        <v>-357.14285714285717</v>
      </c>
      <c r="Q123" s="161">
        <v>0</v>
      </c>
      <c r="R123" s="161">
        <v>0</v>
      </c>
      <c r="S123" s="161">
        <v>0</v>
      </c>
      <c r="T123" s="161">
        <v>0</v>
      </c>
      <c r="U123" s="161">
        <v>0</v>
      </c>
      <c r="V123" s="161">
        <v>0</v>
      </c>
      <c r="W123" s="161">
        <f t="shared" si="7"/>
        <v>198.88985387421343</v>
      </c>
      <c r="X123" s="161">
        <f t="shared" si="8"/>
        <v>198.88985387421343</v>
      </c>
      <c r="Y123" s="161">
        <f t="shared" si="9"/>
        <v>0</v>
      </c>
      <c r="Z123" s="161">
        <v>0</v>
      </c>
      <c r="AA123" s="161">
        <f t="shared" si="10"/>
        <v>0</v>
      </c>
      <c r="AB123" s="161">
        <f t="shared" si="11"/>
        <v>357.14285714285717</v>
      </c>
      <c r="AC123" s="158"/>
      <c r="AD123" s="158"/>
    </row>
    <row r="124" spans="1:30" ht="12.75" customHeight="1" x14ac:dyDescent="0.3">
      <c r="A124" s="147">
        <v>8</v>
      </c>
      <c r="B124" s="158" t="s">
        <v>882</v>
      </c>
      <c r="C124" s="158" t="s">
        <v>120</v>
      </c>
      <c r="D124" s="158" t="s">
        <v>917</v>
      </c>
      <c r="E124" s="160" t="s">
        <v>25</v>
      </c>
      <c r="F124" s="158" t="s">
        <v>865</v>
      </c>
      <c r="G124" s="160" t="s">
        <v>866</v>
      </c>
      <c r="H124" s="161">
        <v>5918.87</v>
      </c>
      <c r="I124" s="161">
        <v>-82.4</v>
      </c>
      <c r="J124" s="161">
        <v>0</v>
      </c>
      <c r="K124" s="161">
        <v>0</v>
      </c>
      <c r="L124" s="161">
        <v>-1794</v>
      </c>
      <c r="M124" s="162">
        <v>0</v>
      </c>
      <c r="N124" s="161">
        <v>0</v>
      </c>
      <c r="O124" s="162">
        <f t="shared" si="6"/>
        <v>4042.4700000000003</v>
      </c>
      <c r="P124" s="161">
        <v>0</v>
      </c>
      <c r="Q124" s="161">
        <v>0</v>
      </c>
      <c r="R124" s="161">
        <v>0</v>
      </c>
      <c r="S124" s="161">
        <v>0</v>
      </c>
      <c r="T124" s="161">
        <v>0</v>
      </c>
      <c r="U124" s="161">
        <v>0</v>
      </c>
      <c r="V124" s="161">
        <v>0</v>
      </c>
      <c r="W124" s="161">
        <f t="shared" si="7"/>
        <v>4042.4700000000003</v>
      </c>
      <c r="X124" s="161">
        <f t="shared" si="8"/>
        <v>4042.4700000000003</v>
      </c>
      <c r="Y124" s="161">
        <f t="shared" si="9"/>
        <v>0</v>
      </c>
      <c r="Z124" s="161">
        <v>0</v>
      </c>
      <c r="AA124" s="161">
        <f t="shared" si="10"/>
        <v>0</v>
      </c>
      <c r="AB124" s="161">
        <f t="shared" si="11"/>
        <v>0</v>
      </c>
      <c r="AC124" s="158"/>
      <c r="AD124" s="158"/>
    </row>
    <row r="125" spans="1:30" ht="12.75" customHeight="1" x14ac:dyDescent="0.3">
      <c r="A125" s="147">
        <v>9</v>
      </c>
      <c r="B125" s="158" t="s">
        <v>585</v>
      </c>
      <c r="C125" s="158" t="s">
        <v>863</v>
      </c>
      <c r="D125" s="158" t="s">
        <v>864</v>
      </c>
      <c r="E125" s="160" t="s">
        <v>25</v>
      </c>
      <c r="F125" s="158" t="s">
        <v>865</v>
      </c>
      <c r="G125" s="160" t="s">
        <v>866</v>
      </c>
      <c r="H125" s="161">
        <v>2323.84</v>
      </c>
      <c r="I125" s="161">
        <v>0</v>
      </c>
      <c r="J125" s="161">
        <v>0</v>
      </c>
      <c r="K125" s="161">
        <v>0</v>
      </c>
      <c r="L125" s="161">
        <v>-907.84</v>
      </c>
      <c r="M125" s="162">
        <v>-18</v>
      </c>
      <c r="N125" s="161">
        <v>0</v>
      </c>
      <c r="O125" s="162">
        <f t="shared" si="6"/>
        <v>1398</v>
      </c>
      <c r="P125" s="161">
        <v>-2500</v>
      </c>
      <c r="Q125" s="161">
        <v>0</v>
      </c>
      <c r="R125" s="161">
        <v>0</v>
      </c>
      <c r="S125" s="161">
        <v>-500</v>
      </c>
      <c r="T125" s="161">
        <v>0</v>
      </c>
      <c r="U125" s="161">
        <v>0</v>
      </c>
      <c r="V125" s="161">
        <v>0</v>
      </c>
      <c r="W125" s="161">
        <f t="shared" si="7"/>
        <v>-1602</v>
      </c>
      <c r="X125" s="161">
        <f t="shared" si="8"/>
        <v>0</v>
      </c>
      <c r="Y125" s="161">
        <f t="shared" si="9"/>
        <v>-1602</v>
      </c>
      <c r="Z125" s="161">
        <v>1602</v>
      </c>
      <c r="AA125" s="161">
        <f t="shared" si="10"/>
        <v>0</v>
      </c>
      <c r="AB125" s="161">
        <f t="shared" si="11"/>
        <v>3000</v>
      </c>
      <c r="AC125" s="158"/>
      <c r="AD125" s="158"/>
    </row>
    <row r="126" spans="1:30" ht="12.75" customHeight="1" x14ac:dyDescent="0.3">
      <c r="A126" s="147">
        <v>9</v>
      </c>
      <c r="B126" s="158" t="s">
        <v>868</v>
      </c>
      <c r="C126" s="158" t="s">
        <v>68</v>
      </c>
      <c r="D126" s="158" t="s">
        <v>869</v>
      </c>
      <c r="E126" s="160" t="s">
        <v>25</v>
      </c>
      <c r="F126" s="158" t="s">
        <v>865</v>
      </c>
      <c r="G126" s="160" t="s">
        <v>866</v>
      </c>
      <c r="H126" s="161">
        <v>1874.75</v>
      </c>
      <c r="I126" s="161">
        <v>-120</v>
      </c>
      <c r="J126" s="161">
        <v>0</v>
      </c>
      <c r="K126" s="161">
        <v>0</v>
      </c>
      <c r="L126" s="161">
        <v>-392.4</v>
      </c>
      <c r="M126" s="162">
        <v>-10</v>
      </c>
      <c r="N126" s="161">
        <v>0</v>
      </c>
      <c r="O126" s="162">
        <f t="shared" si="6"/>
        <v>1352.35</v>
      </c>
      <c r="P126" s="161">
        <v>-2500</v>
      </c>
      <c r="Q126" s="161">
        <v>0</v>
      </c>
      <c r="R126" s="161">
        <v>0</v>
      </c>
      <c r="S126" s="161">
        <v>0</v>
      </c>
      <c r="T126" s="161">
        <v>0</v>
      </c>
      <c r="U126" s="161">
        <v>0</v>
      </c>
      <c r="V126" s="161">
        <v>0</v>
      </c>
      <c r="W126" s="161">
        <f t="shared" si="7"/>
        <v>-1147.6500000000001</v>
      </c>
      <c r="X126" s="161">
        <f t="shared" si="8"/>
        <v>0</v>
      </c>
      <c r="Y126" s="161">
        <f t="shared" si="9"/>
        <v>-1147.6500000000001</v>
      </c>
      <c r="Z126" s="161">
        <v>1148</v>
      </c>
      <c r="AA126" s="161">
        <f t="shared" si="10"/>
        <v>0.34999999999990905</v>
      </c>
      <c r="AB126" s="161">
        <f t="shared" si="11"/>
        <v>2500.6999999999998</v>
      </c>
      <c r="AC126" s="158"/>
      <c r="AD126" s="158"/>
    </row>
    <row r="127" spans="1:30" ht="12.75" customHeight="1" x14ac:dyDescent="0.3">
      <c r="A127" s="147">
        <v>9</v>
      </c>
      <c r="B127" s="158" t="s">
        <v>913</v>
      </c>
      <c r="C127" s="158" t="s">
        <v>195</v>
      </c>
      <c r="D127" s="158" t="s">
        <v>20</v>
      </c>
      <c r="E127" s="160" t="s">
        <v>871</v>
      </c>
      <c r="F127" s="158" t="s">
        <v>25</v>
      </c>
      <c r="G127" s="160" t="s">
        <v>866</v>
      </c>
      <c r="H127" s="161">
        <v>7193.14</v>
      </c>
      <c r="I127" s="161">
        <v>-84</v>
      </c>
      <c r="J127" s="161">
        <v>0</v>
      </c>
      <c r="K127" s="161">
        <v>0</v>
      </c>
      <c r="L127" s="161">
        <v>-3764.59</v>
      </c>
      <c r="M127" s="162">
        <v>0</v>
      </c>
      <c r="N127" s="161">
        <v>0</v>
      </c>
      <c r="O127" s="162">
        <f t="shared" si="6"/>
        <v>3344.55</v>
      </c>
      <c r="P127" s="161">
        <v>-2400</v>
      </c>
      <c r="Q127" s="161">
        <v>-1</v>
      </c>
      <c r="R127" s="161">
        <v>-500</v>
      </c>
      <c r="S127" s="161">
        <v>0</v>
      </c>
      <c r="T127" s="161">
        <v>0</v>
      </c>
      <c r="U127" s="161">
        <v>0</v>
      </c>
      <c r="V127" s="161">
        <v>0</v>
      </c>
      <c r="W127" s="161">
        <f t="shared" si="7"/>
        <v>443.55000000000018</v>
      </c>
      <c r="X127" s="161">
        <f t="shared" si="8"/>
        <v>443.55000000000018</v>
      </c>
      <c r="Y127" s="161">
        <f t="shared" si="9"/>
        <v>0</v>
      </c>
      <c r="Z127" s="161">
        <v>0</v>
      </c>
      <c r="AA127" s="161">
        <f t="shared" si="10"/>
        <v>0</v>
      </c>
      <c r="AB127" s="161">
        <f t="shared" si="11"/>
        <v>2901</v>
      </c>
      <c r="AC127" s="158"/>
      <c r="AD127" s="158"/>
    </row>
    <row r="128" spans="1:30" ht="12.75" customHeight="1" x14ac:dyDescent="0.3">
      <c r="A128" s="147">
        <v>9</v>
      </c>
      <c r="B128" s="158" t="s">
        <v>888</v>
      </c>
      <c r="C128" s="158" t="s">
        <v>409</v>
      </c>
      <c r="D128" s="163" t="s">
        <v>889</v>
      </c>
      <c r="E128" s="160" t="s">
        <v>25</v>
      </c>
      <c r="F128" s="158" t="s">
        <v>25</v>
      </c>
      <c r="G128" s="160" t="s">
        <v>866</v>
      </c>
      <c r="H128" s="161">
        <v>0</v>
      </c>
      <c r="I128" s="161">
        <v>0</v>
      </c>
      <c r="J128" s="161">
        <v>0</v>
      </c>
      <c r="K128" s="161">
        <v>0</v>
      </c>
      <c r="L128" s="161">
        <v>0</v>
      </c>
      <c r="M128" s="162">
        <v>0</v>
      </c>
      <c r="N128" s="161">
        <v>0</v>
      </c>
      <c r="O128" s="162">
        <f t="shared" si="6"/>
        <v>0</v>
      </c>
      <c r="P128" s="161">
        <v>0</v>
      </c>
      <c r="Q128" s="161">
        <v>0</v>
      </c>
      <c r="R128" s="161">
        <v>500</v>
      </c>
      <c r="S128" s="161">
        <v>0</v>
      </c>
      <c r="T128" s="161">
        <v>0</v>
      </c>
      <c r="U128" s="161">
        <v>0</v>
      </c>
      <c r="V128" s="161">
        <v>0</v>
      </c>
      <c r="W128" s="161">
        <f t="shared" si="7"/>
        <v>500</v>
      </c>
      <c r="X128" s="161">
        <f t="shared" si="8"/>
        <v>500</v>
      </c>
      <c r="Y128" s="161">
        <f t="shared" si="9"/>
        <v>0</v>
      </c>
      <c r="Z128" s="161">
        <v>0</v>
      </c>
      <c r="AA128" s="161">
        <f t="shared" si="10"/>
        <v>0</v>
      </c>
      <c r="AB128" s="161">
        <f t="shared" si="11"/>
        <v>-500</v>
      </c>
      <c r="AC128" s="158"/>
      <c r="AD128" s="158"/>
    </row>
    <row r="129" spans="1:30" ht="12.75" customHeight="1" x14ac:dyDescent="0.3">
      <c r="A129" s="147">
        <v>9</v>
      </c>
      <c r="B129" s="158" t="s">
        <v>894</v>
      </c>
      <c r="C129" s="158" t="s">
        <v>347</v>
      </c>
      <c r="D129" s="158" t="s">
        <v>897</v>
      </c>
      <c r="E129" s="160" t="s">
        <v>25</v>
      </c>
      <c r="F129" s="158" t="s">
        <v>25</v>
      </c>
      <c r="G129" s="160" t="s">
        <v>866</v>
      </c>
      <c r="H129" s="161">
        <v>2823.95</v>
      </c>
      <c r="I129" s="161">
        <v>-11.25</v>
      </c>
      <c r="J129" s="161">
        <v>0</v>
      </c>
      <c r="K129" s="161">
        <v>0</v>
      </c>
      <c r="L129" s="161">
        <v>-1209.8800000000001</v>
      </c>
      <c r="M129" s="162">
        <v>-20.534493833943685</v>
      </c>
      <c r="N129" s="161">
        <v>-502.33</v>
      </c>
      <c r="O129" s="162">
        <f t="shared" si="6"/>
        <v>1079.955506166056</v>
      </c>
      <c r="P129" s="161">
        <v>-2500</v>
      </c>
      <c r="Q129" s="161">
        <v>-300</v>
      </c>
      <c r="R129" s="161">
        <v>0</v>
      </c>
      <c r="S129" s="161">
        <v>0</v>
      </c>
      <c r="T129" s="161">
        <v>0</v>
      </c>
      <c r="U129" s="161">
        <v>0</v>
      </c>
      <c r="V129" s="161">
        <v>0</v>
      </c>
      <c r="W129" s="161">
        <f t="shared" si="7"/>
        <v>-1720.044493833944</v>
      </c>
      <c r="X129" s="161">
        <f t="shared" si="8"/>
        <v>0</v>
      </c>
      <c r="Y129" s="161">
        <f t="shared" si="9"/>
        <v>-1720.044493833944</v>
      </c>
      <c r="Z129" s="161">
        <v>0</v>
      </c>
      <c r="AA129" s="161">
        <f t="shared" si="10"/>
        <v>-1720.044493833944</v>
      </c>
      <c r="AB129" s="161">
        <f t="shared" si="11"/>
        <v>-640.08898766788798</v>
      </c>
      <c r="AC129" s="158"/>
      <c r="AD129" s="158"/>
    </row>
    <row r="130" spans="1:30" ht="12.75" customHeight="1" x14ac:dyDescent="0.3">
      <c r="A130" s="147">
        <v>9</v>
      </c>
      <c r="B130" s="158" t="s">
        <v>890</v>
      </c>
      <c r="C130" s="158" t="s">
        <v>64</v>
      </c>
      <c r="D130" s="158" t="s">
        <v>903</v>
      </c>
      <c r="E130" s="160" t="s">
        <v>25</v>
      </c>
      <c r="F130" s="158" t="s">
        <v>25</v>
      </c>
      <c r="G130" s="160" t="s">
        <v>866</v>
      </c>
      <c r="H130" s="161">
        <v>5365.52</v>
      </c>
      <c r="I130" s="161">
        <v>0</v>
      </c>
      <c r="J130" s="161">
        <v>0</v>
      </c>
      <c r="K130" s="161">
        <v>0</v>
      </c>
      <c r="L130" s="161">
        <v>-805</v>
      </c>
      <c r="M130" s="162">
        <v>-39.015647357744129</v>
      </c>
      <c r="N130" s="161">
        <v>0</v>
      </c>
      <c r="O130" s="162">
        <f t="shared" ref="O130:O193" si="12">SUM(H130:N130)</f>
        <v>4521.504352642256</v>
      </c>
      <c r="P130" s="161">
        <v>-2500</v>
      </c>
      <c r="Q130" s="161">
        <v>0</v>
      </c>
      <c r="R130" s="161">
        <v>0</v>
      </c>
      <c r="S130" s="161">
        <v>-300</v>
      </c>
      <c r="T130" s="161">
        <v>0</v>
      </c>
      <c r="U130" s="161">
        <v>0</v>
      </c>
      <c r="V130" s="161">
        <v>0</v>
      </c>
      <c r="W130" s="161">
        <f t="shared" ref="W130:W193" si="13">+O130+SUM(P130:V130)</f>
        <v>1721.504352642256</v>
      </c>
      <c r="X130" s="161">
        <f t="shared" ref="X130:X193" si="14">IF(W130&gt;=0,W130,0)</f>
        <v>1721.504352642256</v>
      </c>
      <c r="Y130" s="161">
        <f t="shared" ref="Y130:Y193" si="15">IF(W130&lt;=0,W130,0)</f>
        <v>0</v>
      </c>
      <c r="Z130" s="161">
        <v>0</v>
      </c>
      <c r="AA130" s="161">
        <f t="shared" ref="AA130:AA193" si="16">+Y130+Z130</f>
        <v>0</v>
      </c>
      <c r="AB130" s="161">
        <f t="shared" ref="AB130:AB193" si="17">+O130-X130+Z130+AA130</f>
        <v>2800</v>
      </c>
      <c r="AC130" s="158"/>
      <c r="AD130" s="158"/>
    </row>
    <row r="131" spans="1:30" ht="12.75" customHeight="1" x14ac:dyDescent="0.3">
      <c r="A131" s="147">
        <v>9</v>
      </c>
      <c r="B131" s="158" t="s">
        <v>872</v>
      </c>
      <c r="C131" s="158" t="s">
        <v>36</v>
      </c>
      <c r="D131" s="158" t="s">
        <v>904</v>
      </c>
      <c r="E131" s="160" t="s">
        <v>25</v>
      </c>
      <c r="F131" s="158" t="s">
        <v>25</v>
      </c>
      <c r="G131" s="160" t="s">
        <v>866</v>
      </c>
      <c r="H131" s="161">
        <v>12587.42</v>
      </c>
      <c r="I131" s="161">
        <v>-216</v>
      </c>
      <c r="J131" s="161">
        <v>0</v>
      </c>
      <c r="K131" s="161">
        <v>0</v>
      </c>
      <c r="L131" s="161">
        <v>-6062.13</v>
      </c>
      <c r="M131" s="162">
        <v>-90.13</v>
      </c>
      <c r="N131" s="161">
        <v>-155</v>
      </c>
      <c r="O131" s="162">
        <f t="shared" si="12"/>
        <v>6064.16</v>
      </c>
      <c r="P131" s="161">
        <v>-2500</v>
      </c>
      <c r="Q131" s="161">
        <v>-500</v>
      </c>
      <c r="R131" s="161">
        <v>0</v>
      </c>
      <c r="S131" s="161">
        <v>-500</v>
      </c>
      <c r="T131" s="161">
        <v>0</v>
      </c>
      <c r="U131" s="161">
        <v>0</v>
      </c>
      <c r="V131" s="161">
        <v>0</v>
      </c>
      <c r="W131" s="161">
        <f t="shared" si="13"/>
        <v>2564.16</v>
      </c>
      <c r="X131" s="161">
        <f t="shared" si="14"/>
        <v>2564.16</v>
      </c>
      <c r="Y131" s="161">
        <f t="shared" si="15"/>
        <v>0</v>
      </c>
      <c r="Z131" s="161">
        <v>0</v>
      </c>
      <c r="AA131" s="161">
        <f t="shared" si="16"/>
        <v>0</v>
      </c>
      <c r="AB131" s="161">
        <f t="shared" si="17"/>
        <v>3500</v>
      </c>
      <c r="AC131" s="158"/>
      <c r="AD131" s="158"/>
    </row>
    <row r="132" spans="1:30" ht="12.75" customHeight="1" x14ac:dyDescent="0.3">
      <c r="A132" s="147">
        <v>9</v>
      </c>
      <c r="B132" s="158" t="s">
        <v>874</v>
      </c>
      <c r="C132" s="158" t="s">
        <v>183</v>
      </c>
      <c r="D132" s="158" t="s">
        <v>887</v>
      </c>
      <c r="E132" s="160" t="s">
        <v>25</v>
      </c>
      <c r="F132" s="158" t="s">
        <v>25</v>
      </c>
      <c r="G132" s="160" t="s">
        <v>866</v>
      </c>
      <c r="H132" s="161">
        <v>5277.13</v>
      </c>
      <c r="I132" s="161">
        <v>0</v>
      </c>
      <c r="J132" s="161">
        <v>0</v>
      </c>
      <c r="K132" s="161">
        <v>0</v>
      </c>
      <c r="L132" s="161">
        <v>-3123.09</v>
      </c>
      <c r="M132" s="162">
        <v>0</v>
      </c>
      <c r="N132" s="161">
        <v>-66</v>
      </c>
      <c r="O132" s="162">
        <f t="shared" si="12"/>
        <v>2088.04</v>
      </c>
      <c r="P132" s="161">
        <v>-2154.04</v>
      </c>
      <c r="Q132" s="161">
        <v>-3123.09</v>
      </c>
      <c r="R132" s="161">
        <v>0</v>
      </c>
      <c r="S132" s="161">
        <v>0</v>
      </c>
      <c r="T132" s="161">
        <v>0</v>
      </c>
      <c r="U132" s="161">
        <v>0</v>
      </c>
      <c r="V132" s="161">
        <v>0</v>
      </c>
      <c r="W132" s="161">
        <f t="shared" si="13"/>
        <v>-3189.09</v>
      </c>
      <c r="X132" s="161">
        <f t="shared" si="14"/>
        <v>0</v>
      </c>
      <c r="Y132" s="161">
        <f t="shared" si="15"/>
        <v>-3189.09</v>
      </c>
      <c r="Z132" s="161">
        <v>3189</v>
      </c>
      <c r="AA132" s="161">
        <f t="shared" si="16"/>
        <v>-9.0000000000145519E-2</v>
      </c>
      <c r="AB132" s="161">
        <f t="shared" si="17"/>
        <v>5276.95</v>
      </c>
      <c r="AC132" s="158"/>
      <c r="AD132" s="158"/>
    </row>
    <row r="133" spans="1:30" ht="12.75" customHeight="1" x14ac:dyDescent="0.3">
      <c r="A133" s="147">
        <v>9</v>
      </c>
      <c r="B133" s="158" t="s">
        <v>918</v>
      </c>
      <c r="C133" s="158" t="s">
        <v>169</v>
      </c>
      <c r="D133" s="158" t="s">
        <v>919</v>
      </c>
      <c r="E133" s="160" t="s">
        <v>871</v>
      </c>
      <c r="F133" s="158" t="s">
        <v>25</v>
      </c>
      <c r="G133" s="160" t="s">
        <v>866</v>
      </c>
      <c r="H133" s="161">
        <v>8275.59</v>
      </c>
      <c r="I133" s="161">
        <v>-25.6</v>
      </c>
      <c r="J133" s="161">
        <v>0</v>
      </c>
      <c r="K133" s="161">
        <v>0</v>
      </c>
      <c r="L133" s="161">
        <v>-3373.99</v>
      </c>
      <c r="M133" s="162">
        <v>-60.176367084136061</v>
      </c>
      <c r="N133" s="161">
        <v>0</v>
      </c>
      <c r="O133" s="162">
        <f t="shared" si="12"/>
        <v>4815.8236329158635</v>
      </c>
      <c r="P133" s="161">
        <v>-2350</v>
      </c>
      <c r="Q133" s="161">
        <v>0</v>
      </c>
      <c r="R133" s="161">
        <v>-500</v>
      </c>
      <c r="S133" s="161">
        <v>0</v>
      </c>
      <c r="T133" s="161">
        <v>0</v>
      </c>
      <c r="U133" s="161">
        <v>0</v>
      </c>
      <c r="V133" s="161">
        <v>0</v>
      </c>
      <c r="W133" s="161">
        <f t="shared" si="13"/>
        <v>1965.8236329158635</v>
      </c>
      <c r="X133" s="161">
        <f t="shared" si="14"/>
        <v>1965.8236329158635</v>
      </c>
      <c r="Y133" s="161">
        <f t="shared" si="15"/>
        <v>0</v>
      </c>
      <c r="Z133" s="161">
        <v>0</v>
      </c>
      <c r="AA133" s="161">
        <f t="shared" si="16"/>
        <v>0</v>
      </c>
      <c r="AB133" s="161">
        <f t="shared" si="17"/>
        <v>2850</v>
      </c>
      <c r="AC133" s="158"/>
      <c r="AD133" s="158"/>
    </row>
    <row r="134" spans="1:30" ht="12.75" customHeight="1" x14ac:dyDescent="0.3">
      <c r="A134" s="147">
        <v>9</v>
      </c>
      <c r="B134" s="158" t="s">
        <v>876</v>
      </c>
      <c r="C134" s="158" t="s">
        <v>150</v>
      </c>
      <c r="D134" s="158" t="s">
        <v>915</v>
      </c>
      <c r="E134" s="160" t="s">
        <v>25</v>
      </c>
      <c r="F134" s="158" t="s">
        <v>25</v>
      </c>
      <c r="G134" s="160" t="s">
        <v>866</v>
      </c>
      <c r="H134" s="161">
        <v>7235.39</v>
      </c>
      <c r="I134" s="161">
        <v>0</v>
      </c>
      <c r="J134" s="161">
        <v>0</v>
      </c>
      <c r="K134" s="161">
        <v>0</v>
      </c>
      <c r="L134" s="161">
        <v>-2866.99</v>
      </c>
      <c r="M134" s="162">
        <v>-52.612500696250933</v>
      </c>
      <c r="N134" s="161">
        <v>0</v>
      </c>
      <c r="O134" s="162">
        <f t="shared" si="12"/>
        <v>4315.7874993037494</v>
      </c>
      <c r="P134" s="161">
        <v>-2500</v>
      </c>
      <c r="Q134" s="161">
        <v>0</v>
      </c>
      <c r="R134" s="161">
        <v>0</v>
      </c>
      <c r="S134" s="161">
        <v>0</v>
      </c>
      <c r="T134" s="161">
        <v>0</v>
      </c>
      <c r="U134" s="161">
        <v>0</v>
      </c>
      <c r="V134" s="161">
        <v>0</v>
      </c>
      <c r="W134" s="161">
        <f t="shared" si="13"/>
        <v>1815.7874993037494</v>
      </c>
      <c r="X134" s="161">
        <f t="shared" si="14"/>
        <v>1815.7874993037494</v>
      </c>
      <c r="Y134" s="161">
        <f t="shared" si="15"/>
        <v>0</v>
      </c>
      <c r="Z134" s="161">
        <v>0</v>
      </c>
      <c r="AA134" s="161">
        <f t="shared" si="16"/>
        <v>0</v>
      </c>
      <c r="AB134" s="161">
        <f t="shared" si="17"/>
        <v>2500</v>
      </c>
      <c r="AC134" s="158"/>
      <c r="AD134" s="158"/>
    </row>
    <row r="135" spans="1:30" ht="12.75" customHeight="1" x14ac:dyDescent="0.3">
      <c r="A135" s="147">
        <v>9</v>
      </c>
      <c r="B135" s="158" t="s">
        <v>484</v>
      </c>
      <c r="C135" s="158" t="s">
        <v>46</v>
      </c>
      <c r="D135" s="158" t="s">
        <v>20</v>
      </c>
      <c r="E135" s="160" t="s">
        <v>25</v>
      </c>
      <c r="F135" s="158" t="s">
        <v>25</v>
      </c>
      <c r="G135" s="160" t="s">
        <v>866</v>
      </c>
      <c r="H135" s="161">
        <v>6907.17</v>
      </c>
      <c r="I135" s="161">
        <v>-112.8</v>
      </c>
      <c r="J135" s="161">
        <v>0</v>
      </c>
      <c r="K135" s="161">
        <v>0</v>
      </c>
      <c r="L135" s="161">
        <v>-3949.64</v>
      </c>
      <c r="M135" s="162">
        <v>-50.225832530675405</v>
      </c>
      <c r="N135" s="161">
        <v>0</v>
      </c>
      <c r="O135" s="162">
        <f t="shared" si="12"/>
        <v>2794.5041674693248</v>
      </c>
      <c r="P135" s="161">
        <v>-2500</v>
      </c>
      <c r="Q135" s="161">
        <v>-42</v>
      </c>
      <c r="R135" s="161">
        <v>0</v>
      </c>
      <c r="S135" s="161">
        <v>0</v>
      </c>
      <c r="T135" s="161">
        <v>0</v>
      </c>
      <c r="U135" s="161">
        <v>0</v>
      </c>
      <c r="V135" s="161">
        <v>0</v>
      </c>
      <c r="W135" s="161">
        <f t="shared" si="13"/>
        <v>252.50416746932478</v>
      </c>
      <c r="X135" s="161">
        <f t="shared" si="14"/>
        <v>252.50416746932478</v>
      </c>
      <c r="Y135" s="161">
        <f t="shared" si="15"/>
        <v>0</v>
      </c>
      <c r="Z135" s="161">
        <v>0</v>
      </c>
      <c r="AA135" s="161">
        <f t="shared" si="16"/>
        <v>0</v>
      </c>
      <c r="AB135" s="161">
        <f t="shared" si="17"/>
        <v>2542</v>
      </c>
      <c r="AC135" s="158"/>
      <c r="AD135" s="158"/>
    </row>
    <row r="136" spans="1:30" ht="12.75" customHeight="1" x14ac:dyDescent="0.3">
      <c r="A136" s="147">
        <v>9</v>
      </c>
      <c r="B136" s="158" t="s">
        <v>408</v>
      </c>
      <c r="C136" s="158" t="s">
        <v>878</v>
      </c>
      <c r="D136" s="158" t="s">
        <v>879</v>
      </c>
      <c r="E136" s="160" t="s">
        <v>25</v>
      </c>
      <c r="F136" s="158" t="s">
        <v>25</v>
      </c>
      <c r="G136" s="160" t="s">
        <v>866</v>
      </c>
      <c r="H136" s="161">
        <v>4200.58</v>
      </c>
      <c r="I136" s="161">
        <v>0</v>
      </c>
      <c r="J136" s="161">
        <v>0</v>
      </c>
      <c r="K136" s="161">
        <v>0</v>
      </c>
      <c r="L136" s="161">
        <v>-908.09</v>
      </c>
      <c r="M136" s="162">
        <v>-30.544727813519064</v>
      </c>
      <c r="N136" s="161">
        <v>0</v>
      </c>
      <c r="O136" s="162">
        <f t="shared" si="12"/>
        <v>3261.9452721864809</v>
      </c>
      <c r="P136" s="161">
        <v>-2500</v>
      </c>
      <c r="Q136" s="161">
        <v>0</v>
      </c>
      <c r="R136" s="161">
        <v>0</v>
      </c>
      <c r="S136" s="161">
        <v>0</v>
      </c>
      <c r="T136" s="161">
        <v>0</v>
      </c>
      <c r="U136" s="161">
        <v>0</v>
      </c>
      <c r="V136" s="161">
        <v>0</v>
      </c>
      <c r="W136" s="161">
        <f t="shared" si="13"/>
        <v>761.94527218648091</v>
      </c>
      <c r="X136" s="161">
        <f t="shared" si="14"/>
        <v>761.94527218648091</v>
      </c>
      <c r="Y136" s="161">
        <f t="shared" si="15"/>
        <v>0</v>
      </c>
      <c r="Z136" s="161">
        <v>0</v>
      </c>
      <c r="AA136" s="161">
        <f t="shared" si="16"/>
        <v>0</v>
      </c>
      <c r="AB136" s="161">
        <f t="shared" si="17"/>
        <v>2500</v>
      </c>
      <c r="AC136" s="158"/>
      <c r="AD136" s="158"/>
    </row>
    <row r="137" spans="1:30" ht="12.75" customHeight="1" x14ac:dyDescent="0.3">
      <c r="A137" s="147">
        <v>9</v>
      </c>
      <c r="B137" s="158" t="s">
        <v>916</v>
      </c>
      <c r="C137" s="158" t="s">
        <v>409</v>
      </c>
      <c r="D137" s="158" t="s">
        <v>889</v>
      </c>
      <c r="E137" s="160" t="s">
        <v>25</v>
      </c>
      <c r="F137" s="158" t="s">
        <v>25</v>
      </c>
      <c r="G137" s="160" t="s">
        <v>866</v>
      </c>
      <c r="H137" s="161">
        <v>3148.92</v>
      </c>
      <c r="I137" s="161">
        <v>0</v>
      </c>
      <c r="J137" s="161">
        <v>0</v>
      </c>
      <c r="K137" s="161">
        <v>0</v>
      </c>
      <c r="L137" s="161">
        <v>-1728.95</v>
      </c>
      <c r="M137" s="162">
        <v>-22.897529461775864</v>
      </c>
      <c r="N137" s="161">
        <v>0</v>
      </c>
      <c r="O137" s="162">
        <f t="shared" si="12"/>
        <v>1397.0724705382243</v>
      </c>
      <c r="P137" s="161">
        <v>-2500</v>
      </c>
      <c r="Q137" s="161">
        <v>0</v>
      </c>
      <c r="R137" s="161">
        <v>-500</v>
      </c>
      <c r="S137" s="161">
        <v>0</v>
      </c>
      <c r="T137" s="161">
        <v>0</v>
      </c>
      <c r="U137" s="161">
        <v>0</v>
      </c>
      <c r="V137" s="161">
        <v>0</v>
      </c>
      <c r="W137" s="161">
        <f t="shared" si="13"/>
        <v>-1602.9275294617757</v>
      </c>
      <c r="X137" s="161">
        <f t="shared" si="14"/>
        <v>0</v>
      </c>
      <c r="Y137" s="161">
        <f t="shared" si="15"/>
        <v>-1602.9275294617757</v>
      </c>
      <c r="Z137" s="161">
        <v>1500</v>
      </c>
      <c r="AA137" s="161">
        <f t="shared" si="16"/>
        <v>-102.92752946177575</v>
      </c>
      <c r="AB137" s="161">
        <f t="shared" si="17"/>
        <v>2794.144941076449</v>
      </c>
      <c r="AC137" s="158"/>
      <c r="AD137" s="158"/>
    </row>
    <row r="138" spans="1:30" ht="12.75" customHeight="1" x14ac:dyDescent="0.3">
      <c r="A138" s="147">
        <v>9</v>
      </c>
      <c r="B138" s="158" t="s">
        <v>920</v>
      </c>
      <c r="C138" s="158" t="s">
        <v>372</v>
      </c>
      <c r="D138" s="158" t="s">
        <v>20</v>
      </c>
      <c r="E138" s="158" t="s">
        <v>39</v>
      </c>
      <c r="F138" s="158" t="s">
        <v>25</v>
      </c>
      <c r="G138" s="160" t="s">
        <v>866</v>
      </c>
      <c r="H138" s="161">
        <v>2006.67</v>
      </c>
      <c r="I138" s="161">
        <v>0</v>
      </c>
      <c r="J138" s="161">
        <v>0</v>
      </c>
      <c r="K138" s="161">
        <v>0</v>
      </c>
      <c r="L138" s="161">
        <v>-1520.46</v>
      </c>
      <c r="M138" s="162">
        <v>0</v>
      </c>
      <c r="N138" s="161">
        <v>0</v>
      </c>
      <c r="O138" s="162">
        <f t="shared" si="12"/>
        <v>486.21000000000004</v>
      </c>
      <c r="P138" s="161">
        <v>-1071.4285714285716</v>
      </c>
      <c r="Q138" s="161">
        <v>0</v>
      </c>
      <c r="R138" s="161">
        <v>0</v>
      </c>
      <c r="S138" s="161">
        <v>0</v>
      </c>
      <c r="T138" s="161">
        <v>0</v>
      </c>
      <c r="U138" s="161">
        <v>0</v>
      </c>
      <c r="V138" s="161">
        <v>0</v>
      </c>
      <c r="W138" s="161">
        <f t="shared" si="13"/>
        <v>-585.21857142857152</v>
      </c>
      <c r="X138" s="161">
        <f t="shared" si="14"/>
        <v>0</v>
      </c>
      <c r="Y138" s="161">
        <f t="shared" si="15"/>
        <v>-585.21857142857152</v>
      </c>
      <c r="Z138" s="161">
        <v>0</v>
      </c>
      <c r="AA138" s="161">
        <f t="shared" si="16"/>
        <v>-585.21857142857152</v>
      </c>
      <c r="AB138" s="161">
        <f t="shared" si="17"/>
        <v>-99.008571428571486</v>
      </c>
      <c r="AC138" s="158"/>
      <c r="AD138" s="158"/>
    </row>
    <row r="139" spans="1:30" ht="12.75" customHeight="1" x14ac:dyDescent="0.3">
      <c r="A139" s="147">
        <v>9</v>
      </c>
      <c r="B139" s="158" t="s">
        <v>880</v>
      </c>
      <c r="C139" s="158" t="s">
        <v>57</v>
      </c>
      <c r="D139" s="158" t="s">
        <v>881</v>
      </c>
      <c r="E139" s="160" t="s">
        <v>25</v>
      </c>
      <c r="F139" s="158" t="s">
        <v>25</v>
      </c>
      <c r="G139" s="160" t="s">
        <v>866</v>
      </c>
      <c r="H139" s="161">
        <v>3739.65</v>
      </c>
      <c r="I139" s="161">
        <v>-19.2</v>
      </c>
      <c r="J139" s="161">
        <v>0</v>
      </c>
      <c r="K139" s="161">
        <v>0</v>
      </c>
      <c r="L139" s="161">
        <v>-1669.46</v>
      </c>
      <c r="M139" s="162">
        <v>-17</v>
      </c>
      <c r="N139" s="161">
        <v>0</v>
      </c>
      <c r="O139" s="162">
        <f t="shared" si="12"/>
        <v>2033.9900000000002</v>
      </c>
      <c r="P139" s="161">
        <v>-2300</v>
      </c>
      <c r="Q139" s="161">
        <v>0</v>
      </c>
      <c r="R139" s="161">
        <v>0</v>
      </c>
      <c r="S139" s="161">
        <v>0</v>
      </c>
      <c r="T139" s="161">
        <v>0</v>
      </c>
      <c r="U139" s="161">
        <v>0</v>
      </c>
      <c r="V139" s="161">
        <v>0</v>
      </c>
      <c r="W139" s="161">
        <f t="shared" si="13"/>
        <v>-266.00999999999976</v>
      </c>
      <c r="X139" s="161">
        <f t="shared" si="14"/>
        <v>0</v>
      </c>
      <c r="Y139" s="161">
        <f t="shared" si="15"/>
        <v>-266.00999999999976</v>
      </c>
      <c r="Z139" s="161">
        <v>266</v>
      </c>
      <c r="AA139" s="161">
        <f t="shared" si="16"/>
        <v>-9.9999999997635314E-3</v>
      </c>
      <c r="AB139" s="161">
        <f t="shared" si="17"/>
        <v>2299.9800000000005</v>
      </c>
      <c r="AC139" s="158"/>
      <c r="AD139" s="158"/>
    </row>
    <row r="140" spans="1:30" ht="12.75" customHeight="1" x14ac:dyDescent="0.3">
      <c r="A140" s="147">
        <v>9</v>
      </c>
      <c r="B140" s="158" t="s">
        <v>882</v>
      </c>
      <c r="C140" s="158" t="s">
        <v>120</v>
      </c>
      <c r="D140" s="158" t="s">
        <v>917</v>
      </c>
      <c r="E140" s="160" t="s">
        <v>25</v>
      </c>
      <c r="F140" s="158" t="s">
        <v>865</v>
      </c>
      <c r="G140" s="160" t="s">
        <v>866</v>
      </c>
      <c r="H140" s="161">
        <v>6754.51</v>
      </c>
      <c r="I140" s="161">
        <v>-56.8</v>
      </c>
      <c r="J140" s="161">
        <v>0</v>
      </c>
      <c r="K140" s="161">
        <v>0</v>
      </c>
      <c r="L140" s="161">
        <v>-2410.66</v>
      </c>
      <c r="M140" s="162">
        <v>-42</v>
      </c>
      <c r="N140" s="161">
        <v>0</v>
      </c>
      <c r="O140" s="162">
        <f t="shared" si="12"/>
        <v>4245.05</v>
      </c>
      <c r="P140" s="161">
        <v>-2500</v>
      </c>
      <c r="Q140" s="161">
        <v>0</v>
      </c>
      <c r="R140" s="161">
        <v>0</v>
      </c>
      <c r="S140" s="161">
        <v>0</v>
      </c>
      <c r="T140" s="161">
        <v>0</v>
      </c>
      <c r="U140" s="161">
        <v>0</v>
      </c>
      <c r="V140" s="161">
        <v>0</v>
      </c>
      <c r="W140" s="161">
        <f t="shared" si="13"/>
        <v>1745.0500000000002</v>
      </c>
      <c r="X140" s="161">
        <f t="shared" si="14"/>
        <v>1745.0500000000002</v>
      </c>
      <c r="Y140" s="161">
        <f t="shared" si="15"/>
        <v>0</v>
      </c>
      <c r="Z140" s="161">
        <v>0</v>
      </c>
      <c r="AA140" s="161">
        <f t="shared" si="16"/>
        <v>0</v>
      </c>
      <c r="AB140" s="161">
        <f t="shared" si="17"/>
        <v>2500</v>
      </c>
      <c r="AC140" s="158"/>
      <c r="AD140" s="158"/>
    </row>
    <row r="141" spans="1:30" ht="12.75" customHeight="1" x14ac:dyDescent="0.3">
      <c r="A141" s="147">
        <v>10</v>
      </c>
      <c r="B141" s="158" t="s">
        <v>585</v>
      </c>
      <c r="C141" s="158" t="s">
        <v>863</v>
      </c>
      <c r="D141" s="158" t="s">
        <v>864</v>
      </c>
      <c r="E141" s="160" t="s">
        <v>25</v>
      </c>
      <c r="F141" s="158" t="s">
        <v>865</v>
      </c>
      <c r="G141" s="160" t="s">
        <v>866</v>
      </c>
      <c r="H141" s="161">
        <v>143.03</v>
      </c>
      <c r="I141" s="161">
        <v>0</v>
      </c>
      <c r="J141" s="161">
        <v>0</v>
      </c>
      <c r="K141" s="161">
        <v>0</v>
      </c>
      <c r="L141" s="161">
        <v>-80.930000000000007</v>
      </c>
      <c r="M141" s="162">
        <v>0</v>
      </c>
      <c r="N141" s="161">
        <v>0</v>
      </c>
      <c r="O141" s="162">
        <f t="shared" si="12"/>
        <v>62.099999999999994</v>
      </c>
      <c r="P141" s="161">
        <v>0</v>
      </c>
      <c r="Q141" s="161">
        <v>0</v>
      </c>
      <c r="R141" s="161">
        <v>0</v>
      </c>
      <c r="S141" s="161">
        <v>0</v>
      </c>
      <c r="T141" s="161">
        <v>0</v>
      </c>
      <c r="U141" s="161">
        <v>0</v>
      </c>
      <c r="V141" s="161">
        <v>0</v>
      </c>
      <c r="W141" s="161">
        <f t="shared" si="13"/>
        <v>62.099999999999994</v>
      </c>
      <c r="X141" s="161">
        <f t="shared" si="14"/>
        <v>62.099999999999994</v>
      </c>
      <c r="Y141" s="161">
        <f t="shared" si="15"/>
        <v>0</v>
      </c>
      <c r="Z141" s="161">
        <v>0</v>
      </c>
      <c r="AA141" s="161">
        <f t="shared" si="16"/>
        <v>0</v>
      </c>
      <c r="AB141" s="161">
        <f t="shared" si="17"/>
        <v>0</v>
      </c>
      <c r="AC141" s="158"/>
      <c r="AD141" s="158"/>
    </row>
    <row r="142" spans="1:30" ht="12.75" customHeight="1" x14ac:dyDescent="0.3">
      <c r="A142" s="147">
        <v>10</v>
      </c>
      <c r="B142" s="158" t="s">
        <v>868</v>
      </c>
      <c r="C142" s="158" t="s">
        <v>68</v>
      </c>
      <c r="D142" s="158" t="s">
        <v>869</v>
      </c>
      <c r="E142" s="160" t="s">
        <v>25</v>
      </c>
      <c r="F142" s="158" t="s">
        <v>865</v>
      </c>
      <c r="G142" s="160" t="s">
        <v>866</v>
      </c>
      <c r="H142" s="161">
        <v>19.579999999999998</v>
      </c>
      <c r="I142" s="161">
        <v>0</v>
      </c>
      <c r="J142" s="161">
        <v>0</v>
      </c>
      <c r="K142" s="161">
        <v>0</v>
      </c>
      <c r="L142" s="161">
        <v>0</v>
      </c>
      <c r="M142" s="162">
        <v>0</v>
      </c>
      <c r="N142" s="161">
        <v>0</v>
      </c>
      <c r="O142" s="162">
        <f t="shared" si="12"/>
        <v>19.579999999999998</v>
      </c>
      <c r="P142" s="161">
        <v>-2500</v>
      </c>
      <c r="Q142" s="161">
        <v>-175</v>
      </c>
      <c r="R142" s="161">
        <v>0</v>
      </c>
      <c r="S142" s="161">
        <v>0</v>
      </c>
      <c r="T142" s="161">
        <v>0</v>
      </c>
      <c r="U142" s="161">
        <v>0</v>
      </c>
      <c r="V142" s="161">
        <v>0</v>
      </c>
      <c r="W142" s="161">
        <f t="shared" si="13"/>
        <v>-2655.42</v>
      </c>
      <c r="X142" s="161">
        <f t="shared" si="14"/>
        <v>0</v>
      </c>
      <c r="Y142" s="161">
        <f t="shared" si="15"/>
        <v>-2655.42</v>
      </c>
      <c r="Z142" s="161">
        <v>2655</v>
      </c>
      <c r="AA142" s="161">
        <f t="shared" si="16"/>
        <v>-0.42000000000007276</v>
      </c>
      <c r="AB142" s="161">
        <f t="shared" si="17"/>
        <v>2674.16</v>
      </c>
      <c r="AC142" s="158"/>
      <c r="AD142" s="158"/>
    </row>
    <row r="143" spans="1:30" ht="12.75" customHeight="1" x14ac:dyDescent="0.3">
      <c r="A143" s="147">
        <v>10</v>
      </c>
      <c r="B143" s="158" t="s">
        <v>913</v>
      </c>
      <c r="C143" s="158" t="s">
        <v>195</v>
      </c>
      <c r="D143" s="158" t="s">
        <v>20</v>
      </c>
      <c r="E143" s="160" t="s">
        <v>871</v>
      </c>
      <c r="F143" s="158" t="s">
        <v>25</v>
      </c>
      <c r="G143" s="160" t="s">
        <v>866</v>
      </c>
      <c r="H143" s="161">
        <v>6164.87</v>
      </c>
      <c r="I143" s="161">
        <v>-16</v>
      </c>
      <c r="J143" s="161">
        <v>0</v>
      </c>
      <c r="K143" s="161">
        <v>0</v>
      </c>
      <c r="L143" s="161">
        <v>-3397.74</v>
      </c>
      <c r="M143" s="162">
        <v>0</v>
      </c>
      <c r="N143" s="161">
        <v>0</v>
      </c>
      <c r="O143" s="162">
        <f t="shared" si="12"/>
        <v>2751.13</v>
      </c>
      <c r="P143" s="161">
        <v>-2057.1428571428569</v>
      </c>
      <c r="Q143" s="161">
        <v>0</v>
      </c>
      <c r="R143" s="161">
        <v>-500</v>
      </c>
      <c r="S143" s="161">
        <v>0</v>
      </c>
      <c r="T143" s="161">
        <v>0</v>
      </c>
      <c r="U143" s="161">
        <v>0</v>
      </c>
      <c r="V143" s="161">
        <v>0</v>
      </c>
      <c r="W143" s="161">
        <f t="shared" si="13"/>
        <v>193.98714285714323</v>
      </c>
      <c r="X143" s="161">
        <f t="shared" si="14"/>
        <v>193.98714285714323</v>
      </c>
      <c r="Y143" s="161">
        <f t="shared" si="15"/>
        <v>0</v>
      </c>
      <c r="Z143" s="161">
        <v>0</v>
      </c>
      <c r="AA143" s="161">
        <f t="shared" si="16"/>
        <v>0</v>
      </c>
      <c r="AB143" s="161">
        <f t="shared" si="17"/>
        <v>2557.1428571428569</v>
      </c>
      <c r="AC143" s="158"/>
      <c r="AD143" s="158"/>
    </row>
    <row r="144" spans="1:30" ht="12.75" customHeight="1" x14ac:dyDescent="0.3">
      <c r="A144" s="147">
        <v>10</v>
      </c>
      <c r="B144" s="158" t="s">
        <v>888</v>
      </c>
      <c r="C144" s="158" t="s">
        <v>409</v>
      </c>
      <c r="D144" s="163" t="s">
        <v>889</v>
      </c>
      <c r="E144" s="160" t="s">
        <v>25</v>
      </c>
      <c r="F144" s="158" t="s">
        <v>25</v>
      </c>
      <c r="G144" s="160" t="s">
        <v>866</v>
      </c>
      <c r="H144" s="161">
        <v>0</v>
      </c>
      <c r="I144" s="161">
        <v>0</v>
      </c>
      <c r="J144" s="161">
        <v>0</v>
      </c>
      <c r="K144" s="161">
        <v>0</v>
      </c>
      <c r="L144" s="161">
        <v>0</v>
      </c>
      <c r="M144" s="162">
        <v>0</v>
      </c>
      <c r="N144" s="161">
        <v>0</v>
      </c>
      <c r="O144" s="162">
        <f t="shared" si="12"/>
        <v>0</v>
      </c>
      <c r="P144" s="161">
        <v>0</v>
      </c>
      <c r="Q144" s="161">
        <v>0</v>
      </c>
      <c r="R144" s="161">
        <v>500</v>
      </c>
      <c r="S144" s="161">
        <v>0</v>
      </c>
      <c r="T144" s="161">
        <v>0</v>
      </c>
      <c r="U144" s="161">
        <v>0</v>
      </c>
      <c r="V144" s="161">
        <v>0</v>
      </c>
      <c r="W144" s="161">
        <f t="shared" si="13"/>
        <v>500</v>
      </c>
      <c r="X144" s="161">
        <f t="shared" si="14"/>
        <v>500</v>
      </c>
      <c r="Y144" s="161">
        <f t="shared" si="15"/>
        <v>0</v>
      </c>
      <c r="Z144" s="161">
        <v>0</v>
      </c>
      <c r="AA144" s="161">
        <f t="shared" si="16"/>
        <v>0</v>
      </c>
      <c r="AB144" s="161">
        <f t="shared" si="17"/>
        <v>-500</v>
      </c>
      <c r="AC144" s="158"/>
      <c r="AD144" s="158"/>
    </row>
    <row r="145" spans="1:30" ht="12.75" customHeight="1" x14ac:dyDescent="0.3">
      <c r="A145" s="147">
        <v>10</v>
      </c>
      <c r="B145" s="158" t="s">
        <v>894</v>
      </c>
      <c r="C145" s="158" t="s">
        <v>347</v>
      </c>
      <c r="D145" s="158" t="s">
        <v>897</v>
      </c>
      <c r="E145" s="160" t="s">
        <v>25</v>
      </c>
      <c r="F145" s="158" t="s">
        <v>25</v>
      </c>
      <c r="G145" s="160" t="s">
        <v>866</v>
      </c>
      <c r="H145" s="161">
        <v>172.78</v>
      </c>
      <c r="I145" s="161">
        <v>-8.7100000000000009</v>
      </c>
      <c r="J145" s="161">
        <v>0</v>
      </c>
      <c r="K145" s="161">
        <v>0</v>
      </c>
      <c r="L145" s="161">
        <v>0</v>
      </c>
      <c r="M145" s="162">
        <v>0</v>
      </c>
      <c r="N145" s="161">
        <v>-190</v>
      </c>
      <c r="O145" s="162">
        <f t="shared" si="12"/>
        <v>-25.930000000000007</v>
      </c>
      <c r="P145" s="161">
        <v>0</v>
      </c>
      <c r="Q145" s="161">
        <v>0</v>
      </c>
      <c r="R145" s="161">
        <v>0</v>
      </c>
      <c r="S145" s="161">
        <v>0</v>
      </c>
      <c r="T145" s="161">
        <v>0</v>
      </c>
      <c r="U145" s="161">
        <v>0</v>
      </c>
      <c r="V145" s="161">
        <v>0</v>
      </c>
      <c r="W145" s="161">
        <f t="shared" si="13"/>
        <v>-25.930000000000007</v>
      </c>
      <c r="X145" s="161">
        <f t="shared" si="14"/>
        <v>0</v>
      </c>
      <c r="Y145" s="161">
        <f t="shared" si="15"/>
        <v>-25.930000000000007</v>
      </c>
      <c r="Z145" s="161">
        <v>0</v>
      </c>
      <c r="AA145" s="161">
        <f t="shared" si="16"/>
        <v>-25.930000000000007</v>
      </c>
      <c r="AB145" s="161">
        <f t="shared" si="17"/>
        <v>-51.860000000000014</v>
      </c>
      <c r="AC145" s="158"/>
      <c r="AD145" s="158"/>
    </row>
    <row r="146" spans="1:30" ht="12.75" customHeight="1" x14ac:dyDescent="0.3">
      <c r="A146" s="147">
        <v>10</v>
      </c>
      <c r="B146" s="158" t="s">
        <v>890</v>
      </c>
      <c r="C146" s="158" t="s">
        <v>64</v>
      </c>
      <c r="D146" s="158" t="s">
        <v>903</v>
      </c>
      <c r="E146" s="160" t="s">
        <v>25</v>
      </c>
      <c r="F146" s="158" t="s">
        <v>25</v>
      </c>
      <c r="G146" s="160" t="s">
        <v>866</v>
      </c>
      <c r="H146" s="161">
        <v>3765.74</v>
      </c>
      <c r="I146" s="161">
        <v>-92.68</v>
      </c>
      <c r="J146" s="161">
        <v>0</v>
      </c>
      <c r="K146" s="161">
        <v>0</v>
      </c>
      <c r="L146" s="161">
        <v>-768.37</v>
      </c>
      <c r="M146" s="162">
        <v>0</v>
      </c>
      <c r="N146" s="161">
        <v>0</v>
      </c>
      <c r="O146" s="162">
        <f t="shared" si="12"/>
        <v>2904.69</v>
      </c>
      <c r="P146" s="161">
        <v>-2500</v>
      </c>
      <c r="Q146" s="161">
        <v>0</v>
      </c>
      <c r="R146" s="161">
        <v>0</v>
      </c>
      <c r="S146" s="161">
        <v>-500</v>
      </c>
      <c r="T146" s="161">
        <v>0</v>
      </c>
      <c r="U146" s="161">
        <v>0</v>
      </c>
      <c r="V146" s="161">
        <v>0</v>
      </c>
      <c r="W146" s="161">
        <f t="shared" si="13"/>
        <v>-95.309999999999945</v>
      </c>
      <c r="X146" s="161">
        <f t="shared" si="14"/>
        <v>0</v>
      </c>
      <c r="Y146" s="161">
        <f t="shared" si="15"/>
        <v>-95.309999999999945</v>
      </c>
      <c r="Z146" s="161">
        <v>0</v>
      </c>
      <c r="AA146" s="161">
        <f t="shared" si="16"/>
        <v>-95.309999999999945</v>
      </c>
      <c r="AB146" s="161">
        <f t="shared" si="17"/>
        <v>2809.38</v>
      </c>
      <c r="AC146" s="158"/>
      <c r="AD146" s="158"/>
    </row>
    <row r="147" spans="1:30" ht="12.75" customHeight="1" x14ac:dyDescent="0.3">
      <c r="A147" s="147">
        <v>10</v>
      </c>
      <c r="B147" s="158" t="s">
        <v>872</v>
      </c>
      <c r="C147" s="158" t="s">
        <v>36</v>
      </c>
      <c r="D147" s="158" t="s">
        <v>904</v>
      </c>
      <c r="E147" s="160" t="s">
        <v>25</v>
      </c>
      <c r="F147" s="158" t="s">
        <v>25</v>
      </c>
      <c r="G147" s="160" t="s">
        <v>866</v>
      </c>
      <c r="H147" s="161">
        <v>7882.57</v>
      </c>
      <c r="I147" s="161">
        <v>-78.400000000000006</v>
      </c>
      <c r="J147" s="161">
        <v>0</v>
      </c>
      <c r="K147" s="161">
        <v>0</v>
      </c>
      <c r="L147" s="161">
        <v>-3156.47</v>
      </c>
      <c r="M147" s="162">
        <v>-72</v>
      </c>
      <c r="N147" s="161">
        <v>-343</v>
      </c>
      <c r="O147" s="162">
        <f t="shared" si="12"/>
        <v>4232.7000000000007</v>
      </c>
      <c r="P147" s="161">
        <v>-2500</v>
      </c>
      <c r="Q147" s="161">
        <v>-500</v>
      </c>
      <c r="R147" s="161">
        <v>0</v>
      </c>
      <c r="S147" s="161">
        <v>-500</v>
      </c>
      <c r="T147" s="161">
        <v>0</v>
      </c>
      <c r="U147" s="161">
        <v>0</v>
      </c>
      <c r="V147" s="161">
        <v>0</v>
      </c>
      <c r="W147" s="161">
        <f t="shared" si="13"/>
        <v>732.70000000000073</v>
      </c>
      <c r="X147" s="161">
        <f t="shared" si="14"/>
        <v>732.70000000000073</v>
      </c>
      <c r="Y147" s="161">
        <f t="shared" si="15"/>
        <v>0</v>
      </c>
      <c r="Z147" s="161">
        <v>0</v>
      </c>
      <c r="AA147" s="161">
        <f t="shared" si="16"/>
        <v>0</v>
      </c>
      <c r="AB147" s="161">
        <f t="shared" si="17"/>
        <v>3500</v>
      </c>
      <c r="AC147" s="158"/>
      <c r="AD147" s="158"/>
    </row>
    <row r="148" spans="1:30" ht="12.75" customHeight="1" x14ac:dyDescent="0.3">
      <c r="A148" s="147">
        <v>10</v>
      </c>
      <c r="B148" s="158" t="s">
        <v>921</v>
      </c>
      <c r="C148" s="158" t="s">
        <v>123</v>
      </c>
      <c r="D148" s="158" t="s">
        <v>892</v>
      </c>
      <c r="E148" s="160" t="s">
        <v>871</v>
      </c>
      <c r="F148" s="158" t="s">
        <v>25</v>
      </c>
      <c r="G148" s="160" t="s">
        <v>866</v>
      </c>
      <c r="H148" s="161">
        <v>2564.25</v>
      </c>
      <c r="I148" s="161">
        <v>0</v>
      </c>
      <c r="J148" s="161">
        <v>0</v>
      </c>
      <c r="K148" s="161">
        <v>0</v>
      </c>
      <c r="L148" s="161">
        <v>-809.33</v>
      </c>
      <c r="M148" s="162">
        <v>0</v>
      </c>
      <c r="N148" s="161">
        <v>0</v>
      </c>
      <c r="O148" s="162">
        <f t="shared" si="12"/>
        <v>1754.92</v>
      </c>
      <c r="P148" s="161">
        <v>-714.28571428571433</v>
      </c>
      <c r="Q148" s="161">
        <v>0</v>
      </c>
      <c r="R148" s="161">
        <v>-500</v>
      </c>
      <c r="S148" s="161">
        <v>0</v>
      </c>
      <c r="T148" s="161">
        <v>0</v>
      </c>
      <c r="U148" s="161">
        <v>0</v>
      </c>
      <c r="V148" s="161">
        <v>0</v>
      </c>
      <c r="W148" s="161">
        <f t="shared" si="13"/>
        <v>540.63428571428585</v>
      </c>
      <c r="X148" s="161">
        <f t="shared" si="14"/>
        <v>540.63428571428585</v>
      </c>
      <c r="Y148" s="161">
        <f t="shared" si="15"/>
        <v>0</v>
      </c>
      <c r="Z148" s="161">
        <v>0</v>
      </c>
      <c r="AA148" s="161">
        <f t="shared" si="16"/>
        <v>0</v>
      </c>
      <c r="AB148" s="161">
        <f t="shared" si="17"/>
        <v>1214.2857142857142</v>
      </c>
      <c r="AC148" s="158"/>
      <c r="AD148" s="158"/>
    </row>
    <row r="149" spans="1:30" ht="12.75" customHeight="1" x14ac:dyDescent="0.3">
      <c r="A149" s="147">
        <v>10</v>
      </c>
      <c r="B149" s="158" t="s">
        <v>874</v>
      </c>
      <c r="C149" s="158" t="s">
        <v>183</v>
      </c>
      <c r="D149" s="158" t="s">
        <v>887</v>
      </c>
      <c r="E149" s="160" t="s">
        <v>25</v>
      </c>
      <c r="F149" s="158" t="s">
        <v>25</v>
      </c>
      <c r="G149" s="160" t="s">
        <v>866</v>
      </c>
      <c r="H149" s="161">
        <v>4649.29</v>
      </c>
      <c r="I149" s="161">
        <v>-27.2</v>
      </c>
      <c r="J149" s="161">
        <v>0</v>
      </c>
      <c r="K149" s="161">
        <v>0</v>
      </c>
      <c r="L149" s="161">
        <v>-1269.97</v>
      </c>
      <c r="M149" s="162">
        <v>0</v>
      </c>
      <c r="N149" s="161">
        <v>111</v>
      </c>
      <c r="O149" s="162">
        <f t="shared" si="12"/>
        <v>3463.12</v>
      </c>
      <c r="P149" s="161">
        <v>-3352.12</v>
      </c>
      <c r="Q149" s="161">
        <v>1270</v>
      </c>
      <c r="R149" s="161">
        <v>0</v>
      </c>
      <c r="S149" s="161">
        <v>500</v>
      </c>
      <c r="T149" s="161">
        <v>0</v>
      </c>
      <c r="U149" s="161">
        <v>0</v>
      </c>
      <c r="V149" s="161">
        <v>0</v>
      </c>
      <c r="W149" s="161">
        <f t="shared" si="13"/>
        <v>1881</v>
      </c>
      <c r="X149" s="161">
        <f t="shared" si="14"/>
        <v>1881</v>
      </c>
      <c r="Y149" s="161">
        <f t="shared" si="15"/>
        <v>0</v>
      </c>
      <c r="Z149" s="161">
        <v>1881</v>
      </c>
      <c r="AA149" s="161">
        <f t="shared" si="16"/>
        <v>1881</v>
      </c>
      <c r="AB149" s="161">
        <f t="shared" si="17"/>
        <v>5344.12</v>
      </c>
      <c r="AC149" s="158"/>
      <c r="AD149" s="158"/>
    </row>
    <row r="150" spans="1:30" ht="12.75" customHeight="1" x14ac:dyDescent="0.3">
      <c r="A150" s="147">
        <v>10</v>
      </c>
      <c r="B150" s="158" t="s">
        <v>918</v>
      </c>
      <c r="C150" s="158" t="s">
        <v>169</v>
      </c>
      <c r="D150" s="158" t="s">
        <v>919</v>
      </c>
      <c r="E150" s="160" t="s">
        <v>871</v>
      </c>
      <c r="F150" s="158" t="s">
        <v>25</v>
      </c>
      <c r="G150" s="160" t="s">
        <v>866</v>
      </c>
      <c r="H150" s="161">
        <v>7576.85</v>
      </c>
      <c r="I150" s="161">
        <v>-95.2</v>
      </c>
      <c r="J150" s="161">
        <v>0</v>
      </c>
      <c r="K150" s="161">
        <v>0</v>
      </c>
      <c r="L150" s="161">
        <v>-1841.66</v>
      </c>
      <c r="M150" s="162">
        <v>-65</v>
      </c>
      <c r="N150" s="161">
        <v>0</v>
      </c>
      <c r="O150" s="162">
        <f t="shared" si="12"/>
        <v>5574.9900000000007</v>
      </c>
      <c r="P150" s="161">
        <v>-2350</v>
      </c>
      <c r="Q150" s="161">
        <v>-500</v>
      </c>
      <c r="R150" s="161">
        <v>-500</v>
      </c>
      <c r="S150" s="161">
        <v>0</v>
      </c>
      <c r="T150" s="161">
        <v>0</v>
      </c>
      <c r="U150" s="161">
        <v>0</v>
      </c>
      <c r="V150" s="161">
        <v>0</v>
      </c>
      <c r="W150" s="161">
        <f t="shared" si="13"/>
        <v>2224.9900000000007</v>
      </c>
      <c r="X150" s="161">
        <f t="shared" si="14"/>
        <v>2224.9900000000007</v>
      </c>
      <c r="Y150" s="161">
        <f t="shared" si="15"/>
        <v>0</v>
      </c>
      <c r="Z150" s="161">
        <v>0</v>
      </c>
      <c r="AA150" s="161">
        <f t="shared" si="16"/>
        <v>0</v>
      </c>
      <c r="AB150" s="161">
        <f t="shared" si="17"/>
        <v>3350</v>
      </c>
      <c r="AC150" s="158"/>
      <c r="AD150" s="158"/>
    </row>
    <row r="151" spans="1:30" ht="12.75" customHeight="1" x14ac:dyDescent="0.3">
      <c r="A151" s="147">
        <v>10</v>
      </c>
      <c r="B151" s="158" t="s">
        <v>876</v>
      </c>
      <c r="C151" s="158" t="s">
        <v>150</v>
      </c>
      <c r="D151" s="158" t="s">
        <v>915</v>
      </c>
      <c r="E151" s="160" t="s">
        <v>25</v>
      </c>
      <c r="F151" s="158" t="s">
        <v>25</v>
      </c>
      <c r="G151" s="160" t="s">
        <v>866</v>
      </c>
      <c r="H151" s="161">
        <v>4862.38</v>
      </c>
      <c r="I151" s="161">
        <v>0</v>
      </c>
      <c r="J151" s="161">
        <v>0</v>
      </c>
      <c r="K151" s="161">
        <v>0</v>
      </c>
      <c r="L151" s="161">
        <v>-2051.37</v>
      </c>
      <c r="M151" s="162">
        <v>-48</v>
      </c>
      <c r="N151" s="161">
        <v>0</v>
      </c>
      <c r="O151" s="162">
        <f t="shared" si="12"/>
        <v>2763.01</v>
      </c>
      <c r="P151" s="161">
        <v>-2500</v>
      </c>
      <c r="Q151" s="161">
        <v>500</v>
      </c>
      <c r="R151" s="161">
        <v>0</v>
      </c>
      <c r="S151" s="161">
        <v>0</v>
      </c>
      <c r="T151" s="161">
        <v>0</v>
      </c>
      <c r="U151" s="161">
        <v>0</v>
      </c>
      <c r="V151" s="161">
        <v>0</v>
      </c>
      <c r="W151" s="161">
        <f t="shared" si="13"/>
        <v>763.01000000000022</v>
      </c>
      <c r="X151" s="161">
        <f t="shared" si="14"/>
        <v>763.01000000000022</v>
      </c>
      <c r="Y151" s="161">
        <f t="shared" si="15"/>
        <v>0</v>
      </c>
      <c r="Z151" s="161">
        <v>0</v>
      </c>
      <c r="AA151" s="161">
        <f t="shared" si="16"/>
        <v>0</v>
      </c>
      <c r="AB151" s="161">
        <f t="shared" si="17"/>
        <v>2000</v>
      </c>
      <c r="AC151" s="158"/>
      <c r="AD151" s="158"/>
    </row>
    <row r="152" spans="1:30" ht="12.75" customHeight="1" x14ac:dyDescent="0.3">
      <c r="A152" s="147">
        <v>10</v>
      </c>
      <c r="B152" s="158" t="s">
        <v>484</v>
      </c>
      <c r="C152" s="158" t="s">
        <v>46</v>
      </c>
      <c r="D152" s="158" t="s">
        <v>20</v>
      </c>
      <c r="E152" s="160" t="s">
        <v>25</v>
      </c>
      <c r="F152" s="158" t="s">
        <v>25</v>
      </c>
      <c r="G152" s="160" t="s">
        <v>866</v>
      </c>
      <c r="H152" s="161">
        <v>7311.4</v>
      </c>
      <c r="I152" s="161">
        <v>-142.4</v>
      </c>
      <c r="J152" s="161">
        <v>0</v>
      </c>
      <c r="K152" s="161">
        <v>0</v>
      </c>
      <c r="L152" s="161">
        <v>-5716.4</v>
      </c>
      <c r="M152" s="162">
        <v>-23</v>
      </c>
      <c r="N152" s="161">
        <v>0</v>
      </c>
      <c r="O152" s="162">
        <f t="shared" si="12"/>
        <v>1429.6000000000004</v>
      </c>
      <c r="P152" s="161">
        <v>-2500</v>
      </c>
      <c r="Q152" s="161">
        <v>0</v>
      </c>
      <c r="R152" s="161">
        <v>0</v>
      </c>
      <c r="S152" s="161">
        <v>0</v>
      </c>
      <c r="T152" s="161">
        <v>0</v>
      </c>
      <c r="U152" s="161">
        <v>0</v>
      </c>
      <c r="V152" s="161">
        <v>0</v>
      </c>
      <c r="W152" s="161">
        <f t="shared" si="13"/>
        <v>-1070.3999999999996</v>
      </c>
      <c r="X152" s="161">
        <f t="shared" si="14"/>
        <v>0</v>
      </c>
      <c r="Y152" s="161">
        <f t="shared" si="15"/>
        <v>-1070.3999999999996</v>
      </c>
      <c r="Z152" s="161">
        <v>0</v>
      </c>
      <c r="AA152" s="161">
        <f t="shared" si="16"/>
        <v>-1070.3999999999996</v>
      </c>
      <c r="AB152" s="161">
        <f t="shared" si="17"/>
        <v>359.20000000000073</v>
      </c>
      <c r="AC152" s="158"/>
      <c r="AD152" s="158"/>
    </row>
    <row r="153" spans="1:30" ht="12.75" customHeight="1" x14ac:dyDescent="0.3">
      <c r="A153" s="147">
        <v>10</v>
      </c>
      <c r="B153" s="158" t="s">
        <v>408</v>
      </c>
      <c r="C153" s="158" t="s">
        <v>878</v>
      </c>
      <c r="D153" s="158" t="s">
        <v>879</v>
      </c>
      <c r="E153" s="160" t="s">
        <v>25</v>
      </c>
      <c r="F153" s="158" t="s">
        <v>25</v>
      </c>
      <c r="G153" s="160" t="s">
        <v>866</v>
      </c>
      <c r="H153" s="161">
        <v>4684.01</v>
      </c>
      <c r="I153" s="161">
        <v>-16</v>
      </c>
      <c r="J153" s="161">
        <v>0</v>
      </c>
      <c r="K153" s="161">
        <v>0</v>
      </c>
      <c r="L153" s="161">
        <v>-1328.24</v>
      </c>
      <c r="M153" s="162">
        <v>-45</v>
      </c>
      <c r="N153" s="161">
        <v>0</v>
      </c>
      <c r="O153" s="162">
        <f t="shared" si="12"/>
        <v>3294.7700000000004</v>
      </c>
      <c r="P153" s="161">
        <v>-2500</v>
      </c>
      <c r="Q153" s="161">
        <v>0</v>
      </c>
      <c r="R153" s="161">
        <v>0</v>
      </c>
      <c r="S153" s="161">
        <v>0</v>
      </c>
      <c r="T153" s="161">
        <v>0</v>
      </c>
      <c r="U153" s="161">
        <v>0</v>
      </c>
      <c r="V153" s="161">
        <v>0</v>
      </c>
      <c r="W153" s="161">
        <f t="shared" si="13"/>
        <v>794.77000000000044</v>
      </c>
      <c r="X153" s="161">
        <f t="shared" si="14"/>
        <v>794.77000000000044</v>
      </c>
      <c r="Y153" s="161">
        <f t="shared" si="15"/>
        <v>0</v>
      </c>
      <c r="Z153" s="161">
        <v>0</v>
      </c>
      <c r="AA153" s="161">
        <f t="shared" si="16"/>
        <v>0</v>
      </c>
      <c r="AB153" s="161">
        <f t="shared" si="17"/>
        <v>2500</v>
      </c>
      <c r="AC153" s="158"/>
      <c r="AD153" s="158"/>
    </row>
    <row r="154" spans="1:30" ht="12.75" customHeight="1" x14ac:dyDescent="0.3">
      <c r="A154" s="147">
        <v>10</v>
      </c>
      <c r="B154" s="158" t="s">
        <v>916</v>
      </c>
      <c r="C154" s="158" t="s">
        <v>409</v>
      </c>
      <c r="D154" s="158" t="s">
        <v>889</v>
      </c>
      <c r="E154" s="160" t="s">
        <v>25</v>
      </c>
      <c r="F154" s="158" t="s">
        <v>25</v>
      </c>
      <c r="G154" s="160" t="s">
        <v>866</v>
      </c>
      <c r="H154" s="161">
        <v>1699.37</v>
      </c>
      <c r="I154" s="161">
        <v>-9.6999999999999993</v>
      </c>
      <c r="J154" s="161">
        <v>0</v>
      </c>
      <c r="K154" s="161">
        <v>0</v>
      </c>
      <c r="L154" s="161">
        <v>-912.6</v>
      </c>
      <c r="M154" s="162">
        <v>0</v>
      </c>
      <c r="N154" s="161">
        <v>0</v>
      </c>
      <c r="O154" s="162">
        <f t="shared" si="12"/>
        <v>777.06999999999982</v>
      </c>
      <c r="P154" s="161">
        <v>-2500</v>
      </c>
      <c r="Q154" s="161">
        <v>0</v>
      </c>
      <c r="R154" s="161">
        <v>-500</v>
      </c>
      <c r="S154" s="161">
        <v>0</v>
      </c>
      <c r="T154" s="161">
        <v>0</v>
      </c>
      <c r="U154" s="161">
        <v>0</v>
      </c>
      <c r="V154" s="161">
        <v>0</v>
      </c>
      <c r="W154" s="161">
        <f t="shared" si="13"/>
        <v>-2222.9300000000003</v>
      </c>
      <c r="X154" s="161">
        <f t="shared" si="14"/>
        <v>0</v>
      </c>
      <c r="Y154" s="161">
        <f t="shared" si="15"/>
        <v>-2222.9300000000003</v>
      </c>
      <c r="Z154" s="161">
        <v>0</v>
      </c>
      <c r="AA154" s="161">
        <f t="shared" si="16"/>
        <v>-2222.9300000000003</v>
      </c>
      <c r="AB154" s="161">
        <f t="shared" si="17"/>
        <v>-1445.8600000000006</v>
      </c>
      <c r="AC154" s="158"/>
      <c r="AD154" s="158"/>
    </row>
    <row r="155" spans="1:30" ht="12.75" customHeight="1" x14ac:dyDescent="0.3">
      <c r="A155" s="147">
        <v>10</v>
      </c>
      <c r="B155" s="158" t="s">
        <v>920</v>
      </c>
      <c r="C155" s="158" t="s">
        <v>372</v>
      </c>
      <c r="D155" s="158" t="s">
        <v>20</v>
      </c>
      <c r="E155" s="158" t="s">
        <v>39</v>
      </c>
      <c r="F155" s="158" t="s">
        <v>25</v>
      </c>
      <c r="G155" s="160" t="s">
        <v>866</v>
      </c>
      <c r="H155" s="161">
        <v>5141.03</v>
      </c>
      <c r="I155" s="161">
        <v>-138.4</v>
      </c>
      <c r="J155" s="161">
        <v>0</v>
      </c>
      <c r="K155" s="161">
        <v>0</v>
      </c>
      <c r="L155" s="161">
        <v>-1172.71</v>
      </c>
      <c r="M155" s="162">
        <v>0</v>
      </c>
      <c r="N155" s="161">
        <v>0</v>
      </c>
      <c r="O155" s="162">
        <f t="shared" si="12"/>
        <v>3829.92</v>
      </c>
      <c r="P155" s="161">
        <v>-2500</v>
      </c>
      <c r="Q155" s="161">
        <v>0</v>
      </c>
      <c r="R155" s="161">
        <v>-500</v>
      </c>
      <c r="S155" s="161">
        <v>0</v>
      </c>
      <c r="T155" s="161">
        <v>0</v>
      </c>
      <c r="U155" s="161">
        <v>0</v>
      </c>
      <c r="V155" s="161">
        <v>0</v>
      </c>
      <c r="W155" s="161">
        <f t="shared" si="13"/>
        <v>829.92000000000007</v>
      </c>
      <c r="X155" s="161">
        <f t="shared" si="14"/>
        <v>829.92000000000007</v>
      </c>
      <c r="Y155" s="161">
        <f t="shared" si="15"/>
        <v>0</v>
      </c>
      <c r="Z155" s="161">
        <v>0</v>
      </c>
      <c r="AA155" s="161">
        <f t="shared" si="16"/>
        <v>0</v>
      </c>
      <c r="AB155" s="161">
        <f t="shared" si="17"/>
        <v>3000</v>
      </c>
      <c r="AC155" s="158"/>
      <c r="AD155" s="158"/>
    </row>
    <row r="156" spans="1:30" ht="12.75" customHeight="1" x14ac:dyDescent="0.3">
      <c r="A156" s="147">
        <v>10</v>
      </c>
      <c r="B156" s="158" t="s">
        <v>880</v>
      </c>
      <c r="C156" s="158" t="s">
        <v>57</v>
      </c>
      <c r="D156" s="158" t="s">
        <v>881</v>
      </c>
      <c r="E156" s="160" t="s">
        <v>25</v>
      </c>
      <c r="F156" s="158" t="s">
        <v>25</v>
      </c>
      <c r="G156" s="160" t="s">
        <v>866</v>
      </c>
      <c r="H156" s="161">
        <v>4623.45</v>
      </c>
      <c r="I156" s="161">
        <v>0</v>
      </c>
      <c r="J156" s="161">
        <v>0</v>
      </c>
      <c r="K156" s="161">
        <v>0</v>
      </c>
      <c r="L156" s="161">
        <v>-1922.46</v>
      </c>
      <c r="M156" s="162">
        <v>-25</v>
      </c>
      <c r="N156" s="161">
        <v>0</v>
      </c>
      <c r="O156" s="162">
        <f t="shared" si="12"/>
        <v>2675.99</v>
      </c>
      <c r="P156" s="161">
        <v>-2300</v>
      </c>
      <c r="Q156" s="161">
        <v>0</v>
      </c>
      <c r="R156" s="161">
        <v>0</v>
      </c>
      <c r="S156" s="161">
        <v>0</v>
      </c>
      <c r="T156" s="161">
        <v>0</v>
      </c>
      <c r="U156" s="161">
        <v>0</v>
      </c>
      <c r="V156" s="161">
        <v>0</v>
      </c>
      <c r="W156" s="161">
        <f t="shared" si="13"/>
        <v>375.98999999999978</v>
      </c>
      <c r="X156" s="161">
        <f t="shared" si="14"/>
        <v>375.98999999999978</v>
      </c>
      <c r="Y156" s="161">
        <f t="shared" si="15"/>
        <v>0</v>
      </c>
      <c r="Z156" s="161">
        <v>0</v>
      </c>
      <c r="AA156" s="161">
        <f t="shared" si="16"/>
        <v>0</v>
      </c>
      <c r="AB156" s="161">
        <f t="shared" si="17"/>
        <v>2300</v>
      </c>
      <c r="AC156" s="158"/>
      <c r="AD156" s="158"/>
    </row>
    <row r="157" spans="1:30" ht="12.75" customHeight="1" x14ac:dyDescent="0.3">
      <c r="A157" s="147">
        <v>10</v>
      </c>
      <c r="B157" s="158" t="s">
        <v>882</v>
      </c>
      <c r="C157" s="158" t="s">
        <v>120</v>
      </c>
      <c r="D157" s="158" t="s">
        <v>917</v>
      </c>
      <c r="E157" s="160" t="s">
        <v>25</v>
      </c>
      <c r="F157" s="158" t="s">
        <v>865</v>
      </c>
      <c r="G157" s="160" t="s">
        <v>866</v>
      </c>
      <c r="H157" s="161">
        <v>3668.4</v>
      </c>
      <c r="I157" s="161">
        <v>-19.2</v>
      </c>
      <c r="J157" s="161">
        <v>0</v>
      </c>
      <c r="K157" s="161">
        <v>0</v>
      </c>
      <c r="L157" s="161">
        <v>-1106.47</v>
      </c>
      <c r="M157" s="162">
        <v>0</v>
      </c>
      <c r="N157" s="161">
        <v>0</v>
      </c>
      <c r="O157" s="162">
        <f t="shared" si="12"/>
        <v>2542.7300000000005</v>
      </c>
      <c r="P157" s="161">
        <v>-2500</v>
      </c>
      <c r="Q157" s="161">
        <v>0</v>
      </c>
      <c r="R157" s="161">
        <v>0</v>
      </c>
      <c r="S157" s="161">
        <v>0</v>
      </c>
      <c r="T157" s="161">
        <v>0</v>
      </c>
      <c r="U157" s="161">
        <v>0</v>
      </c>
      <c r="V157" s="161">
        <v>0</v>
      </c>
      <c r="W157" s="161">
        <f t="shared" si="13"/>
        <v>42.730000000000473</v>
      </c>
      <c r="X157" s="161">
        <f t="shared" si="14"/>
        <v>42.730000000000473</v>
      </c>
      <c r="Y157" s="161">
        <f t="shared" si="15"/>
        <v>0</v>
      </c>
      <c r="Z157" s="161">
        <v>0</v>
      </c>
      <c r="AA157" s="161">
        <f t="shared" si="16"/>
        <v>0</v>
      </c>
      <c r="AB157" s="161">
        <f t="shared" si="17"/>
        <v>2500</v>
      </c>
      <c r="AC157" s="158"/>
      <c r="AD157" s="158"/>
    </row>
    <row r="158" spans="1:30" ht="12.75" customHeight="1" x14ac:dyDescent="0.3">
      <c r="A158" s="147">
        <v>11</v>
      </c>
      <c r="B158" s="158" t="s">
        <v>585</v>
      </c>
      <c r="C158" s="158" t="s">
        <v>863</v>
      </c>
      <c r="D158" s="158" t="s">
        <v>864</v>
      </c>
      <c r="E158" s="160" t="s">
        <v>25</v>
      </c>
      <c r="F158" s="158" t="s">
        <v>865</v>
      </c>
      <c r="G158" s="160" t="s">
        <v>866</v>
      </c>
      <c r="H158" s="161">
        <v>2122.37</v>
      </c>
      <c r="I158" s="161">
        <v>0</v>
      </c>
      <c r="J158" s="161">
        <v>0</v>
      </c>
      <c r="K158" s="161">
        <v>0</v>
      </c>
      <c r="L158" s="161">
        <v>-282.75</v>
      </c>
      <c r="M158" s="162">
        <v>0</v>
      </c>
      <c r="N158" s="161">
        <v>0</v>
      </c>
      <c r="O158" s="162">
        <f t="shared" si="12"/>
        <v>1839.62</v>
      </c>
      <c r="P158" s="161">
        <v>-2500</v>
      </c>
      <c r="Q158" s="161">
        <v>0</v>
      </c>
      <c r="R158" s="161">
        <v>0</v>
      </c>
      <c r="S158" s="161">
        <v>0</v>
      </c>
      <c r="T158" s="161">
        <v>0</v>
      </c>
      <c r="U158" s="161">
        <v>0</v>
      </c>
      <c r="V158" s="161">
        <v>0</v>
      </c>
      <c r="W158" s="161">
        <f t="shared" si="13"/>
        <v>-660.38000000000011</v>
      </c>
      <c r="X158" s="161">
        <f t="shared" si="14"/>
        <v>0</v>
      </c>
      <c r="Y158" s="161">
        <f t="shared" si="15"/>
        <v>-660.38000000000011</v>
      </c>
      <c r="Z158" s="161">
        <v>660</v>
      </c>
      <c r="AA158" s="161">
        <f t="shared" si="16"/>
        <v>-0.38000000000010914</v>
      </c>
      <c r="AB158" s="161">
        <f t="shared" si="17"/>
        <v>2499.2399999999998</v>
      </c>
      <c r="AC158" s="158"/>
      <c r="AD158" s="158"/>
    </row>
    <row r="159" spans="1:30" ht="12.75" customHeight="1" x14ac:dyDescent="0.3">
      <c r="A159" s="147">
        <v>11</v>
      </c>
      <c r="B159" s="158" t="s">
        <v>868</v>
      </c>
      <c r="C159" s="158" t="s">
        <v>68</v>
      </c>
      <c r="D159" s="158" t="s">
        <v>869</v>
      </c>
      <c r="E159" s="160" t="s">
        <v>25</v>
      </c>
      <c r="F159" s="158" t="s">
        <v>865</v>
      </c>
      <c r="G159" s="160" t="s">
        <v>866</v>
      </c>
      <c r="H159" s="161">
        <v>0</v>
      </c>
      <c r="I159" s="161">
        <v>0</v>
      </c>
      <c r="J159" s="161">
        <v>0</v>
      </c>
      <c r="K159" s="161">
        <v>0</v>
      </c>
      <c r="L159" s="161">
        <v>0</v>
      </c>
      <c r="M159" s="162">
        <v>0</v>
      </c>
      <c r="N159" s="161">
        <v>0</v>
      </c>
      <c r="O159" s="162">
        <f t="shared" si="12"/>
        <v>0</v>
      </c>
      <c r="P159" s="161">
        <v>-2500</v>
      </c>
      <c r="Q159" s="161">
        <v>0</v>
      </c>
      <c r="R159" s="161">
        <v>0</v>
      </c>
      <c r="S159" s="161">
        <v>0</v>
      </c>
      <c r="T159" s="161">
        <v>0</v>
      </c>
      <c r="U159" s="161">
        <v>0</v>
      </c>
      <c r="V159" s="161">
        <v>0</v>
      </c>
      <c r="W159" s="161">
        <f t="shared" si="13"/>
        <v>-2500</v>
      </c>
      <c r="X159" s="161">
        <f t="shared" si="14"/>
        <v>0</v>
      </c>
      <c r="Y159" s="161">
        <f t="shared" si="15"/>
        <v>-2500</v>
      </c>
      <c r="Z159" s="161">
        <v>2500</v>
      </c>
      <c r="AA159" s="161">
        <f t="shared" si="16"/>
        <v>0</v>
      </c>
      <c r="AB159" s="161">
        <f t="shared" si="17"/>
        <v>2500</v>
      </c>
      <c r="AC159" s="158"/>
      <c r="AD159" s="158"/>
    </row>
    <row r="160" spans="1:30" ht="12.75" customHeight="1" x14ac:dyDescent="0.3">
      <c r="A160" s="147">
        <v>11</v>
      </c>
      <c r="B160" s="158" t="s">
        <v>913</v>
      </c>
      <c r="C160" s="158" t="s">
        <v>195</v>
      </c>
      <c r="D160" s="158" t="s">
        <v>20</v>
      </c>
      <c r="E160" s="160" t="s">
        <v>871</v>
      </c>
      <c r="F160" s="158" t="s">
        <v>25</v>
      </c>
      <c r="G160" s="160" t="s">
        <v>866</v>
      </c>
      <c r="H160" s="161">
        <v>7300.01</v>
      </c>
      <c r="I160" s="161">
        <v>-52.8</v>
      </c>
      <c r="J160" s="161">
        <v>0</v>
      </c>
      <c r="K160" s="161">
        <v>0</v>
      </c>
      <c r="L160" s="161">
        <v>-4723.78</v>
      </c>
      <c r="M160" s="162">
        <v>0</v>
      </c>
      <c r="N160" s="161">
        <v>0</v>
      </c>
      <c r="O160" s="162">
        <f t="shared" si="12"/>
        <v>2523.4300000000003</v>
      </c>
      <c r="P160" s="161">
        <v>-2400</v>
      </c>
      <c r="Q160" s="161">
        <v>0</v>
      </c>
      <c r="R160" s="161">
        <v>-500</v>
      </c>
      <c r="S160" s="161">
        <v>0</v>
      </c>
      <c r="T160" s="161">
        <v>0</v>
      </c>
      <c r="U160" s="161">
        <v>0</v>
      </c>
      <c r="V160" s="161">
        <v>0</v>
      </c>
      <c r="W160" s="161">
        <f t="shared" si="13"/>
        <v>-376.56999999999971</v>
      </c>
      <c r="X160" s="161">
        <f t="shared" si="14"/>
        <v>0</v>
      </c>
      <c r="Y160" s="161">
        <f t="shared" si="15"/>
        <v>-376.56999999999971</v>
      </c>
      <c r="Z160" s="161">
        <v>0</v>
      </c>
      <c r="AA160" s="161">
        <f t="shared" si="16"/>
        <v>-376.56999999999971</v>
      </c>
      <c r="AB160" s="161">
        <f t="shared" si="17"/>
        <v>2146.8600000000006</v>
      </c>
      <c r="AC160" s="158"/>
      <c r="AD160" s="158"/>
    </row>
    <row r="161" spans="1:30" ht="12.75" customHeight="1" x14ac:dyDescent="0.3">
      <c r="A161" s="147">
        <v>11</v>
      </c>
      <c r="B161" s="158" t="s">
        <v>888</v>
      </c>
      <c r="C161" s="158" t="s">
        <v>409</v>
      </c>
      <c r="D161" s="163" t="s">
        <v>889</v>
      </c>
      <c r="E161" s="160" t="s">
        <v>25</v>
      </c>
      <c r="F161" s="158" t="s">
        <v>25</v>
      </c>
      <c r="G161" s="160" t="s">
        <v>866</v>
      </c>
      <c r="H161" s="161">
        <v>0</v>
      </c>
      <c r="I161" s="161">
        <v>0</v>
      </c>
      <c r="J161" s="161">
        <v>0</v>
      </c>
      <c r="K161" s="161">
        <v>0</v>
      </c>
      <c r="L161" s="161">
        <v>0</v>
      </c>
      <c r="M161" s="162">
        <v>0</v>
      </c>
      <c r="N161" s="161">
        <v>0</v>
      </c>
      <c r="O161" s="162">
        <f t="shared" si="12"/>
        <v>0</v>
      </c>
      <c r="P161" s="161">
        <v>0</v>
      </c>
      <c r="Q161" s="161">
        <v>0</v>
      </c>
      <c r="R161" s="161">
        <v>500</v>
      </c>
      <c r="S161" s="161">
        <v>0</v>
      </c>
      <c r="T161" s="161">
        <v>0</v>
      </c>
      <c r="U161" s="161">
        <v>0</v>
      </c>
      <c r="V161" s="161">
        <v>0</v>
      </c>
      <c r="W161" s="161">
        <f t="shared" si="13"/>
        <v>500</v>
      </c>
      <c r="X161" s="161">
        <f t="shared" si="14"/>
        <v>500</v>
      </c>
      <c r="Y161" s="161">
        <f t="shared" si="15"/>
        <v>0</v>
      </c>
      <c r="Z161" s="161">
        <v>0</v>
      </c>
      <c r="AA161" s="161">
        <f t="shared" si="16"/>
        <v>0</v>
      </c>
      <c r="AB161" s="161">
        <f t="shared" si="17"/>
        <v>-500</v>
      </c>
      <c r="AC161" s="158"/>
      <c r="AD161" s="158"/>
    </row>
    <row r="162" spans="1:30" ht="12.75" customHeight="1" x14ac:dyDescent="0.3">
      <c r="A162" s="147">
        <v>11</v>
      </c>
      <c r="B162" s="158" t="s">
        <v>890</v>
      </c>
      <c r="C162" s="158" t="s">
        <v>64</v>
      </c>
      <c r="D162" s="158" t="s">
        <v>903</v>
      </c>
      <c r="E162" s="160" t="s">
        <v>25</v>
      </c>
      <c r="F162" s="158" t="s">
        <v>25</v>
      </c>
      <c r="G162" s="160" t="s">
        <v>866</v>
      </c>
      <c r="H162" s="161">
        <v>2999.62</v>
      </c>
      <c r="I162" s="161">
        <v>-28.72</v>
      </c>
      <c r="J162" s="161">
        <v>0</v>
      </c>
      <c r="K162" s="161">
        <v>0</v>
      </c>
      <c r="L162" s="161">
        <v>-1142.3599999999999</v>
      </c>
      <c r="M162" s="162">
        <v>-15</v>
      </c>
      <c r="N162" s="161">
        <v>-521.51</v>
      </c>
      <c r="O162" s="162">
        <f t="shared" si="12"/>
        <v>1292.0300000000002</v>
      </c>
      <c r="P162" s="161">
        <v>-2500</v>
      </c>
      <c r="Q162" s="161">
        <v>0</v>
      </c>
      <c r="R162" s="161">
        <v>0</v>
      </c>
      <c r="S162" s="161">
        <v>-300</v>
      </c>
      <c r="T162" s="161">
        <v>0</v>
      </c>
      <c r="U162" s="161">
        <v>0</v>
      </c>
      <c r="V162" s="161">
        <v>0</v>
      </c>
      <c r="W162" s="161">
        <f t="shared" si="13"/>
        <v>-1507.9699999999998</v>
      </c>
      <c r="X162" s="161">
        <f t="shared" si="14"/>
        <v>0</v>
      </c>
      <c r="Y162" s="161">
        <f t="shared" si="15"/>
        <v>-1507.9699999999998</v>
      </c>
      <c r="Z162" s="161">
        <v>0</v>
      </c>
      <c r="AA162" s="161">
        <f t="shared" si="16"/>
        <v>-1507.9699999999998</v>
      </c>
      <c r="AB162" s="161">
        <f t="shared" si="17"/>
        <v>-215.9399999999996</v>
      </c>
      <c r="AC162" s="158"/>
      <c r="AD162" s="158"/>
    </row>
    <row r="163" spans="1:30" ht="12.75" customHeight="1" x14ac:dyDescent="0.3">
      <c r="A163" s="147">
        <v>11</v>
      </c>
      <c r="B163" s="158" t="s">
        <v>872</v>
      </c>
      <c r="C163" s="158" t="s">
        <v>36</v>
      </c>
      <c r="D163" s="158" t="s">
        <v>904</v>
      </c>
      <c r="E163" s="160" t="s">
        <v>25</v>
      </c>
      <c r="F163" s="158" t="s">
        <v>25</v>
      </c>
      <c r="G163" s="160" t="s">
        <v>866</v>
      </c>
      <c r="H163" s="161">
        <v>12106.79</v>
      </c>
      <c r="I163" s="161">
        <v>-234.39999999999998</v>
      </c>
      <c r="J163" s="161">
        <v>0</v>
      </c>
      <c r="K163" s="161">
        <v>-94.28</v>
      </c>
      <c r="L163" s="161">
        <v>-5587.31</v>
      </c>
      <c r="M163" s="162">
        <v>-74</v>
      </c>
      <c r="N163" s="161">
        <v>-418.51</v>
      </c>
      <c r="O163" s="162">
        <f t="shared" si="12"/>
        <v>5698.29</v>
      </c>
      <c r="P163" s="161">
        <v>-2500</v>
      </c>
      <c r="Q163" s="161">
        <v>0</v>
      </c>
      <c r="R163" s="161">
        <v>0</v>
      </c>
      <c r="S163" s="161">
        <v>-500</v>
      </c>
      <c r="T163" s="161">
        <v>0</v>
      </c>
      <c r="U163" s="161">
        <v>0</v>
      </c>
      <c r="V163" s="161">
        <v>0</v>
      </c>
      <c r="W163" s="161">
        <f t="shared" si="13"/>
        <v>2698.29</v>
      </c>
      <c r="X163" s="161">
        <f t="shared" si="14"/>
        <v>2698.29</v>
      </c>
      <c r="Y163" s="161">
        <f t="shared" si="15"/>
        <v>0</v>
      </c>
      <c r="Z163" s="161">
        <v>0</v>
      </c>
      <c r="AA163" s="161">
        <f t="shared" si="16"/>
        <v>0</v>
      </c>
      <c r="AB163" s="161">
        <f t="shared" si="17"/>
        <v>3000</v>
      </c>
      <c r="AC163" s="158"/>
      <c r="AD163" s="158"/>
    </row>
    <row r="164" spans="1:30" ht="12.75" customHeight="1" x14ac:dyDescent="0.3">
      <c r="A164" s="147">
        <v>11</v>
      </c>
      <c r="B164" s="158" t="s">
        <v>921</v>
      </c>
      <c r="C164" s="158" t="s">
        <v>123</v>
      </c>
      <c r="D164" s="158" t="s">
        <v>892</v>
      </c>
      <c r="E164" s="160" t="s">
        <v>871</v>
      </c>
      <c r="F164" s="158" t="s">
        <v>25</v>
      </c>
      <c r="G164" s="160" t="s">
        <v>866</v>
      </c>
      <c r="H164" s="161">
        <v>8073.05</v>
      </c>
      <c r="I164" s="161">
        <v>-139.19999999999999</v>
      </c>
      <c r="J164" s="161">
        <v>0</v>
      </c>
      <c r="K164" s="161">
        <v>0</v>
      </c>
      <c r="L164" s="161">
        <v>-2560.08</v>
      </c>
      <c r="M164" s="162">
        <v>-25</v>
      </c>
      <c r="N164" s="161">
        <v>0</v>
      </c>
      <c r="O164" s="162">
        <f t="shared" si="12"/>
        <v>5348.77</v>
      </c>
      <c r="P164" s="161">
        <v>-2500</v>
      </c>
      <c r="Q164" s="161">
        <v>0</v>
      </c>
      <c r="R164" s="161">
        <v>-500</v>
      </c>
      <c r="S164" s="161">
        <v>0</v>
      </c>
      <c r="T164" s="161">
        <v>0</v>
      </c>
      <c r="U164" s="161">
        <v>0</v>
      </c>
      <c r="V164" s="161">
        <v>0</v>
      </c>
      <c r="W164" s="161">
        <f t="shared" si="13"/>
        <v>2348.7700000000004</v>
      </c>
      <c r="X164" s="161">
        <f t="shared" si="14"/>
        <v>2348.7700000000004</v>
      </c>
      <c r="Y164" s="161">
        <f t="shared" si="15"/>
        <v>0</v>
      </c>
      <c r="Z164" s="161">
        <v>0</v>
      </c>
      <c r="AA164" s="161">
        <f t="shared" si="16"/>
        <v>0</v>
      </c>
      <c r="AB164" s="161">
        <f t="shared" si="17"/>
        <v>3000</v>
      </c>
      <c r="AC164" s="158"/>
      <c r="AD164" s="158"/>
    </row>
    <row r="165" spans="1:30" ht="12.75" customHeight="1" x14ac:dyDescent="0.3">
      <c r="A165" s="147">
        <v>11</v>
      </c>
      <c r="B165" s="158" t="s">
        <v>874</v>
      </c>
      <c r="C165" s="158" t="s">
        <v>183</v>
      </c>
      <c r="D165" s="158" t="s">
        <v>887</v>
      </c>
      <c r="E165" s="160" t="s">
        <v>25</v>
      </c>
      <c r="F165" s="158" t="s">
        <v>25</v>
      </c>
      <c r="G165" s="160" t="s">
        <v>866</v>
      </c>
      <c r="H165" s="161">
        <v>5621.48</v>
      </c>
      <c r="I165" s="161">
        <v>-19.2</v>
      </c>
      <c r="J165" s="161">
        <v>0</v>
      </c>
      <c r="K165" s="161">
        <v>0</v>
      </c>
      <c r="L165" s="161">
        <v>-2789.37</v>
      </c>
      <c r="M165" s="162">
        <v>0</v>
      </c>
      <c r="N165" s="161">
        <v>0</v>
      </c>
      <c r="O165" s="162">
        <f t="shared" si="12"/>
        <v>2812.91</v>
      </c>
      <c r="P165" s="161">
        <v>-2815</v>
      </c>
      <c r="Q165" s="161">
        <v>-2807</v>
      </c>
      <c r="R165" s="161">
        <v>0</v>
      </c>
      <c r="S165" s="161">
        <v>0</v>
      </c>
      <c r="T165" s="161">
        <v>0</v>
      </c>
      <c r="U165" s="161">
        <v>0</v>
      </c>
      <c r="V165" s="161">
        <v>0</v>
      </c>
      <c r="W165" s="161">
        <f t="shared" si="13"/>
        <v>-2809.09</v>
      </c>
      <c r="X165" s="161">
        <f t="shared" si="14"/>
        <v>0</v>
      </c>
      <c r="Y165" s="161">
        <f t="shared" si="15"/>
        <v>-2809.09</v>
      </c>
      <c r="Z165" s="161">
        <v>2809</v>
      </c>
      <c r="AA165" s="161">
        <f t="shared" si="16"/>
        <v>-9.0000000000145519E-2</v>
      </c>
      <c r="AB165" s="161">
        <f t="shared" si="17"/>
        <v>5621.82</v>
      </c>
      <c r="AC165" s="158"/>
      <c r="AD165" s="158"/>
    </row>
    <row r="166" spans="1:30" ht="12.75" customHeight="1" x14ac:dyDescent="0.3">
      <c r="A166" s="147">
        <v>11</v>
      </c>
      <c r="B166" s="158" t="s">
        <v>918</v>
      </c>
      <c r="C166" s="158" t="s">
        <v>169</v>
      </c>
      <c r="D166" s="158" t="s">
        <v>919</v>
      </c>
      <c r="E166" s="160" t="s">
        <v>871</v>
      </c>
      <c r="F166" s="158" t="s">
        <v>25</v>
      </c>
      <c r="G166" s="160" t="s">
        <v>866</v>
      </c>
      <c r="H166" s="161">
        <v>8903.99</v>
      </c>
      <c r="I166" s="161">
        <v>-85.6</v>
      </c>
      <c r="J166" s="161">
        <v>0</v>
      </c>
      <c r="K166" s="161">
        <v>0</v>
      </c>
      <c r="L166" s="161">
        <v>-2183.87</v>
      </c>
      <c r="M166" s="162">
        <v>-73.41</v>
      </c>
      <c r="N166" s="161">
        <v>-24</v>
      </c>
      <c r="O166" s="162">
        <f t="shared" si="12"/>
        <v>6537.11</v>
      </c>
      <c r="P166" s="161">
        <v>-2350</v>
      </c>
      <c r="Q166" s="161">
        <v>0</v>
      </c>
      <c r="R166" s="161">
        <v>-500</v>
      </c>
      <c r="S166" s="161">
        <v>0</v>
      </c>
      <c r="T166" s="161">
        <v>0</v>
      </c>
      <c r="U166" s="161">
        <v>0</v>
      </c>
      <c r="V166" s="161">
        <v>0</v>
      </c>
      <c r="W166" s="161">
        <f t="shared" si="13"/>
        <v>3687.1099999999997</v>
      </c>
      <c r="X166" s="161">
        <f t="shared" si="14"/>
        <v>3687.1099999999997</v>
      </c>
      <c r="Y166" s="161">
        <f t="shared" si="15"/>
        <v>0</v>
      </c>
      <c r="Z166" s="161">
        <v>0</v>
      </c>
      <c r="AA166" s="161">
        <f t="shared" si="16"/>
        <v>0</v>
      </c>
      <c r="AB166" s="161">
        <f t="shared" si="17"/>
        <v>2850</v>
      </c>
      <c r="AC166" s="158"/>
      <c r="AD166" s="158"/>
    </row>
    <row r="167" spans="1:30" ht="12.75" customHeight="1" x14ac:dyDescent="0.3">
      <c r="A167" s="147">
        <v>11</v>
      </c>
      <c r="B167" s="158" t="s">
        <v>876</v>
      </c>
      <c r="C167" s="158" t="s">
        <v>150</v>
      </c>
      <c r="D167" s="158" t="s">
        <v>877</v>
      </c>
      <c r="E167" s="160" t="s">
        <v>25</v>
      </c>
      <c r="F167" s="158" t="s">
        <v>25</v>
      </c>
      <c r="G167" s="160" t="s">
        <v>866</v>
      </c>
      <c r="H167" s="161">
        <v>6382.43</v>
      </c>
      <c r="I167" s="161">
        <v>0</v>
      </c>
      <c r="J167" s="161">
        <v>0</v>
      </c>
      <c r="K167" s="161">
        <v>0</v>
      </c>
      <c r="L167" s="161">
        <v>-2599.5500000000002</v>
      </c>
      <c r="M167" s="162">
        <v>-35</v>
      </c>
      <c r="N167" s="161">
        <v>0</v>
      </c>
      <c r="O167" s="162">
        <f t="shared" si="12"/>
        <v>3747.88</v>
      </c>
      <c r="P167" s="161">
        <v>-2500</v>
      </c>
      <c r="Q167" s="161">
        <v>0</v>
      </c>
      <c r="R167" s="161">
        <v>0</v>
      </c>
      <c r="S167" s="161">
        <v>0</v>
      </c>
      <c r="T167" s="161">
        <v>0</v>
      </c>
      <c r="U167" s="161">
        <v>0</v>
      </c>
      <c r="V167" s="161">
        <v>0</v>
      </c>
      <c r="W167" s="161">
        <f t="shared" si="13"/>
        <v>1247.8800000000001</v>
      </c>
      <c r="X167" s="161">
        <f t="shared" si="14"/>
        <v>1247.8800000000001</v>
      </c>
      <c r="Y167" s="161">
        <f t="shared" si="15"/>
        <v>0</v>
      </c>
      <c r="Z167" s="161">
        <v>0</v>
      </c>
      <c r="AA167" s="161">
        <f t="shared" si="16"/>
        <v>0</v>
      </c>
      <c r="AB167" s="161">
        <f t="shared" si="17"/>
        <v>2500</v>
      </c>
      <c r="AC167" s="158"/>
      <c r="AD167" s="158"/>
    </row>
    <row r="168" spans="1:30" ht="12.75" customHeight="1" x14ac:dyDescent="0.3">
      <c r="A168" s="147">
        <v>11</v>
      </c>
      <c r="B168" s="158" t="s">
        <v>484</v>
      </c>
      <c r="C168" s="158" t="s">
        <v>46</v>
      </c>
      <c r="D168" s="158" t="s">
        <v>20</v>
      </c>
      <c r="E168" s="160" t="s">
        <v>25</v>
      </c>
      <c r="F168" s="158" t="s">
        <v>25</v>
      </c>
      <c r="G168" s="160" t="s">
        <v>866</v>
      </c>
      <c r="H168" s="161">
        <v>6705.51</v>
      </c>
      <c r="I168" s="161">
        <v>-149.6</v>
      </c>
      <c r="J168" s="161">
        <v>0</v>
      </c>
      <c r="K168" s="161">
        <v>0</v>
      </c>
      <c r="L168" s="161">
        <v>-3735.21</v>
      </c>
      <c r="M168" s="162">
        <v>-25</v>
      </c>
      <c r="N168" s="161">
        <v>0</v>
      </c>
      <c r="O168" s="162">
        <f t="shared" si="12"/>
        <v>2795.7</v>
      </c>
      <c r="P168" s="161">
        <v>-2321</v>
      </c>
      <c r="Q168" s="161">
        <v>0</v>
      </c>
      <c r="R168" s="161">
        <v>0</v>
      </c>
      <c r="S168" s="161">
        <v>0</v>
      </c>
      <c r="T168" s="161">
        <v>0</v>
      </c>
      <c r="U168" s="161">
        <v>0</v>
      </c>
      <c r="V168" s="161">
        <v>0</v>
      </c>
      <c r="W168" s="161">
        <f t="shared" si="13"/>
        <v>474.69999999999982</v>
      </c>
      <c r="X168" s="161">
        <f t="shared" si="14"/>
        <v>474.69999999999982</v>
      </c>
      <c r="Y168" s="161">
        <f t="shared" si="15"/>
        <v>0</v>
      </c>
      <c r="Z168" s="161">
        <v>0</v>
      </c>
      <c r="AA168" s="161">
        <f t="shared" si="16"/>
        <v>0</v>
      </c>
      <c r="AB168" s="161">
        <f t="shared" si="17"/>
        <v>2321</v>
      </c>
      <c r="AC168" s="158"/>
      <c r="AD168" s="158"/>
    </row>
    <row r="169" spans="1:30" ht="12.75" customHeight="1" x14ac:dyDescent="0.3">
      <c r="A169" s="147">
        <v>11</v>
      </c>
      <c r="B169" s="158" t="s">
        <v>408</v>
      </c>
      <c r="C169" s="158" t="s">
        <v>878</v>
      </c>
      <c r="D169" s="158" t="s">
        <v>879</v>
      </c>
      <c r="E169" s="160" t="s">
        <v>25</v>
      </c>
      <c r="F169" s="158" t="s">
        <v>25</v>
      </c>
      <c r="G169" s="160" t="s">
        <v>866</v>
      </c>
      <c r="H169" s="161">
        <v>4937.51</v>
      </c>
      <c r="I169" s="161">
        <v>0</v>
      </c>
      <c r="J169" s="161">
        <v>0</v>
      </c>
      <c r="K169" s="161">
        <v>0</v>
      </c>
      <c r="L169" s="161">
        <v>-2193.15</v>
      </c>
      <c r="M169" s="162">
        <v>-22</v>
      </c>
      <c r="N169" s="161">
        <v>0</v>
      </c>
      <c r="O169" s="162">
        <f t="shared" si="12"/>
        <v>2722.36</v>
      </c>
      <c r="P169" s="161">
        <v>-2500</v>
      </c>
      <c r="Q169" s="161">
        <v>0</v>
      </c>
      <c r="R169" s="161">
        <v>0</v>
      </c>
      <c r="S169" s="161">
        <v>0</v>
      </c>
      <c r="T169" s="161">
        <v>0</v>
      </c>
      <c r="U169" s="161">
        <v>0</v>
      </c>
      <c r="V169" s="161">
        <v>0</v>
      </c>
      <c r="W169" s="161">
        <f t="shared" si="13"/>
        <v>222.36000000000013</v>
      </c>
      <c r="X169" s="161">
        <f t="shared" si="14"/>
        <v>222.36000000000013</v>
      </c>
      <c r="Y169" s="161">
        <f t="shared" si="15"/>
        <v>0</v>
      </c>
      <c r="Z169" s="161">
        <v>0</v>
      </c>
      <c r="AA169" s="161">
        <f t="shared" si="16"/>
        <v>0</v>
      </c>
      <c r="AB169" s="161">
        <f t="shared" si="17"/>
        <v>2500</v>
      </c>
      <c r="AC169" s="158"/>
      <c r="AD169" s="158"/>
    </row>
    <row r="170" spans="1:30" ht="12.75" customHeight="1" x14ac:dyDescent="0.3">
      <c r="A170" s="147">
        <v>11</v>
      </c>
      <c r="B170" s="158" t="s">
        <v>916</v>
      </c>
      <c r="C170" s="158" t="s">
        <v>409</v>
      </c>
      <c r="D170" s="158" t="s">
        <v>889</v>
      </c>
      <c r="E170" s="160" t="s">
        <v>25</v>
      </c>
      <c r="F170" s="158" t="s">
        <v>25</v>
      </c>
      <c r="G170" s="160" t="s">
        <v>866</v>
      </c>
      <c r="H170" s="161">
        <v>275.75</v>
      </c>
      <c r="I170" s="161">
        <v>-7.39</v>
      </c>
      <c r="J170" s="161">
        <v>0</v>
      </c>
      <c r="K170" s="161">
        <v>0</v>
      </c>
      <c r="L170" s="161">
        <v>-179.85</v>
      </c>
      <c r="M170" s="162">
        <v>0</v>
      </c>
      <c r="N170" s="161">
        <v>0</v>
      </c>
      <c r="O170" s="162">
        <f t="shared" si="12"/>
        <v>88.510000000000019</v>
      </c>
      <c r="P170" s="161">
        <v>-2500</v>
      </c>
      <c r="Q170" s="161">
        <v>0</v>
      </c>
      <c r="R170" s="161">
        <v>0</v>
      </c>
      <c r="S170" s="161">
        <v>0</v>
      </c>
      <c r="T170" s="161">
        <v>0</v>
      </c>
      <c r="U170" s="161">
        <v>0</v>
      </c>
      <c r="V170" s="161">
        <v>0</v>
      </c>
      <c r="W170" s="161">
        <f t="shared" si="13"/>
        <v>-2411.4899999999998</v>
      </c>
      <c r="X170" s="161">
        <f t="shared" si="14"/>
        <v>0</v>
      </c>
      <c r="Y170" s="161">
        <f t="shared" si="15"/>
        <v>-2411.4899999999998</v>
      </c>
      <c r="Z170" s="161">
        <v>0</v>
      </c>
      <c r="AA170" s="161">
        <f t="shared" si="16"/>
        <v>-2411.4899999999998</v>
      </c>
      <c r="AB170" s="161">
        <f t="shared" si="17"/>
        <v>-2322.9799999999996</v>
      </c>
      <c r="AC170" s="158"/>
      <c r="AD170" s="158"/>
    </row>
    <row r="171" spans="1:30" ht="12.75" customHeight="1" x14ac:dyDescent="0.3">
      <c r="A171" s="147">
        <v>11</v>
      </c>
      <c r="B171" s="158" t="s">
        <v>920</v>
      </c>
      <c r="C171" s="158" t="s">
        <v>372</v>
      </c>
      <c r="D171" s="158" t="s">
        <v>20</v>
      </c>
      <c r="E171" s="158" t="s">
        <v>39</v>
      </c>
      <c r="F171" s="158" t="s">
        <v>25</v>
      </c>
      <c r="G171" s="160" t="s">
        <v>866</v>
      </c>
      <c r="H171" s="161">
        <v>2464.06</v>
      </c>
      <c r="I171" s="161">
        <v>0</v>
      </c>
      <c r="J171" s="161">
        <v>0</v>
      </c>
      <c r="K171" s="161">
        <v>0</v>
      </c>
      <c r="L171" s="161">
        <v>-1485.97</v>
      </c>
      <c r="M171" s="162">
        <v>0</v>
      </c>
      <c r="N171" s="161">
        <v>0</v>
      </c>
      <c r="O171" s="162">
        <f t="shared" si="12"/>
        <v>978.08999999999992</v>
      </c>
      <c r="P171" s="161">
        <v>-2500</v>
      </c>
      <c r="Q171" s="161">
        <v>-420</v>
      </c>
      <c r="R171" s="161">
        <v>0</v>
      </c>
      <c r="S171" s="161">
        <v>0</v>
      </c>
      <c r="T171" s="161">
        <v>0</v>
      </c>
      <c r="U171" s="161">
        <v>0</v>
      </c>
      <c r="V171" s="161">
        <v>0</v>
      </c>
      <c r="W171" s="161">
        <f t="shared" si="13"/>
        <v>-1941.91</v>
      </c>
      <c r="X171" s="161">
        <f t="shared" si="14"/>
        <v>0</v>
      </c>
      <c r="Y171" s="161">
        <f t="shared" si="15"/>
        <v>-1941.91</v>
      </c>
      <c r="Z171" s="161">
        <v>0</v>
      </c>
      <c r="AA171" s="161">
        <f t="shared" si="16"/>
        <v>-1941.91</v>
      </c>
      <c r="AB171" s="161">
        <f t="shared" si="17"/>
        <v>-963.82000000000016</v>
      </c>
      <c r="AC171" s="158"/>
      <c r="AD171" s="158"/>
    </row>
    <row r="172" spans="1:30" ht="12.75" customHeight="1" x14ac:dyDescent="0.3">
      <c r="A172" s="147">
        <v>11</v>
      </c>
      <c r="B172" s="158" t="s">
        <v>880</v>
      </c>
      <c r="C172" s="158" t="s">
        <v>57</v>
      </c>
      <c r="D172" s="158" t="s">
        <v>881</v>
      </c>
      <c r="E172" s="160" t="s">
        <v>25</v>
      </c>
      <c r="F172" s="158" t="s">
        <v>25</v>
      </c>
      <c r="G172" s="160" t="s">
        <v>866</v>
      </c>
      <c r="H172" s="161">
        <v>5098.34</v>
      </c>
      <c r="I172" s="161">
        <v>-16</v>
      </c>
      <c r="J172" s="161">
        <v>0</v>
      </c>
      <c r="K172" s="161">
        <v>0</v>
      </c>
      <c r="L172" s="161">
        <v>-2038.26</v>
      </c>
      <c r="M172" s="162">
        <v>-72.06</v>
      </c>
      <c r="N172" s="161">
        <v>0</v>
      </c>
      <c r="O172" s="162">
        <f t="shared" si="12"/>
        <v>2972.02</v>
      </c>
      <c r="P172" s="161">
        <v>-2300</v>
      </c>
      <c r="Q172" s="161">
        <v>0</v>
      </c>
      <c r="R172" s="161">
        <v>0</v>
      </c>
      <c r="S172" s="161">
        <v>0</v>
      </c>
      <c r="T172" s="161">
        <v>0</v>
      </c>
      <c r="U172" s="161">
        <v>0</v>
      </c>
      <c r="V172" s="161">
        <v>0</v>
      </c>
      <c r="W172" s="161">
        <f t="shared" si="13"/>
        <v>672.02</v>
      </c>
      <c r="X172" s="161">
        <f t="shared" si="14"/>
        <v>672.02</v>
      </c>
      <c r="Y172" s="161">
        <f t="shared" si="15"/>
        <v>0</v>
      </c>
      <c r="Z172" s="161">
        <v>0</v>
      </c>
      <c r="AA172" s="161">
        <f t="shared" si="16"/>
        <v>0</v>
      </c>
      <c r="AB172" s="161">
        <f t="shared" si="17"/>
        <v>2300</v>
      </c>
      <c r="AC172" s="158"/>
      <c r="AD172" s="158"/>
    </row>
    <row r="173" spans="1:30" ht="12.75" customHeight="1" x14ac:dyDescent="0.3">
      <c r="A173" s="147">
        <v>11</v>
      </c>
      <c r="B173" s="158" t="s">
        <v>922</v>
      </c>
      <c r="C173" s="158" t="s">
        <v>347</v>
      </c>
      <c r="D173" s="158" t="s">
        <v>897</v>
      </c>
      <c r="E173" s="160" t="s">
        <v>25</v>
      </c>
      <c r="F173" s="158" t="s">
        <v>25</v>
      </c>
      <c r="G173" s="160" t="s">
        <v>866</v>
      </c>
      <c r="H173" s="161">
        <v>3097.05</v>
      </c>
      <c r="I173" s="161">
        <v>-51.96</v>
      </c>
      <c r="J173" s="161">
        <v>0</v>
      </c>
      <c r="K173" s="161">
        <v>0</v>
      </c>
      <c r="L173" s="161">
        <v>-859.66</v>
      </c>
      <c r="M173" s="162">
        <v>-15</v>
      </c>
      <c r="N173" s="161">
        <v>-190</v>
      </c>
      <c r="O173" s="162">
        <f t="shared" si="12"/>
        <v>1980.4300000000003</v>
      </c>
      <c r="P173" s="161">
        <v>-1607</v>
      </c>
      <c r="Q173" s="161">
        <v>0</v>
      </c>
      <c r="R173" s="161">
        <v>0</v>
      </c>
      <c r="S173" s="161">
        <v>0</v>
      </c>
      <c r="T173" s="161">
        <v>0</v>
      </c>
      <c r="U173" s="161">
        <v>0</v>
      </c>
      <c r="V173" s="161">
        <v>0</v>
      </c>
      <c r="W173" s="161">
        <f t="shared" si="13"/>
        <v>373.43000000000029</v>
      </c>
      <c r="X173" s="161">
        <f t="shared" si="14"/>
        <v>373.43000000000029</v>
      </c>
      <c r="Y173" s="161">
        <f t="shared" si="15"/>
        <v>0</v>
      </c>
      <c r="Z173" s="161">
        <v>0</v>
      </c>
      <c r="AA173" s="161">
        <f t="shared" si="16"/>
        <v>0</v>
      </c>
      <c r="AB173" s="161">
        <f t="shared" si="17"/>
        <v>1607</v>
      </c>
      <c r="AC173" s="158"/>
      <c r="AD173" s="158"/>
    </row>
    <row r="174" spans="1:30" ht="12.75" customHeight="1" x14ac:dyDescent="0.3">
      <c r="A174" s="147">
        <v>11</v>
      </c>
      <c r="B174" s="158" t="s">
        <v>882</v>
      </c>
      <c r="C174" s="158" t="s">
        <v>120</v>
      </c>
      <c r="D174" s="158" t="s">
        <v>917</v>
      </c>
      <c r="E174" s="160" t="s">
        <v>25</v>
      </c>
      <c r="F174" s="158" t="s">
        <v>865</v>
      </c>
      <c r="G174" s="160" t="s">
        <v>866</v>
      </c>
      <c r="H174" s="161">
        <v>6168.41</v>
      </c>
      <c r="I174" s="161">
        <v>-82.4</v>
      </c>
      <c r="J174" s="161">
        <v>0</v>
      </c>
      <c r="K174" s="161">
        <v>0</v>
      </c>
      <c r="L174" s="161">
        <v>-2154.85</v>
      </c>
      <c r="M174" s="162">
        <v>-25</v>
      </c>
      <c r="N174" s="161">
        <v>0</v>
      </c>
      <c r="O174" s="162">
        <f t="shared" si="12"/>
        <v>3906.1600000000003</v>
      </c>
      <c r="P174" s="161">
        <v>-2500</v>
      </c>
      <c r="Q174" s="161">
        <v>0</v>
      </c>
      <c r="R174" s="161">
        <v>0</v>
      </c>
      <c r="S174" s="161">
        <v>0</v>
      </c>
      <c r="T174" s="161">
        <v>0</v>
      </c>
      <c r="U174" s="161">
        <v>0</v>
      </c>
      <c r="V174" s="161">
        <v>0</v>
      </c>
      <c r="W174" s="161">
        <f t="shared" si="13"/>
        <v>1406.1600000000003</v>
      </c>
      <c r="X174" s="161">
        <f t="shared" si="14"/>
        <v>1406.1600000000003</v>
      </c>
      <c r="Y174" s="161">
        <f t="shared" si="15"/>
        <v>0</v>
      </c>
      <c r="Z174" s="161">
        <v>0</v>
      </c>
      <c r="AA174" s="161">
        <f t="shared" si="16"/>
        <v>0</v>
      </c>
      <c r="AB174" s="161">
        <f t="shared" si="17"/>
        <v>2500</v>
      </c>
      <c r="AC174" s="158"/>
      <c r="AD174" s="158"/>
    </row>
    <row r="175" spans="1:30" ht="12.75" customHeight="1" x14ac:dyDescent="0.3">
      <c r="A175" s="147">
        <v>12</v>
      </c>
      <c r="B175" s="158" t="s">
        <v>585</v>
      </c>
      <c r="C175" s="158" t="s">
        <v>863</v>
      </c>
      <c r="D175" s="158" t="s">
        <v>864</v>
      </c>
      <c r="E175" s="160" t="s">
        <v>25</v>
      </c>
      <c r="F175" s="158" t="s">
        <v>25</v>
      </c>
      <c r="G175" s="160" t="s">
        <v>866</v>
      </c>
      <c r="H175" s="161">
        <v>1366.27</v>
      </c>
      <c r="I175" s="161">
        <v>0</v>
      </c>
      <c r="J175" s="161"/>
      <c r="K175" s="161">
        <v>0</v>
      </c>
      <c r="L175" s="161">
        <v>-365.15</v>
      </c>
      <c r="M175" s="162">
        <v>-16.2330548991801</v>
      </c>
      <c r="N175" s="161">
        <v>-167</v>
      </c>
      <c r="O175" s="162">
        <f t="shared" si="12"/>
        <v>817.88694510081996</v>
      </c>
      <c r="P175" s="161">
        <v>-2500</v>
      </c>
      <c r="Q175" s="161">
        <v>0</v>
      </c>
      <c r="R175" s="161">
        <v>0</v>
      </c>
      <c r="S175" s="161">
        <v>0</v>
      </c>
      <c r="T175" s="161">
        <v>0</v>
      </c>
      <c r="U175" s="161">
        <v>0</v>
      </c>
      <c r="V175" s="161">
        <v>0</v>
      </c>
      <c r="W175" s="161">
        <f t="shared" si="13"/>
        <v>-1682.11305489918</v>
      </c>
      <c r="X175" s="161">
        <f t="shared" si="14"/>
        <v>0</v>
      </c>
      <c r="Y175" s="161">
        <f t="shared" si="15"/>
        <v>-1682.11305489918</v>
      </c>
      <c r="Z175" s="161">
        <v>1682</v>
      </c>
      <c r="AA175" s="161">
        <f t="shared" si="16"/>
        <v>-0.11305489918004241</v>
      </c>
      <c r="AB175" s="161">
        <f t="shared" si="17"/>
        <v>2499.7738902016399</v>
      </c>
      <c r="AC175" s="158"/>
      <c r="AD175" s="158"/>
    </row>
    <row r="176" spans="1:30" ht="12.75" customHeight="1" x14ac:dyDescent="0.3">
      <c r="A176" s="147">
        <v>12</v>
      </c>
      <c r="B176" s="158" t="s">
        <v>868</v>
      </c>
      <c r="C176" s="158" t="s">
        <v>68</v>
      </c>
      <c r="D176" s="158" t="s">
        <v>869</v>
      </c>
      <c r="E176" s="160" t="s">
        <v>25</v>
      </c>
      <c r="F176" s="158" t="s">
        <v>25</v>
      </c>
      <c r="G176" s="160" t="s">
        <v>866</v>
      </c>
      <c r="H176" s="161">
        <v>1780.48</v>
      </c>
      <c r="I176" s="161">
        <v>0</v>
      </c>
      <c r="J176" s="161"/>
      <c r="K176" s="161">
        <v>0</v>
      </c>
      <c r="L176" s="161">
        <v>-1431.1</v>
      </c>
      <c r="M176" s="162">
        <v>-21.154405488587301</v>
      </c>
      <c r="N176" s="161">
        <v>0</v>
      </c>
      <c r="O176" s="162">
        <f t="shared" si="12"/>
        <v>328.22559451141279</v>
      </c>
      <c r="P176" s="161">
        <v>-2500</v>
      </c>
      <c r="Q176" s="161">
        <v>0</v>
      </c>
      <c r="R176" s="161">
        <v>0</v>
      </c>
      <c r="S176" s="161">
        <v>0</v>
      </c>
      <c r="T176" s="161">
        <v>0</v>
      </c>
      <c r="U176" s="161">
        <v>0</v>
      </c>
      <c r="V176" s="161">
        <v>0</v>
      </c>
      <c r="W176" s="161">
        <f t="shared" si="13"/>
        <v>-2171.774405488587</v>
      </c>
      <c r="X176" s="161">
        <f t="shared" si="14"/>
        <v>0</v>
      </c>
      <c r="Y176" s="161">
        <f t="shared" si="15"/>
        <v>-2171.774405488587</v>
      </c>
      <c r="Z176" s="161">
        <v>2100</v>
      </c>
      <c r="AA176" s="161">
        <f t="shared" si="16"/>
        <v>-71.774405488587036</v>
      </c>
      <c r="AB176" s="161">
        <f t="shared" si="17"/>
        <v>2356.4511890228259</v>
      </c>
      <c r="AC176" s="158"/>
      <c r="AD176" s="158"/>
    </row>
    <row r="177" spans="1:30" ht="12.75" customHeight="1" x14ac:dyDescent="0.3">
      <c r="A177" s="147">
        <v>12</v>
      </c>
      <c r="B177" s="158" t="s">
        <v>913</v>
      </c>
      <c r="C177" s="158" t="s">
        <v>195</v>
      </c>
      <c r="D177" s="158" t="s">
        <v>20</v>
      </c>
      <c r="E177" s="160" t="s">
        <v>871</v>
      </c>
      <c r="F177" s="158" t="s">
        <v>25</v>
      </c>
      <c r="G177" s="160" t="s">
        <v>866</v>
      </c>
      <c r="H177" s="161">
        <v>5393.46</v>
      </c>
      <c r="I177" s="161">
        <v>-54.4</v>
      </c>
      <c r="J177" s="161"/>
      <c r="K177" s="161">
        <v>0</v>
      </c>
      <c r="L177" s="161">
        <v>-2660.92</v>
      </c>
      <c r="M177" s="162">
        <v>0</v>
      </c>
      <c r="N177" s="161">
        <v>0</v>
      </c>
      <c r="O177" s="162">
        <f t="shared" si="12"/>
        <v>2678.1400000000003</v>
      </c>
      <c r="P177" s="161">
        <v>-2400</v>
      </c>
      <c r="Q177" s="161">
        <v>0</v>
      </c>
      <c r="R177" s="161">
        <v>-500</v>
      </c>
      <c r="S177" s="161">
        <v>0</v>
      </c>
      <c r="T177" s="161">
        <v>0</v>
      </c>
      <c r="U177" s="161">
        <v>0</v>
      </c>
      <c r="V177" s="161">
        <v>0</v>
      </c>
      <c r="W177" s="161">
        <f t="shared" si="13"/>
        <v>-221.85999999999967</v>
      </c>
      <c r="X177" s="161">
        <f t="shared" si="14"/>
        <v>0</v>
      </c>
      <c r="Y177" s="161">
        <f t="shared" si="15"/>
        <v>-221.85999999999967</v>
      </c>
      <c r="Z177" s="161">
        <v>0</v>
      </c>
      <c r="AA177" s="161">
        <f t="shared" si="16"/>
        <v>-221.85999999999967</v>
      </c>
      <c r="AB177" s="161">
        <f t="shared" si="17"/>
        <v>2456.2800000000007</v>
      </c>
      <c r="AC177" s="158"/>
      <c r="AD177" s="158"/>
    </row>
    <row r="178" spans="1:30" ht="12.75" customHeight="1" x14ac:dyDescent="0.3">
      <c r="A178" s="147">
        <v>12</v>
      </c>
      <c r="B178" s="158" t="s">
        <v>888</v>
      </c>
      <c r="C178" s="158" t="s">
        <v>409</v>
      </c>
      <c r="D178" s="163" t="s">
        <v>889</v>
      </c>
      <c r="E178" s="160" t="s">
        <v>25</v>
      </c>
      <c r="F178" s="158" t="s">
        <v>25</v>
      </c>
      <c r="G178" s="160" t="s">
        <v>866</v>
      </c>
      <c r="H178" s="161">
        <v>0</v>
      </c>
      <c r="I178" s="161">
        <v>0</v>
      </c>
      <c r="J178" s="161">
        <v>0</v>
      </c>
      <c r="K178" s="161">
        <v>0</v>
      </c>
      <c r="L178" s="161">
        <v>0</v>
      </c>
      <c r="M178" s="162">
        <v>0</v>
      </c>
      <c r="N178" s="161">
        <v>0</v>
      </c>
      <c r="O178" s="162">
        <f t="shared" si="12"/>
        <v>0</v>
      </c>
      <c r="P178" s="161">
        <v>0</v>
      </c>
      <c r="Q178" s="161">
        <v>0</v>
      </c>
      <c r="R178" s="161">
        <v>500</v>
      </c>
      <c r="S178" s="161">
        <v>0</v>
      </c>
      <c r="T178" s="161">
        <v>0</v>
      </c>
      <c r="U178" s="161">
        <v>0</v>
      </c>
      <c r="V178" s="161">
        <v>0</v>
      </c>
      <c r="W178" s="161">
        <f t="shared" si="13"/>
        <v>500</v>
      </c>
      <c r="X178" s="161">
        <f t="shared" si="14"/>
        <v>500</v>
      </c>
      <c r="Y178" s="161">
        <f t="shared" si="15"/>
        <v>0</v>
      </c>
      <c r="Z178" s="161">
        <v>0</v>
      </c>
      <c r="AA178" s="161">
        <f t="shared" si="16"/>
        <v>0</v>
      </c>
      <c r="AB178" s="161">
        <f t="shared" si="17"/>
        <v>-500</v>
      </c>
      <c r="AC178" s="161">
        <f>+AC177+AA177</f>
        <v>-221.85999999999967</v>
      </c>
      <c r="AD178" s="158"/>
    </row>
    <row r="179" spans="1:30" ht="12.75" customHeight="1" x14ac:dyDescent="0.3">
      <c r="A179" s="147">
        <v>12</v>
      </c>
      <c r="B179" s="158" t="s">
        <v>894</v>
      </c>
      <c r="C179" s="158" t="s">
        <v>183</v>
      </c>
      <c r="D179" s="158" t="s">
        <v>887</v>
      </c>
      <c r="E179" s="160" t="s">
        <v>25</v>
      </c>
      <c r="F179" s="158" t="s">
        <v>25</v>
      </c>
      <c r="G179" s="160" t="s">
        <v>866</v>
      </c>
      <c r="H179" s="161">
        <v>0</v>
      </c>
      <c r="I179" s="161">
        <v>0</v>
      </c>
      <c r="J179" s="161">
        <v>0</v>
      </c>
      <c r="K179" s="161">
        <v>0</v>
      </c>
      <c r="L179" s="161">
        <v>0</v>
      </c>
      <c r="M179" s="162">
        <v>0</v>
      </c>
      <c r="N179" s="161">
        <v>0</v>
      </c>
      <c r="O179" s="162">
        <f t="shared" si="12"/>
        <v>0</v>
      </c>
      <c r="P179" s="161">
        <v>-892.85714285714289</v>
      </c>
      <c r="Q179" s="161">
        <v>0</v>
      </c>
      <c r="R179" s="161">
        <v>-107</v>
      </c>
      <c r="S179" s="161">
        <v>0</v>
      </c>
      <c r="T179" s="161">
        <v>0</v>
      </c>
      <c r="U179" s="161">
        <v>0</v>
      </c>
      <c r="V179" s="161">
        <v>0</v>
      </c>
      <c r="W179" s="161">
        <f t="shared" si="13"/>
        <v>-999.85714285714289</v>
      </c>
      <c r="X179" s="161">
        <f t="shared" si="14"/>
        <v>0</v>
      </c>
      <c r="Y179" s="161">
        <f t="shared" si="15"/>
        <v>-999.85714285714289</v>
      </c>
      <c r="Z179" s="161">
        <v>1000</v>
      </c>
      <c r="AA179" s="161">
        <f t="shared" si="16"/>
        <v>0.14285714285711038</v>
      </c>
      <c r="AB179" s="161">
        <f t="shared" si="17"/>
        <v>1000.1428571428571</v>
      </c>
      <c r="AC179" s="158"/>
      <c r="AD179" s="158"/>
    </row>
    <row r="180" spans="1:30" ht="12.75" customHeight="1" x14ac:dyDescent="0.3">
      <c r="A180" s="147">
        <v>12</v>
      </c>
      <c r="B180" s="158" t="s">
        <v>890</v>
      </c>
      <c r="C180" s="158" t="s">
        <v>42</v>
      </c>
      <c r="D180" s="158" t="s">
        <v>903</v>
      </c>
      <c r="E180" s="160" t="s">
        <v>25</v>
      </c>
      <c r="F180" s="158" t="s">
        <v>25</v>
      </c>
      <c r="G180" s="160" t="s">
        <v>866</v>
      </c>
      <c r="H180" s="161">
        <v>4621.99</v>
      </c>
      <c r="I180" s="161">
        <v>-17.28</v>
      </c>
      <c r="J180" s="161"/>
      <c r="K180" s="161">
        <v>0</v>
      </c>
      <c r="L180" s="161">
        <v>-1118.53</v>
      </c>
      <c r="M180" s="162">
        <v>-25</v>
      </c>
      <c r="N180" s="161">
        <v>-149.11000000000001</v>
      </c>
      <c r="O180" s="162">
        <f t="shared" si="12"/>
        <v>3312.07</v>
      </c>
      <c r="P180" s="161">
        <v>-2500</v>
      </c>
      <c r="Q180" s="161">
        <v>0</v>
      </c>
      <c r="R180" s="161">
        <v>0</v>
      </c>
      <c r="S180" s="161">
        <v>-500</v>
      </c>
      <c r="T180" s="161">
        <v>0</v>
      </c>
      <c r="U180" s="161">
        <v>0</v>
      </c>
      <c r="V180" s="161">
        <v>0</v>
      </c>
      <c r="W180" s="161">
        <f t="shared" si="13"/>
        <v>312.07000000000016</v>
      </c>
      <c r="X180" s="161">
        <f t="shared" si="14"/>
        <v>312.07000000000016</v>
      </c>
      <c r="Y180" s="161">
        <f t="shared" si="15"/>
        <v>0</v>
      </c>
      <c r="Z180" s="161">
        <v>0</v>
      </c>
      <c r="AA180" s="161">
        <f t="shared" si="16"/>
        <v>0</v>
      </c>
      <c r="AB180" s="161">
        <f t="shared" si="17"/>
        <v>3000</v>
      </c>
      <c r="AC180" s="158"/>
      <c r="AD180" s="158"/>
    </row>
    <row r="181" spans="1:30" ht="12.75" customHeight="1" x14ac:dyDescent="0.3">
      <c r="A181" s="147">
        <v>12</v>
      </c>
      <c r="B181" s="158" t="s">
        <v>872</v>
      </c>
      <c r="C181" s="158" t="s">
        <v>36</v>
      </c>
      <c r="D181" s="158" t="s">
        <v>904</v>
      </c>
      <c r="E181" s="160" t="s">
        <v>25</v>
      </c>
      <c r="F181" s="158" t="s">
        <v>25</v>
      </c>
      <c r="G181" s="160" t="s">
        <v>866</v>
      </c>
      <c r="H181" s="161">
        <v>10997.62</v>
      </c>
      <c r="I181" s="161">
        <v>-119.2</v>
      </c>
      <c r="J181" s="161"/>
      <c r="K181" s="161">
        <v>-101.81</v>
      </c>
      <c r="L181" s="161">
        <v>-4605.29</v>
      </c>
      <c r="M181" s="162">
        <v>-22</v>
      </c>
      <c r="N181" s="161">
        <v>-24</v>
      </c>
      <c r="O181" s="162">
        <f t="shared" si="12"/>
        <v>6125.3200000000006</v>
      </c>
      <c r="P181" s="161">
        <v>-2500</v>
      </c>
      <c r="Q181" s="161">
        <v>-800</v>
      </c>
      <c r="R181" s="161">
        <v>0</v>
      </c>
      <c r="S181" s="161">
        <v>-500</v>
      </c>
      <c r="T181" s="161">
        <v>0</v>
      </c>
      <c r="U181" s="161">
        <v>0</v>
      </c>
      <c r="V181" s="161">
        <v>0</v>
      </c>
      <c r="W181" s="161">
        <f t="shared" si="13"/>
        <v>2325.3200000000006</v>
      </c>
      <c r="X181" s="161">
        <f t="shared" si="14"/>
        <v>2325.3200000000006</v>
      </c>
      <c r="Y181" s="161">
        <f t="shared" si="15"/>
        <v>0</v>
      </c>
      <c r="Z181" s="161">
        <v>0</v>
      </c>
      <c r="AA181" s="161">
        <f t="shared" si="16"/>
        <v>0</v>
      </c>
      <c r="AB181" s="161">
        <f t="shared" si="17"/>
        <v>3800</v>
      </c>
      <c r="AC181" s="158"/>
      <c r="AD181" s="158"/>
    </row>
    <row r="182" spans="1:30" ht="12.75" customHeight="1" x14ac:dyDescent="0.3">
      <c r="A182" s="147">
        <v>12</v>
      </c>
      <c r="B182" s="158" t="s">
        <v>921</v>
      </c>
      <c r="C182" s="158" t="s">
        <v>257</v>
      </c>
      <c r="D182" s="158" t="s">
        <v>20</v>
      </c>
      <c r="E182" s="160" t="s">
        <v>25</v>
      </c>
      <c r="F182" s="158" t="s">
        <v>25</v>
      </c>
      <c r="G182" s="160" t="s">
        <v>866</v>
      </c>
      <c r="H182" s="161">
        <v>9091.98</v>
      </c>
      <c r="I182" s="161">
        <v>-78.400000000000006</v>
      </c>
      <c r="J182" s="161"/>
      <c r="K182" s="161">
        <v>0</v>
      </c>
      <c r="L182" s="161">
        <v>-1769.58</v>
      </c>
      <c r="M182" s="162">
        <v>-25</v>
      </c>
      <c r="N182" s="161">
        <v>0</v>
      </c>
      <c r="O182" s="162">
        <f t="shared" si="12"/>
        <v>7219</v>
      </c>
      <c r="P182" s="161">
        <v>-2500</v>
      </c>
      <c r="Q182" s="161">
        <v>0</v>
      </c>
      <c r="R182" s="161">
        <v>-500</v>
      </c>
      <c r="S182" s="161">
        <v>0</v>
      </c>
      <c r="T182" s="161">
        <v>474</v>
      </c>
      <c r="U182" s="161">
        <v>0</v>
      </c>
      <c r="V182" s="161">
        <v>0</v>
      </c>
      <c r="W182" s="161">
        <f t="shared" si="13"/>
        <v>4693</v>
      </c>
      <c r="X182" s="161">
        <f t="shared" si="14"/>
        <v>4693</v>
      </c>
      <c r="Y182" s="161">
        <f t="shared" si="15"/>
        <v>0</v>
      </c>
      <c r="Z182" s="161">
        <v>0</v>
      </c>
      <c r="AA182" s="161">
        <f t="shared" si="16"/>
        <v>0</v>
      </c>
      <c r="AB182" s="161">
        <f t="shared" si="17"/>
        <v>2526</v>
      </c>
      <c r="AC182" s="158"/>
      <c r="AD182" s="158"/>
    </row>
    <row r="183" spans="1:30" ht="12.75" customHeight="1" x14ac:dyDescent="0.3">
      <c r="A183" s="147">
        <v>12</v>
      </c>
      <c r="B183" s="158" t="s">
        <v>874</v>
      </c>
      <c r="C183" s="158" t="s">
        <v>64</v>
      </c>
      <c r="D183" s="158" t="s">
        <v>20</v>
      </c>
      <c r="E183" s="160" t="s">
        <v>25</v>
      </c>
      <c r="F183" s="158" t="s">
        <v>25</v>
      </c>
      <c r="G183" s="160" t="s">
        <v>866</v>
      </c>
      <c r="H183" s="161">
        <v>5853.15</v>
      </c>
      <c r="I183" s="161">
        <v>-24.96</v>
      </c>
      <c r="J183" s="161"/>
      <c r="K183" s="161">
        <v>0</v>
      </c>
      <c r="L183" s="161">
        <v>-2421.4299999999998</v>
      </c>
      <c r="M183" s="162">
        <v>-55</v>
      </c>
      <c r="N183" s="161">
        <v>0</v>
      </c>
      <c r="O183" s="162">
        <f t="shared" si="12"/>
        <v>3351.7599999999998</v>
      </c>
      <c r="P183" s="161">
        <v>-2476.4299999999998</v>
      </c>
      <c r="Q183" s="161">
        <v>2800</v>
      </c>
      <c r="R183" s="161">
        <v>0</v>
      </c>
      <c r="S183" s="161">
        <v>0</v>
      </c>
      <c r="T183" s="161">
        <v>0</v>
      </c>
      <c r="U183" s="161">
        <v>0</v>
      </c>
      <c r="V183" s="161">
        <v>0</v>
      </c>
      <c r="W183" s="161">
        <f t="shared" si="13"/>
        <v>3675.33</v>
      </c>
      <c r="X183" s="161">
        <f t="shared" si="14"/>
        <v>3675.33</v>
      </c>
      <c r="Y183" s="161">
        <f t="shared" si="15"/>
        <v>0</v>
      </c>
      <c r="Z183" s="161">
        <v>0</v>
      </c>
      <c r="AA183" s="161">
        <f t="shared" si="16"/>
        <v>0</v>
      </c>
      <c r="AB183" s="161">
        <f t="shared" si="17"/>
        <v>-323.57000000000016</v>
      </c>
      <c r="AC183" s="158"/>
      <c r="AD183" s="158"/>
    </row>
    <row r="184" spans="1:30" ht="12.75" customHeight="1" x14ac:dyDescent="0.3">
      <c r="A184" s="147">
        <v>12</v>
      </c>
      <c r="B184" s="158" t="s">
        <v>918</v>
      </c>
      <c r="C184" s="158" t="s">
        <v>169</v>
      </c>
      <c r="D184" s="158" t="s">
        <v>919</v>
      </c>
      <c r="E184" s="160" t="s">
        <v>871</v>
      </c>
      <c r="F184" s="158" t="s">
        <v>25</v>
      </c>
      <c r="G184" s="160" t="s">
        <v>866</v>
      </c>
      <c r="H184" s="161">
        <v>9045.16</v>
      </c>
      <c r="I184" s="161">
        <v>-105.6</v>
      </c>
      <c r="J184" s="161"/>
      <c r="K184" s="161">
        <v>0</v>
      </c>
      <c r="L184" s="161">
        <v>-3326.26</v>
      </c>
      <c r="M184" s="162">
        <v>-41.256247184133436</v>
      </c>
      <c r="N184" s="161">
        <v>0</v>
      </c>
      <c r="O184" s="162">
        <f t="shared" si="12"/>
        <v>5572.0437528158654</v>
      </c>
      <c r="P184" s="161">
        <v>-2350</v>
      </c>
      <c r="Q184" s="161">
        <v>0</v>
      </c>
      <c r="R184" s="161">
        <v>-500</v>
      </c>
      <c r="S184" s="161">
        <v>0</v>
      </c>
      <c r="T184" s="161">
        <v>0</v>
      </c>
      <c r="U184" s="161">
        <v>0</v>
      </c>
      <c r="V184" s="161">
        <v>0</v>
      </c>
      <c r="W184" s="161">
        <f t="shared" si="13"/>
        <v>2722.0437528158654</v>
      </c>
      <c r="X184" s="161">
        <f t="shared" si="14"/>
        <v>2722.0437528158654</v>
      </c>
      <c r="Y184" s="161">
        <f t="shared" si="15"/>
        <v>0</v>
      </c>
      <c r="Z184" s="161">
        <v>0</v>
      </c>
      <c r="AA184" s="161">
        <f t="shared" si="16"/>
        <v>0</v>
      </c>
      <c r="AB184" s="161">
        <f t="shared" si="17"/>
        <v>2850</v>
      </c>
      <c r="AC184" s="158"/>
      <c r="AD184" s="158"/>
    </row>
    <row r="185" spans="1:30" ht="12.75" customHeight="1" x14ac:dyDescent="0.3">
      <c r="A185" s="147">
        <v>12</v>
      </c>
      <c r="B185" s="158" t="s">
        <v>876</v>
      </c>
      <c r="C185" s="158" t="s">
        <v>150</v>
      </c>
      <c r="D185" s="158" t="s">
        <v>877</v>
      </c>
      <c r="E185" s="160" t="s">
        <v>25</v>
      </c>
      <c r="F185" s="158" t="s">
        <v>25</v>
      </c>
      <c r="G185" s="160" t="s">
        <v>866</v>
      </c>
      <c r="H185" s="161">
        <v>3472.37</v>
      </c>
      <c r="I185" s="161">
        <v>0</v>
      </c>
      <c r="J185" s="161"/>
      <c r="K185" s="161">
        <v>0</v>
      </c>
      <c r="L185" s="161">
        <v>-875.47</v>
      </c>
      <c r="M185" s="162">
        <v>-45</v>
      </c>
      <c r="N185" s="161">
        <v>0</v>
      </c>
      <c r="O185" s="162">
        <f t="shared" si="12"/>
        <v>2551.8999999999996</v>
      </c>
      <c r="P185" s="161">
        <v>-2500</v>
      </c>
      <c r="Q185" s="161">
        <v>0</v>
      </c>
      <c r="R185" s="161">
        <v>0</v>
      </c>
      <c r="S185" s="161">
        <v>0</v>
      </c>
      <c r="T185" s="161">
        <v>0</v>
      </c>
      <c r="U185" s="161">
        <v>0</v>
      </c>
      <c r="V185" s="161">
        <v>0</v>
      </c>
      <c r="W185" s="161">
        <f t="shared" si="13"/>
        <v>51.899999999999636</v>
      </c>
      <c r="X185" s="161">
        <f t="shared" si="14"/>
        <v>51.899999999999636</v>
      </c>
      <c r="Y185" s="161">
        <f t="shared" si="15"/>
        <v>0</v>
      </c>
      <c r="Z185" s="161">
        <v>0</v>
      </c>
      <c r="AA185" s="161">
        <f t="shared" si="16"/>
        <v>0</v>
      </c>
      <c r="AB185" s="161">
        <f t="shared" si="17"/>
        <v>2500</v>
      </c>
      <c r="AC185" s="158"/>
      <c r="AD185" s="158"/>
    </row>
    <row r="186" spans="1:30" ht="12.75" customHeight="1" x14ac:dyDescent="0.3">
      <c r="A186" s="147">
        <v>12</v>
      </c>
      <c r="B186" s="158" t="s">
        <v>484</v>
      </c>
      <c r="C186" s="158" t="s">
        <v>46</v>
      </c>
      <c r="D186" s="158" t="s">
        <v>915</v>
      </c>
      <c r="E186" s="160" t="s">
        <v>25</v>
      </c>
      <c r="F186" s="158" t="s">
        <v>25</v>
      </c>
      <c r="G186" s="160" t="s">
        <v>866</v>
      </c>
      <c r="H186" s="161">
        <v>7308.46</v>
      </c>
      <c r="I186" s="161">
        <v>-119.2</v>
      </c>
      <c r="J186" s="161"/>
      <c r="K186" s="161">
        <v>0</v>
      </c>
      <c r="L186" s="161">
        <v>-4504.12</v>
      </c>
      <c r="M186" s="162">
        <v>-35</v>
      </c>
      <c r="N186" s="161">
        <v>0</v>
      </c>
      <c r="O186" s="162">
        <f t="shared" si="12"/>
        <v>2650.1400000000003</v>
      </c>
      <c r="P186" s="161">
        <v>-2500</v>
      </c>
      <c r="Q186" s="161">
        <v>0</v>
      </c>
      <c r="R186" s="161">
        <v>0</v>
      </c>
      <c r="S186" s="161">
        <v>0</v>
      </c>
      <c r="T186" s="161">
        <v>0</v>
      </c>
      <c r="U186" s="161">
        <v>0</v>
      </c>
      <c r="V186" s="161">
        <v>0</v>
      </c>
      <c r="W186" s="161">
        <f t="shared" si="13"/>
        <v>150.14000000000033</v>
      </c>
      <c r="X186" s="161">
        <f t="shared" si="14"/>
        <v>150.14000000000033</v>
      </c>
      <c r="Y186" s="161">
        <f t="shared" si="15"/>
        <v>0</v>
      </c>
      <c r="Z186" s="161">
        <v>0</v>
      </c>
      <c r="AA186" s="161">
        <f t="shared" si="16"/>
        <v>0</v>
      </c>
      <c r="AB186" s="161">
        <f t="shared" si="17"/>
        <v>2500</v>
      </c>
      <c r="AC186" s="158"/>
      <c r="AD186" s="158"/>
    </row>
    <row r="187" spans="1:30" ht="12.75" customHeight="1" x14ac:dyDescent="0.3">
      <c r="A187" s="147">
        <v>12</v>
      </c>
      <c r="B187" s="158" t="s">
        <v>408</v>
      </c>
      <c r="C187" s="158" t="s">
        <v>878</v>
      </c>
      <c r="D187" s="158" t="s">
        <v>879</v>
      </c>
      <c r="E187" s="160" t="s">
        <v>25</v>
      </c>
      <c r="F187" s="158" t="s">
        <v>25</v>
      </c>
      <c r="G187" s="160" t="s">
        <v>866</v>
      </c>
      <c r="H187" s="161">
        <v>5356.42</v>
      </c>
      <c r="I187" s="161">
        <v>-16</v>
      </c>
      <c r="J187" s="161">
        <v>0</v>
      </c>
      <c r="K187" s="161">
        <v>0</v>
      </c>
      <c r="L187" s="161">
        <v>-1966.63</v>
      </c>
      <c r="M187" s="162">
        <v>-15</v>
      </c>
      <c r="N187" s="161">
        <v>0</v>
      </c>
      <c r="O187" s="162">
        <f t="shared" si="12"/>
        <v>3358.79</v>
      </c>
      <c r="P187" s="161">
        <v>-2500</v>
      </c>
      <c r="Q187" s="161">
        <v>0</v>
      </c>
      <c r="R187" s="161">
        <v>0</v>
      </c>
      <c r="S187" s="161">
        <v>0</v>
      </c>
      <c r="T187" s="161">
        <v>0</v>
      </c>
      <c r="U187" s="161">
        <v>0</v>
      </c>
      <c r="V187" s="161">
        <v>0</v>
      </c>
      <c r="W187" s="161">
        <f t="shared" si="13"/>
        <v>858.79</v>
      </c>
      <c r="X187" s="161">
        <f t="shared" si="14"/>
        <v>858.79</v>
      </c>
      <c r="Y187" s="161">
        <f t="shared" si="15"/>
        <v>0</v>
      </c>
      <c r="Z187" s="161">
        <v>0</v>
      </c>
      <c r="AA187" s="161">
        <f t="shared" si="16"/>
        <v>0</v>
      </c>
      <c r="AB187" s="161">
        <f t="shared" si="17"/>
        <v>2500</v>
      </c>
      <c r="AC187" s="158"/>
      <c r="AD187" s="158"/>
    </row>
    <row r="188" spans="1:30" ht="12.75" customHeight="1" x14ac:dyDescent="0.3">
      <c r="A188" s="147">
        <v>12</v>
      </c>
      <c r="B188" s="158" t="s">
        <v>923</v>
      </c>
      <c r="C188" s="158" t="s">
        <v>372</v>
      </c>
      <c r="D188" s="158" t="s">
        <v>20</v>
      </c>
      <c r="E188" s="158" t="s">
        <v>39</v>
      </c>
      <c r="F188" s="158" t="s">
        <v>25</v>
      </c>
      <c r="G188" s="160" t="s">
        <v>866</v>
      </c>
      <c r="H188" s="161">
        <v>2531.9299999999998</v>
      </c>
      <c r="I188" s="161">
        <v>0</v>
      </c>
      <c r="J188" s="161"/>
      <c r="K188" s="161">
        <v>0</v>
      </c>
      <c r="L188" s="161">
        <v>0</v>
      </c>
      <c r="M188" s="162">
        <v>-53.717229016209885</v>
      </c>
      <c r="N188" s="161">
        <v>0</v>
      </c>
      <c r="O188" s="162">
        <f t="shared" si="12"/>
        <v>2478.2127709837901</v>
      </c>
      <c r="P188" s="161">
        <v>-1785.7142857142858</v>
      </c>
      <c r="Q188" s="161">
        <v>0</v>
      </c>
      <c r="R188" s="161">
        <v>-357.14285714285717</v>
      </c>
      <c r="S188" s="161">
        <v>0</v>
      </c>
      <c r="T188" s="161">
        <v>0</v>
      </c>
      <c r="U188" s="161">
        <v>0</v>
      </c>
      <c r="V188" s="161">
        <v>0</v>
      </c>
      <c r="W188" s="161">
        <f t="shared" si="13"/>
        <v>335.35562812664693</v>
      </c>
      <c r="X188" s="161">
        <f t="shared" si="14"/>
        <v>335.35562812664693</v>
      </c>
      <c r="Y188" s="161">
        <f t="shared" si="15"/>
        <v>0</v>
      </c>
      <c r="Z188" s="161">
        <v>0</v>
      </c>
      <c r="AA188" s="161">
        <f t="shared" si="16"/>
        <v>0</v>
      </c>
      <c r="AB188" s="161">
        <f t="shared" si="17"/>
        <v>2142.8571428571431</v>
      </c>
      <c r="AC188" s="158"/>
      <c r="AD188" s="158"/>
    </row>
    <row r="189" spans="1:30" ht="12.75" customHeight="1" x14ac:dyDescent="0.3">
      <c r="A189" s="147">
        <v>12</v>
      </c>
      <c r="B189" s="158" t="s">
        <v>880</v>
      </c>
      <c r="C189" s="158" t="s">
        <v>57</v>
      </c>
      <c r="D189" s="158" t="s">
        <v>881</v>
      </c>
      <c r="E189" s="160" t="s">
        <v>25</v>
      </c>
      <c r="F189" s="158" t="s">
        <v>25</v>
      </c>
      <c r="G189" s="160" t="s">
        <v>866</v>
      </c>
      <c r="H189" s="161">
        <v>4521.16</v>
      </c>
      <c r="I189" s="161">
        <v>-16</v>
      </c>
      <c r="J189" s="161"/>
      <c r="K189" s="161">
        <v>0</v>
      </c>
      <c r="L189" s="161">
        <v>-2951.63</v>
      </c>
      <c r="M189" s="162">
        <v>-115</v>
      </c>
      <c r="N189" s="161">
        <v>0</v>
      </c>
      <c r="O189" s="162">
        <f t="shared" si="12"/>
        <v>1438.5299999999997</v>
      </c>
      <c r="P189" s="161">
        <v>-2300</v>
      </c>
      <c r="Q189" s="161">
        <v>0</v>
      </c>
      <c r="R189" s="161">
        <v>0</v>
      </c>
      <c r="S189" s="161">
        <v>0</v>
      </c>
      <c r="T189" s="161">
        <v>630</v>
      </c>
      <c r="U189" s="161">
        <v>0</v>
      </c>
      <c r="V189" s="161">
        <v>0</v>
      </c>
      <c r="W189" s="161">
        <f t="shared" si="13"/>
        <v>-231.47000000000025</v>
      </c>
      <c r="X189" s="161">
        <f t="shared" si="14"/>
        <v>0</v>
      </c>
      <c r="Y189" s="161">
        <f t="shared" si="15"/>
        <v>-231.47000000000025</v>
      </c>
      <c r="Z189" s="161">
        <v>0</v>
      </c>
      <c r="AA189" s="161">
        <f t="shared" si="16"/>
        <v>-231.47000000000025</v>
      </c>
      <c r="AB189" s="161">
        <f t="shared" si="17"/>
        <v>1207.0599999999995</v>
      </c>
      <c r="AC189" s="158"/>
      <c r="AD189" s="158"/>
    </row>
    <row r="190" spans="1:30" ht="12.75" customHeight="1" x14ac:dyDescent="0.3">
      <c r="A190" s="147">
        <v>12</v>
      </c>
      <c r="B190" s="158" t="s">
        <v>922</v>
      </c>
      <c r="C190" s="158" t="s">
        <v>347</v>
      </c>
      <c r="D190" s="158" t="s">
        <v>897</v>
      </c>
      <c r="E190" s="160" t="s">
        <v>25</v>
      </c>
      <c r="F190" s="158" t="s">
        <v>25</v>
      </c>
      <c r="G190" s="160" t="s">
        <v>866</v>
      </c>
      <c r="H190" s="161">
        <v>4804.97</v>
      </c>
      <c r="I190" s="161">
        <v>0</v>
      </c>
      <c r="J190" s="161"/>
      <c r="K190" s="161">
        <v>0</v>
      </c>
      <c r="L190" s="161">
        <v>-1559.78</v>
      </c>
      <c r="M190" s="162">
        <v>-10</v>
      </c>
      <c r="N190" s="161">
        <v>-96</v>
      </c>
      <c r="O190" s="162">
        <f t="shared" si="12"/>
        <v>3139.1900000000005</v>
      </c>
      <c r="P190" s="161">
        <v>-2500</v>
      </c>
      <c r="Q190" s="161">
        <v>0</v>
      </c>
      <c r="R190" s="161">
        <v>0</v>
      </c>
      <c r="S190" s="161">
        <v>0</v>
      </c>
      <c r="T190" s="161">
        <v>0</v>
      </c>
      <c r="U190" s="161">
        <v>0</v>
      </c>
      <c r="V190" s="161">
        <v>0</v>
      </c>
      <c r="W190" s="161">
        <f t="shared" si="13"/>
        <v>639.19000000000051</v>
      </c>
      <c r="X190" s="161">
        <f t="shared" si="14"/>
        <v>639.19000000000051</v>
      </c>
      <c r="Y190" s="161">
        <f t="shared" si="15"/>
        <v>0</v>
      </c>
      <c r="Z190" s="161">
        <v>0</v>
      </c>
      <c r="AA190" s="161">
        <f t="shared" si="16"/>
        <v>0</v>
      </c>
      <c r="AB190" s="161">
        <f t="shared" si="17"/>
        <v>2500</v>
      </c>
      <c r="AC190" s="158"/>
      <c r="AD190" s="158"/>
    </row>
    <row r="191" spans="1:30" ht="12.75" customHeight="1" x14ac:dyDescent="0.3">
      <c r="A191" s="147">
        <v>12</v>
      </c>
      <c r="B191" s="158" t="s">
        <v>882</v>
      </c>
      <c r="C191" s="158" t="s">
        <v>120</v>
      </c>
      <c r="D191" s="158" t="s">
        <v>917</v>
      </c>
      <c r="E191" s="160" t="s">
        <v>25</v>
      </c>
      <c r="F191" s="158" t="s">
        <v>25</v>
      </c>
      <c r="G191" s="160" t="s">
        <v>866</v>
      </c>
      <c r="H191" s="161">
        <v>6058.96</v>
      </c>
      <c r="I191" s="161">
        <v>-95.2</v>
      </c>
      <c r="J191" s="161"/>
      <c r="K191" s="161">
        <v>0</v>
      </c>
      <c r="L191" s="161">
        <v>-1793.92</v>
      </c>
      <c r="M191" s="162">
        <v>0</v>
      </c>
      <c r="N191" s="161">
        <v>0</v>
      </c>
      <c r="O191" s="162">
        <f t="shared" si="12"/>
        <v>4169.84</v>
      </c>
      <c r="P191" s="161">
        <v>-2500</v>
      </c>
      <c r="Q191" s="161">
        <v>0</v>
      </c>
      <c r="R191" s="161">
        <v>1000</v>
      </c>
      <c r="S191" s="161">
        <v>0</v>
      </c>
      <c r="T191" s="161">
        <v>0</v>
      </c>
      <c r="U191" s="161">
        <v>0</v>
      </c>
      <c r="V191" s="161">
        <v>0</v>
      </c>
      <c r="W191" s="161">
        <f t="shared" si="13"/>
        <v>2669.84</v>
      </c>
      <c r="X191" s="161">
        <f t="shared" si="14"/>
        <v>2669.84</v>
      </c>
      <c r="Y191" s="161">
        <f t="shared" si="15"/>
        <v>0</v>
      </c>
      <c r="Z191" s="161">
        <v>0</v>
      </c>
      <c r="AA191" s="161">
        <f t="shared" si="16"/>
        <v>0</v>
      </c>
      <c r="AB191" s="161">
        <f t="shared" si="17"/>
        <v>1500</v>
      </c>
      <c r="AC191" s="158"/>
      <c r="AD191" s="158"/>
    </row>
    <row r="192" spans="1:30" ht="12.75" customHeight="1" x14ac:dyDescent="0.3">
      <c r="A192" s="147">
        <v>12</v>
      </c>
      <c r="B192" s="158" t="s">
        <v>924</v>
      </c>
      <c r="C192" s="158" t="s">
        <v>123</v>
      </c>
      <c r="D192" s="158" t="s">
        <v>892</v>
      </c>
      <c r="E192" s="160" t="s">
        <v>871</v>
      </c>
      <c r="F192" s="158" t="s">
        <v>25</v>
      </c>
      <c r="G192" s="160" t="s">
        <v>866</v>
      </c>
      <c r="H192" s="161">
        <v>1961.54</v>
      </c>
      <c r="I192" s="161">
        <v>0</v>
      </c>
      <c r="J192" s="161"/>
      <c r="K192" s="161">
        <v>0</v>
      </c>
      <c r="L192" s="161">
        <v>-1546.42</v>
      </c>
      <c r="M192" s="162">
        <v>0</v>
      </c>
      <c r="N192" s="161">
        <v>0</v>
      </c>
      <c r="O192" s="162">
        <f t="shared" si="12"/>
        <v>415.11999999999989</v>
      </c>
      <c r="P192" s="161">
        <v>-1071.4285714285716</v>
      </c>
      <c r="Q192" s="161">
        <v>0</v>
      </c>
      <c r="R192" s="161">
        <v>0</v>
      </c>
      <c r="S192" s="161">
        <v>0</v>
      </c>
      <c r="T192" s="161">
        <v>0</v>
      </c>
      <c r="U192" s="161">
        <v>0</v>
      </c>
      <c r="V192" s="161">
        <v>0</v>
      </c>
      <c r="W192" s="161">
        <f t="shared" si="13"/>
        <v>-656.30857142857167</v>
      </c>
      <c r="X192" s="161">
        <f t="shared" si="14"/>
        <v>0</v>
      </c>
      <c r="Y192" s="161">
        <f t="shared" si="15"/>
        <v>-656.30857142857167</v>
      </c>
      <c r="Z192" s="161">
        <v>656</v>
      </c>
      <c r="AA192" s="161">
        <f t="shared" si="16"/>
        <v>-0.30857142857166764</v>
      </c>
      <c r="AB192" s="161">
        <f t="shared" si="17"/>
        <v>1070.8114285714282</v>
      </c>
      <c r="AC192" s="158"/>
      <c r="AD192" s="158"/>
    </row>
    <row r="193" spans="1:30" ht="12.75" customHeight="1" x14ac:dyDescent="0.3">
      <c r="A193" s="147">
        <v>13</v>
      </c>
      <c r="B193" s="158" t="s">
        <v>585</v>
      </c>
      <c r="C193" s="158" t="s">
        <v>863</v>
      </c>
      <c r="D193" s="158" t="s">
        <v>864</v>
      </c>
      <c r="E193" s="160" t="s">
        <v>25</v>
      </c>
      <c r="F193" s="158" t="s">
        <v>25</v>
      </c>
      <c r="G193" s="160" t="s">
        <v>866</v>
      </c>
      <c r="H193" s="161">
        <v>273.12</v>
      </c>
      <c r="I193" s="161">
        <v>-13.22</v>
      </c>
      <c r="J193" s="161">
        <v>0</v>
      </c>
      <c r="K193" s="161">
        <v>0</v>
      </c>
      <c r="L193" s="161">
        <v>0</v>
      </c>
      <c r="M193" s="161">
        <v>0</v>
      </c>
      <c r="N193" s="161">
        <v>0</v>
      </c>
      <c r="O193" s="162">
        <f t="shared" si="12"/>
        <v>259.89999999999998</v>
      </c>
      <c r="P193" s="161">
        <v>-2500</v>
      </c>
      <c r="Q193" s="161">
        <v>0</v>
      </c>
      <c r="R193" s="161">
        <v>0</v>
      </c>
      <c r="S193" s="161">
        <v>0</v>
      </c>
      <c r="T193" s="161">
        <v>275</v>
      </c>
      <c r="U193" s="161">
        <v>0</v>
      </c>
      <c r="V193" s="161">
        <v>0</v>
      </c>
      <c r="W193" s="161">
        <f t="shared" si="13"/>
        <v>-1965.1</v>
      </c>
      <c r="X193" s="161">
        <f t="shared" si="14"/>
        <v>0</v>
      </c>
      <c r="Y193" s="161">
        <f t="shared" si="15"/>
        <v>-1965.1</v>
      </c>
      <c r="Z193" s="161">
        <v>1965</v>
      </c>
      <c r="AA193" s="161">
        <f t="shared" si="16"/>
        <v>-9.9999999999909051E-2</v>
      </c>
      <c r="AB193" s="161">
        <f t="shared" si="17"/>
        <v>2224.8000000000002</v>
      </c>
      <c r="AC193" s="158" t="s">
        <v>925</v>
      </c>
      <c r="AD193" s="158"/>
    </row>
    <row r="194" spans="1:30" ht="12.75" customHeight="1" x14ac:dyDescent="0.3">
      <c r="A194" s="147">
        <v>13</v>
      </c>
      <c r="B194" s="158" t="s">
        <v>868</v>
      </c>
      <c r="C194" s="158" t="s">
        <v>68</v>
      </c>
      <c r="D194" s="158" t="s">
        <v>869</v>
      </c>
      <c r="E194" s="160" t="s">
        <v>25</v>
      </c>
      <c r="F194" s="158" t="s">
        <v>25</v>
      </c>
      <c r="G194" s="160" t="s">
        <v>866</v>
      </c>
      <c r="H194" s="161">
        <v>971.61</v>
      </c>
      <c r="I194" s="161">
        <v>0</v>
      </c>
      <c r="J194" s="161">
        <v>0</v>
      </c>
      <c r="K194" s="161">
        <v>0</v>
      </c>
      <c r="L194" s="161">
        <v>-661.97</v>
      </c>
      <c r="M194" s="161">
        <v>0</v>
      </c>
      <c r="N194" s="161">
        <v>0</v>
      </c>
      <c r="O194" s="162">
        <f t="shared" ref="O194:O257" si="18">SUM(H194:N194)</f>
        <v>309.64</v>
      </c>
      <c r="P194" s="161">
        <v>-2500</v>
      </c>
      <c r="Q194" s="161">
        <v>0</v>
      </c>
      <c r="R194" s="161">
        <v>0</v>
      </c>
      <c r="S194" s="161">
        <v>0</v>
      </c>
      <c r="T194" s="161">
        <v>0</v>
      </c>
      <c r="U194" s="161">
        <v>0</v>
      </c>
      <c r="V194" s="161">
        <v>0</v>
      </c>
      <c r="W194" s="161">
        <f t="shared" ref="W194:W257" si="19">+O194+SUM(P194:V194)</f>
        <v>-2190.36</v>
      </c>
      <c r="X194" s="161">
        <f t="shared" ref="X194:X257" si="20">IF(W194&gt;=0,W194,0)</f>
        <v>0</v>
      </c>
      <c r="Y194" s="161">
        <f t="shared" ref="Y194:Y257" si="21">IF(W194&lt;=0,W194,0)</f>
        <v>-2190.36</v>
      </c>
      <c r="Z194" s="161">
        <v>2000</v>
      </c>
      <c r="AA194" s="161">
        <f t="shared" ref="AA194:AA257" si="22">+Y194+Z194</f>
        <v>-190.36000000000013</v>
      </c>
      <c r="AB194" s="161">
        <f t="shared" ref="AB194:AB257" si="23">+O194-X194+Z194+AA194</f>
        <v>2119.2799999999997</v>
      </c>
      <c r="AC194" s="158"/>
      <c r="AD194" s="158"/>
    </row>
    <row r="195" spans="1:30" ht="12.75" customHeight="1" x14ac:dyDescent="0.3">
      <c r="A195" s="147">
        <v>13</v>
      </c>
      <c r="B195" s="158" t="s">
        <v>913</v>
      </c>
      <c r="C195" s="158" t="s">
        <v>195</v>
      </c>
      <c r="D195" s="158" t="s">
        <v>20</v>
      </c>
      <c r="E195" s="160" t="s">
        <v>871</v>
      </c>
      <c r="F195" s="158" t="s">
        <v>25</v>
      </c>
      <c r="G195" s="160" t="s">
        <v>866</v>
      </c>
      <c r="H195" s="161">
        <v>6980.9800000000014</v>
      </c>
      <c r="I195" s="161">
        <v>-35.200000000000003</v>
      </c>
      <c r="J195" s="161">
        <v>0</v>
      </c>
      <c r="K195" s="161">
        <v>0</v>
      </c>
      <c r="L195" s="161">
        <v>-3548.2199999999989</v>
      </c>
      <c r="M195" s="161">
        <v>0</v>
      </c>
      <c r="N195" s="161">
        <v>0</v>
      </c>
      <c r="O195" s="162">
        <f t="shared" si="18"/>
        <v>3397.5600000000027</v>
      </c>
      <c r="P195" s="161">
        <v>-2400</v>
      </c>
      <c r="Q195" s="161">
        <v>-221.86000000000013</v>
      </c>
      <c r="R195" s="161">
        <v>-500</v>
      </c>
      <c r="S195" s="161">
        <v>0</v>
      </c>
      <c r="T195" s="161">
        <v>0</v>
      </c>
      <c r="U195" s="161">
        <v>0</v>
      </c>
      <c r="V195" s="161">
        <v>0</v>
      </c>
      <c r="W195" s="161">
        <f t="shared" si="19"/>
        <v>275.70000000000255</v>
      </c>
      <c r="X195" s="161">
        <f t="shared" si="20"/>
        <v>275.70000000000255</v>
      </c>
      <c r="Y195" s="161">
        <f t="shared" si="21"/>
        <v>0</v>
      </c>
      <c r="Z195" s="161">
        <v>0</v>
      </c>
      <c r="AA195" s="161">
        <f t="shared" si="22"/>
        <v>0</v>
      </c>
      <c r="AB195" s="161">
        <f t="shared" si="23"/>
        <v>3121.86</v>
      </c>
      <c r="AC195" s="158"/>
      <c r="AD195" s="158"/>
    </row>
    <row r="196" spans="1:30" ht="12.75" customHeight="1" x14ac:dyDescent="0.3">
      <c r="A196" s="147">
        <v>13</v>
      </c>
      <c r="B196" s="158" t="s">
        <v>888</v>
      </c>
      <c r="C196" s="158" t="s">
        <v>409</v>
      </c>
      <c r="D196" s="163" t="s">
        <v>889</v>
      </c>
      <c r="E196" s="160" t="s">
        <v>25</v>
      </c>
      <c r="F196" s="158" t="s">
        <v>25</v>
      </c>
      <c r="G196" s="160" t="s">
        <v>866</v>
      </c>
      <c r="H196" s="161">
        <v>0</v>
      </c>
      <c r="I196" s="161">
        <v>0</v>
      </c>
      <c r="J196" s="161">
        <v>0</v>
      </c>
      <c r="K196" s="161">
        <v>0</v>
      </c>
      <c r="L196" s="161">
        <v>0</v>
      </c>
      <c r="M196" s="161">
        <v>0</v>
      </c>
      <c r="N196" s="161">
        <v>0</v>
      </c>
      <c r="O196" s="162">
        <f t="shared" si="18"/>
        <v>0</v>
      </c>
      <c r="P196" s="161">
        <v>0</v>
      </c>
      <c r="Q196" s="161">
        <v>0</v>
      </c>
      <c r="R196" s="161">
        <v>500</v>
      </c>
      <c r="S196" s="161">
        <v>0</v>
      </c>
      <c r="T196" s="161">
        <v>0</v>
      </c>
      <c r="U196" s="161">
        <v>0</v>
      </c>
      <c r="V196" s="161">
        <v>0</v>
      </c>
      <c r="W196" s="161">
        <f t="shared" si="19"/>
        <v>500</v>
      </c>
      <c r="X196" s="161">
        <f t="shared" si="20"/>
        <v>500</v>
      </c>
      <c r="Y196" s="161">
        <f t="shared" si="21"/>
        <v>0</v>
      </c>
      <c r="Z196" s="161">
        <v>0</v>
      </c>
      <c r="AA196" s="161">
        <f t="shared" si="22"/>
        <v>0</v>
      </c>
      <c r="AB196" s="161">
        <f t="shared" si="23"/>
        <v>-500</v>
      </c>
      <c r="AC196" s="158"/>
      <c r="AD196" s="158"/>
    </row>
    <row r="197" spans="1:30" ht="12.75" customHeight="1" x14ac:dyDescent="0.3">
      <c r="A197" s="147">
        <v>13</v>
      </c>
      <c r="B197" s="158" t="s">
        <v>894</v>
      </c>
      <c r="C197" s="158" t="s">
        <v>183</v>
      </c>
      <c r="D197" s="158" t="s">
        <v>887</v>
      </c>
      <c r="E197" s="160" t="s">
        <v>25</v>
      </c>
      <c r="F197" s="158" t="s">
        <v>25</v>
      </c>
      <c r="G197" s="160" t="s">
        <v>866</v>
      </c>
      <c r="H197" s="161">
        <v>3489.3100000000004</v>
      </c>
      <c r="I197" s="161">
        <v>-23.14</v>
      </c>
      <c r="J197" s="161">
        <v>0</v>
      </c>
      <c r="K197" s="161">
        <v>0</v>
      </c>
      <c r="L197" s="161">
        <v>-1364.13</v>
      </c>
      <c r="M197" s="161">
        <v>-30</v>
      </c>
      <c r="N197" s="161">
        <v>0</v>
      </c>
      <c r="O197" s="162">
        <f t="shared" si="18"/>
        <v>2072.0400000000004</v>
      </c>
      <c r="P197" s="161">
        <v>-2500</v>
      </c>
      <c r="Q197" s="161">
        <v>-71</v>
      </c>
      <c r="R197" s="161">
        <v>-500</v>
      </c>
      <c r="S197" s="161">
        <v>0</v>
      </c>
      <c r="T197" s="161">
        <v>0</v>
      </c>
      <c r="U197" s="161">
        <v>0</v>
      </c>
      <c r="V197" s="161">
        <v>0</v>
      </c>
      <c r="W197" s="161">
        <f t="shared" si="19"/>
        <v>-998.95999999999958</v>
      </c>
      <c r="X197" s="161">
        <f t="shared" si="20"/>
        <v>0</v>
      </c>
      <c r="Y197" s="161">
        <f t="shared" si="21"/>
        <v>-998.95999999999958</v>
      </c>
      <c r="Z197" s="161">
        <v>999</v>
      </c>
      <c r="AA197" s="161">
        <f t="shared" si="22"/>
        <v>4.0000000000418368E-2</v>
      </c>
      <c r="AB197" s="161">
        <f t="shared" si="23"/>
        <v>3071.0800000000008</v>
      </c>
      <c r="AC197" s="158"/>
      <c r="AD197" s="158"/>
    </row>
    <row r="198" spans="1:30" ht="12.75" customHeight="1" x14ac:dyDescent="0.3">
      <c r="A198" s="147">
        <v>13</v>
      </c>
      <c r="B198" s="158" t="s">
        <v>890</v>
      </c>
      <c r="C198" s="158" t="s">
        <v>42</v>
      </c>
      <c r="D198" s="158" t="s">
        <v>903</v>
      </c>
      <c r="E198" s="160" t="s">
        <v>25</v>
      </c>
      <c r="F198" s="158" t="s">
        <v>25</v>
      </c>
      <c r="G198" s="160" t="s">
        <v>866</v>
      </c>
      <c r="H198" s="161">
        <v>4313.91</v>
      </c>
      <c r="I198" s="161">
        <v>-17.28</v>
      </c>
      <c r="J198" s="161">
        <v>0</v>
      </c>
      <c r="K198" s="161">
        <v>0</v>
      </c>
      <c r="L198" s="161">
        <v>-1240.23</v>
      </c>
      <c r="M198" s="161">
        <v>0</v>
      </c>
      <c r="N198" s="161">
        <v>0</v>
      </c>
      <c r="O198" s="162">
        <f t="shared" si="18"/>
        <v>3056.4</v>
      </c>
      <c r="P198" s="161">
        <v>-2500</v>
      </c>
      <c r="Q198" s="161">
        <v>0</v>
      </c>
      <c r="R198" s="161">
        <v>0</v>
      </c>
      <c r="S198" s="161">
        <v>-300</v>
      </c>
      <c r="T198" s="161">
        <v>0</v>
      </c>
      <c r="U198" s="161">
        <v>0</v>
      </c>
      <c r="V198" s="161">
        <v>0</v>
      </c>
      <c r="W198" s="161">
        <f t="shared" si="19"/>
        <v>256.40000000000009</v>
      </c>
      <c r="X198" s="161">
        <f t="shared" si="20"/>
        <v>256.40000000000009</v>
      </c>
      <c r="Y198" s="161">
        <f t="shared" si="21"/>
        <v>0</v>
      </c>
      <c r="Z198" s="161">
        <v>0</v>
      </c>
      <c r="AA198" s="161">
        <f t="shared" si="22"/>
        <v>0</v>
      </c>
      <c r="AB198" s="161">
        <f t="shared" si="23"/>
        <v>2800</v>
      </c>
      <c r="AC198" s="158"/>
      <c r="AD198" s="158"/>
    </row>
    <row r="199" spans="1:30" ht="12.75" customHeight="1" x14ac:dyDescent="0.3">
      <c r="A199" s="147">
        <v>13</v>
      </c>
      <c r="B199" s="158" t="s">
        <v>872</v>
      </c>
      <c r="C199" s="158" t="s">
        <v>36</v>
      </c>
      <c r="D199" s="158" t="s">
        <v>904</v>
      </c>
      <c r="E199" s="160" t="s">
        <v>25</v>
      </c>
      <c r="F199" s="158" t="s">
        <v>25</v>
      </c>
      <c r="G199" s="160" t="s">
        <v>866</v>
      </c>
      <c r="H199" s="161">
        <v>11308.270000000004</v>
      </c>
      <c r="I199" s="161">
        <v>-132.80000000000001</v>
      </c>
      <c r="J199" s="161">
        <v>0</v>
      </c>
      <c r="K199" s="161">
        <v>-102.77000000000005</v>
      </c>
      <c r="L199" s="161">
        <v>-5254.15</v>
      </c>
      <c r="M199" s="161">
        <v>-23</v>
      </c>
      <c r="N199" s="161">
        <v>-123.41999999999999</v>
      </c>
      <c r="O199" s="162">
        <f t="shared" si="18"/>
        <v>5672.1300000000047</v>
      </c>
      <c r="P199" s="161">
        <v>-2500</v>
      </c>
      <c r="Q199" s="161">
        <v>0</v>
      </c>
      <c r="R199" s="161">
        <v>0</v>
      </c>
      <c r="S199" s="161">
        <v>-500</v>
      </c>
      <c r="T199" s="161">
        <v>0</v>
      </c>
      <c r="U199" s="161">
        <v>0</v>
      </c>
      <c r="V199" s="161">
        <v>0</v>
      </c>
      <c r="W199" s="161">
        <f t="shared" si="19"/>
        <v>2672.1300000000047</v>
      </c>
      <c r="X199" s="161">
        <f t="shared" si="20"/>
        <v>2672.1300000000047</v>
      </c>
      <c r="Y199" s="161">
        <f t="shared" si="21"/>
        <v>0</v>
      </c>
      <c r="Z199" s="161">
        <v>0</v>
      </c>
      <c r="AA199" s="161">
        <f t="shared" si="22"/>
        <v>0</v>
      </c>
      <c r="AB199" s="161">
        <f t="shared" si="23"/>
        <v>3000</v>
      </c>
      <c r="AC199" s="158"/>
      <c r="AD199" s="158"/>
    </row>
    <row r="200" spans="1:30" ht="12.75" customHeight="1" x14ac:dyDescent="0.3">
      <c r="A200" s="147">
        <v>13</v>
      </c>
      <c r="B200" s="158" t="s">
        <v>921</v>
      </c>
      <c r="C200" s="158" t="s">
        <v>257</v>
      </c>
      <c r="D200" s="158" t="s">
        <v>20</v>
      </c>
      <c r="E200" s="160" t="s">
        <v>25</v>
      </c>
      <c r="F200" s="158" t="s">
        <v>25</v>
      </c>
      <c r="G200" s="160" t="s">
        <v>866</v>
      </c>
      <c r="H200" s="161">
        <v>7506.91</v>
      </c>
      <c r="I200" s="161">
        <v>0</v>
      </c>
      <c r="J200" s="161">
        <v>0</v>
      </c>
      <c r="K200" s="161">
        <v>0</v>
      </c>
      <c r="L200" s="161">
        <v>-2280.7399999999998</v>
      </c>
      <c r="M200" s="161">
        <v>-72</v>
      </c>
      <c r="N200" s="161">
        <v>0</v>
      </c>
      <c r="O200" s="162">
        <f t="shared" si="18"/>
        <v>5154.17</v>
      </c>
      <c r="P200" s="161">
        <v>-2500</v>
      </c>
      <c r="Q200" s="161">
        <v>0</v>
      </c>
      <c r="R200" s="161">
        <v>-500</v>
      </c>
      <c r="S200" s="161">
        <v>0</v>
      </c>
      <c r="T200" s="161">
        <v>259</v>
      </c>
      <c r="U200" s="161">
        <v>0</v>
      </c>
      <c r="V200" s="161">
        <v>0</v>
      </c>
      <c r="W200" s="161">
        <f t="shared" si="19"/>
        <v>2413.17</v>
      </c>
      <c r="X200" s="161">
        <f t="shared" si="20"/>
        <v>2413.17</v>
      </c>
      <c r="Y200" s="161">
        <f t="shared" si="21"/>
        <v>0</v>
      </c>
      <c r="Z200" s="161">
        <v>0</v>
      </c>
      <c r="AA200" s="161">
        <f t="shared" si="22"/>
        <v>0</v>
      </c>
      <c r="AB200" s="161">
        <f t="shared" si="23"/>
        <v>2741</v>
      </c>
      <c r="AC200" s="158"/>
      <c r="AD200" s="158"/>
    </row>
    <row r="201" spans="1:30" ht="12.75" customHeight="1" x14ac:dyDescent="0.3">
      <c r="A201" s="147">
        <v>13</v>
      </c>
      <c r="B201" s="158" t="s">
        <v>874</v>
      </c>
      <c r="C201" s="158" t="s">
        <v>64</v>
      </c>
      <c r="D201" s="158" t="s">
        <v>20</v>
      </c>
      <c r="E201" s="160" t="s">
        <v>25</v>
      </c>
      <c r="F201" s="158" t="s">
        <v>25</v>
      </c>
      <c r="G201" s="160" t="s">
        <v>866</v>
      </c>
      <c r="H201" s="161">
        <v>4764.6100000000006</v>
      </c>
      <c r="I201" s="161">
        <v>-15.36</v>
      </c>
      <c r="J201" s="161">
        <v>0</v>
      </c>
      <c r="K201" s="161">
        <v>0</v>
      </c>
      <c r="L201" s="161">
        <v>-2925.45</v>
      </c>
      <c r="M201" s="161">
        <v>0</v>
      </c>
      <c r="N201" s="161">
        <v>0</v>
      </c>
      <c r="O201" s="162">
        <f t="shared" si="18"/>
        <v>1823.8000000000011</v>
      </c>
      <c r="P201" s="161">
        <v>-4764.6100000000006</v>
      </c>
      <c r="Q201" s="161">
        <v>0</v>
      </c>
      <c r="R201" s="161">
        <v>0</v>
      </c>
      <c r="S201" s="161">
        <v>0</v>
      </c>
      <c r="T201" s="161">
        <v>0</v>
      </c>
      <c r="U201" s="161">
        <v>0</v>
      </c>
      <c r="V201" s="161">
        <v>0</v>
      </c>
      <c r="W201" s="161">
        <f t="shared" si="19"/>
        <v>-2940.8099999999995</v>
      </c>
      <c r="X201" s="161">
        <f t="shared" si="20"/>
        <v>0</v>
      </c>
      <c r="Y201" s="161">
        <f t="shared" si="21"/>
        <v>-2940.8099999999995</v>
      </c>
      <c r="Z201" s="161">
        <v>2925</v>
      </c>
      <c r="AA201" s="161">
        <f t="shared" si="22"/>
        <v>-15.809999999999491</v>
      </c>
      <c r="AB201" s="161">
        <f t="shared" si="23"/>
        <v>4732.9900000000016</v>
      </c>
      <c r="AC201" s="158" t="s">
        <v>926</v>
      </c>
      <c r="AD201" s="158"/>
    </row>
    <row r="202" spans="1:30" ht="12.75" customHeight="1" x14ac:dyDescent="0.3">
      <c r="A202" s="147">
        <v>13</v>
      </c>
      <c r="B202" s="158" t="s">
        <v>918</v>
      </c>
      <c r="C202" s="158" t="s">
        <v>169</v>
      </c>
      <c r="D202" s="158" t="s">
        <v>919</v>
      </c>
      <c r="E202" s="160" t="s">
        <v>871</v>
      </c>
      <c r="F202" s="158" t="s">
        <v>25</v>
      </c>
      <c r="G202" s="160" t="s">
        <v>866</v>
      </c>
      <c r="H202" s="161">
        <v>8332.6099999999969</v>
      </c>
      <c r="I202" s="161">
        <v>0</v>
      </c>
      <c r="J202" s="161">
        <v>0</v>
      </c>
      <c r="K202" s="161">
        <v>0</v>
      </c>
      <c r="L202" s="161">
        <v>-3822.3299999999995</v>
      </c>
      <c r="M202" s="161">
        <v>-48</v>
      </c>
      <c r="N202" s="161">
        <v>0</v>
      </c>
      <c r="O202" s="162">
        <f t="shared" si="18"/>
        <v>4462.279999999997</v>
      </c>
      <c r="P202" s="161">
        <v>-2350</v>
      </c>
      <c r="Q202" s="161">
        <v>0</v>
      </c>
      <c r="R202" s="161">
        <v>-500</v>
      </c>
      <c r="S202" s="161">
        <v>0</v>
      </c>
      <c r="T202" s="161">
        <v>0</v>
      </c>
      <c r="U202" s="161">
        <v>0</v>
      </c>
      <c r="V202" s="161">
        <v>0</v>
      </c>
      <c r="W202" s="161">
        <f t="shared" si="19"/>
        <v>1612.279999999997</v>
      </c>
      <c r="X202" s="161">
        <f t="shared" si="20"/>
        <v>1612.279999999997</v>
      </c>
      <c r="Y202" s="161">
        <f t="shared" si="21"/>
        <v>0</v>
      </c>
      <c r="Z202" s="161">
        <v>0</v>
      </c>
      <c r="AA202" s="161">
        <f t="shared" si="22"/>
        <v>0</v>
      </c>
      <c r="AB202" s="161">
        <f t="shared" si="23"/>
        <v>2850</v>
      </c>
      <c r="AC202" s="158"/>
      <c r="AD202" s="158"/>
    </row>
    <row r="203" spans="1:30" ht="12.75" customHeight="1" x14ac:dyDescent="0.3">
      <c r="A203" s="147">
        <v>13</v>
      </c>
      <c r="B203" s="158" t="s">
        <v>876</v>
      </c>
      <c r="C203" s="158" t="s">
        <v>150</v>
      </c>
      <c r="D203" s="158" t="s">
        <v>877</v>
      </c>
      <c r="E203" s="160" t="s">
        <v>25</v>
      </c>
      <c r="F203" s="158" t="s">
        <v>25</v>
      </c>
      <c r="G203" s="160" t="s">
        <v>866</v>
      </c>
      <c r="H203" s="161">
        <v>5208.7800000000025</v>
      </c>
      <c r="I203" s="161">
        <v>0</v>
      </c>
      <c r="J203" s="161">
        <v>0</v>
      </c>
      <c r="K203" s="161">
        <v>0</v>
      </c>
      <c r="L203" s="161">
        <v>-1982.0900000000004</v>
      </c>
      <c r="M203" s="161">
        <v>-65</v>
      </c>
      <c r="N203" s="161">
        <v>0</v>
      </c>
      <c r="O203" s="162">
        <f t="shared" si="18"/>
        <v>3161.6900000000023</v>
      </c>
      <c r="P203" s="161">
        <v>-2500</v>
      </c>
      <c r="Q203" s="161">
        <v>0</v>
      </c>
      <c r="R203" s="161">
        <v>0</v>
      </c>
      <c r="S203" s="161">
        <v>0</v>
      </c>
      <c r="T203" s="161">
        <v>0</v>
      </c>
      <c r="U203" s="161">
        <v>0</v>
      </c>
      <c r="V203" s="161">
        <v>0</v>
      </c>
      <c r="W203" s="161">
        <f t="shared" si="19"/>
        <v>661.69000000000233</v>
      </c>
      <c r="X203" s="161">
        <f t="shared" si="20"/>
        <v>661.69000000000233</v>
      </c>
      <c r="Y203" s="161">
        <f t="shared" si="21"/>
        <v>0</v>
      </c>
      <c r="Z203" s="161">
        <v>0</v>
      </c>
      <c r="AA203" s="161">
        <f t="shared" si="22"/>
        <v>0</v>
      </c>
      <c r="AB203" s="161">
        <f t="shared" si="23"/>
        <v>2500</v>
      </c>
      <c r="AC203" s="158"/>
      <c r="AD203" s="158"/>
    </row>
    <row r="204" spans="1:30" ht="12.75" customHeight="1" x14ac:dyDescent="0.3">
      <c r="A204" s="147">
        <v>13</v>
      </c>
      <c r="B204" s="158" t="s">
        <v>484</v>
      </c>
      <c r="C204" s="158" t="s">
        <v>46</v>
      </c>
      <c r="D204" s="158" t="s">
        <v>915</v>
      </c>
      <c r="E204" s="160" t="s">
        <v>25</v>
      </c>
      <c r="F204" s="158" t="s">
        <v>25</v>
      </c>
      <c r="G204" s="160" t="s">
        <v>866</v>
      </c>
      <c r="H204" s="161">
        <v>7754.83</v>
      </c>
      <c r="I204" s="161">
        <v>-92.8</v>
      </c>
      <c r="J204" s="161">
        <v>0</v>
      </c>
      <c r="K204" s="161">
        <v>0</v>
      </c>
      <c r="L204" s="161">
        <v>-5592.9199999999973</v>
      </c>
      <c r="M204" s="161">
        <v>-70</v>
      </c>
      <c r="N204" s="161">
        <v>0</v>
      </c>
      <c r="O204" s="162">
        <f t="shared" si="18"/>
        <v>1999.1100000000024</v>
      </c>
      <c r="P204" s="161">
        <v>-2500</v>
      </c>
      <c r="Q204" s="161">
        <v>0</v>
      </c>
      <c r="R204" s="161">
        <v>0</v>
      </c>
      <c r="S204" s="161">
        <v>0</v>
      </c>
      <c r="T204" s="161">
        <v>0</v>
      </c>
      <c r="U204" s="161">
        <v>0</v>
      </c>
      <c r="V204" s="161">
        <v>0</v>
      </c>
      <c r="W204" s="161">
        <f t="shared" si="19"/>
        <v>-500.8899999999976</v>
      </c>
      <c r="X204" s="161">
        <f t="shared" si="20"/>
        <v>0</v>
      </c>
      <c r="Y204" s="161">
        <f t="shared" si="21"/>
        <v>-500.8899999999976</v>
      </c>
      <c r="Z204" s="161">
        <v>0</v>
      </c>
      <c r="AA204" s="161">
        <f t="shared" si="22"/>
        <v>-500.8899999999976</v>
      </c>
      <c r="AB204" s="161">
        <f t="shared" si="23"/>
        <v>1498.2200000000048</v>
      </c>
      <c r="AC204" s="158"/>
      <c r="AD204" s="158"/>
    </row>
    <row r="205" spans="1:30" ht="12.75" customHeight="1" x14ac:dyDescent="0.3">
      <c r="A205" s="147">
        <v>13</v>
      </c>
      <c r="B205" s="158" t="s">
        <v>408</v>
      </c>
      <c r="C205" s="158" t="s">
        <v>878</v>
      </c>
      <c r="D205" s="158" t="s">
        <v>879</v>
      </c>
      <c r="E205" s="160" t="s">
        <v>25</v>
      </c>
      <c r="F205" s="158" t="s">
        <v>25</v>
      </c>
      <c r="G205" s="160" t="s">
        <v>866</v>
      </c>
      <c r="H205" s="161">
        <v>3957.18</v>
      </c>
      <c r="I205" s="161">
        <v>0</v>
      </c>
      <c r="J205" s="161">
        <v>0</v>
      </c>
      <c r="K205" s="161">
        <v>0</v>
      </c>
      <c r="L205" s="161">
        <v>-1313.3700000000003</v>
      </c>
      <c r="M205" s="161">
        <v>-65</v>
      </c>
      <c r="N205" s="161">
        <v>0</v>
      </c>
      <c r="O205" s="162">
        <f t="shared" si="18"/>
        <v>2578.8099999999995</v>
      </c>
      <c r="P205" s="161">
        <v>-2500</v>
      </c>
      <c r="Q205" s="161">
        <v>0</v>
      </c>
      <c r="R205" s="161">
        <v>0</v>
      </c>
      <c r="S205" s="161">
        <v>0</v>
      </c>
      <c r="T205" s="161">
        <v>0</v>
      </c>
      <c r="U205" s="161">
        <v>0</v>
      </c>
      <c r="V205" s="161">
        <v>0</v>
      </c>
      <c r="W205" s="161">
        <f t="shared" si="19"/>
        <v>78.809999999999491</v>
      </c>
      <c r="X205" s="161">
        <f t="shared" si="20"/>
        <v>78.809999999999491</v>
      </c>
      <c r="Y205" s="161">
        <f t="shared" si="21"/>
        <v>0</v>
      </c>
      <c r="Z205" s="161">
        <v>0</v>
      </c>
      <c r="AA205" s="161">
        <f t="shared" si="22"/>
        <v>0</v>
      </c>
      <c r="AB205" s="161">
        <f t="shared" si="23"/>
        <v>2500</v>
      </c>
      <c r="AC205" s="158"/>
      <c r="AD205" s="158"/>
    </row>
    <row r="206" spans="1:30" ht="12.75" customHeight="1" x14ac:dyDescent="0.3">
      <c r="A206" s="147">
        <v>13</v>
      </c>
      <c r="B206" s="158" t="s">
        <v>923</v>
      </c>
      <c r="C206" s="158" t="s">
        <v>372</v>
      </c>
      <c r="D206" s="158" t="s">
        <v>20</v>
      </c>
      <c r="E206" s="158" t="s">
        <v>39</v>
      </c>
      <c r="F206" s="158" t="s">
        <v>25</v>
      </c>
      <c r="G206" s="160" t="s">
        <v>866</v>
      </c>
      <c r="H206" s="161">
        <v>6253.6499999999978</v>
      </c>
      <c r="I206" s="161">
        <v>0</v>
      </c>
      <c r="J206" s="161">
        <v>0</v>
      </c>
      <c r="K206" s="161">
        <v>0</v>
      </c>
      <c r="L206" s="161">
        <v>-2544.7400000000002</v>
      </c>
      <c r="M206" s="161">
        <v>-65</v>
      </c>
      <c r="N206" s="161">
        <v>0</v>
      </c>
      <c r="O206" s="162">
        <f t="shared" si="18"/>
        <v>3643.9099999999976</v>
      </c>
      <c r="P206" s="161">
        <v>-2500</v>
      </c>
      <c r="Q206" s="161">
        <v>0</v>
      </c>
      <c r="R206" s="161">
        <v>-500</v>
      </c>
      <c r="S206" s="161">
        <v>0</v>
      </c>
      <c r="T206" s="161">
        <v>0</v>
      </c>
      <c r="U206" s="161">
        <v>0</v>
      </c>
      <c r="V206" s="161">
        <v>0</v>
      </c>
      <c r="W206" s="161">
        <f t="shared" si="19"/>
        <v>643.90999999999758</v>
      </c>
      <c r="X206" s="161">
        <f t="shared" si="20"/>
        <v>643.90999999999758</v>
      </c>
      <c r="Y206" s="161">
        <f t="shared" si="21"/>
        <v>0</v>
      </c>
      <c r="Z206" s="161">
        <v>0</v>
      </c>
      <c r="AA206" s="161">
        <f t="shared" si="22"/>
        <v>0</v>
      </c>
      <c r="AB206" s="161">
        <f t="shared" si="23"/>
        <v>3000</v>
      </c>
      <c r="AC206" s="158"/>
      <c r="AD206" s="158"/>
    </row>
    <row r="207" spans="1:30" ht="12.75" customHeight="1" x14ac:dyDescent="0.3">
      <c r="A207" s="147">
        <v>13</v>
      </c>
      <c r="B207" s="158" t="s">
        <v>880</v>
      </c>
      <c r="C207" s="158" t="s">
        <v>57</v>
      </c>
      <c r="D207" s="158" t="s">
        <v>881</v>
      </c>
      <c r="E207" s="160" t="s">
        <v>25</v>
      </c>
      <c r="F207" s="158" t="s">
        <v>25</v>
      </c>
      <c r="G207" s="160" t="s">
        <v>866</v>
      </c>
      <c r="H207" s="161">
        <v>3999.3100000000004</v>
      </c>
      <c r="I207" s="161">
        <v>-19.2</v>
      </c>
      <c r="J207" s="161">
        <v>0</v>
      </c>
      <c r="K207" s="161">
        <v>0</v>
      </c>
      <c r="L207" s="161">
        <v>-929.06999999999994</v>
      </c>
      <c r="M207" s="161">
        <v>-65</v>
      </c>
      <c r="N207" s="161">
        <v>-18.32</v>
      </c>
      <c r="O207" s="162">
        <f t="shared" si="18"/>
        <v>2967.7200000000007</v>
      </c>
      <c r="P207" s="161">
        <v>-2300</v>
      </c>
      <c r="Q207" s="161">
        <v>0</v>
      </c>
      <c r="R207" s="161">
        <v>0</v>
      </c>
      <c r="S207" s="161">
        <v>0</v>
      </c>
      <c r="T207" s="161">
        <v>0</v>
      </c>
      <c r="U207" s="161">
        <v>0</v>
      </c>
      <c r="V207" s="161">
        <v>0</v>
      </c>
      <c r="W207" s="161">
        <f t="shared" si="19"/>
        <v>667.72000000000071</v>
      </c>
      <c r="X207" s="161">
        <f t="shared" si="20"/>
        <v>667.72000000000071</v>
      </c>
      <c r="Y207" s="161">
        <f t="shared" si="21"/>
        <v>0</v>
      </c>
      <c r="Z207" s="161">
        <v>0</v>
      </c>
      <c r="AA207" s="161">
        <f t="shared" si="22"/>
        <v>0</v>
      </c>
      <c r="AB207" s="161">
        <f t="shared" si="23"/>
        <v>2300</v>
      </c>
      <c r="AC207" s="158"/>
      <c r="AD207" s="158"/>
    </row>
    <row r="208" spans="1:30" ht="12.75" customHeight="1" x14ac:dyDescent="0.3">
      <c r="A208" s="147">
        <v>13</v>
      </c>
      <c r="B208" s="158" t="s">
        <v>922</v>
      </c>
      <c r="C208" s="158" t="s">
        <v>347</v>
      </c>
      <c r="D208" s="158" t="s">
        <v>897</v>
      </c>
      <c r="E208" s="160" t="s">
        <v>25</v>
      </c>
      <c r="F208" s="158" t="s">
        <v>25</v>
      </c>
      <c r="G208" s="160" t="s">
        <v>866</v>
      </c>
      <c r="H208" s="161">
        <v>5984.2099999999982</v>
      </c>
      <c r="I208" s="161">
        <v>0</v>
      </c>
      <c r="J208" s="161">
        <v>0</v>
      </c>
      <c r="K208" s="161">
        <v>0</v>
      </c>
      <c r="L208" s="161">
        <v>-2440.19</v>
      </c>
      <c r="M208" s="161">
        <v>-65</v>
      </c>
      <c r="N208" s="161">
        <v>-276</v>
      </c>
      <c r="O208" s="162">
        <f t="shared" si="18"/>
        <v>3203.0199999999982</v>
      </c>
      <c r="P208" s="161">
        <v>-2500</v>
      </c>
      <c r="Q208" s="161">
        <v>0</v>
      </c>
      <c r="R208" s="161">
        <v>-500</v>
      </c>
      <c r="S208" s="161">
        <v>0</v>
      </c>
      <c r="T208" s="161">
        <v>0</v>
      </c>
      <c r="U208" s="161">
        <v>0</v>
      </c>
      <c r="V208" s="161">
        <v>0</v>
      </c>
      <c r="W208" s="161">
        <f t="shared" si="19"/>
        <v>203.01999999999816</v>
      </c>
      <c r="X208" s="161">
        <f t="shared" si="20"/>
        <v>203.01999999999816</v>
      </c>
      <c r="Y208" s="161">
        <f t="shared" si="21"/>
        <v>0</v>
      </c>
      <c r="Z208" s="161">
        <v>0</v>
      </c>
      <c r="AA208" s="161">
        <f t="shared" si="22"/>
        <v>0</v>
      </c>
      <c r="AB208" s="161">
        <f t="shared" si="23"/>
        <v>3000</v>
      </c>
      <c r="AC208" s="158"/>
      <c r="AD208" s="158"/>
    </row>
    <row r="209" spans="1:30" ht="12.75" customHeight="1" x14ac:dyDescent="0.3">
      <c r="A209" s="147">
        <v>13</v>
      </c>
      <c r="B209" s="158" t="s">
        <v>882</v>
      </c>
      <c r="C209" s="158" t="s">
        <v>120</v>
      </c>
      <c r="D209" s="158" t="s">
        <v>917</v>
      </c>
      <c r="E209" s="160" t="s">
        <v>25</v>
      </c>
      <c r="F209" s="158" t="s">
        <v>25</v>
      </c>
      <c r="G209" s="160" t="s">
        <v>866</v>
      </c>
      <c r="H209" s="161">
        <v>340.69999999999993</v>
      </c>
      <c r="I209" s="161">
        <v>0</v>
      </c>
      <c r="J209" s="161">
        <v>0</v>
      </c>
      <c r="K209" s="161">
        <v>0</v>
      </c>
      <c r="L209" s="161">
        <v>0</v>
      </c>
      <c r="M209" s="161">
        <v>0</v>
      </c>
      <c r="N209" s="161">
        <v>0</v>
      </c>
      <c r="O209" s="162">
        <f t="shared" si="18"/>
        <v>340.69999999999993</v>
      </c>
      <c r="P209" s="161">
        <v>-2500</v>
      </c>
      <c r="Q209" s="161">
        <v>0</v>
      </c>
      <c r="R209" s="161">
        <v>2159</v>
      </c>
      <c r="S209" s="161">
        <v>0</v>
      </c>
      <c r="T209" s="161">
        <v>0</v>
      </c>
      <c r="U209" s="161">
        <v>0</v>
      </c>
      <c r="V209" s="161">
        <v>0</v>
      </c>
      <c r="W209" s="161">
        <f t="shared" si="19"/>
        <v>-0.30000000000006821</v>
      </c>
      <c r="X209" s="161">
        <f t="shared" si="20"/>
        <v>0</v>
      </c>
      <c r="Y209" s="161">
        <f t="shared" si="21"/>
        <v>-0.30000000000006821</v>
      </c>
      <c r="Z209" s="161">
        <v>0</v>
      </c>
      <c r="AA209" s="161">
        <f t="shared" si="22"/>
        <v>-0.30000000000006821</v>
      </c>
      <c r="AB209" s="161">
        <f t="shared" si="23"/>
        <v>340.39999999999986</v>
      </c>
      <c r="AC209" s="158"/>
      <c r="AD209" s="158"/>
    </row>
    <row r="210" spans="1:30" ht="12.75" customHeight="1" x14ac:dyDescent="0.3">
      <c r="A210" s="147">
        <v>13</v>
      </c>
      <c r="B210" s="158" t="s">
        <v>924</v>
      </c>
      <c r="C210" s="158" t="s">
        <v>123</v>
      </c>
      <c r="D210" s="158" t="s">
        <v>892</v>
      </c>
      <c r="E210" s="160" t="s">
        <v>871</v>
      </c>
      <c r="F210" s="158" t="s">
        <v>25</v>
      </c>
      <c r="G210" s="160" t="s">
        <v>866</v>
      </c>
      <c r="H210" s="161">
        <v>3253.0199999999995</v>
      </c>
      <c r="I210" s="161">
        <v>0</v>
      </c>
      <c r="J210" s="161">
        <v>0</v>
      </c>
      <c r="K210" s="161">
        <v>0</v>
      </c>
      <c r="L210" s="161">
        <v>-820.53999999999985</v>
      </c>
      <c r="M210" s="161">
        <v>-32</v>
      </c>
      <c r="N210" s="161">
        <v>0</v>
      </c>
      <c r="O210" s="162">
        <f t="shared" si="18"/>
        <v>2400.4799999999996</v>
      </c>
      <c r="P210" s="161">
        <v>-2500</v>
      </c>
      <c r="Q210" s="161">
        <v>0</v>
      </c>
      <c r="R210" s="161">
        <v>-500</v>
      </c>
      <c r="S210" s="161">
        <v>0</v>
      </c>
      <c r="T210" s="161">
        <v>0</v>
      </c>
      <c r="U210" s="161">
        <v>0</v>
      </c>
      <c r="V210" s="161">
        <v>0</v>
      </c>
      <c r="W210" s="161">
        <f t="shared" si="19"/>
        <v>-599.52000000000044</v>
      </c>
      <c r="X210" s="161">
        <f t="shared" si="20"/>
        <v>0</v>
      </c>
      <c r="Y210" s="161">
        <f t="shared" si="21"/>
        <v>-599.52000000000044</v>
      </c>
      <c r="Z210" s="161">
        <v>600</v>
      </c>
      <c r="AA210" s="161">
        <f t="shared" si="22"/>
        <v>0.47999999999956344</v>
      </c>
      <c r="AB210" s="161">
        <f t="shared" si="23"/>
        <v>3000.9599999999991</v>
      </c>
      <c r="AC210" s="158"/>
      <c r="AD210" s="158"/>
    </row>
    <row r="211" spans="1:30" ht="12.75" customHeight="1" x14ac:dyDescent="0.3">
      <c r="A211" s="147">
        <v>14</v>
      </c>
      <c r="B211" s="158" t="s">
        <v>585</v>
      </c>
      <c r="C211" s="158" t="s">
        <v>863</v>
      </c>
      <c r="D211" s="158" t="s">
        <v>864</v>
      </c>
      <c r="E211" s="160" t="s">
        <v>25</v>
      </c>
      <c r="F211" s="158" t="s">
        <v>25</v>
      </c>
      <c r="G211" s="160" t="s">
        <v>866</v>
      </c>
      <c r="H211" s="161">
        <v>1018.7100000000003</v>
      </c>
      <c r="I211" s="161">
        <v>0</v>
      </c>
      <c r="J211" s="161">
        <v>0</v>
      </c>
      <c r="K211" s="161">
        <v>0</v>
      </c>
      <c r="L211" s="161">
        <v>-171.85</v>
      </c>
      <c r="M211" s="161">
        <v>0</v>
      </c>
      <c r="N211" s="161">
        <v>0</v>
      </c>
      <c r="O211" s="162">
        <f t="shared" si="18"/>
        <v>846.86000000000024</v>
      </c>
      <c r="P211" s="161">
        <v>-2500</v>
      </c>
      <c r="Q211" s="161">
        <v>0</v>
      </c>
      <c r="R211" s="161">
        <v>0</v>
      </c>
      <c r="S211" s="161">
        <v>0</v>
      </c>
      <c r="T211" s="161">
        <v>0</v>
      </c>
      <c r="U211" s="161">
        <v>0</v>
      </c>
      <c r="V211" s="161">
        <v>0</v>
      </c>
      <c r="W211" s="161">
        <f t="shared" si="19"/>
        <v>-1653.1399999999999</v>
      </c>
      <c r="X211" s="161">
        <f t="shared" si="20"/>
        <v>0</v>
      </c>
      <c r="Y211" s="161">
        <f t="shared" si="21"/>
        <v>-1653.1399999999999</v>
      </c>
      <c r="Z211" s="161">
        <v>1653</v>
      </c>
      <c r="AA211" s="161">
        <f t="shared" si="22"/>
        <v>-0.13999999999987267</v>
      </c>
      <c r="AB211" s="161">
        <f t="shared" si="23"/>
        <v>2499.7200000000003</v>
      </c>
      <c r="AC211" s="158" t="s">
        <v>927</v>
      </c>
      <c r="AD211" s="158"/>
    </row>
    <row r="212" spans="1:30" ht="12.75" customHeight="1" x14ac:dyDescent="0.3">
      <c r="A212" s="147">
        <v>14</v>
      </c>
      <c r="B212" s="158" t="s">
        <v>868</v>
      </c>
      <c r="C212" s="158" t="s">
        <v>68</v>
      </c>
      <c r="D212" s="158" t="s">
        <v>869</v>
      </c>
      <c r="E212" s="160" t="s">
        <v>25</v>
      </c>
      <c r="F212" s="158" t="s">
        <v>25</v>
      </c>
      <c r="G212" s="160" t="s">
        <v>866</v>
      </c>
      <c r="H212" s="161">
        <v>3556.6800000000007</v>
      </c>
      <c r="I212" s="161">
        <v>0</v>
      </c>
      <c r="J212" s="161">
        <v>0</v>
      </c>
      <c r="K212" s="161">
        <v>0</v>
      </c>
      <c r="L212" s="161">
        <v>-1499.03</v>
      </c>
      <c r="M212" s="161">
        <v>-71.133600000000015</v>
      </c>
      <c r="N212" s="161">
        <v>0</v>
      </c>
      <c r="O212" s="162">
        <f t="shared" si="18"/>
        <v>1986.5164000000004</v>
      </c>
      <c r="P212" s="161">
        <v>-2500</v>
      </c>
      <c r="Q212" s="161">
        <v>-262</v>
      </c>
      <c r="R212" s="161">
        <v>0</v>
      </c>
      <c r="S212" s="161">
        <v>0</v>
      </c>
      <c r="T212" s="161">
        <v>0</v>
      </c>
      <c r="U212" s="161">
        <v>0</v>
      </c>
      <c r="V212" s="161">
        <v>0</v>
      </c>
      <c r="W212" s="161">
        <f t="shared" si="19"/>
        <v>-775.48359999999957</v>
      </c>
      <c r="X212" s="161">
        <f t="shared" si="20"/>
        <v>0</v>
      </c>
      <c r="Y212" s="161">
        <f t="shared" si="21"/>
        <v>-775.48359999999957</v>
      </c>
      <c r="Z212" s="161">
        <v>775</v>
      </c>
      <c r="AA212" s="161">
        <f t="shared" si="22"/>
        <v>-0.48359999999956926</v>
      </c>
      <c r="AB212" s="161">
        <f t="shared" si="23"/>
        <v>2761.0328000000009</v>
      </c>
      <c r="AC212" s="158" t="s">
        <v>927</v>
      </c>
      <c r="AD212" s="158"/>
    </row>
    <row r="213" spans="1:30" ht="12.75" customHeight="1" x14ac:dyDescent="0.3">
      <c r="A213" s="147">
        <v>14</v>
      </c>
      <c r="B213" s="158" t="s">
        <v>913</v>
      </c>
      <c r="C213" s="158" t="s">
        <v>195</v>
      </c>
      <c r="D213" s="158" t="s">
        <v>20</v>
      </c>
      <c r="E213" s="160" t="s">
        <v>871</v>
      </c>
      <c r="F213" s="158" t="s">
        <v>25</v>
      </c>
      <c r="G213" s="160" t="s">
        <v>866</v>
      </c>
      <c r="H213" s="161">
        <v>6668.8500000000013</v>
      </c>
      <c r="I213" s="161">
        <v>0</v>
      </c>
      <c r="J213" s="161">
        <v>0</v>
      </c>
      <c r="K213" s="161">
        <v>0</v>
      </c>
      <c r="L213" s="161">
        <v>-4371.71</v>
      </c>
      <c r="M213" s="161">
        <v>0</v>
      </c>
      <c r="N213" s="161">
        <v>0</v>
      </c>
      <c r="O213" s="162">
        <f t="shared" si="18"/>
        <v>2297.1400000000012</v>
      </c>
      <c r="P213" s="161">
        <v>-2400</v>
      </c>
      <c r="Q213" s="161">
        <v>0</v>
      </c>
      <c r="R213" s="161">
        <v>0</v>
      </c>
      <c r="S213" s="161">
        <v>0</v>
      </c>
      <c r="T213" s="161">
        <v>0</v>
      </c>
      <c r="U213" s="161">
        <v>0</v>
      </c>
      <c r="V213" s="161">
        <v>0</v>
      </c>
      <c r="W213" s="161">
        <f t="shared" si="19"/>
        <v>-102.85999999999876</v>
      </c>
      <c r="X213" s="161">
        <f t="shared" si="20"/>
        <v>0</v>
      </c>
      <c r="Y213" s="161">
        <f t="shared" si="21"/>
        <v>-102.85999999999876</v>
      </c>
      <c r="Z213" s="161">
        <v>603</v>
      </c>
      <c r="AA213" s="161">
        <f t="shared" si="22"/>
        <v>500.14000000000124</v>
      </c>
      <c r="AB213" s="161">
        <f t="shared" si="23"/>
        <v>3400.2800000000025</v>
      </c>
      <c r="AC213" s="158" t="s">
        <v>927</v>
      </c>
      <c r="AD213" s="158"/>
    </row>
    <row r="214" spans="1:30" ht="12.75" customHeight="1" x14ac:dyDescent="0.3">
      <c r="A214" s="147">
        <v>14</v>
      </c>
      <c r="B214" s="158" t="s">
        <v>888</v>
      </c>
      <c r="C214" s="158" t="s">
        <v>409</v>
      </c>
      <c r="D214" s="163" t="s">
        <v>889</v>
      </c>
      <c r="E214" s="160" t="s">
        <v>25</v>
      </c>
      <c r="F214" s="158" t="s">
        <v>25</v>
      </c>
      <c r="G214" s="160" t="s">
        <v>866</v>
      </c>
      <c r="H214" s="161">
        <v>0</v>
      </c>
      <c r="I214" s="161">
        <v>0</v>
      </c>
      <c r="J214" s="161">
        <v>0</v>
      </c>
      <c r="K214" s="161">
        <v>0</v>
      </c>
      <c r="L214" s="161">
        <v>0</v>
      </c>
      <c r="M214" s="161">
        <v>0</v>
      </c>
      <c r="N214" s="161">
        <v>0</v>
      </c>
      <c r="O214" s="162">
        <f t="shared" si="18"/>
        <v>0</v>
      </c>
      <c r="P214" s="161">
        <v>0</v>
      </c>
      <c r="Q214" s="161">
        <v>0</v>
      </c>
      <c r="R214" s="161">
        <v>0</v>
      </c>
      <c r="S214" s="161">
        <v>0</v>
      </c>
      <c r="T214" s="161">
        <v>0</v>
      </c>
      <c r="U214" s="161">
        <v>0</v>
      </c>
      <c r="V214" s="161">
        <v>0</v>
      </c>
      <c r="W214" s="161">
        <f t="shared" si="19"/>
        <v>0</v>
      </c>
      <c r="X214" s="161">
        <f t="shared" si="20"/>
        <v>0</v>
      </c>
      <c r="Y214" s="161">
        <f t="shared" si="21"/>
        <v>0</v>
      </c>
      <c r="Z214" s="161">
        <v>0</v>
      </c>
      <c r="AA214" s="161">
        <f t="shared" si="22"/>
        <v>0</v>
      </c>
      <c r="AB214" s="161">
        <f t="shared" si="23"/>
        <v>0</v>
      </c>
      <c r="AC214" s="158"/>
      <c r="AD214" s="158"/>
    </row>
    <row r="215" spans="1:30" ht="12.75" customHeight="1" x14ac:dyDescent="0.3">
      <c r="A215" s="147">
        <v>14</v>
      </c>
      <c r="B215" s="158" t="s">
        <v>894</v>
      </c>
      <c r="C215" s="158" t="s">
        <v>183</v>
      </c>
      <c r="D215" s="158" t="s">
        <v>887</v>
      </c>
      <c r="E215" s="160" t="s">
        <v>25</v>
      </c>
      <c r="F215" s="158" t="s">
        <v>25</v>
      </c>
      <c r="G215" s="160" t="s">
        <v>866</v>
      </c>
      <c r="H215" s="161">
        <v>902.76</v>
      </c>
      <c r="I215" s="161">
        <v>0</v>
      </c>
      <c r="J215" s="161">
        <v>0</v>
      </c>
      <c r="K215" s="161">
        <v>0</v>
      </c>
      <c r="L215" s="161">
        <v>-175.97</v>
      </c>
      <c r="M215" s="161">
        <v>-18</v>
      </c>
      <c r="N215" s="161">
        <v>0</v>
      </c>
      <c r="O215" s="162">
        <f t="shared" si="18"/>
        <v>708.79</v>
      </c>
      <c r="P215" s="161">
        <v>-2500</v>
      </c>
      <c r="Q215" s="161">
        <v>3.999999999996362E-2</v>
      </c>
      <c r="R215" s="161">
        <v>0</v>
      </c>
      <c r="S215" s="161">
        <v>-827</v>
      </c>
      <c r="T215" s="161">
        <v>0</v>
      </c>
      <c r="U215" s="161">
        <v>0</v>
      </c>
      <c r="V215" s="161">
        <v>0</v>
      </c>
      <c r="W215" s="161">
        <f t="shared" si="19"/>
        <v>-2618.17</v>
      </c>
      <c r="X215" s="161">
        <f t="shared" si="20"/>
        <v>0</v>
      </c>
      <c r="Y215" s="161">
        <f t="shared" si="21"/>
        <v>-2618.17</v>
      </c>
      <c r="Z215" s="161">
        <v>2000</v>
      </c>
      <c r="AA215" s="161">
        <f t="shared" si="22"/>
        <v>-618.17000000000007</v>
      </c>
      <c r="AB215" s="161">
        <f t="shared" si="23"/>
        <v>2090.62</v>
      </c>
      <c r="AC215" s="158" t="s">
        <v>928</v>
      </c>
      <c r="AD215" s="158"/>
    </row>
    <row r="216" spans="1:30" ht="12.75" customHeight="1" x14ac:dyDescent="0.3">
      <c r="A216" s="147">
        <v>14</v>
      </c>
      <c r="B216" s="158" t="s">
        <v>890</v>
      </c>
      <c r="C216" s="158" t="s">
        <v>42</v>
      </c>
      <c r="D216" s="158" t="s">
        <v>903</v>
      </c>
      <c r="E216" s="160" t="s">
        <v>25</v>
      </c>
      <c r="F216" s="158" t="s">
        <v>25</v>
      </c>
      <c r="G216" s="160" t="s">
        <v>866</v>
      </c>
      <c r="H216" s="161">
        <v>5763.2699999999986</v>
      </c>
      <c r="I216" s="161">
        <v>-58.68</v>
      </c>
      <c r="J216" s="161">
        <v>0</v>
      </c>
      <c r="K216" s="161">
        <v>0</v>
      </c>
      <c r="L216" s="161">
        <v>-1256.25</v>
      </c>
      <c r="M216" s="161">
        <v>-12</v>
      </c>
      <c r="N216" s="161">
        <v>0</v>
      </c>
      <c r="O216" s="162">
        <f t="shared" si="18"/>
        <v>4436.3399999999983</v>
      </c>
      <c r="P216" s="161">
        <v>-2500</v>
      </c>
      <c r="Q216" s="161">
        <v>0</v>
      </c>
      <c r="R216" s="161">
        <v>0</v>
      </c>
      <c r="S216" s="161">
        <v>0</v>
      </c>
      <c r="T216" s="161">
        <v>0</v>
      </c>
      <c r="U216" s="161">
        <v>0</v>
      </c>
      <c r="V216" s="161">
        <v>0</v>
      </c>
      <c r="W216" s="161">
        <f t="shared" si="19"/>
        <v>1936.3399999999983</v>
      </c>
      <c r="X216" s="161">
        <f t="shared" si="20"/>
        <v>1936.3399999999983</v>
      </c>
      <c r="Y216" s="161">
        <f t="shared" si="21"/>
        <v>0</v>
      </c>
      <c r="Z216" s="161">
        <v>0</v>
      </c>
      <c r="AA216" s="161">
        <f t="shared" si="22"/>
        <v>0</v>
      </c>
      <c r="AB216" s="161">
        <f t="shared" si="23"/>
        <v>2500</v>
      </c>
      <c r="AC216" s="158"/>
      <c r="AD216" s="158"/>
    </row>
    <row r="217" spans="1:30" ht="12.75" customHeight="1" x14ac:dyDescent="0.3">
      <c r="A217" s="147">
        <v>14</v>
      </c>
      <c r="B217" s="158" t="s">
        <v>872</v>
      </c>
      <c r="C217" s="158" t="s">
        <v>36</v>
      </c>
      <c r="D217" s="158" t="s">
        <v>904</v>
      </c>
      <c r="E217" s="160" t="s">
        <v>25</v>
      </c>
      <c r="F217" s="158" t="s">
        <v>25</v>
      </c>
      <c r="G217" s="160" t="s">
        <v>866</v>
      </c>
      <c r="H217" s="161">
        <v>10037.310000000003</v>
      </c>
      <c r="I217" s="161">
        <v>-51.2</v>
      </c>
      <c r="J217" s="161">
        <v>0</v>
      </c>
      <c r="K217" s="161">
        <v>-98.15000000000002</v>
      </c>
      <c r="L217" s="161">
        <v>-4438.4400000000014</v>
      </c>
      <c r="M217" s="161">
        <v>-35</v>
      </c>
      <c r="N217" s="161">
        <v>-59.23</v>
      </c>
      <c r="O217" s="162">
        <f t="shared" si="18"/>
        <v>5355.2900000000018</v>
      </c>
      <c r="P217" s="161">
        <v>-2500</v>
      </c>
      <c r="Q217" s="161">
        <v>-600</v>
      </c>
      <c r="R217" s="161">
        <v>0</v>
      </c>
      <c r="S217" s="161">
        <v>0</v>
      </c>
      <c r="T217" s="161">
        <v>0</v>
      </c>
      <c r="U217" s="161">
        <v>0</v>
      </c>
      <c r="V217" s="161">
        <v>0</v>
      </c>
      <c r="W217" s="161">
        <f t="shared" si="19"/>
        <v>2255.2900000000018</v>
      </c>
      <c r="X217" s="161">
        <f t="shared" si="20"/>
        <v>2255.2900000000018</v>
      </c>
      <c r="Y217" s="161">
        <f t="shared" si="21"/>
        <v>0</v>
      </c>
      <c r="Z217" s="161">
        <v>0</v>
      </c>
      <c r="AA217" s="161">
        <f t="shared" si="22"/>
        <v>0</v>
      </c>
      <c r="AB217" s="161">
        <f t="shared" si="23"/>
        <v>3100</v>
      </c>
      <c r="AC217" s="158"/>
      <c r="AD217" s="158"/>
    </row>
    <row r="218" spans="1:30" ht="12.75" customHeight="1" x14ac:dyDescent="0.3">
      <c r="A218" s="147">
        <v>14</v>
      </c>
      <c r="B218" s="158" t="s">
        <v>921</v>
      </c>
      <c r="C218" s="158" t="s">
        <v>257</v>
      </c>
      <c r="D218" s="158" t="s">
        <v>20</v>
      </c>
      <c r="E218" s="160" t="s">
        <v>25</v>
      </c>
      <c r="F218" s="158" t="s">
        <v>25</v>
      </c>
      <c r="G218" s="160" t="s">
        <v>866</v>
      </c>
      <c r="H218" s="161">
        <v>9800.25</v>
      </c>
      <c r="I218" s="161">
        <v>-64</v>
      </c>
      <c r="J218" s="161">
        <v>0</v>
      </c>
      <c r="K218" s="161">
        <v>0</v>
      </c>
      <c r="L218" s="161">
        <v>-3981.56</v>
      </c>
      <c r="M218" s="161">
        <v>-2.15</v>
      </c>
      <c r="N218" s="161">
        <v>0</v>
      </c>
      <c r="O218" s="162">
        <f t="shared" si="18"/>
        <v>5752.5400000000009</v>
      </c>
      <c r="P218" s="161">
        <v>-2500</v>
      </c>
      <c r="Q218" s="161">
        <v>0</v>
      </c>
      <c r="R218" s="161">
        <v>0</v>
      </c>
      <c r="S218" s="161">
        <v>0</v>
      </c>
      <c r="T218" s="161">
        <v>0</v>
      </c>
      <c r="U218" s="161">
        <v>0</v>
      </c>
      <c r="V218" s="161">
        <v>0</v>
      </c>
      <c r="W218" s="161">
        <f t="shared" si="19"/>
        <v>3252.5400000000009</v>
      </c>
      <c r="X218" s="161">
        <f t="shared" si="20"/>
        <v>3252.5400000000009</v>
      </c>
      <c r="Y218" s="161">
        <f t="shared" si="21"/>
        <v>0</v>
      </c>
      <c r="Z218" s="161">
        <v>0</v>
      </c>
      <c r="AA218" s="161">
        <f t="shared" si="22"/>
        <v>0</v>
      </c>
      <c r="AB218" s="161">
        <f t="shared" si="23"/>
        <v>2500</v>
      </c>
      <c r="AC218" s="158"/>
      <c r="AD218" s="158"/>
    </row>
    <row r="219" spans="1:30" ht="12.75" customHeight="1" x14ac:dyDescent="0.3">
      <c r="A219" s="147">
        <v>14</v>
      </c>
      <c r="B219" s="158" t="s">
        <v>874</v>
      </c>
      <c r="C219" s="158" t="s">
        <v>64</v>
      </c>
      <c r="D219" s="158" t="s">
        <v>20</v>
      </c>
      <c r="E219" s="160" t="s">
        <v>25</v>
      </c>
      <c r="F219" s="158" t="s">
        <v>25</v>
      </c>
      <c r="G219" s="160" t="s">
        <v>866</v>
      </c>
      <c r="H219" s="161">
        <v>1529.2399999999998</v>
      </c>
      <c r="I219" s="161">
        <v>0</v>
      </c>
      <c r="J219" s="161">
        <v>0</v>
      </c>
      <c r="K219" s="161">
        <v>0</v>
      </c>
      <c r="L219" s="161">
        <v>-188.35999999999999</v>
      </c>
      <c r="M219" s="161">
        <v>0</v>
      </c>
      <c r="N219" s="161">
        <v>0</v>
      </c>
      <c r="O219" s="162">
        <f t="shared" si="18"/>
        <v>1340.8799999999999</v>
      </c>
      <c r="P219" s="161">
        <v>-1529.2399999999998</v>
      </c>
      <c r="Q219" s="161">
        <v>-16</v>
      </c>
      <c r="R219" s="161">
        <v>0</v>
      </c>
      <c r="S219" s="161">
        <v>0</v>
      </c>
      <c r="T219" s="161">
        <v>0</v>
      </c>
      <c r="U219" s="161">
        <v>0</v>
      </c>
      <c r="V219" s="161">
        <v>0</v>
      </c>
      <c r="W219" s="161">
        <f t="shared" si="19"/>
        <v>-204.3599999999999</v>
      </c>
      <c r="X219" s="161">
        <f t="shared" si="20"/>
        <v>0</v>
      </c>
      <c r="Y219" s="161">
        <f t="shared" si="21"/>
        <v>-204.3599999999999</v>
      </c>
      <c r="Z219" s="161">
        <v>202</v>
      </c>
      <c r="AA219" s="161">
        <f t="shared" si="22"/>
        <v>-2.3599999999999</v>
      </c>
      <c r="AB219" s="161">
        <f t="shared" si="23"/>
        <v>1540.52</v>
      </c>
      <c r="AC219" s="158" t="s">
        <v>927</v>
      </c>
      <c r="AD219" s="158"/>
    </row>
    <row r="220" spans="1:30" ht="12.75" customHeight="1" x14ac:dyDescent="0.3">
      <c r="A220" s="147">
        <v>14</v>
      </c>
      <c r="B220" s="158" t="s">
        <v>918</v>
      </c>
      <c r="C220" s="158" t="s">
        <v>169</v>
      </c>
      <c r="D220" s="158" t="s">
        <v>919</v>
      </c>
      <c r="E220" s="160" t="s">
        <v>871</v>
      </c>
      <c r="F220" s="158" t="s">
        <v>25</v>
      </c>
      <c r="G220" s="160" t="s">
        <v>866</v>
      </c>
      <c r="H220" s="161">
        <v>8768.2800000000007</v>
      </c>
      <c r="I220" s="161">
        <v>-48</v>
      </c>
      <c r="J220" s="161">
        <v>36</v>
      </c>
      <c r="K220" s="161">
        <v>0</v>
      </c>
      <c r="L220" s="161">
        <v>-2405.0300000000002</v>
      </c>
      <c r="M220" s="161">
        <v>-52</v>
      </c>
      <c r="N220" s="161">
        <v>0</v>
      </c>
      <c r="O220" s="162">
        <f t="shared" si="18"/>
        <v>6299.25</v>
      </c>
      <c r="P220" s="161">
        <v>-2350</v>
      </c>
      <c r="Q220" s="161">
        <v>0</v>
      </c>
      <c r="R220" s="161">
        <v>0</v>
      </c>
      <c r="S220" s="161">
        <v>0</v>
      </c>
      <c r="T220" s="161">
        <v>0</v>
      </c>
      <c r="U220" s="161">
        <v>0</v>
      </c>
      <c r="V220" s="161">
        <v>0</v>
      </c>
      <c r="W220" s="161">
        <f t="shared" si="19"/>
        <v>3949.25</v>
      </c>
      <c r="X220" s="161">
        <f t="shared" si="20"/>
        <v>3949.25</v>
      </c>
      <c r="Y220" s="161">
        <f t="shared" si="21"/>
        <v>0</v>
      </c>
      <c r="Z220" s="161">
        <v>0</v>
      </c>
      <c r="AA220" s="161">
        <f t="shared" si="22"/>
        <v>0</v>
      </c>
      <c r="AB220" s="161">
        <f t="shared" si="23"/>
        <v>2350</v>
      </c>
      <c r="AC220" s="158"/>
      <c r="AD220" s="158"/>
    </row>
    <row r="221" spans="1:30" ht="12.75" customHeight="1" x14ac:dyDescent="0.3">
      <c r="A221" s="147">
        <v>14</v>
      </c>
      <c r="B221" s="158" t="s">
        <v>876</v>
      </c>
      <c r="C221" s="158" t="s">
        <v>150</v>
      </c>
      <c r="D221" s="158" t="s">
        <v>877</v>
      </c>
      <c r="E221" s="160" t="s">
        <v>25</v>
      </c>
      <c r="F221" s="158" t="s">
        <v>25</v>
      </c>
      <c r="G221" s="160" t="s">
        <v>866</v>
      </c>
      <c r="H221" s="161">
        <v>4448.1200000000008</v>
      </c>
      <c r="I221" s="161">
        <v>0</v>
      </c>
      <c r="J221" s="161">
        <v>0</v>
      </c>
      <c r="K221" s="161">
        <v>0</v>
      </c>
      <c r="L221" s="161">
        <v>-1468.5000000000005</v>
      </c>
      <c r="M221" s="161">
        <v>-42</v>
      </c>
      <c r="N221" s="161">
        <v>0</v>
      </c>
      <c r="O221" s="162">
        <f t="shared" si="18"/>
        <v>2937.6200000000003</v>
      </c>
      <c r="P221" s="161">
        <v>-2500</v>
      </c>
      <c r="Q221" s="161">
        <v>0</v>
      </c>
      <c r="R221" s="161">
        <v>0</v>
      </c>
      <c r="S221" s="161">
        <v>0</v>
      </c>
      <c r="T221" s="161">
        <v>0</v>
      </c>
      <c r="U221" s="161">
        <v>0</v>
      </c>
      <c r="V221" s="161">
        <v>0</v>
      </c>
      <c r="W221" s="161">
        <f t="shared" si="19"/>
        <v>437.62000000000035</v>
      </c>
      <c r="X221" s="161">
        <f t="shared" si="20"/>
        <v>437.62000000000035</v>
      </c>
      <c r="Y221" s="161">
        <f t="shared" si="21"/>
        <v>0</v>
      </c>
      <c r="Z221" s="161">
        <v>0</v>
      </c>
      <c r="AA221" s="161">
        <f t="shared" si="22"/>
        <v>0</v>
      </c>
      <c r="AB221" s="161">
        <f t="shared" si="23"/>
        <v>2500</v>
      </c>
      <c r="AC221" s="158"/>
      <c r="AD221" s="158"/>
    </row>
    <row r="222" spans="1:30" ht="12.75" customHeight="1" x14ac:dyDescent="0.3">
      <c r="A222" s="147">
        <v>14</v>
      </c>
      <c r="B222" s="158" t="s">
        <v>484</v>
      </c>
      <c r="C222" s="158" t="s">
        <v>46</v>
      </c>
      <c r="D222" s="158" t="s">
        <v>915</v>
      </c>
      <c r="E222" s="160" t="s">
        <v>25</v>
      </c>
      <c r="F222" s="158" t="s">
        <v>25</v>
      </c>
      <c r="G222" s="160" t="s">
        <v>866</v>
      </c>
      <c r="H222" s="161">
        <v>8772.5299999999988</v>
      </c>
      <c r="I222" s="161">
        <v>-141.6</v>
      </c>
      <c r="J222" s="161">
        <v>0</v>
      </c>
      <c r="K222" s="161">
        <v>0</v>
      </c>
      <c r="L222" s="161">
        <v>-5621.2399999999971</v>
      </c>
      <c r="M222" s="161">
        <v>0</v>
      </c>
      <c r="N222" s="161">
        <v>0</v>
      </c>
      <c r="O222" s="162">
        <f t="shared" si="18"/>
        <v>3009.6900000000014</v>
      </c>
      <c r="P222" s="161">
        <v>-2500</v>
      </c>
      <c r="Q222" s="161">
        <v>-200.89</v>
      </c>
      <c r="R222" s="161">
        <v>0</v>
      </c>
      <c r="S222" s="161">
        <v>0</v>
      </c>
      <c r="T222" s="161">
        <v>0</v>
      </c>
      <c r="U222" s="161">
        <v>0</v>
      </c>
      <c r="V222" s="161">
        <v>0</v>
      </c>
      <c r="W222" s="161">
        <f t="shared" si="19"/>
        <v>308.80000000000155</v>
      </c>
      <c r="X222" s="161">
        <f t="shared" si="20"/>
        <v>308.80000000000155</v>
      </c>
      <c r="Y222" s="161">
        <f t="shared" si="21"/>
        <v>0</v>
      </c>
      <c r="Z222" s="161">
        <v>0</v>
      </c>
      <c r="AA222" s="161">
        <f t="shared" si="22"/>
        <v>0</v>
      </c>
      <c r="AB222" s="161">
        <f t="shared" si="23"/>
        <v>2700.89</v>
      </c>
      <c r="AC222" s="158"/>
      <c r="AD222" s="158"/>
    </row>
    <row r="223" spans="1:30" ht="12.75" customHeight="1" x14ac:dyDescent="0.3">
      <c r="A223" s="147">
        <v>14</v>
      </c>
      <c r="B223" s="158" t="s">
        <v>408</v>
      </c>
      <c r="C223" s="158" t="s">
        <v>878</v>
      </c>
      <c r="D223" s="158" t="s">
        <v>879</v>
      </c>
      <c r="E223" s="160" t="s">
        <v>25</v>
      </c>
      <c r="F223" s="158" t="s">
        <v>25</v>
      </c>
      <c r="G223" s="160" t="s">
        <v>866</v>
      </c>
      <c r="H223" s="161">
        <v>4232.380000000001</v>
      </c>
      <c r="I223" s="161">
        <v>0</v>
      </c>
      <c r="J223" s="161">
        <v>0</v>
      </c>
      <c r="K223" s="161">
        <v>0</v>
      </c>
      <c r="L223" s="161">
        <v>-1533.19</v>
      </c>
      <c r="M223" s="161">
        <v>-71</v>
      </c>
      <c r="N223" s="161">
        <v>0</v>
      </c>
      <c r="O223" s="162">
        <f t="shared" si="18"/>
        <v>2628.190000000001</v>
      </c>
      <c r="P223" s="161">
        <v>-2500</v>
      </c>
      <c r="Q223" s="161">
        <v>79</v>
      </c>
      <c r="R223" s="161">
        <v>0</v>
      </c>
      <c r="S223" s="161">
        <v>0</v>
      </c>
      <c r="T223" s="161">
        <v>0</v>
      </c>
      <c r="U223" s="161">
        <v>0</v>
      </c>
      <c r="V223" s="161">
        <v>0</v>
      </c>
      <c r="W223" s="161">
        <f t="shared" si="19"/>
        <v>207.19000000000096</v>
      </c>
      <c r="X223" s="161">
        <f t="shared" si="20"/>
        <v>207.19000000000096</v>
      </c>
      <c r="Y223" s="161">
        <f t="shared" si="21"/>
        <v>0</v>
      </c>
      <c r="Z223" s="161">
        <v>0</v>
      </c>
      <c r="AA223" s="161">
        <f t="shared" si="22"/>
        <v>0</v>
      </c>
      <c r="AB223" s="161">
        <f t="shared" si="23"/>
        <v>2421</v>
      </c>
      <c r="AC223" s="158"/>
      <c r="AD223" s="158"/>
    </row>
    <row r="224" spans="1:30" ht="12.75" customHeight="1" x14ac:dyDescent="0.3">
      <c r="A224" s="147">
        <v>14</v>
      </c>
      <c r="B224" s="158" t="s">
        <v>923</v>
      </c>
      <c r="C224" s="158" t="s">
        <v>372</v>
      </c>
      <c r="D224" s="158" t="s">
        <v>20</v>
      </c>
      <c r="E224" s="158" t="s">
        <v>39</v>
      </c>
      <c r="F224" s="158" t="s">
        <v>25</v>
      </c>
      <c r="G224" s="160" t="s">
        <v>866</v>
      </c>
      <c r="H224" s="161">
        <v>4355.68</v>
      </c>
      <c r="I224" s="161">
        <v>0</v>
      </c>
      <c r="J224" s="161">
        <v>0</v>
      </c>
      <c r="K224" s="161">
        <v>0</v>
      </c>
      <c r="L224" s="161">
        <v>-1416.09</v>
      </c>
      <c r="M224" s="161">
        <v>-65</v>
      </c>
      <c r="N224" s="161">
        <v>0</v>
      </c>
      <c r="O224" s="162">
        <f t="shared" si="18"/>
        <v>2874.59</v>
      </c>
      <c r="P224" s="161">
        <v>-2500</v>
      </c>
      <c r="Q224" s="161">
        <v>0</v>
      </c>
      <c r="R224" s="161">
        <v>0</v>
      </c>
      <c r="S224" s="161">
        <v>0</v>
      </c>
      <c r="T224" s="161">
        <v>0</v>
      </c>
      <c r="U224" s="161">
        <v>0</v>
      </c>
      <c r="V224" s="161">
        <v>0</v>
      </c>
      <c r="W224" s="161">
        <f t="shared" si="19"/>
        <v>374.59000000000015</v>
      </c>
      <c r="X224" s="161">
        <f t="shared" si="20"/>
        <v>374.59000000000015</v>
      </c>
      <c r="Y224" s="161">
        <f t="shared" si="21"/>
        <v>0</v>
      </c>
      <c r="Z224" s="161">
        <v>125</v>
      </c>
      <c r="AA224" s="161">
        <f t="shared" si="22"/>
        <v>125</v>
      </c>
      <c r="AB224" s="161">
        <f t="shared" si="23"/>
        <v>2750</v>
      </c>
      <c r="AC224" s="158" t="s">
        <v>927</v>
      </c>
      <c r="AD224" s="158"/>
    </row>
    <row r="225" spans="1:30" ht="12.75" customHeight="1" x14ac:dyDescent="0.3">
      <c r="A225" s="147">
        <v>14</v>
      </c>
      <c r="B225" s="158" t="s">
        <v>880</v>
      </c>
      <c r="C225" s="158" t="s">
        <v>57</v>
      </c>
      <c r="D225" s="158" t="s">
        <v>881</v>
      </c>
      <c r="E225" s="160" t="s">
        <v>25</v>
      </c>
      <c r="F225" s="158" t="s">
        <v>25</v>
      </c>
      <c r="G225" s="160" t="s">
        <v>866</v>
      </c>
      <c r="H225" s="161">
        <v>3504.2899999999981</v>
      </c>
      <c r="I225" s="161">
        <v>-4.3499999999999996</v>
      </c>
      <c r="J225" s="161">
        <v>0</v>
      </c>
      <c r="K225" s="161">
        <v>0</v>
      </c>
      <c r="L225" s="161">
        <v>-1074.7900000000002</v>
      </c>
      <c r="M225" s="161">
        <v>-61.08</v>
      </c>
      <c r="N225" s="161">
        <v>0</v>
      </c>
      <c r="O225" s="162">
        <f t="shared" si="18"/>
        <v>2364.0699999999979</v>
      </c>
      <c r="P225" s="161">
        <v>-2300</v>
      </c>
      <c r="Q225" s="161">
        <v>0</v>
      </c>
      <c r="R225" s="161">
        <v>0</v>
      </c>
      <c r="S225" s="161">
        <v>0</v>
      </c>
      <c r="T225" s="161">
        <v>0</v>
      </c>
      <c r="U225" s="161">
        <v>0</v>
      </c>
      <c r="V225" s="161">
        <v>0</v>
      </c>
      <c r="W225" s="161">
        <f t="shared" si="19"/>
        <v>64.06999999999789</v>
      </c>
      <c r="X225" s="161">
        <f t="shared" si="20"/>
        <v>64.06999999999789</v>
      </c>
      <c r="Y225" s="161">
        <f t="shared" si="21"/>
        <v>0</v>
      </c>
      <c r="Z225" s="161">
        <v>0</v>
      </c>
      <c r="AA225" s="161">
        <f t="shared" si="22"/>
        <v>0</v>
      </c>
      <c r="AB225" s="161">
        <f t="shared" si="23"/>
        <v>2300</v>
      </c>
      <c r="AC225" s="158"/>
      <c r="AD225" s="158"/>
    </row>
    <row r="226" spans="1:30" ht="12.75" customHeight="1" x14ac:dyDescent="0.3">
      <c r="A226" s="147">
        <v>14</v>
      </c>
      <c r="B226" s="158" t="s">
        <v>922</v>
      </c>
      <c r="C226" s="158" t="s">
        <v>347</v>
      </c>
      <c r="D226" s="158" t="s">
        <v>897</v>
      </c>
      <c r="E226" s="160" t="s">
        <v>25</v>
      </c>
      <c r="F226" s="158" t="s">
        <v>25</v>
      </c>
      <c r="G226" s="160" t="s">
        <v>866</v>
      </c>
      <c r="H226" s="161">
        <v>6997.3300000000017</v>
      </c>
      <c r="I226" s="161">
        <v>0</v>
      </c>
      <c r="J226" s="161">
        <v>0</v>
      </c>
      <c r="K226" s="161">
        <v>0</v>
      </c>
      <c r="L226" s="161">
        <v>-3314.1399999999994</v>
      </c>
      <c r="M226" s="161">
        <v>-35</v>
      </c>
      <c r="N226" s="161">
        <v>-142</v>
      </c>
      <c r="O226" s="162">
        <f t="shared" si="18"/>
        <v>3506.1900000000023</v>
      </c>
      <c r="P226" s="161">
        <v>-2500</v>
      </c>
      <c r="Q226" s="161">
        <v>0</v>
      </c>
      <c r="R226" s="161">
        <v>0</v>
      </c>
      <c r="S226" s="161">
        <v>0</v>
      </c>
      <c r="T226" s="161">
        <v>0</v>
      </c>
      <c r="U226" s="161">
        <v>0</v>
      </c>
      <c r="V226" s="161">
        <v>0</v>
      </c>
      <c r="W226" s="161">
        <f t="shared" si="19"/>
        <v>1006.1900000000023</v>
      </c>
      <c r="X226" s="161">
        <f t="shared" si="20"/>
        <v>1006.1900000000023</v>
      </c>
      <c r="Y226" s="161">
        <f t="shared" si="21"/>
        <v>0</v>
      </c>
      <c r="Z226" s="161">
        <v>0</v>
      </c>
      <c r="AA226" s="161">
        <f t="shared" si="22"/>
        <v>0</v>
      </c>
      <c r="AB226" s="161">
        <f t="shared" si="23"/>
        <v>2500</v>
      </c>
      <c r="AC226" s="158"/>
      <c r="AD226" s="158"/>
    </row>
    <row r="227" spans="1:30" ht="12.75" customHeight="1" x14ac:dyDescent="0.3">
      <c r="A227" s="147">
        <v>14</v>
      </c>
      <c r="B227" s="158" t="s">
        <v>924</v>
      </c>
      <c r="C227" s="158" t="s">
        <v>123</v>
      </c>
      <c r="D227" s="158" t="s">
        <v>892</v>
      </c>
      <c r="E227" s="160" t="s">
        <v>871</v>
      </c>
      <c r="F227" s="158" t="s">
        <v>25</v>
      </c>
      <c r="G227" s="160" t="s">
        <v>866</v>
      </c>
      <c r="H227" s="161">
        <v>8235.82</v>
      </c>
      <c r="I227" s="161">
        <v>0</v>
      </c>
      <c r="J227" s="161">
        <v>0</v>
      </c>
      <c r="K227" s="161">
        <v>0</v>
      </c>
      <c r="L227" s="161">
        <v>-3082.27</v>
      </c>
      <c r="M227" s="161">
        <v>0</v>
      </c>
      <c r="N227" s="161">
        <v>0</v>
      </c>
      <c r="O227" s="162">
        <f t="shared" si="18"/>
        <v>5153.5499999999993</v>
      </c>
      <c r="P227" s="161">
        <v>-2500</v>
      </c>
      <c r="Q227" s="161">
        <v>-300</v>
      </c>
      <c r="R227" s="161">
        <v>0</v>
      </c>
      <c r="S227" s="161">
        <v>0</v>
      </c>
      <c r="T227" s="161">
        <v>0</v>
      </c>
      <c r="U227" s="161">
        <v>0</v>
      </c>
      <c r="V227" s="161">
        <v>0</v>
      </c>
      <c r="W227" s="161">
        <f t="shared" si="19"/>
        <v>2353.5499999999993</v>
      </c>
      <c r="X227" s="161">
        <f t="shared" si="20"/>
        <v>2353.5499999999993</v>
      </c>
      <c r="Y227" s="161">
        <f t="shared" si="21"/>
        <v>0</v>
      </c>
      <c r="Z227" s="161">
        <v>0</v>
      </c>
      <c r="AA227" s="161">
        <f t="shared" si="22"/>
        <v>0</v>
      </c>
      <c r="AB227" s="161">
        <f t="shared" si="23"/>
        <v>2800</v>
      </c>
      <c r="AC227" s="158"/>
      <c r="AD227" s="158"/>
    </row>
    <row r="228" spans="1:30" ht="12.75" customHeight="1" x14ac:dyDescent="0.3">
      <c r="A228" s="147">
        <v>15</v>
      </c>
      <c r="B228" s="158" t="s">
        <v>585</v>
      </c>
      <c r="C228" s="158" t="s">
        <v>863</v>
      </c>
      <c r="D228" s="158" t="s">
        <v>864</v>
      </c>
      <c r="E228" s="160" t="s">
        <v>25</v>
      </c>
      <c r="F228" s="158" t="s">
        <v>25</v>
      </c>
      <c r="G228" s="160" t="s">
        <v>866</v>
      </c>
      <c r="H228" s="161">
        <v>825</v>
      </c>
      <c r="I228" s="161">
        <v>-2</v>
      </c>
      <c r="J228" s="161">
        <v>0</v>
      </c>
      <c r="K228" s="161">
        <v>0</v>
      </c>
      <c r="L228" s="161">
        <v>0</v>
      </c>
      <c r="M228" s="161">
        <v>-32</v>
      </c>
      <c r="N228" s="161">
        <v>0</v>
      </c>
      <c r="O228" s="162">
        <f t="shared" si="18"/>
        <v>791</v>
      </c>
      <c r="P228" s="161">
        <v>-2500</v>
      </c>
      <c r="Q228" s="161">
        <v>0</v>
      </c>
      <c r="R228" s="161">
        <v>0</v>
      </c>
      <c r="S228" s="161">
        <v>0</v>
      </c>
      <c r="T228" s="161">
        <v>0</v>
      </c>
      <c r="U228" s="161">
        <v>0</v>
      </c>
      <c r="V228" s="161">
        <v>0</v>
      </c>
      <c r="W228" s="161">
        <f t="shared" si="19"/>
        <v>-1709</v>
      </c>
      <c r="X228" s="161">
        <f t="shared" si="20"/>
        <v>0</v>
      </c>
      <c r="Y228" s="161">
        <f t="shared" si="21"/>
        <v>-1709</v>
      </c>
      <c r="Z228" s="161">
        <v>1709</v>
      </c>
      <c r="AA228" s="161">
        <f t="shared" si="22"/>
        <v>0</v>
      </c>
      <c r="AB228" s="161">
        <f t="shared" si="23"/>
        <v>2500</v>
      </c>
      <c r="AC228" s="158" t="s">
        <v>927</v>
      </c>
      <c r="AD228" s="158"/>
    </row>
    <row r="229" spans="1:30" ht="12.75" customHeight="1" x14ac:dyDescent="0.3">
      <c r="A229" s="147">
        <v>15</v>
      </c>
      <c r="B229" s="158" t="s">
        <v>868</v>
      </c>
      <c r="C229" s="158" t="s">
        <v>68</v>
      </c>
      <c r="D229" s="158" t="s">
        <v>869</v>
      </c>
      <c r="E229" s="160" t="s">
        <v>25</v>
      </c>
      <c r="F229" s="158" t="s">
        <v>25</v>
      </c>
      <c r="G229" s="160" t="s">
        <v>866</v>
      </c>
      <c r="H229" s="161">
        <v>3907</v>
      </c>
      <c r="I229" s="161">
        <v>0</v>
      </c>
      <c r="J229" s="161">
        <v>0</v>
      </c>
      <c r="K229" s="161">
        <v>0</v>
      </c>
      <c r="L229" s="161">
        <v>-1573</v>
      </c>
      <c r="M229" s="161">
        <v>-38</v>
      </c>
      <c r="N229" s="161">
        <v>0</v>
      </c>
      <c r="O229" s="162">
        <f t="shared" si="18"/>
        <v>2296</v>
      </c>
      <c r="P229" s="161">
        <v>-2500</v>
      </c>
      <c r="Q229" s="161">
        <v>-75</v>
      </c>
      <c r="R229" s="161">
        <v>0</v>
      </c>
      <c r="S229" s="161">
        <v>0</v>
      </c>
      <c r="T229" s="161">
        <v>0</v>
      </c>
      <c r="U229" s="161">
        <v>0</v>
      </c>
      <c r="V229" s="161">
        <v>0</v>
      </c>
      <c r="W229" s="161">
        <f t="shared" si="19"/>
        <v>-279</v>
      </c>
      <c r="X229" s="161">
        <f t="shared" si="20"/>
        <v>0</v>
      </c>
      <c r="Y229" s="161">
        <f t="shared" si="21"/>
        <v>-279</v>
      </c>
      <c r="Z229" s="161">
        <v>276</v>
      </c>
      <c r="AA229" s="161">
        <f t="shared" si="22"/>
        <v>-3</v>
      </c>
      <c r="AB229" s="161">
        <f t="shared" si="23"/>
        <v>2569</v>
      </c>
      <c r="AC229" s="158" t="s">
        <v>927</v>
      </c>
      <c r="AD229" s="158"/>
    </row>
    <row r="230" spans="1:30" ht="12.75" customHeight="1" x14ac:dyDescent="0.3">
      <c r="A230" s="147">
        <v>15</v>
      </c>
      <c r="B230" s="158" t="s">
        <v>913</v>
      </c>
      <c r="C230" s="158" t="s">
        <v>195</v>
      </c>
      <c r="D230" s="158" t="s">
        <v>20</v>
      </c>
      <c r="E230" s="160" t="s">
        <v>871</v>
      </c>
      <c r="F230" s="158" t="s">
        <v>25</v>
      </c>
      <c r="G230" s="160" t="s">
        <v>866</v>
      </c>
      <c r="H230" s="161">
        <v>6796</v>
      </c>
      <c r="I230" s="161">
        <v>-85</v>
      </c>
      <c r="J230" s="161">
        <v>0</v>
      </c>
      <c r="K230" s="161">
        <v>0</v>
      </c>
      <c r="L230" s="161">
        <v>-5416</v>
      </c>
      <c r="M230" s="161">
        <v>0</v>
      </c>
      <c r="N230" s="161">
        <v>0</v>
      </c>
      <c r="O230" s="162">
        <f t="shared" si="18"/>
        <v>1295</v>
      </c>
      <c r="P230" s="161">
        <v>-2500</v>
      </c>
      <c r="Q230" s="161">
        <v>0</v>
      </c>
      <c r="R230" s="161">
        <v>-500</v>
      </c>
      <c r="S230" s="161">
        <v>0</v>
      </c>
      <c r="T230" s="161">
        <v>0</v>
      </c>
      <c r="U230" s="161">
        <v>0</v>
      </c>
      <c r="V230" s="161">
        <v>0</v>
      </c>
      <c r="W230" s="161">
        <f t="shared" si="19"/>
        <v>-1705</v>
      </c>
      <c r="X230" s="161">
        <f t="shared" si="20"/>
        <v>0</v>
      </c>
      <c r="Y230" s="161">
        <f t="shared" si="21"/>
        <v>-1705</v>
      </c>
      <c r="Z230" s="161">
        <v>1700</v>
      </c>
      <c r="AA230" s="161">
        <f t="shared" si="22"/>
        <v>-5</v>
      </c>
      <c r="AB230" s="161">
        <f t="shared" si="23"/>
        <v>2990</v>
      </c>
      <c r="AC230" s="158" t="s">
        <v>927</v>
      </c>
      <c r="AD230" s="158"/>
    </row>
    <row r="231" spans="1:30" ht="12.75" customHeight="1" x14ac:dyDescent="0.3">
      <c r="A231" s="147">
        <v>15</v>
      </c>
      <c r="B231" s="158" t="s">
        <v>929</v>
      </c>
      <c r="C231" s="158" t="s">
        <v>409</v>
      </c>
      <c r="D231" s="158" t="s">
        <v>20</v>
      </c>
      <c r="E231" s="160" t="s">
        <v>25</v>
      </c>
      <c r="F231" s="158" t="s">
        <v>25</v>
      </c>
      <c r="G231" s="160" t="s">
        <v>866</v>
      </c>
      <c r="H231" s="161">
        <v>1385</v>
      </c>
      <c r="I231" s="161">
        <v>0</v>
      </c>
      <c r="J231" s="161">
        <v>0</v>
      </c>
      <c r="K231" s="161">
        <v>0</v>
      </c>
      <c r="L231" s="161">
        <v>0</v>
      </c>
      <c r="M231" s="161">
        <v>-25</v>
      </c>
      <c r="N231" s="161">
        <v>0</v>
      </c>
      <c r="O231" s="162">
        <f t="shared" si="18"/>
        <v>1360</v>
      </c>
      <c r="P231" s="161">
        <v>-1249</v>
      </c>
      <c r="Q231" s="161">
        <v>0</v>
      </c>
      <c r="R231" s="161">
        <v>-2000</v>
      </c>
      <c r="S231" s="161">
        <v>0</v>
      </c>
      <c r="T231" s="161">
        <v>0</v>
      </c>
      <c r="U231" s="161">
        <v>0</v>
      </c>
      <c r="V231" s="161">
        <v>0</v>
      </c>
      <c r="W231" s="161">
        <f t="shared" si="19"/>
        <v>-1889</v>
      </c>
      <c r="X231" s="161">
        <f t="shared" si="20"/>
        <v>0</v>
      </c>
      <c r="Y231" s="161">
        <f t="shared" si="21"/>
        <v>-1889</v>
      </c>
      <c r="Z231" s="161">
        <v>2000</v>
      </c>
      <c r="AA231" s="161">
        <f t="shared" si="22"/>
        <v>111</v>
      </c>
      <c r="AB231" s="161">
        <f t="shared" si="23"/>
        <v>3471</v>
      </c>
      <c r="AC231" s="158" t="s">
        <v>930</v>
      </c>
      <c r="AD231" s="158"/>
    </row>
    <row r="232" spans="1:30" ht="12.75" customHeight="1" x14ac:dyDescent="0.3">
      <c r="A232" s="147">
        <v>15</v>
      </c>
      <c r="B232" s="158" t="s">
        <v>888</v>
      </c>
      <c r="C232" s="158" t="s">
        <v>409</v>
      </c>
      <c r="D232" s="163" t="s">
        <v>889</v>
      </c>
      <c r="E232" s="160" t="s">
        <v>25</v>
      </c>
      <c r="F232" s="158" t="s">
        <v>25</v>
      </c>
      <c r="G232" s="160" t="s">
        <v>866</v>
      </c>
      <c r="H232" s="161">
        <v>0</v>
      </c>
      <c r="I232" s="161">
        <v>0</v>
      </c>
      <c r="J232" s="161">
        <v>0</v>
      </c>
      <c r="K232" s="161">
        <v>0</v>
      </c>
      <c r="L232" s="161">
        <v>0</v>
      </c>
      <c r="M232" s="161">
        <v>0</v>
      </c>
      <c r="N232" s="161">
        <v>0</v>
      </c>
      <c r="O232" s="162">
        <f t="shared" si="18"/>
        <v>0</v>
      </c>
      <c r="P232" s="161">
        <v>0</v>
      </c>
      <c r="Q232" s="161">
        <v>0</v>
      </c>
      <c r="R232" s="161">
        <v>0</v>
      </c>
      <c r="S232" s="161">
        <v>0</v>
      </c>
      <c r="T232" s="161">
        <v>0</v>
      </c>
      <c r="U232" s="161">
        <v>0</v>
      </c>
      <c r="V232" s="161">
        <v>0</v>
      </c>
      <c r="W232" s="161">
        <f t="shared" si="19"/>
        <v>0</v>
      </c>
      <c r="X232" s="161">
        <f t="shared" si="20"/>
        <v>0</v>
      </c>
      <c r="Y232" s="161">
        <f t="shared" si="21"/>
        <v>0</v>
      </c>
      <c r="Z232" s="161">
        <v>0</v>
      </c>
      <c r="AA232" s="161">
        <f t="shared" si="22"/>
        <v>0</v>
      </c>
      <c r="AB232" s="161">
        <f t="shared" si="23"/>
        <v>0</v>
      </c>
      <c r="AC232" s="158"/>
      <c r="AD232" s="158"/>
    </row>
    <row r="233" spans="1:30" ht="12.75" customHeight="1" x14ac:dyDescent="0.3">
      <c r="A233" s="147">
        <v>15</v>
      </c>
      <c r="B233" s="158" t="s">
        <v>894</v>
      </c>
      <c r="C233" s="158" t="s">
        <v>183</v>
      </c>
      <c r="D233" s="158" t="s">
        <v>887</v>
      </c>
      <c r="E233" s="160" t="s">
        <v>25</v>
      </c>
      <c r="F233" s="158" t="s">
        <v>25</v>
      </c>
      <c r="G233" s="160" t="s">
        <v>866</v>
      </c>
      <c r="H233" s="161">
        <v>2577</v>
      </c>
      <c r="I233" s="161">
        <v>0</v>
      </c>
      <c r="J233" s="161">
        <v>0</v>
      </c>
      <c r="K233" s="161">
        <v>0</v>
      </c>
      <c r="L233" s="161">
        <v>-401</v>
      </c>
      <c r="M233" s="161">
        <v>0</v>
      </c>
      <c r="N233" s="161">
        <v>0</v>
      </c>
      <c r="O233" s="162">
        <f t="shared" si="18"/>
        <v>2176</v>
      </c>
      <c r="P233" s="161">
        <v>-2500</v>
      </c>
      <c r="Q233" s="161">
        <v>0</v>
      </c>
      <c r="R233" s="161">
        <v>-500</v>
      </c>
      <c r="S233" s="161">
        <v>-827</v>
      </c>
      <c r="T233" s="161">
        <v>0</v>
      </c>
      <c r="U233" s="161">
        <v>0</v>
      </c>
      <c r="V233" s="161">
        <v>0</v>
      </c>
      <c r="W233" s="161">
        <f t="shared" si="19"/>
        <v>-1651</v>
      </c>
      <c r="X233" s="161">
        <f t="shared" si="20"/>
        <v>0</v>
      </c>
      <c r="Y233" s="161">
        <f t="shared" si="21"/>
        <v>-1651</v>
      </c>
      <c r="Z233" s="161">
        <v>1600</v>
      </c>
      <c r="AA233" s="161">
        <f t="shared" si="22"/>
        <v>-51</v>
      </c>
      <c r="AB233" s="161">
        <f t="shared" si="23"/>
        <v>3725</v>
      </c>
      <c r="AC233" s="158" t="s">
        <v>927</v>
      </c>
      <c r="AD233" s="158"/>
    </row>
    <row r="234" spans="1:30" ht="12.75" customHeight="1" x14ac:dyDescent="0.3">
      <c r="A234" s="147">
        <v>15</v>
      </c>
      <c r="B234" s="158" t="s">
        <v>890</v>
      </c>
      <c r="C234" s="158" t="s">
        <v>42</v>
      </c>
      <c r="D234" s="158" t="s">
        <v>903</v>
      </c>
      <c r="E234" s="160" t="s">
        <v>25</v>
      </c>
      <c r="F234" s="158" t="s">
        <v>25</v>
      </c>
      <c r="G234" s="160" t="s">
        <v>866</v>
      </c>
      <c r="H234" s="161">
        <v>5220</v>
      </c>
      <c r="I234" s="161">
        <v>-6</v>
      </c>
      <c r="J234" s="161">
        <v>0</v>
      </c>
      <c r="K234" s="161">
        <v>0</v>
      </c>
      <c r="L234" s="161">
        <v>-2022</v>
      </c>
      <c r="M234" s="161">
        <v>-28</v>
      </c>
      <c r="N234" s="161">
        <v>0</v>
      </c>
      <c r="O234" s="162">
        <f t="shared" si="18"/>
        <v>3164</v>
      </c>
      <c r="P234" s="161">
        <v>-2500</v>
      </c>
      <c r="Q234" s="161">
        <v>0</v>
      </c>
      <c r="R234" s="161">
        <v>0</v>
      </c>
      <c r="S234" s="161">
        <v>0</v>
      </c>
      <c r="T234" s="161">
        <v>0</v>
      </c>
      <c r="U234" s="161">
        <v>0</v>
      </c>
      <c r="V234" s="161">
        <v>0</v>
      </c>
      <c r="W234" s="161">
        <f t="shared" si="19"/>
        <v>664</v>
      </c>
      <c r="X234" s="161">
        <f t="shared" si="20"/>
        <v>664</v>
      </c>
      <c r="Y234" s="161">
        <f t="shared" si="21"/>
        <v>0</v>
      </c>
      <c r="Z234" s="161">
        <v>0</v>
      </c>
      <c r="AA234" s="161">
        <f t="shared" si="22"/>
        <v>0</v>
      </c>
      <c r="AB234" s="161">
        <f t="shared" si="23"/>
        <v>2500</v>
      </c>
      <c r="AC234" s="158"/>
      <c r="AD234" s="158"/>
    </row>
    <row r="235" spans="1:30" ht="12.75" customHeight="1" x14ac:dyDescent="0.3">
      <c r="A235" s="147">
        <v>15</v>
      </c>
      <c r="B235" s="158" t="s">
        <v>872</v>
      </c>
      <c r="C235" s="158" t="s">
        <v>36</v>
      </c>
      <c r="D235" s="158" t="s">
        <v>904</v>
      </c>
      <c r="E235" s="160" t="s">
        <v>25</v>
      </c>
      <c r="F235" s="158" t="s">
        <v>25</v>
      </c>
      <c r="G235" s="160" t="s">
        <v>866</v>
      </c>
      <c r="H235" s="161">
        <v>9091</v>
      </c>
      <c r="I235" s="161">
        <v>-95</v>
      </c>
      <c r="J235" s="161">
        <v>0</v>
      </c>
      <c r="K235" s="161">
        <v>-100</v>
      </c>
      <c r="L235" s="161">
        <v>-4217</v>
      </c>
      <c r="M235" s="161">
        <v>-32</v>
      </c>
      <c r="N235" s="161">
        <v>0</v>
      </c>
      <c r="O235" s="162">
        <f t="shared" si="18"/>
        <v>4647</v>
      </c>
      <c r="P235" s="161">
        <v>-2500</v>
      </c>
      <c r="Q235" s="161">
        <v>-600</v>
      </c>
      <c r="R235" s="161">
        <v>0</v>
      </c>
      <c r="S235" s="161">
        <v>-554.25</v>
      </c>
      <c r="T235" s="161">
        <v>-1000</v>
      </c>
      <c r="U235" s="161">
        <v>0</v>
      </c>
      <c r="V235" s="161">
        <v>0</v>
      </c>
      <c r="W235" s="161">
        <f t="shared" si="19"/>
        <v>-7.25</v>
      </c>
      <c r="X235" s="161">
        <f t="shared" si="20"/>
        <v>0</v>
      </c>
      <c r="Y235" s="161">
        <f t="shared" si="21"/>
        <v>-7.25</v>
      </c>
      <c r="Z235" s="161">
        <v>0</v>
      </c>
      <c r="AA235" s="161">
        <f t="shared" si="22"/>
        <v>-7.25</v>
      </c>
      <c r="AB235" s="161">
        <f t="shared" si="23"/>
        <v>4639.75</v>
      </c>
      <c r="AC235" s="158"/>
      <c r="AD235" s="158"/>
    </row>
    <row r="236" spans="1:30" ht="12.75" customHeight="1" x14ac:dyDescent="0.3">
      <c r="A236" s="147">
        <v>15</v>
      </c>
      <c r="B236" s="158" t="s">
        <v>921</v>
      </c>
      <c r="C236" s="158" t="s">
        <v>257</v>
      </c>
      <c r="D236" s="158" t="s">
        <v>20</v>
      </c>
      <c r="E236" s="160" t="s">
        <v>25</v>
      </c>
      <c r="F236" s="158" t="s">
        <v>25</v>
      </c>
      <c r="G236" s="160" t="s">
        <v>866</v>
      </c>
      <c r="H236" s="161">
        <v>10166</v>
      </c>
      <c r="I236" s="161">
        <v>-54</v>
      </c>
      <c r="J236" s="161">
        <v>0</v>
      </c>
      <c r="K236" s="161">
        <v>0</v>
      </c>
      <c r="L236" s="161">
        <v>-3816</v>
      </c>
      <c r="M236" s="161">
        <v>-20</v>
      </c>
      <c r="N236" s="161">
        <v>0</v>
      </c>
      <c r="O236" s="162">
        <f t="shared" si="18"/>
        <v>6276</v>
      </c>
      <c r="P236" s="161">
        <v>-2500</v>
      </c>
      <c r="Q236" s="161">
        <v>0</v>
      </c>
      <c r="R236" s="161">
        <v>-500</v>
      </c>
      <c r="S236" s="161">
        <v>0</v>
      </c>
      <c r="T236" s="161">
        <v>0</v>
      </c>
      <c r="U236" s="161">
        <v>0</v>
      </c>
      <c r="V236" s="161">
        <v>0</v>
      </c>
      <c r="W236" s="161">
        <f t="shared" si="19"/>
        <v>3276</v>
      </c>
      <c r="X236" s="161">
        <f t="shared" si="20"/>
        <v>3276</v>
      </c>
      <c r="Y236" s="161">
        <f t="shared" si="21"/>
        <v>0</v>
      </c>
      <c r="Z236" s="161">
        <v>0</v>
      </c>
      <c r="AA236" s="161">
        <f t="shared" si="22"/>
        <v>0</v>
      </c>
      <c r="AB236" s="161">
        <f t="shared" si="23"/>
        <v>3000</v>
      </c>
      <c r="AC236" s="158"/>
      <c r="AD236" s="158"/>
    </row>
    <row r="237" spans="1:30" ht="12.75" customHeight="1" x14ac:dyDescent="0.3">
      <c r="A237" s="147">
        <v>15</v>
      </c>
      <c r="B237" s="158" t="s">
        <v>874</v>
      </c>
      <c r="C237" s="158" t="s">
        <v>64</v>
      </c>
      <c r="D237" s="158" t="s">
        <v>20</v>
      </c>
      <c r="E237" s="160" t="s">
        <v>25</v>
      </c>
      <c r="F237" s="158" t="s">
        <v>25</v>
      </c>
      <c r="G237" s="160" t="s">
        <v>866</v>
      </c>
      <c r="H237" s="161">
        <v>0</v>
      </c>
      <c r="I237" s="161">
        <v>0</v>
      </c>
      <c r="J237" s="161">
        <v>0</v>
      </c>
      <c r="K237" s="161">
        <v>0</v>
      </c>
      <c r="L237" s="161">
        <v>0</v>
      </c>
      <c r="M237" s="161">
        <v>0</v>
      </c>
      <c r="N237" s="161">
        <v>0</v>
      </c>
      <c r="O237" s="162">
        <f t="shared" si="18"/>
        <v>0</v>
      </c>
      <c r="P237" s="161">
        <v>-450</v>
      </c>
      <c r="Q237" s="161">
        <v>0</v>
      </c>
      <c r="R237" s="161">
        <v>0</v>
      </c>
      <c r="S237" s="161">
        <v>0</v>
      </c>
      <c r="T237" s="161">
        <v>0</v>
      </c>
      <c r="U237" s="161">
        <v>0</v>
      </c>
      <c r="V237" s="161">
        <v>0</v>
      </c>
      <c r="W237" s="161">
        <f t="shared" si="19"/>
        <v>-450</v>
      </c>
      <c r="X237" s="161">
        <f t="shared" si="20"/>
        <v>0</v>
      </c>
      <c r="Y237" s="161">
        <f t="shared" si="21"/>
        <v>-450</v>
      </c>
      <c r="Z237" s="161">
        <v>450</v>
      </c>
      <c r="AA237" s="161">
        <f t="shared" si="22"/>
        <v>0</v>
      </c>
      <c r="AB237" s="161">
        <f t="shared" si="23"/>
        <v>450</v>
      </c>
      <c r="AC237" s="158" t="s">
        <v>931</v>
      </c>
      <c r="AD237" s="158"/>
    </row>
    <row r="238" spans="1:30" ht="12.75" customHeight="1" x14ac:dyDescent="0.3">
      <c r="A238" s="147">
        <v>15</v>
      </c>
      <c r="B238" s="158" t="s">
        <v>874</v>
      </c>
      <c r="C238" s="158" t="s">
        <v>64</v>
      </c>
      <c r="D238" s="158" t="s">
        <v>20</v>
      </c>
      <c r="E238" s="160" t="s">
        <v>25</v>
      </c>
      <c r="F238" s="158" t="s">
        <v>25</v>
      </c>
      <c r="G238" s="160" t="s">
        <v>866</v>
      </c>
      <c r="H238" s="161">
        <v>674</v>
      </c>
      <c r="I238" s="161">
        <v>0</v>
      </c>
      <c r="J238" s="161">
        <v>0</v>
      </c>
      <c r="K238" s="161">
        <v>0</v>
      </c>
      <c r="L238" s="161">
        <v>-346</v>
      </c>
      <c r="M238" s="161">
        <v>0</v>
      </c>
      <c r="N238" s="161">
        <v>0</v>
      </c>
      <c r="O238" s="162">
        <f t="shared" si="18"/>
        <v>328</v>
      </c>
      <c r="P238" s="161">
        <v>0</v>
      </c>
      <c r="Q238" s="161">
        <v>-2</v>
      </c>
      <c r="R238" s="161">
        <v>0</v>
      </c>
      <c r="S238" s="161">
        <v>0</v>
      </c>
      <c r="T238" s="161">
        <v>0</v>
      </c>
      <c r="U238" s="161">
        <v>0</v>
      </c>
      <c r="V238" s="161">
        <v>0</v>
      </c>
      <c r="W238" s="161">
        <f t="shared" si="19"/>
        <v>326</v>
      </c>
      <c r="X238" s="161">
        <f t="shared" si="20"/>
        <v>326</v>
      </c>
      <c r="Y238" s="161">
        <f t="shared" si="21"/>
        <v>0</v>
      </c>
      <c r="Z238" s="161">
        <v>0</v>
      </c>
      <c r="AA238" s="161">
        <f t="shared" si="22"/>
        <v>0</v>
      </c>
      <c r="AB238" s="161">
        <f t="shared" si="23"/>
        <v>2</v>
      </c>
      <c r="AC238" s="158"/>
      <c r="AD238" s="158"/>
    </row>
    <row r="239" spans="1:30" ht="12.75" customHeight="1" x14ac:dyDescent="0.3">
      <c r="A239" s="147">
        <v>15</v>
      </c>
      <c r="B239" s="158" t="s">
        <v>918</v>
      </c>
      <c r="C239" s="158" t="s">
        <v>169</v>
      </c>
      <c r="D239" s="158" t="s">
        <v>919</v>
      </c>
      <c r="E239" s="160" t="s">
        <v>871</v>
      </c>
      <c r="F239" s="158" t="s">
        <v>25</v>
      </c>
      <c r="G239" s="160" t="s">
        <v>866</v>
      </c>
      <c r="H239" s="161">
        <v>5621</v>
      </c>
      <c r="I239" s="161">
        <v>0</v>
      </c>
      <c r="J239" s="161">
        <v>0</v>
      </c>
      <c r="K239" s="161">
        <v>0</v>
      </c>
      <c r="L239" s="161">
        <v>-2091</v>
      </c>
      <c r="M239" s="161">
        <v>-38</v>
      </c>
      <c r="N239" s="161">
        <v>-539.48</v>
      </c>
      <c r="O239" s="162">
        <f t="shared" si="18"/>
        <v>2952.52</v>
      </c>
      <c r="P239" s="161">
        <v>-2350</v>
      </c>
      <c r="Q239" s="161">
        <v>0</v>
      </c>
      <c r="R239" s="161">
        <v>0</v>
      </c>
      <c r="S239" s="161">
        <v>0</v>
      </c>
      <c r="T239" s="161">
        <v>0</v>
      </c>
      <c r="U239" s="161">
        <v>0</v>
      </c>
      <c r="V239" s="161">
        <v>0</v>
      </c>
      <c r="W239" s="161">
        <f t="shared" si="19"/>
        <v>602.52</v>
      </c>
      <c r="X239" s="161">
        <f t="shared" si="20"/>
        <v>602.52</v>
      </c>
      <c r="Y239" s="161">
        <f t="shared" si="21"/>
        <v>0</v>
      </c>
      <c r="Z239" s="161">
        <v>0</v>
      </c>
      <c r="AA239" s="161">
        <f t="shared" si="22"/>
        <v>0</v>
      </c>
      <c r="AB239" s="161">
        <f t="shared" si="23"/>
        <v>2350</v>
      </c>
      <c r="AC239" s="158"/>
      <c r="AD239" s="158"/>
    </row>
    <row r="240" spans="1:30" ht="12.75" customHeight="1" x14ac:dyDescent="0.3">
      <c r="A240" s="147">
        <v>15</v>
      </c>
      <c r="B240" s="158" t="s">
        <v>876</v>
      </c>
      <c r="C240" s="158" t="s">
        <v>150</v>
      </c>
      <c r="D240" s="158" t="s">
        <v>877</v>
      </c>
      <c r="E240" s="160" t="s">
        <v>25</v>
      </c>
      <c r="F240" s="158" t="s">
        <v>25</v>
      </c>
      <c r="G240" s="160" t="s">
        <v>866</v>
      </c>
      <c r="H240" s="161">
        <v>2145</v>
      </c>
      <c r="I240" s="161">
        <v>0</v>
      </c>
      <c r="J240" s="161">
        <v>0</v>
      </c>
      <c r="K240" s="161">
        <v>0</v>
      </c>
      <c r="L240" s="161">
        <v>-1020</v>
      </c>
      <c r="M240" s="161">
        <v>-32</v>
      </c>
      <c r="N240" s="161">
        <v>0</v>
      </c>
      <c r="O240" s="162">
        <f t="shared" si="18"/>
        <v>1093</v>
      </c>
      <c r="P240" s="161">
        <v>-2500</v>
      </c>
      <c r="Q240" s="161">
        <v>0</v>
      </c>
      <c r="R240" s="161">
        <v>0</v>
      </c>
      <c r="S240" s="161">
        <v>0</v>
      </c>
      <c r="T240" s="161">
        <v>0</v>
      </c>
      <c r="U240" s="161">
        <v>0</v>
      </c>
      <c r="V240" s="161">
        <v>0</v>
      </c>
      <c r="W240" s="161">
        <f t="shared" si="19"/>
        <v>-1407</v>
      </c>
      <c r="X240" s="161">
        <f t="shared" si="20"/>
        <v>0</v>
      </c>
      <c r="Y240" s="161">
        <f t="shared" si="21"/>
        <v>-1407</v>
      </c>
      <c r="Z240" s="161">
        <v>0</v>
      </c>
      <c r="AA240" s="161">
        <f t="shared" si="22"/>
        <v>-1407</v>
      </c>
      <c r="AB240" s="161">
        <f t="shared" si="23"/>
        <v>-314</v>
      </c>
      <c r="AC240" s="158"/>
      <c r="AD240" s="158"/>
    </row>
    <row r="241" spans="1:30" ht="12.75" customHeight="1" x14ac:dyDescent="0.3">
      <c r="A241" s="147">
        <v>15</v>
      </c>
      <c r="B241" s="158" t="s">
        <v>484</v>
      </c>
      <c r="C241" s="158" t="s">
        <v>46</v>
      </c>
      <c r="D241" s="158" t="s">
        <v>915</v>
      </c>
      <c r="E241" s="160" t="s">
        <v>25</v>
      </c>
      <c r="F241" s="158" t="s">
        <v>25</v>
      </c>
      <c r="G241" s="160" t="s">
        <v>866</v>
      </c>
      <c r="H241" s="161">
        <v>7720</v>
      </c>
      <c r="I241" s="161">
        <v>-122</v>
      </c>
      <c r="J241" s="161">
        <v>0</v>
      </c>
      <c r="K241" s="161">
        <v>0</v>
      </c>
      <c r="L241" s="161">
        <v>-5257</v>
      </c>
      <c r="M241" s="161">
        <v>-32</v>
      </c>
      <c r="N241" s="161">
        <v>0</v>
      </c>
      <c r="O241" s="162">
        <f t="shared" si="18"/>
        <v>2309</v>
      </c>
      <c r="P241" s="161">
        <v>-2500</v>
      </c>
      <c r="Q241" s="161">
        <v>0</v>
      </c>
      <c r="R241" s="161">
        <v>0</v>
      </c>
      <c r="S241" s="161">
        <v>0</v>
      </c>
      <c r="T241" s="161">
        <v>0</v>
      </c>
      <c r="U241" s="161">
        <v>0</v>
      </c>
      <c r="V241" s="161">
        <v>0</v>
      </c>
      <c r="W241" s="161">
        <f t="shared" si="19"/>
        <v>-191</v>
      </c>
      <c r="X241" s="161">
        <f t="shared" si="20"/>
        <v>0</v>
      </c>
      <c r="Y241" s="161">
        <f t="shared" si="21"/>
        <v>-191</v>
      </c>
      <c r="Z241" s="161">
        <v>0</v>
      </c>
      <c r="AA241" s="161">
        <f t="shared" si="22"/>
        <v>-191</v>
      </c>
      <c r="AB241" s="161">
        <f t="shared" si="23"/>
        <v>2118</v>
      </c>
      <c r="AC241" s="158"/>
      <c r="AD241" s="158"/>
    </row>
    <row r="242" spans="1:30" ht="12.75" customHeight="1" x14ac:dyDescent="0.3">
      <c r="A242" s="147">
        <v>15</v>
      </c>
      <c r="B242" s="158" t="s">
        <v>408</v>
      </c>
      <c r="C242" s="158" t="s">
        <v>878</v>
      </c>
      <c r="D242" s="158" t="s">
        <v>879</v>
      </c>
      <c r="E242" s="160" t="s">
        <v>25</v>
      </c>
      <c r="F242" s="158" t="s">
        <v>25</v>
      </c>
      <c r="G242" s="160" t="s">
        <v>866</v>
      </c>
      <c r="H242" s="161">
        <v>3162</v>
      </c>
      <c r="I242" s="161">
        <v>0</v>
      </c>
      <c r="J242" s="161">
        <v>0</v>
      </c>
      <c r="K242" s="161">
        <v>0</v>
      </c>
      <c r="L242" s="161">
        <v>-1121</v>
      </c>
      <c r="M242" s="161">
        <v>-25</v>
      </c>
      <c r="N242" s="161">
        <v>0</v>
      </c>
      <c r="O242" s="162">
        <f t="shared" si="18"/>
        <v>2016</v>
      </c>
      <c r="P242" s="161">
        <v>-2500</v>
      </c>
      <c r="Q242" s="161">
        <v>0</v>
      </c>
      <c r="R242" s="161">
        <v>0</v>
      </c>
      <c r="S242" s="161">
        <v>0</v>
      </c>
      <c r="T242" s="161">
        <v>0</v>
      </c>
      <c r="U242" s="161">
        <v>0</v>
      </c>
      <c r="V242" s="161">
        <v>0</v>
      </c>
      <c r="W242" s="161">
        <f t="shared" si="19"/>
        <v>-484</v>
      </c>
      <c r="X242" s="161">
        <f t="shared" si="20"/>
        <v>0</v>
      </c>
      <c r="Y242" s="161">
        <f t="shared" si="21"/>
        <v>-484</v>
      </c>
      <c r="Z242" s="161">
        <v>484</v>
      </c>
      <c r="AA242" s="161">
        <f t="shared" si="22"/>
        <v>0</v>
      </c>
      <c r="AB242" s="161">
        <f t="shared" si="23"/>
        <v>2500</v>
      </c>
      <c r="AC242" s="158"/>
      <c r="AD242" s="158"/>
    </row>
    <row r="243" spans="1:30" ht="12.75" customHeight="1" x14ac:dyDescent="0.3">
      <c r="A243" s="147">
        <v>15</v>
      </c>
      <c r="B243" s="158" t="s">
        <v>923</v>
      </c>
      <c r="C243" s="158" t="s">
        <v>372</v>
      </c>
      <c r="D243" s="158" t="s">
        <v>20</v>
      </c>
      <c r="E243" s="158" t="s">
        <v>39</v>
      </c>
      <c r="F243" s="158" t="s">
        <v>25</v>
      </c>
      <c r="G243" s="160" t="s">
        <v>866</v>
      </c>
      <c r="H243" s="161">
        <v>4224</v>
      </c>
      <c r="I243" s="161">
        <v>0</v>
      </c>
      <c r="J243" s="161">
        <v>0</v>
      </c>
      <c r="K243" s="161">
        <v>0</v>
      </c>
      <c r="L243" s="161">
        <v>-1606</v>
      </c>
      <c r="M243" s="161">
        <v>-35</v>
      </c>
      <c r="N243" s="161">
        <v>0</v>
      </c>
      <c r="O243" s="162">
        <f t="shared" si="18"/>
        <v>2583</v>
      </c>
      <c r="P243" s="161">
        <v>-2500</v>
      </c>
      <c r="Q243" s="161">
        <v>0</v>
      </c>
      <c r="R243" s="161">
        <v>-500</v>
      </c>
      <c r="S243" s="161">
        <v>0</v>
      </c>
      <c r="T243" s="161">
        <v>0</v>
      </c>
      <c r="U243" s="161">
        <v>0</v>
      </c>
      <c r="V243" s="161">
        <v>0</v>
      </c>
      <c r="W243" s="161">
        <f t="shared" si="19"/>
        <v>-417</v>
      </c>
      <c r="X243" s="161">
        <f t="shared" si="20"/>
        <v>0</v>
      </c>
      <c r="Y243" s="161">
        <f t="shared" si="21"/>
        <v>-417</v>
      </c>
      <c r="Z243" s="161">
        <v>417</v>
      </c>
      <c r="AA243" s="161">
        <f t="shared" si="22"/>
        <v>0</v>
      </c>
      <c r="AB243" s="161">
        <f t="shared" si="23"/>
        <v>3000</v>
      </c>
      <c r="AC243" s="158" t="s">
        <v>927</v>
      </c>
      <c r="AD243" s="158"/>
    </row>
    <row r="244" spans="1:30" ht="12.75" customHeight="1" x14ac:dyDescent="0.3">
      <c r="A244" s="147">
        <v>15</v>
      </c>
      <c r="B244" s="158" t="s">
        <v>880</v>
      </c>
      <c r="C244" s="158" t="s">
        <v>57</v>
      </c>
      <c r="D244" s="158" t="s">
        <v>881</v>
      </c>
      <c r="E244" s="160" t="s">
        <v>25</v>
      </c>
      <c r="F244" s="158" t="s">
        <v>25</v>
      </c>
      <c r="G244" s="160" t="s">
        <v>866</v>
      </c>
      <c r="H244" s="161">
        <v>3060</v>
      </c>
      <c r="I244" s="161">
        <v>-29</v>
      </c>
      <c r="J244" s="161">
        <v>0</v>
      </c>
      <c r="K244" s="161">
        <v>0</v>
      </c>
      <c r="L244" s="161">
        <v>-1712</v>
      </c>
      <c r="M244" s="161">
        <v>-10</v>
      </c>
      <c r="N244" s="161">
        <v>0</v>
      </c>
      <c r="O244" s="162">
        <f t="shared" si="18"/>
        <v>1309</v>
      </c>
      <c r="P244" s="161">
        <v>-2300</v>
      </c>
      <c r="Q244" s="161">
        <v>0</v>
      </c>
      <c r="R244" s="161">
        <v>0</v>
      </c>
      <c r="S244" s="161">
        <v>0</v>
      </c>
      <c r="T244" s="161">
        <v>0</v>
      </c>
      <c r="U244" s="161">
        <v>0</v>
      </c>
      <c r="V244" s="161">
        <v>0</v>
      </c>
      <c r="W244" s="161">
        <f t="shared" si="19"/>
        <v>-991</v>
      </c>
      <c r="X244" s="161">
        <f t="shared" si="20"/>
        <v>0</v>
      </c>
      <c r="Y244" s="161">
        <f t="shared" si="21"/>
        <v>-991</v>
      </c>
      <c r="Z244" s="161">
        <v>991</v>
      </c>
      <c r="AA244" s="161">
        <f t="shared" si="22"/>
        <v>0</v>
      </c>
      <c r="AB244" s="161">
        <f t="shared" si="23"/>
        <v>2300</v>
      </c>
      <c r="AC244" s="161"/>
      <c r="AD244" s="158"/>
    </row>
    <row r="245" spans="1:30" ht="12.75" customHeight="1" x14ac:dyDescent="0.3">
      <c r="A245" s="147">
        <v>15</v>
      </c>
      <c r="B245" s="158" t="s">
        <v>922</v>
      </c>
      <c r="C245" s="158" t="s">
        <v>347</v>
      </c>
      <c r="D245" s="158" t="s">
        <v>897</v>
      </c>
      <c r="E245" s="160" t="s">
        <v>25</v>
      </c>
      <c r="F245" s="158" t="s">
        <v>25</v>
      </c>
      <c r="G245" s="160" t="s">
        <v>866</v>
      </c>
      <c r="H245" s="161">
        <v>7091</v>
      </c>
      <c r="I245" s="161">
        <v>-61</v>
      </c>
      <c r="J245" s="161">
        <v>21</v>
      </c>
      <c r="K245" s="161">
        <v>0</v>
      </c>
      <c r="L245" s="161">
        <v>-2102</v>
      </c>
      <c r="M245" s="161">
        <v>-20</v>
      </c>
      <c r="N245" s="161">
        <v>-71</v>
      </c>
      <c r="O245" s="162">
        <f t="shared" si="18"/>
        <v>4858</v>
      </c>
      <c r="P245" s="161">
        <v>-2500</v>
      </c>
      <c r="Q245" s="161">
        <v>0</v>
      </c>
      <c r="R245" s="161">
        <v>-500</v>
      </c>
      <c r="S245" s="161">
        <v>0</v>
      </c>
      <c r="T245" s="161">
        <v>0</v>
      </c>
      <c r="U245" s="161">
        <v>0</v>
      </c>
      <c r="V245" s="161">
        <v>0</v>
      </c>
      <c r="W245" s="161">
        <f t="shared" si="19"/>
        <v>1858</v>
      </c>
      <c r="X245" s="161">
        <f t="shared" si="20"/>
        <v>1858</v>
      </c>
      <c r="Y245" s="161">
        <f t="shared" si="21"/>
        <v>0</v>
      </c>
      <c r="Z245" s="161">
        <v>0</v>
      </c>
      <c r="AA245" s="161">
        <f t="shared" si="22"/>
        <v>0</v>
      </c>
      <c r="AB245" s="161">
        <f t="shared" si="23"/>
        <v>3000</v>
      </c>
      <c r="AC245" s="158"/>
      <c r="AD245" s="158"/>
    </row>
    <row r="246" spans="1:30" ht="12.75" customHeight="1" x14ac:dyDescent="0.3">
      <c r="A246" s="147">
        <v>15</v>
      </c>
      <c r="B246" s="158" t="s">
        <v>924</v>
      </c>
      <c r="C246" s="158" t="s">
        <v>123</v>
      </c>
      <c r="D246" s="158" t="s">
        <v>892</v>
      </c>
      <c r="E246" s="160" t="s">
        <v>871</v>
      </c>
      <c r="F246" s="158" t="s">
        <v>25</v>
      </c>
      <c r="G246" s="160" t="s">
        <v>866</v>
      </c>
      <c r="H246" s="161">
        <v>3503</v>
      </c>
      <c r="I246" s="161">
        <v>0</v>
      </c>
      <c r="J246" s="161">
        <v>0</v>
      </c>
      <c r="K246" s="161">
        <v>0</v>
      </c>
      <c r="L246" s="161">
        <v>-1499</v>
      </c>
      <c r="M246" s="161">
        <v>-20</v>
      </c>
      <c r="N246" s="161">
        <v>-386</v>
      </c>
      <c r="O246" s="162">
        <f t="shared" si="18"/>
        <v>1598</v>
      </c>
      <c r="P246" s="161">
        <v>-2500</v>
      </c>
      <c r="Q246" s="161">
        <v>300</v>
      </c>
      <c r="R246" s="161">
        <v>-500</v>
      </c>
      <c r="S246" s="161">
        <v>0</v>
      </c>
      <c r="T246" s="161">
        <v>0</v>
      </c>
      <c r="U246" s="161">
        <v>0</v>
      </c>
      <c r="V246" s="161">
        <v>0</v>
      </c>
      <c r="W246" s="161">
        <f t="shared" si="19"/>
        <v>-1102</v>
      </c>
      <c r="X246" s="161">
        <f t="shared" si="20"/>
        <v>0</v>
      </c>
      <c r="Y246" s="161">
        <f t="shared" si="21"/>
        <v>-1102</v>
      </c>
      <c r="Z246" s="161">
        <v>1102</v>
      </c>
      <c r="AA246" s="161">
        <f t="shared" si="22"/>
        <v>0</v>
      </c>
      <c r="AB246" s="161">
        <f t="shared" si="23"/>
        <v>2700</v>
      </c>
      <c r="AC246" s="158" t="s">
        <v>927</v>
      </c>
      <c r="AD246" s="158"/>
    </row>
    <row r="247" spans="1:30" ht="12.75" customHeight="1" x14ac:dyDescent="0.3">
      <c r="A247" s="147">
        <v>16</v>
      </c>
      <c r="B247" s="158" t="s">
        <v>585</v>
      </c>
      <c r="C247" s="158" t="s">
        <v>863</v>
      </c>
      <c r="D247" s="158" t="s">
        <v>864</v>
      </c>
      <c r="E247" s="160" t="s">
        <v>25</v>
      </c>
      <c r="F247" s="158" t="s">
        <v>25</v>
      </c>
      <c r="G247" s="160" t="s">
        <v>866</v>
      </c>
      <c r="H247" s="161">
        <v>0</v>
      </c>
      <c r="I247" s="161">
        <v>0</v>
      </c>
      <c r="J247" s="161">
        <v>0</v>
      </c>
      <c r="K247" s="161">
        <v>0</v>
      </c>
      <c r="L247" s="161">
        <v>0</v>
      </c>
      <c r="M247" s="162">
        <v>0</v>
      </c>
      <c r="N247" s="161">
        <v>0</v>
      </c>
      <c r="O247" s="162">
        <f t="shared" si="18"/>
        <v>0</v>
      </c>
      <c r="P247" s="161">
        <v>-2500</v>
      </c>
      <c r="Q247" s="161">
        <v>0</v>
      </c>
      <c r="R247" s="161">
        <v>0</v>
      </c>
      <c r="S247" s="161">
        <v>0</v>
      </c>
      <c r="T247" s="161">
        <v>0</v>
      </c>
      <c r="U247" s="161">
        <v>0</v>
      </c>
      <c r="V247" s="161">
        <v>0</v>
      </c>
      <c r="W247" s="161">
        <f t="shared" si="19"/>
        <v>-2500</v>
      </c>
      <c r="X247" s="161">
        <f t="shared" si="20"/>
        <v>0</v>
      </c>
      <c r="Y247" s="161">
        <f t="shared" si="21"/>
        <v>-2500</v>
      </c>
      <c r="Z247" s="161">
        <v>2500</v>
      </c>
      <c r="AA247" s="161">
        <f t="shared" si="22"/>
        <v>0</v>
      </c>
      <c r="AB247" s="161">
        <f t="shared" si="23"/>
        <v>2500</v>
      </c>
      <c r="AC247" s="158" t="s">
        <v>927</v>
      </c>
      <c r="AD247" s="158"/>
    </row>
    <row r="248" spans="1:30" ht="12.75" customHeight="1" x14ac:dyDescent="0.3">
      <c r="A248" s="147">
        <v>16</v>
      </c>
      <c r="B248" s="158" t="s">
        <v>868</v>
      </c>
      <c r="C248" s="158" t="s">
        <v>68</v>
      </c>
      <c r="D248" s="158" t="s">
        <v>869</v>
      </c>
      <c r="E248" s="160" t="s">
        <v>25</v>
      </c>
      <c r="F248" s="158" t="s">
        <v>25</v>
      </c>
      <c r="G248" s="160" t="s">
        <v>866</v>
      </c>
      <c r="H248" s="161">
        <v>4471</v>
      </c>
      <c r="I248" s="161">
        <v>-4</v>
      </c>
      <c r="J248" s="161">
        <v>0</v>
      </c>
      <c r="K248" s="161">
        <v>0</v>
      </c>
      <c r="L248" s="161">
        <v>-2866</v>
      </c>
      <c r="M248" s="162">
        <v>-25</v>
      </c>
      <c r="N248" s="161">
        <v>0</v>
      </c>
      <c r="O248" s="162">
        <f t="shared" si="18"/>
        <v>1576</v>
      </c>
      <c r="P248" s="161">
        <v>-2500</v>
      </c>
      <c r="Q248" s="161">
        <v>-3</v>
      </c>
      <c r="R248" s="161">
        <v>0</v>
      </c>
      <c r="S248" s="161">
        <v>0</v>
      </c>
      <c r="T248" s="161">
        <v>0</v>
      </c>
      <c r="U248" s="161">
        <v>0</v>
      </c>
      <c r="V248" s="161">
        <v>0</v>
      </c>
      <c r="W248" s="161">
        <f t="shared" si="19"/>
        <v>-927</v>
      </c>
      <c r="X248" s="161">
        <f t="shared" si="20"/>
        <v>0</v>
      </c>
      <c r="Y248" s="161">
        <f t="shared" si="21"/>
        <v>-927</v>
      </c>
      <c r="Z248" s="161">
        <v>900</v>
      </c>
      <c r="AA248" s="161">
        <f t="shared" si="22"/>
        <v>-27</v>
      </c>
      <c r="AB248" s="161">
        <f t="shared" si="23"/>
        <v>2449</v>
      </c>
      <c r="AC248" s="158" t="s">
        <v>927</v>
      </c>
      <c r="AD248" s="158"/>
    </row>
    <row r="249" spans="1:30" ht="12.75" customHeight="1" x14ac:dyDescent="0.3">
      <c r="A249" s="147">
        <v>16</v>
      </c>
      <c r="B249" s="158" t="s">
        <v>913</v>
      </c>
      <c r="C249" s="158" t="s">
        <v>120</v>
      </c>
      <c r="D249" s="158" t="s">
        <v>20</v>
      </c>
      <c r="E249" s="160" t="s">
        <v>25</v>
      </c>
      <c r="F249" s="158" t="s">
        <v>25</v>
      </c>
      <c r="G249" s="160" t="s">
        <v>866</v>
      </c>
      <c r="H249" s="161">
        <v>3784</v>
      </c>
      <c r="I249" s="161">
        <v>0</v>
      </c>
      <c r="J249" s="161">
        <v>0</v>
      </c>
      <c r="K249" s="161">
        <v>0</v>
      </c>
      <c r="L249" s="161">
        <v>-3636</v>
      </c>
      <c r="M249" s="162">
        <v>0</v>
      </c>
      <c r="N249" s="161">
        <v>0</v>
      </c>
      <c r="O249" s="162">
        <f t="shared" si="18"/>
        <v>148</v>
      </c>
      <c r="P249" s="161">
        <v>-2500</v>
      </c>
      <c r="Q249" s="161">
        <v>-5</v>
      </c>
      <c r="R249" s="161">
        <v>-500</v>
      </c>
      <c r="S249" s="161">
        <v>0</v>
      </c>
      <c r="T249" s="161">
        <v>0</v>
      </c>
      <c r="U249" s="161">
        <v>0</v>
      </c>
      <c r="V249" s="161">
        <v>0</v>
      </c>
      <c r="W249" s="161">
        <f t="shared" si="19"/>
        <v>-2857</v>
      </c>
      <c r="X249" s="161">
        <f t="shared" si="20"/>
        <v>0</v>
      </c>
      <c r="Y249" s="161">
        <f t="shared" si="21"/>
        <v>-2857</v>
      </c>
      <c r="Z249" s="161">
        <v>2850</v>
      </c>
      <c r="AA249" s="161">
        <f t="shared" si="22"/>
        <v>-7</v>
      </c>
      <c r="AB249" s="161">
        <f t="shared" si="23"/>
        <v>2991</v>
      </c>
      <c r="AC249" s="158" t="s">
        <v>927</v>
      </c>
      <c r="AD249" s="158"/>
    </row>
    <row r="250" spans="1:30" ht="12.75" customHeight="1" x14ac:dyDescent="0.3">
      <c r="A250" s="147">
        <v>16</v>
      </c>
      <c r="B250" s="158" t="s">
        <v>929</v>
      </c>
      <c r="C250" s="158" t="s">
        <v>409</v>
      </c>
      <c r="D250" s="158" t="s">
        <v>20</v>
      </c>
      <c r="E250" s="160" t="s">
        <v>25</v>
      </c>
      <c r="F250" s="158" t="s">
        <v>25</v>
      </c>
      <c r="G250" s="160" t="s">
        <v>866</v>
      </c>
      <c r="H250" s="161">
        <v>5086</v>
      </c>
      <c r="I250" s="161">
        <v>-138</v>
      </c>
      <c r="J250" s="161">
        <v>0</v>
      </c>
      <c r="K250" s="161">
        <v>0</v>
      </c>
      <c r="L250" s="161">
        <v>-2196</v>
      </c>
      <c r="M250" s="162">
        <v>-22</v>
      </c>
      <c r="N250" s="161">
        <v>0</v>
      </c>
      <c r="O250" s="162">
        <f t="shared" si="18"/>
        <v>2730</v>
      </c>
      <c r="P250" s="161">
        <v>-2500</v>
      </c>
      <c r="Q250" s="161">
        <v>-300</v>
      </c>
      <c r="R250" s="161">
        <v>-500</v>
      </c>
      <c r="S250" s="161">
        <v>0</v>
      </c>
      <c r="T250" s="161">
        <v>0</v>
      </c>
      <c r="U250" s="161">
        <v>0</v>
      </c>
      <c r="V250" s="161">
        <v>0</v>
      </c>
      <c r="W250" s="161">
        <f t="shared" si="19"/>
        <v>-570</v>
      </c>
      <c r="X250" s="161">
        <f t="shared" si="20"/>
        <v>0</v>
      </c>
      <c r="Y250" s="161">
        <f t="shared" si="21"/>
        <v>-570</v>
      </c>
      <c r="Z250" s="161">
        <v>570</v>
      </c>
      <c r="AA250" s="161">
        <f t="shared" si="22"/>
        <v>0</v>
      </c>
      <c r="AB250" s="161">
        <f t="shared" si="23"/>
        <v>3300</v>
      </c>
      <c r="AC250" s="158" t="s">
        <v>927</v>
      </c>
      <c r="AD250" s="158"/>
    </row>
    <row r="251" spans="1:30" ht="12.75" customHeight="1" x14ac:dyDescent="0.3">
      <c r="A251" s="147">
        <v>16</v>
      </c>
      <c r="B251" s="158" t="s">
        <v>888</v>
      </c>
      <c r="C251" s="158" t="s">
        <v>409</v>
      </c>
      <c r="D251" s="163" t="s">
        <v>889</v>
      </c>
      <c r="E251" s="160" t="s">
        <v>25</v>
      </c>
      <c r="F251" s="158" t="s">
        <v>25</v>
      </c>
      <c r="G251" s="160" t="s">
        <v>866</v>
      </c>
      <c r="H251" s="161">
        <v>0</v>
      </c>
      <c r="I251" s="161">
        <v>0</v>
      </c>
      <c r="J251" s="161">
        <v>0</v>
      </c>
      <c r="K251" s="161">
        <v>0</v>
      </c>
      <c r="L251" s="161">
        <v>0</v>
      </c>
      <c r="M251" s="162">
        <v>0</v>
      </c>
      <c r="N251" s="161">
        <v>0</v>
      </c>
      <c r="O251" s="162">
        <f t="shared" si="18"/>
        <v>0</v>
      </c>
      <c r="P251" s="161">
        <v>0</v>
      </c>
      <c r="Q251" s="161">
        <v>0</v>
      </c>
      <c r="R251" s="161">
        <v>500</v>
      </c>
      <c r="S251" s="161">
        <v>0</v>
      </c>
      <c r="T251" s="161">
        <v>0</v>
      </c>
      <c r="U251" s="161">
        <v>0</v>
      </c>
      <c r="V251" s="161">
        <v>0</v>
      </c>
      <c r="W251" s="161">
        <f t="shared" si="19"/>
        <v>500</v>
      </c>
      <c r="X251" s="161">
        <f t="shared" si="20"/>
        <v>500</v>
      </c>
      <c r="Y251" s="161">
        <f t="shared" si="21"/>
        <v>0</v>
      </c>
      <c r="Z251" s="161">
        <v>0</v>
      </c>
      <c r="AA251" s="161">
        <f t="shared" si="22"/>
        <v>0</v>
      </c>
      <c r="AB251" s="161">
        <f t="shared" si="23"/>
        <v>-500</v>
      </c>
      <c r="AC251" s="158" t="s">
        <v>932</v>
      </c>
      <c r="AD251" s="158"/>
    </row>
    <row r="252" spans="1:30" ht="12.75" customHeight="1" x14ac:dyDescent="0.3">
      <c r="A252" s="147">
        <v>16</v>
      </c>
      <c r="B252" s="158" t="s">
        <v>894</v>
      </c>
      <c r="C252" s="158" t="s">
        <v>183</v>
      </c>
      <c r="D252" s="158" t="s">
        <v>887</v>
      </c>
      <c r="E252" s="160" t="s">
        <v>25</v>
      </c>
      <c r="F252" s="158" t="s">
        <v>25</v>
      </c>
      <c r="G252" s="160" t="s">
        <v>866</v>
      </c>
      <c r="H252" s="161">
        <v>0</v>
      </c>
      <c r="I252" s="161">
        <v>0</v>
      </c>
      <c r="J252" s="161">
        <v>0</v>
      </c>
      <c r="K252" s="161">
        <v>0</v>
      </c>
      <c r="L252" s="161">
        <v>0</v>
      </c>
      <c r="M252" s="162">
        <v>0</v>
      </c>
      <c r="N252" s="161">
        <v>-24</v>
      </c>
      <c r="O252" s="162">
        <f t="shared" si="18"/>
        <v>-24</v>
      </c>
      <c r="P252" s="161">
        <v>-1071</v>
      </c>
      <c r="Q252" s="161">
        <v>-610</v>
      </c>
      <c r="R252" s="161">
        <v>0</v>
      </c>
      <c r="S252" s="161">
        <v>0</v>
      </c>
      <c r="T252" s="161">
        <v>0</v>
      </c>
      <c r="U252" s="161">
        <v>0</v>
      </c>
      <c r="V252" s="161">
        <v>0</v>
      </c>
      <c r="W252" s="161">
        <f t="shared" si="19"/>
        <v>-1705</v>
      </c>
      <c r="X252" s="161">
        <f t="shared" si="20"/>
        <v>0</v>
      </c>
      <c r="Y252" s="161">
        <f t="shared" si="21"/>
        <v>-1705</v>
      </c>
      <c r="Z252" s="161">
        <v>0</v>
      </c>
      <c r="AA252" s="161">
        <f t="shared" si="22"/>
        <v>-1705</v>
      </c>
      <c r="AB252" s="161">
        <f t="shared" si="23"/>
        <v>-1729</v>
      </c>
      <c r="AC252" s="158"/>
      <c r="AD252" s="158"/>
    </row>
    <row r="253" spans="1:30" ht="12.75" customHeight="1" x14ac:dyDescent="0.3">
      <c r="A253" s="147">
        <v>16</v>
      </c>
      <c r="B253" s="158" t="s">
        <v>890</v>
      </c>
      <c r="C253" s="158" t="s">
        <v>42</v>
      </c>
      <c r="D253" s="158" t="s">
        <v>903</v>
      </c>
      <c r="E253" s="160" t="s">
        <v>25</v>
      </c>
      <c r="F253" s="158" t="s">
        <v>25</v>
      </c>
      <c r="G253" s="160" t="s">
        <v>866</v>
      </c>
      <c r="H253" s="161">
        <v>6063</v>
      </c>
      <c r="I253" s="161">
        <v>0</v>
      </c>
      <c r="J253" s="161">
        <v>0</v>
      </c>
      <c r="K253" s="161">
        <v>0</v>
      </c>
      <c r="L253" s="161">
        <v>-1593</v>
      </c>
      <c r="M253" s="162">
        <v>-22</v>
      </c>
      <c r="N253" s="161">
        <v>0</v>
      </c>
      <c r="O253" s="162">
        <f t="shared" si="18"/>
        <v>4448</v>
      </c>
      <c r="P253" s="161">
        <v>-2500</v>
      </c>
      <c r="Q253" s="161">
        <v>0</v>
      </c>
      <c r="R253" s="161">
        <v>0</v>
      </c>
      <c r="S253" s="161">
        <v>0</v>
      </c>
      <c r="T253" s="161">
        <v>0</v>
      </c>
      <c r="U253" s="161">
        <v>0</v>
      </c>
      <c r="V253" s="161">
        <v>0</v>
      </c>
      <c r="W253" s="161">
        <f t="shared" si="19"/>
        <v>1948</v>
      </c>
      <c r="X253" s="161">
        <f t="shared" si="20"/>
        <v>1948</v>
      </c>
      <c r="Y253" s="161">
        <f t="shared" si="21"/>
        <v>0</v>
      </c>
      <c r="Z253" s="161">
        <v>0</v>
      </c>
      <c r="AA253" s="161">
        <f t="shared" si="22"/>
        <v>0</v>
      </c>
      <c r="AB253" s="161">
        <f t="shared" si="23"/>
        <v>2500</v>
      </c>
      <c r="AC253" s="158" t="s">
        <v>933</v>
      </c>
      <c r="AD253" s="158"/>
    </row>
    <row r="254" spans="1:30" ht="12.75" customHeight="1" x14ac:dyDescent="0.3">
      <c r="A254" s="147">
        <v>16</v>
      </c>
      <c r="B254" s="158" t="s">
        <v>872</v>
      </c>
      <c r="C254" s="158" t="s">
        <v>64</v>
      </c>
      <c r="D254" s="158" t="s">
        <v>904</v>
      </c>
      <c r="E254" s="160" t="s">
        <v>25</v>
      </c>
      <c r="F254" s="158" t="s">
        <v>25</v>
      </c>
      <c r="G254" s="160" t="s">
        <v>866</v>
      </c>
      <c r="H254" s="161">
        <v>10962</v>
      </c>
      <c r="I254" s="161">
        <v>-162</v>
      </c>
      <c r="J254" s="161">
        <v>0</v>
      </c>
      <c r="K254" s="161">
        <v>-120</v>
      </c>
      <c r="L254" s="161">
        <v>-4953</v>
      </c>
      <c r="M254" s="162">
        <v>-27</v>
      </c>
      <c r="N254" s="161">
        <v>0</v>
      </c>
      <c r="O254" s="162">
        <f t="shared" si="18"/>
        <v>5700</v>
      </c>
      <c r="P254" s="161">
        <v>-2500</v>
      </c>
      <c r="Q254" s="161">
        <v>-407</v>
      </c>
      <c r="R254" s="161">
        <v>0</v>
      </c>
      <c r="S254" s="161">
        <v>-554</v>
      </c>
      <c r="T254" s="161">
        <v>-1000</v>
      </c>
      <c r="U254" s="161">
        <v>0</v>
      </c>
      <c r="V254" s="161">
        <v>0</v>
      </c>
      <c r="W254" s="161">
        <f t="shared" si="19"/>
        <v>1239</v>
      </c>
      <c r="X254" s="161">
        <f t="shared" si="20"/>
        <v>1239</v>
      </c>
      <c r="Y254" s="161">
        <f t="shared" si="21"/>
        <v>0</v>
      </c>
      <c r="Z254" s="161">
        <v>0</v>
      </c>
      <c r="AA254" s="161">
        <f t="shared" si="22"/>
        <v>0</v>
      </c>
      <c r="AB254" s="161">
        <f t="shared" si="23"/>
        <v>4461</v>
      </c>
      <c r="AC254" s="158" t="s">
        <v>933</v>
      </c>
      <c r="AD254" s="158"/>
    </row>
    <row r="255" spans="1:30" ht="12.75" customHeight="1" x14ac:dyDescent="0.3">
      <c r="A255" s="147">
        <v>16</v>
      </c>
      <c r="B255" s="158" t="s">
        <v>921</v>
      </c>
      <c r="C255" s="158" t="s">
        <v>257</v>
      </c>
      <c r="D255" s="158" t="s">
        <v>20</v>
      </c>
      <c r="E255" s="160" t="s">
        <v>25</v>
      </c>
      <c r="F255" s="158" t="s">
        <v>25</v>
      </c>
      <c r="G255" s="160" t="s">
        <v>866</v>
      </c>
      <c r="H255" s="161">
        <v>8962</v>
      </c>
      <c r="I255" s="161">
        <v>-110</v>
      </c>
      <c r="J255" s="161">
        <v>0</v>
      </c>
      <c r="K255" s="161">
        <v>0</v>
      </c>
      <c r="L255" s="161">
        <v>-2296</v>
      </c>
      <c r="M255" s="162">
        <v>-38</v>
      </c>
      <c r="N255" s="161">
        <v>0</v>
      </c>
      <c r="O255" s="162">
        <f t="shared" si="18"/>
        <v>6518</v>
      </c>
      <c r="P255" s="161">
        <v>-2500</v>
      </c>
      <c r="Q255" s="161">
        <v>65</v>
      </c>
      <c r="R255" s="161">
        <v>-500</v>
      </c>
      <c r="S255" s="161">
        <v>0</v>
      </c>
      <c r="T255" s="161">
        <v>0</v>
      </c>
      <c r="U255" s="161">
        <v>0</v>
      </c>
      <c r="V255" s="161">
        <v>0</v>
      </c>
      <c r="W255" s="161">
        <f t="shared" si="19"/>
        <v>3583</v>
      </c>
      <c r="X255" s="161">
        <f t="shared" si="20"/>
        <v>3583</v>
      </c>
      <c r="Y255" s="161">
        <f t="shared" si="21"/>
        <v>0</v>
      </c>
      <c r="Z255" s="161">
        <v>0</v>
      </c>
      <c r="AA255" s="161">
        <f t="shared" si="22"/>
        <v>0</v>
      </c>
      <c r="AB255" s="161">
        <f t="shared" si="23"/>
        <v>2935</v>
      </c>
      <c r="AC255" s="158" t="s">
        <v>934</v>
      </c>
      <c r="AD255" s="158"/>
    </row>
    <row r="256" spans="1:30" ht="12.75" customHeight="1" x14ac:dyDescent="0.3">
      <c r="A256" s="147">
        <v>16</v>
      </c>
      <c r="B256" s="158" t="s">
        <v>874</v>
      </c>
      <c r="C256" s="158" t="s">
        <v>195</v>
      </c>
      <c r="D256" s="158" t="s">
        <v>20</v>
      </c>
      <c r="E256" s="160" t="s">
        <v>871</v>
      </c>
      <c r="F256" s="158" t="s">
        <v>25</v>
      </c>
      <c r="G256" s="160" t="s">
        <v>866</v>
      </c>
      <c r="H256" s="161">
        <v>0</v>
      </c>
      <c r="I256" s="161">
        <v>0</v>
      </c>
      <c r="J256" s="161">
        <v>0</v>
      </c>
      <c r="K256" s="161">
        <v>0</v>
      </c>
      <c r="L256" s="161">
        <v>0</v>
      </c>
      <c r="M256" s="162">
        <v>0</v>
      </c>
      <c r="N256" s="161">
        <v>0</v>
      </c>
      <c r="O256" s="162">
        <f t="shared" si="18"/>
        <v>0</v>
      </c>
      <c r="P256" s="161">
        <v>-4030</v>
      </c>
      <c r="Q256" s="161">
        <v>0</v>
      </c>
      <c r="R256" s="161">
        <v>0</v>
      </c>
      <c r="S256" s="161">
        <v>0</v>
      </c>
      <c r="T256" s="161">
        <v>0</v>
      </c>
      <c r="U256" s="161">
        <v>0</v>
      </c>
      <c r="V256" s="161">
        <v>0</v>
      </c>
      <c r="W256" s="161">
        <f t="shared" si="19"/>
        <v>-4030</v>
      </c>
      <c r="X256" s="161">
        <f t="shared" si="20"/>
        <v>0</v>
      </c>
      <c r="Y256" s="161">
        <f t="shared" si="21"/>
        <v>-4030</v>
      </c>
      <c r="Z256" s="161">
        <v>4030</v>
      </c>
      <c r="AA256" s="161">
        <f t="shared" si="22"/>
        <v>0</v>
      </c>
      <c r="AB256" s="161">
        <f t="shared" si="23"/>
        <v>4030</v>
      </c>
      <c r="AC256" s="158" t="s">
        <v>931</v>
      </c>
      <c r="AD256" s="158"/>
    </row>
    <row r="257" spans="1:31" ht="12.75" customHeight="1" x14ac:dyDescent="0.3">
      <c r="A257" s="147">
        <v>16</v>
      </c>
      <c r="B257" s="158" t="s">
        <v>918</v>
      </c>
      <c r="C257" s="158" t="s">
        <v>169</v>
      </c>
      <c r="D257" s="158" t="s">
        <v>919</v>
      </c>
      <c r="E257" s="160" t="s">
        <v>871</v>
      </c>
      <c r="F257" s="158" t="s">
        <v>25</v>
      </c>
      <c r="G257" s="160" t="s">
        <v>866</v>
      </c>
      <c r="H257" s="161">
        <v>9382</v>
      </c>
      <c r="I257" s="161">
        <v>-98</v>
      </c>
      <c r="J257" s="161">
        <v>0</v>
      </c>
      <c r="K257" s="161">
        <v>0</v>
      </c>
      <c r="L257" s="161">
        <v>-3893</v>
      </c>
      <c r="M257" s="162">
        <v>-32</v>
      </c>
      <c r="N257" s="161">
        <v>0</v>
      </c>
      <c r="O257" s="162">
        <f t="shared" si="18"/>
        <v>5359</v>
      </c>
      <c r="P257" s="161">
        <v>-2350</v>
      </c>
      <c r="Q257" s="161">
        <v>0</v>
      </c>
      <c r="R257" s="161">
        <v>-500</v>
      </c>
      <c r="S257" s="161">
        <v>0</v>
      </c>
      <c r="T257" s="161">
        <v>0</v>
      </c>
      <c r="U257" s="161">
        <v>0</v>
      </c>
      <c r="V257" s="161">
        <v>0</v>
      </c>
      <c r="W257" s="161">
        <f t="shared" si="19"/>
        <v>2509</v>
      </c>
      <c r="X257" s="161">
        <f t="shared" si="20"/>
        <v>2509</v>
      </c>
      <c r="Y257" s="161">
        <f t="shared" si="21"/>
        <v>0</v>
      </c>
      <c r="Z257" s="161">
        <v>0</v>
      </c>
      <c r="AA257" s="161">
        <f t="shared" si="22"/>
        <v>0</v>
      </c>
      <c r="AB257" s="161">
        <f t="shared" si="23"/>
        <v>2850</v>
      </c>
      <c r="AC257" s="158" t="s">
        <v>934</v>
      </c>
      <c r="AD257" s="158"/>
    </row>
    <row r="258" spans="1:31" ht="12.75" customHeight="1" x14ac:dyDescent="0.3">
      <c r="A258" s="147">
        <v>16</v>
      </c>
      <c r="B258" s="158" t="s">
        <v>876</v>
      </c>
      <c r="C258" s="158" t="s">
        <v>150</v>
      </c>
      <c r="D258" s="158" t="s">
        <v>877</v>
      </c>
      <c r="E258" s="160" t="s">
        <v>25</v>
      </c>
      <c r="F258" s="158" t="s">
        <v>25</v>
      </c>
      <c r="G258" s="160" t="s">
        <v>866</v>
      </c>
      <c r="H258" s="161">
        <v>3391</v>
      </c>
      <c r="I258" s="161">
        <v>0</v>
      </c>
      <c r="J258" s="161">
        <v>0</v>
      </c>
      <c r="K258" s="161">
        <v>0</v>
      </c>
      <c r="L258" s="161">
        <v>-1912</v>
      </c>
      <c r="M258" s="162">
        <v>-30</v>
      </c>
      <c r="N258" s="161">
        <v>0</v>
      </c>
      <c r="O258" s="162">
        <f t="shared" ref="O258:O321" si="24">SUM(H258:N258)</f>
        <v>1449</v>
      </c>
      <c r="P258" s="161">
        <v>-2500</v>
      </c>
      <c r="Q258" s="161">
        <v>-1407</v>
      </c>
      <c r="R258" s="161">
        <v>0</v>
      </c>
      <c r="S258" s="161">
        <v>0</v>
      </c>
      <c r="T258" s="161">
        <v>0</v>
      </c>
      <c r="U258" s="161">
        <v>0</v>
      </c>
      <c r="V258" s="161">
        <v>0</v>
      </c>
      <c r="W258" s="161">
        <f t="shared" ref="W258:W321" si="25">+O258+SUM(P258:V258)</f>
        <v>-2458</v>
      </c>
      <c r="X258" s="161">
        <f t="shared" ref="X258:X321" si="26">IF(W258&gt;=0,W258,0)</f>
        <v>0</v>
      </c>
      <c r="Y258" s="161">
        <f t="shared" ref="Y258:Y321" si="27">IF(W258&lt;=0,W258,0)</f>
        <v>-2458</v>
      </c>
      <c r="Z258" s="161">
        <v>0</v>
      </c>
      <c r="AA258" s="161">
        <f t="shared" ref="AA258:AA321" si="28">+Y258+Z258</f>
        <v>-2458</v>
      </c>
      <c r="AB258" s="161">
        <f t="shared" ref="AB258:AB321" si="29">+O258-X258+Z258+AA258</f>
        <v>-1009</v>
      </c>
      <c r="AC258" s="158"/>
      <c r="AD258" s="158"/>
    </row>
    <row r="259" spans="1:31" ht="12.75" customHeight="1" x14ac:dyDescent="0.3">
      <c r="A259" s="147">
        <v>16</v>
      </c>
      <c r="B259" s="158" t="s">
        <v>484</v>
      </c>
      <c r="C259" s="158" t="s">
        <v>46</v>
      </c>
      <c r="D259" s="158" t="s">
        <v>915</v>
      </c>
      <c r="E259" s="160" t="s">
        <v>25</v>
      </c>
      <c r="F259" s="158" t="s">
        <v>25</v>
      </c>
      <c r="G259" s="160" t="s">
        <v>866</v>
      </c>
      <c r="H259" s="161">
        <v>7980</v>
      </c>
      <c r="I259" s="161">
        <v>-160</v>
      </c>
      <c r="J259" s="161">
        <v>0</v>
      </c>
      <c r="K259" s="161">
        <v>0</v>
      </c>
      <c r="L259" s="161">
        <v>-4870</v>
      </c>
      <c r="M259" s="162">
        <v>-20</v>
      </c>
      <c r="N259" s="161">
        <v>0</v>
      </c>
      <c r="O259" s="162">
        <f t="shared" si="24"/>
        <v>2930</v>
      </c>
      <c r="P259" s="161">
        <v>-2500</v>
      </c>
      <c r="Q259" s="161">
        <v>-191</v>
      </c>
      <c r="R259" s="161">
        <v>0</v>
      </c>
      <c r="S259" s="161">
        <v>0</v>
      </c>
      <c r="T259" s="161">
        <v>0</v>
      </c>
      <c r="U259" s="161">
        <v>0</v>
      </c>
      <c r="V259" s="161">
        <v>0</v>
      </c>
      <c r="W259" s="161">
        <f t="shared" si="25"/>
        <v>239</v>
      </c>
      <c r="X259" s="161">
        <f t="shared" si="26"/>
        <v>239</v>
      </c>
      <c r="Y259" s="161">
        <f t="shared" si="27"/>
        <v>0</v>
      </c>
      <c r="Z259" s="161">
        <v>0</v>
      </c>
      <c r="AA259" s="161">
        <f t="shared" si="28"/>
        <v>0</v>
      </c>
      <c r="AB259" s="161">
        <f t="shared" si="29"/>
        <v>2691</v>
      </c>
      <c r="AC259" s="158" t="s">
        <v>935</v>
      </c>
      <c r="AD259" s="158"/>
    </row>
    <row r="260" spans="1:31" ht="12.75" customHeight="1" x14ac:dyDescent="0.3">
      <c r="A260" s="147">
        <v>16</v>
      </c>
      <c r="B260" s="158" t="s">
        <v>408</v>
      </c>
      <c r="C260" s="158" t="s">
        <v>878</v>
      </c>
      <c r="D260" s="158" t="s">
        <v>879</v>
      </c>
      <c r="E260" s="160" t="s">
        <v>25</v>
      </c>
      <c r="F260" s="158" t="s">
        <v>25</v>
      </c>
      <c r="G260" s="160" t="s">
        <v>866</v>
      </c>
      <c r="H260" s="161">
        <v>6301</v>
      </c>
      <c r="I260" s="161">
        <v>-15</v>
      </c>
      <c r="J260" s="161">
        <v>0</v>
      </c>
      <c r="K260" s="161">
        <v>0</v>
      </c>
      <c r="L260" s="161">
        <v>-3369</v>
      </c>
      <c r="M260" s="162">
        <v>-28</v>
      </c>
      <c r="N260" s="161">
        <v>0</v>
      </c>
      <c r="O260" s="162">
        <f t="shared" si="24"/>
        <v>2889</v>
      </c>
      <c r="P260" s="161">
        <v>-2500</v>
      </c>
      <c r="Q260" s="161">
        <v>-484</v>
      </c>
      <c r="R260" s="161">
        <v>0</v>
      </c>
      <c r="S260" s="161">
        <v>0</v>
      </c>
      <c r="T260" s="161">
        <v>0</v>
      </c>
      <c r="U260" s="161">
        <v>0</v>
      </c>
      <c r="V260" s="161">
        <v>0</v>
      </c>
      <c r="W260" s="161">
        <f t="shared" si="25"/>
        <v>-95</v>
      </c>
      <c r="X260" s="161">
        <f t="shared" si="26"/>
        <v>0</v>
      </c>
      <c r="Y260" s="161">
        <f t="shared" si="27"/>
        <v>-95</v>
      </c>
      <c r="Z260" s="161">
        <v>100</v>
      </c>
      <c r="AA260" s="161">
        <f t="shared" si="28"/>
        <v>5</v>
      </c>
      <c r="AB260" s="161">
        <f t="shared" si="29"/>
        <v>2994</v>
      </c>
      <c r="AC260" s="158" t="s">
        <v>927</v>
      </c>
      <c r="AD260" s="158"/>
    </row>
    <row r="261" spans="1:31" ht="12.75" customHeight="1" x14ac:dyDescent="0.3">
      <c r="A261" s="147">
        <v>16</v>
      </c>
      <c r="B261" s="158" t="s">
        <v>923</v>
      </c>
      <c r="C261" s="158" t="s">
        <v>372</v>
      </c>
      <c r="D261" s="158" t="s">
        <v>20</v>
      </c>
      <c r="E261" s="158" t="s">
        <v>39</v>
      </c>
      <c r="F261" s="158" t="s">
        <v>25</v>
      </c>
      <c r="G261" s="160" t="s">
        <v>866</v>
      </c>
      <c r="H261" s="161">
        <v>4399</v>
      </c>
      <c r="I261" s="161">
        <v>0</v>
      </c>
      <c r="J261" s="161">
        <v>0</v>
      </c>
      <c r="K261" s="161">
        <v>0</v>
      </c>
      <c r="L261" s="161">
        <v>-2733</v>
      </c>
      <c r="M261" s="162">
        <v>-28</v>
      </c>
      <c r="N261" s="161">
        <v>0</v>
      </c>
      <c r="O261" s="162">
        <f t="shared" si="24"/>
        <v>1638</v>
      </c>
      <c r="P261" s="161">
        <v>-2500</v>
      </c>
      <c r="Q261" s="161">
        <v>0</v>
      </c>
      <c r="R261" s="161">
        <v>-500</v>
      </c>
      <c r="S261" s="161">
        <v>0</v>
      </c>
      <c r="T261" s="161">
        <v>0</v>
      </c>
      <c r="U261" s="161">
        <v>0</v>
      </c>
      <c r="V261" s="161">
        <v>0</v>
      </c>
      <c r="W261" s="161">
        <f t="shared" si="25"/>
        <v>-1362</v>
      </c>
      <c r="X261" s="161">
        <f t="shared" si="26"/>
        <v>0</v>
      </c>
      <c r="Y261" s="161">
        <f t="shared" si="27"/>
        <v>-1362</v>
      </c>
      <c r="Z261" s="161">
        <v>1400</v>
      </c>
      <c r="AA261" s="161">
        <f t="shared" si="28"/>
        <v>38</v>
      </c>
      <c r="AB261" s="161">
        <f t="shared" si="29"/>
        <v>3076</v>
      </c>
      <c r="AC261" s="158" t="s">
        <v>927</v>
      </c>
      <c r="AD261" s="158"/>
    </row>
    <row r="262" spans="1:31" ht="12.75" customHeight="1" x14ac:dyDescent="0.3">
      <c r="A262" s="147">
        <v>16</v>
      </c>
      <c r="B262" s="158" t="s">
        <v>880</v>
      </c>
      <c r="C262" s="158" t="s">
        <v>57</v>
      </c>
      <c r="D262" s="158" t="s">
        <v>881</v>
      </c>
      <c r="E262" s="160" t="s">
        <v>25</v>
      </c>
      <c r="F262" s="158" t="s">
        <v>25</v>
      </c>
      <c r="G262" s="160" t="s">
        <v>866</v>
      </c>
      <c r="H262" s="161">
        <v>5153</v>
      </c>
      <c r="I262" s="161">
        <v>-26</v>
      </c>
      <c r="J262" s="161">
        <v>0</v>
      </c>
      <c r="K262" s="161">
        <v>0</v>
      </c>
      <c r="L262" s="161">
        <v>-2048</v>
      </c>
      <c r="M262" s="162">
        <v>-30</v>
      </c>
      <c r="N262" s="161">
        <v>0</v>
      </c>
      <c r="O262" s="162">
        <f t="shared" si="24"/>
        <v>3049</v>
      </c>
      <c r="P262" s="161">
        <v>-2300</v>
      </c>
      <c r="Q262" s="161">
        <v>0</v>
      </c>
      <c r="R262" s="161">
        <v>0</v>
      </c>
      <c r="S262" s="161">
        <v>0</v>
      </c>
      <c r="T262" s="161">
        <v>0</v>
      </c>
      <c r="U262" s="161">
        <v>0</v>
      </c>
      <c r="V262" s="161">
        <v>0</v>
      </c>
      <c r="W262" s="161">
        <f t="shared" si="25"/>
        <v>749</v>
      </c>
      <c r="X262" s="161">
        <f t="shared" si="26"/>
        <v>749</v>
      </c>
      <c r="Y262" s="161">
        <f t="shared" si="27"/>
        <v>0</v>
      </c>
      <c r="Z262" s="161">
        <v>0</v>
      </c>
      <c r="AA262" s="161">
        <f t="shared" si="28"/>
        <v>0</v>
      </c>
      <c r="AB262" s="161">
        <f t="shared" si="29"/>
        <v>2300</v>
      </c>
      <c r="AC262" s="158" t="s">
        <v>934</v>
      </c>
      <c r="AD262" s="158"/>
    </row>
    <row r="263" spans="1:31" ht="12.75" customHeight="1" x14ac:dyDescent="0.3">
      <c r="A263" s="147">
        <v>16</v>
      </c>
      <c r="B263" s="158" t="s">
        <v>922</v>
      </c>
      <c r="C263" s="158" t="s">
        <v>347</v>
      </c>
      <c r="D263" s="158" t="s">
        <v>897</v>
      </c>
      <c r="E263" s="160" t="s">
        <v>25</v>
      </c>
      <c r="F263" s="158" t="s">
        <v>25</v>
      </c>
      <c r="G263" s="160" t="s">
        <v>866</v>
      </c>
      <c r="H263" s="161">
        <v>6192</v>
      </c>
      <c r="I263" s="161">
        <v>-54</v>
      </c>
      <c r="J263" s="161">
        <v>0</v>
      </c>
      <c r="K263" s="161">
        <v>0</v>
      </c>
      <c r="L263" s="161">
        <v>-2080</v>
      </c>
      <c r="M263" s="162">
        <v>-32</v>
      </c>
      <c r="N263" s="161">
        <v>0</v>
      </c>
      <c r="O263" s="162">
        <f t="shared" si="24"/>
        <v>4026</v>
      </c>
      <c r="P263" s="161">
        <v>-2500</v>
      </c>
      <c r="Q263" s="161">
        <v>0</v>
      </c>
      <c r="R263" s="161">
        <v>-500</v>
      </c>
      <c r="S263" s="161">
        <v>0</v>
      </c>
      <c r="T263" s="161">
        <v>0</v>
      </c>
      <c r="U263" s="161">
        <v>0</v>
      </c>
      <c r="V263" s="161">
        <v>0</v>
      </c>
      <c r="W263" s="161">
        <f t="shared" si="25"/>
        <v>1026</v>
      </c>
      <c r="X263" s="161">
        <f t="shared" si="26"/>
        <v>1026</v>
      </c>
      <c r="Y263" s="161">
        <f t="shared" si="27"/>
        <v>0</v>
      </c>
      <c r="Z263" s="161">
        <v>0</v>
      </c>
      <c r="AA263" s="161">
        <f t="shared" si="28"/>
        <v>0</v>
      </c>
      <c r="AB263" s="161">
        <f t="shared" si="29"/>
        <v>3000</v>
      </c>
      <c r="AC263" s="158" t="s">
        <v>933</v>
      </c>
      <c r="AD263" s="158"/>
    </row>
    <row r="264" spans="1:31" ht="12.75" customHeight="1" x14ac:dyDescent="0.3">
      <c r="A264" s="147">
        <v>16</v>
      </c>
      <c r="B264" s="158" t="s">
        <v>924</v>
      </c>
      <c r="C264" s="158" t="s">
        <v>100</v>
      </c>
      <c r="D264" s="158" t="s">
        <v>892</v>
      </c>
      <c r="E264" s="160" t="s">
        <v>25</v>
      </c>
      <c r="F264" s="158" t="s">
        <v>25</v>
      </c>
      <c r="G264" s="160" t="s">
        <v>866</v>
      </c>
      <c r="H264" s="161">
        <v>1285</v>
      </c>
      <c r="I264" s="161">
        <v>0</v>
      </c>
      <c r="J264" s="161">
        <v>0</v>
      </c>
      <c r="K264" s="161">
        <v>0</v>
      </c>
      <c r="L264" s="161">
        <v>-413</v>
      </c>
      <c r="M264" s="162">
        <v>-32</v>
      </c>
      <c r="N264" s="161">
        <v>-411</v>
      </c>
      <c r="O264" s="162">
        <f t="shared" si="24"/>
        <v>429</v>
      </c>
      <c r="P264" s="161">
        <v>-2500</v>
      </c>
      <c r="Q264" s="161">
        <v>250</v>
      </c>
      <c r="R264" s="161">
        <v>0</v>
      </c>
      <c r="S264" s="161">
        <v>0</v>
      </c>
      <c r="T264" s="161">
        <v>0</v>
      </c>
      <c r="U264" s="161">
        <v>0</v>
      </c>
      <c r="V264" s="161">
        <v>0</v>
      </c>
      <c r="W264" s="161">
        <f t="shared" si="25"/>
        <v>-1821</v>
      </c>
      <c r="X264" s="161">
        <f t="shared" si="26"/>
        <v>0</v>
      </c>
      <c r="Y264" s="161">
        <f t="shared" si="27"/>
        <v>-1821</v>
      </c>
      <c r="Z264" s="161">
        <v>1821</v>
      </c>
      <c r="AA264" s="161">
        <f t="shared" si="28"/>
        <v>0</v>
      </c>
      <c r="AB264" s="161">
        <f t="shared" si="29"/>
        <v>2250</v>
      </c>
      <c r="AC264" s="158" t="s">
        <v>927</v>
      </c>
      <c r="AD264" s="158"/>
    </row>
    <row r="265" spans="1:31" ht="12.75" customHeight="1" x14ac:dyDescent="0.3">
      <c r="A265" s="147">
        <v>17</v>
      </c>
      <c r="B265" s="158" t="s">
        <v>585</v>
      </c>
      <c r="C265" s="158" t="s">
        <v>863</v>
      </c>
      <c r="D265" s="158" t="s">
        <v>864</v>
      </c>
      <c r="E265" s="160" t="s">
        <v>25</v>
      </c>
      <c r="F265" s="158" t="s">
        <v>25</v>
      </c>
      <c r="G265" s="160" t="s">
        <v>866</v>
      </c>
      <c r="H265" s="161">
        <v>0</v>
      </c>
      <c r="I265" s="161">
        <v>0</v>
      </c>
      <c r="J265" s="161">
        <v>0</v>
      </c>
      <c r="K265" s="161">
        <v>0</v>
      </c>
      <c r="L265" s="161">
        <v>0</v>
      </c>
      <c r="M265" s="162">
        <v>0</v>
      </c>
      <c r="N265" s="161">
        <v>0</v>
      </c>
      <c r="O265" s="162">
        <f t="shared" si="24"/>
        <v>0</v>
      </c>
      <c r="P265" s="161">
        <v>-2500</v>
      </c>
      <c r="Q265" s="161">
        <v>0</v>
      </c>
      <c r="R265" s="161">
        <v>0</v>
      </c>
      <c r="S265" s="161">
        <v>0</v>
      </c>
      <c r="T265" s="161">
        <v>0</v>
      </c>
      <c r="U265" s="161">
        <v>0</v>
      </c>
      <c r="V265" s="161">
        <v>0</v>
      </c>
      <c r="W265" s="161">
        <f t="shared" si="25"/>
        <v>-2500</v>
      </c>
      <c r="X265" s="161">
        <f t="shared" si="26"/>
        <v>0</v>
      </c>
      <c r="Y265" s="161">
        <f t="shared" si="27"/>
        <v>-2500</v>
      </c>
      <c r="Z265" s="161">
        <v>2500</v>
      </c>
      <c r="AA265" s="161">
        <f t="shared" si="28"/>
        <v>0</v>
      </c>
      <c r="AB265" s="161">
        <f t="shared" si="29"/>
        <v>2500</v>
      </c>
      <c r="AC265" s="158" t="s">
        <v>927</v>
      </c>
      <c r="AD265" s="158"/>
    </row>
    <row r="266" spans="1:31" ht="12.75" customHeight="1" x14ac:dyDescent="0.3">
      <c r="A266" s="147">
        <v>17</v>
      </c>
      <c r="B266" s="158" t="s">
        <v>868</v>
      </c>
      <c r="C266" s="158" t="s">
        <v>68</v>
      </c>
      <c r="D266" s="158" t="s">
        <v>869</v>
      </c>
      <c r="E266" s="160" t="s">
        <v>25</v>
      </c>
      <c r="F266" s="158" t="s">
        <v>25</v>
      </c>
      <c r="G266" s="160" t="s">
        <v>866</v>
      </c>
      <c r="H266" s="161">
        <v>3969</v>
      </c>
      <c r="I266" s="161">
        <v>0</v>
      </c>
      <c r="J266" s="161">
        <v>0</v>
      </c>
      <c r="K266" s="161">
        <v>0</v>
      </c>
      <c r="L266" s="161">
        <v>-2103</v>
      </c>
      <c r="M266" s="162">
        <v>-21</v>
      </c>
      <c r="N266" s="161">
        <v>0</v>
      </c>
      <c r="O266" s="162">
        <f t="shared" si="24"/>
        <v>1845</v>
      </c>
      <c r="P266" s="161">
        <v>-2500</v>
      </c>
      <c r="Q266" s="161">
        <v>-27</v>
      </c>
      <c r="R266" s="161">
        <v>0</v>
      </c>
      <c r="S266" s="161">
        <v>0</v>
      </c>
      <c r="T266" s="161">
        <v>0</v>
      </c>
      <c r="U266" s="161">
        <v>0</v>
      </c>
      <c r="V266" s="161">
        <v>0</v>
      </c>
      <c r="W266" s="161">
        <f t="shared" si="25"/>
        <v>-682</v>
      </c>
      <c r="X266" s="161">
        <f t="shared" si="26"/>
        <v>0</v>
      </c>
      <c r="Y266" s="161">
        <f t="shared" si="27"/>
        <v>-682</v>
      </c>
      <c r="Z266" s="161">
        <v>0</v>
      </c>
      <c r="AA266" s="161">
        <f t="shared" si="28"/>
        <v>-682</v>
      </c>
      <c r="AB266" s="161">
        <f t="shared" si="29"/>
        <v>1163</v>
      </c>
      <c r="AC266" s="158" t="s">
        <v>936</v>
      </c>
      <c r="AD266" s="158"/>
    </row>
    <row r="267" spans="1:31" ht="12.75" customHeight="1" x14ac:dyDescent="0.3">
      <c r="A267" s="147">
        <v>17</v>
      </c>
      <c r="B267" s="158" t="s">
        <v>913</v>
      </c>
      <c r="C267" s="158" t="s">
        <v>120</v>
      </c>
      <c r="D267" s="158" t="s">
        <v>20</v>
      </c>
      <c r="E267" s="160" t="s">
        <v>25</v>
      </c>
      <c r="F267" s="158" t="s">
        <v>25</v>
      </c>
      <c r="G267" s="160" t="s">
        <v>866</v>
      </c>
      <c r="H267" s="161">
        <v>5984</v>
      </c>
      <c r="I267" s="161">
        <v>0</v>
      </c>
      <c r="J267" s="161">
        <v>0</v>
      </c>
      <c r="K267" s="161">
        <v>0</v>
      </c>
      <c r="L267" s="161">
        <v>-5946</v>
      </c>
      <c r="M267" s="162">
        <v>-28</v>
      </c>
      <c r="N267" s="161">
        <v>0</v>
      </c>
      <c r="O267" s="162">
        <f t="shared" si="24"/>
        <v>10</v>
      </c>
      <c r="P267" s="161">
        <v>-2500</v>
      </c>
      <c r="Q267" s="161">
        <v>-7</v>
      </c>
      <c r="R267" s="161">
        <v>0</v>
      </c>
      <c r="S267" s="161">
        <v>0</v>
      </c>
      <c r="T267" s="161">
        <v>0</v>
      </c>
      <c r="U267" s="161">
        <v>0</v>
      </c>
      <c r="V267" s="161">
        <v>0</v>
      </c>
      <c r="W267" s="161">
        <f t="shared" si="25"/>
        <v>-2497</v>
      </c>
      <c r="X267" s="161">
        <f t="shared" si="26"/>
        <v>0</v>
      </c>
      <c r="Y267" s="161">
        <f t="shared" si="27"/>
        <v>-2497</v>
      </c>
      <c r="Z267" s="161">
        <v>0</v>
      </c>
      <c r="AA267" s="161">
        <f t="shared" si="28"/>
        <v>-2497</v>
      </c>
      <c r="AB267" s="161">
        <f t="shared" si="29"/>
        <v>-2487</v>
      </c>
      <c r="AC267" s="158" t="s">
        <v>855</v>
      </c>
      <c r="AD267" s="158"/>
    </row>
    <row r="268" spans="1:31" ht="12.75" customHeight="1" x14ac:dyDescent="0.3">
      <c r="A268" s="147">
        <v>17</v>
      </c>
      <c r="B268" s="158" t="s">
        <v>929</v>
      </c>
      <c r="C268" s="158" t="s">
        <v>409</v>
      </c>
      <c r="D268" s="158" t="s">
        <v>20</v>
      </c>
      <c r="E268" s="160" t="s">
        <v>25</v>
      </c>
      <c r="F268" s="158" t="s">
        <v>25</v>
      </c>
      <c r="G268" s="160" t="s">
        <v>866</v>
      </c>
      <c r="H268" s="161">
        <v>5148</v>
      </c>
      <c r="I268" s="161">
        <v>-216</v>
      </c>
      <c r="J268" s="161">
        <v>0</v>
      </c>
      <c r="K268" s="161">
        <v>0</v>
      </c>
      <c r="L268" s="161">
        <v>-2371</v>
      </c>
      <c r="M268" s="162">
        <v>-32</v>
      </c>
      <c r="N268" s="161">
        <v>0</v>
      </c>
      <c r="O268" s="162">
        <f t="shared" si="24"/>
        <v>2529</v>
      </c>
      <c r="P268" s="161">
        <v>-2500</v>
      </c>
      <c r="Q268" s="161">
        <v>0</v>
      </c>
      <c r="R268" s="161">
        <v>-500</v>
      </c>
      <c r="S268" s="161">
        <v>0</v>
      </c>
      <c r="T268" s="161">
        <v>0</v>
      </c>
      <c r="U268" s="161">
        <v>0</v>
      </c>
      <c r="V268" s="161">
        <v>0</v>
      </c>
      <c r="W268" s="161">
        <f t="shared" si="25"/>
        <v>-471</v>
      </c>
      <c r="X268" s="161">
        <f t="shared" si="26"/>
        <v>0</v>
      </c>
      <c r="Y268" s="161">
        <f t="shared" si="27"/>
        <v>-471</v>
      </c>
      <c r="Z268" s="161">
        <v>471</v>
      </c>
      <c r="AA268" s="161">
        <f t="shared" si="28"/>
        <v>0</v>
      </c>
      <c r="AB268" s="161">
        <f t="shared" si="29"/>
        <v>3000</v>
      </c>
      <c r="AC268" s="158" t="s">
        <v>927</v>
      </c>
      <c r="AD268" s="158"/>
    </row>
    <row r="269" spans="1:31" ht="12.75" customHeight="1" x14ac:dyDescent="0.3">
      <c r="A269" s="147">
        <v>17</v>
      </c>
      <c r="B269" s="158" t="s">
        <v>888</v>
      </c>
      <c r="C269" s="158" t="s">
        <v>409</v>
      </c>
      <c r="D269" s="163" t="s">
        <v>889</v>
      </c>
      <c r="E269" s="160" t="s">
        <v>25</v>
      </c>
      <c r="F269" s="158" t="s">
        <v>25</v>
      </c>
      <c r="G269" s="160" t="s">
        <v>866</v>
      </c>
      <c r="H269" s="161">
        <v>0</v>
      </c>
      <c r="I269" s="161">
        <v>0</v>
      </c>
      <c r="J269" s="161">
        <v>0</v>
      </c>
      <c r="K269" s="161">
        <v>0</v>
      </c>
      <c r="L269" s="161">
        <v>0</v>
      </c>
      <c r="M269" s="162">
        <v>0</v>
      </c>
      <c r="N269" s="161">
        <v>0</v>
      </c>
      <c r="O269" s="162">
        <f t="shared" si="24"/>
        <v>0</v>
      </c>
      <c r="P269" s="161">
        <v>0</v>
      </c>
      <c r="Q269" s="161">
        <v>0</v>
      </c>
      <c r="R269" s="161">
        <v>0</v>
      </c>
      <c r="S269" s="161">
        <v>-1697</v>
      </c>
      <c r="T269" s="161">
        <v>0</v>
      </c>
      <c r="U269" s="161">
        <v>0</v>
      </c>
      <c r="V269" s="161">
        <v>0</v>
      </c>
      <c r="W269" s="161">
        <f t="shared" si="25"/>
        <v>-1697</v>
      </c>
      <c r="X269" s="161">
        <f t="shared" si="26"/>
        <v>0</v>
      </c>
      <c r="Y269" s="161">
        <f t="shared" si="27"/>
        <v>-1697</v>
      </c>
      <c r="Z269" s="161">
        <v>0</v>
      </c>
      <c r="AA269" s="161">
        <f t="shared" si="28"/>
        <v>-1697</v>
      </c>
      <c r="AB269" s="161">
        <f t="shared" si="29"/>
        <v>-1697</v>
      </c>
      <c r="AC269" s="158"/>
      <c r="AD269" s="158"/>
    </row>
    <row r="270" spans="1:31" s="176" customFormat="1" ht="12.75" customHeight="1" x14ac:dyDescent="0.3">
      <c r="A270" s="171">
        <v>17</v>
      </c>
      <c r="B270" s="172" t="s">
        <v>894</v>
      </c>
      <c r="C270" s="172" t="s">
        <v>183</v>
      </c>
      <c r="D270" s="172" t="s">
        <v>887</v>
      </c>
      <c r="E270" s="173" t="s">
        <v>25</v>
      </c>
      <c r="F270" s="172" t="s">
        <v>25</v>
      </c>
      <c r="G270" s="173" t="s">
        <v>866</v>
      </c>
      <c r="H270" s="174">
        <v>0</v>
      </c>
      <c r="I270" s="174">
        <v>0</v>
      </c>
      <c r="J270" s="174">
        <v>0</v>
      </c>
      <c r="K270" s="174">
        <v>0</v>
      </c>
      <c r="L270" s="174">
        <v>0</v>
      </c>
      <c r="M270" s="175">
        <v>0</v>
      </c>
      <c r="N270" s="174">
        <v>0</v>
      </c>
      <c r="O270" s="175">
        <f t="shared" si="24"/>
        <v>0</v>
      </c>
      <c r="P270" s="174">
        <v>0</v>
      </c>
      <c r="Q270" s="174">
        <v>-1681</v>
      </c>
      <c r="R270" s="174">
        <v>0</v>
      </c>
      <c r="S270" s="174">
        <v>0</v>
      </c>
      <c r="T270" s="174">
        <v>0</v>
      </c>
      <c r="U270" s="174">
        <v>0</v>
      </c>
      <c r="V270" s="174">
        <v>0</v>
      </c>
      <c r="W270" s="174">
        <f t="shared" si="25"/>
        <v>-1681</v>
      </c>
      <c r="X270" s="174">
        <f t="shared" si="26"/>
        <v>0</v>
      </c>
      <c r="Y270" s="174">
        <f t="shared" si="27"/>
        <v>-1681</v>
      </c>
      <c r="Z270" s="174">
        <v>0</v>
      </c>
      <c r="AA270" s="174">
        <f t="shared" si="28"/>
        <v>-1681</v>
      </c>
      <c r="AB270" s="161">
        <f t="shared" si="29"/>
        <v>-1681</v>
      </c>
      <c r="AC270" s="172" t="s">
        <v>937</v>
      </c>
      <c r="AD270" s="158"/>
      <c r="AE270" s="149"/>
    </row>
    <row r="271" spans="1:31" ht="12.75" customHeight="1" x14ac:dyDescent="0.3">
      <c r="A271" s="147">
        <v>17</v>
      </c>
      <c r="B271" s="158" t="s">
        <v>890</v>
      </c>
      <c r="C271" s="158" t="s">
        <v>42</v>
      </c>
      <c r="D271" s="158" t="s">
        <v>903</v>
      </c>
      <c r="E271" s="160" t="s">
        <v>25</v>
      </c>
      <c r="F271" s="158" t="s">
        <v>25</v>
      </c>
      <c r="G271" s="160" t="s">
        <v>866</v>
      </c>
      <c r="H271" s="161">
        <v>2912</v>
      </c>
      <c r="I271" s="161">
        <v>0</v>
      </c>
      <c r="J271" s="161">
        <v>0</v>
      </c>
      <c r="K271" s="161">
        <v>0</v>
      </c>
      <c r="L271" s="161">
        <v>-1158</v>
      </c>
      <c r="M271" s="162">
        <v>-25</v>
      </c>
      <c r="N271" s="161">
        <v>0</v>
      </c>
      <c r="O271" s="162">
        <f t="shared" si="24"/>
        <v>1729</v>
      </c>
      <c r="P271" s="161">
        <v>-2143</v>
      </c>
      <c r="Q271" s="161">
        <v>0</v>
      </c>
      <c r="R271" s="161">
        <v>0</v>
      </c>
      <c r="S271" s="161">
        <v>0</v>
      </c>
      <c r="T271" s="161">
        <v>0</v>
      </c>
      <c r="U271" s="161">
        <v>0</v>
      </c>
      <c r="V271" s="161">
        <v>0</v>
      </c>
      <c r="W271" s="161">
        <f t="shared" si="25"/>
        <v>-414</v>
      </c>
      <c r="X271" s="161">
        <f t="shared" si="26"/>
        <v>0</v>
      </c>
      <c r="Y271" s="161">
        <f t="shared" si="27"/>
        <v>-414</v>
      </c>
      <c r="Z271" s="161">
        <v>0</v>
      </c>
      <c r="AA271" s="161">
        <f t="shared" si="28"/>
        <v>-414</v>
      </c>
      <c r="AB271" s="161">
        <f t="shared" si="29"/>
        <v>1315</v>
      </c>
      <c r="AC271" s="158"/>
      <c r="AD271" s="158"/>
    </row>
    <row r="272" spans="1:31" ht="12.75" customHeight="1" x14ac:dyDescent="0.3">
      <c r="A272" s="147">
        <v>17</v>
      </c>
      <c r="B272" s="158" t="s">
        <v>872</v>
      </c>
      <c r="C272" s="158" t="s">
        <v>64</v>
      </c>
      <c r="D272" s="158" t="s">
        <v>904</v>
      </c>
      <c r="E272" s="160" t="s">
        <v>25</v>
      </c>
      <c r="F272" s="158" t="s">
        <v>25</v>
      </c>
      <c r="G272" s="160" t="s">
        <v>866</v>
      </c>
      <c r="H272" s="161">
        <v>11587</v>
      </c>
      <c r="I272" s="161">
        <v>-150</v>
      </c>
      <c r="J272" s="161">
        <v>0</v>
      </c>
      <c r="K272" s="161">
        <v>-102</v>
      </c>
      <c r="L272" s="161">
        <v>-4212</v>
      </c>
      <c r="M272" s="162">
        <v>-35</v>
      </c>
      <c r="N272" s="161">
        <v>0</v>
      </c>
      <c r="O272" s="162">
        <f t="shared" si="24"/>
        <v>7088</v>
      </c>
      <c r="P272" s="161">
        <v>-2500</v>
      </c>
      <c r="Q272" s="161">
        <v>-709</v>
      </c>
      <c r="R272" s="161">
        <v>0</v>
      </c>
      <c r="S272" s="161">
        <v>-554</v>
      </c>
      <c r="T272" s="161">
        <v>-1000</v>
      </c>
      <c r="U272" s="161">
        <v>0</v>
      </c>
      <c r="V272" s="161">
        <v>0</v>
      </c>
      <c r="W272" s="161">
        <f t="shared" si="25"/>
        <v>2325</v>
      </c>
      <c r="X272" s="161">
        <f t="shared" si="26"/>
        <v>2325</v>
      </c>
      <c r="Y272" s="161">
        <f t="shared" si="27"/>
        <v>0</v>
      </c>
      <c r="Z272" s="161">
        <v>0</v>
      </c>
      <c r="AA272" s="161">
        <f t="shared" si="28"/>
        <v>0</v>
      </c>
      <c r="AB272" s="161">
        <f t="shared" si="29"/>
        <v>4763</v>
      </c>
      <c r="AC272" s="158" t="s">
        <v>374</v>
      </c>
      <c r="AD272" s="158"/>
    </row>
    <row r="273" spans="1:30" ht="12.75" customHeight="1" x14ac:dyDescent="0.3">
      <c r="A273" s="147">
        <v>17</v>
      </c>
      <c r="B273" s="158" t="s">
        <v>921</v>
      </c>
      <c r="C273" s="158" t="s">
        <v>257</v>
      </c>
      <c r="D273" s="158" t="s">
        <v>20</v>
      </c>
      <c r="E273" s="160" t="s">
        <v>25</v>
      </c>
      <c r="F273" s="158" t="s">
        <v>25</v>
      </c>
      <c r="G273" s="160" t="s">
        <v>866</v>
      </c>
      <c r="H273" s="161">
        <v>9418</v>
      </c>
      <c r="I273" s="161">
        <v>-53</v>
      </c>
      <c r="J273" s="161">
        <v>0</v>
      </c>
      <c r="K273" s="161">
        <v>0</v>
      </c>
      <c r="L273" s="161">
        <v>-2505</v>
      </c>
      <c r="M273" s="162">
        <v>-17</v>
      </c>
      <c r="N273" s="161">
        <v>0</v>
      </c>
      <c r="O273" s="162">
        <f t="shared" si="24"/>
        <v>6843</v>
      </c>
      <c r="P273" s="161">
        <v>-2143</v>
      </c>
      <c r="Q273" s="161">
        <v>0</v>
      </c>
      <c r="R273" s="161">
        <v>-500</v>
      </c>
      <c r="S273" s="161">
        <v>0</v>
      </c>
      <c r="T273" s="161">
        <v>0</v>
      </c>
      <c r="U273" s="161">
        <v>0</v>
      </c>
      <c r="V273" s="161">
        <v>0</v>
      </c>
      <c r="W273" s="161">
        <f t="shared" si="25"/>
        <v>4200</v>
      </c>
      <c r="X273" s="161">
        <f t="shared" si="26"/>
        <v>4200</v>
      </c>
      <c r="Y273" s="161">
        <f t="shared" si="27"/>
        <v>0</v>
      </c>
      <c r="Z273" s="161">
        <v>0</v>
      </c>
      <c r="AA273" s="161">
        <f t="shared" si="28"/>
        <v>0</v>
      </c>
      <c r="AB273" s="161">
        <f t="shared" si="29"/>
        <v>2643</v>
      </c>
      <c r="AC273" s="158" t="s">
        <v>374</v>
      </c>
      <c r="AD273" s="158"/>
    </row>
    <row r="274" spans="1:30" ht="12.75" customHeight="1" x14ac:dyDescent="0.3">
      <c r="A274" s="147">
        <v>17</v>
      </c>
      <c r="B274" s="158" t="s">
        <v>874</v>
      </c>
      <c r="C274" s="158" t="s">
        <v>195</v>
      </c>
      <c r="D274" s="158" t="s">
        <v>20</v>
      </c>
      <c r="E274" s="160" t="s">
        <v>871</v>
      </c>
      <c r="F274" s="158" t="s">
        <v>25</v>
      </c>
      <c r="G274" s="160" t="s">
        <v>866</v>
      </c>
      <c r="H274" s="161">
        <v>0</v>
      </c>
      <c r="I274" s="161">
        <v>0</v>
      </c>
      <c r="J274" s="161">
        <v>0</v>
      </c>
      <c r="K274" s="161">
        <v>0</v>
      </c>
      <c r="L274" s="161">
        <v>0</v>
      </c>
      <c r="M274" s="162">
        <v>0</v>
      </c>
      <c r="N274" s="161">
        <v>0</v>
      </c>
      <c r="O274" s="162">
        <f t="shared" si="24"/>
        <v>0</v>
      </c>
      <c r="P274" s="161">
        <v>-6525</v>
      </c>
      <c r="Q274" s="161">
        <v>0</v>
      </c>
      <c r="R274" s="161">
        <v>0</v>
      </c>
      <c r="S274" s="161">
        <v>0</v>
      </c>
      <c r="T274" s="161">
        <v>0</v>
      </c>
      <c r="U274" s="161">
        <v>0</v>
      </c>
      <c r="V274" s="161">
        <v>0</v>
      </c>
      <c r="W274" s="161">
        <f t="shared" si="25"/>
        <v>-6525</v>
      </c>
      <c r="X274" s="161">
        <f t="shared" si="26"/>
        <v>0</v>
      </c>
      <c r="Y274" s="161">
        <f t="shared" si="27"/>
        <v>-6525</v>
      </c>
      <c r="Z274" s="161">
        <v>6525</v>
      </c>
      <c r="AA274" s="161">
        <f t="shared" si="28"/>
        <v>0</v>
      </c>
      <c r="AB274" s="161">
        <f t="shared" si="29"/>
        <v>6525</v>
      </c>
      <c r="AC274" s="158" t="s">
        <v>374</v>
      </c>
      <c r="AD274" s="158"/>
    </row>
    <row r="275" spans="1:30" ht="12.75" customHeight="1" x14ac:dyDescent="0.3">
      <c r="A275" s="147">
        <v>17</v>
      </c>
      <c r="B275" s="158" t="s">
        <v>918</v>
      </c>
      <c r="C275" s="158" t="s">
        <v>169</v>
      </c>
      <c r="D275" s="158" t="s">
        <v>919</v>
      </c>
      <c r="E275" s="160" t="s">
        <v>871</v>
      </c>
      <c r="F275" s="158" t="s">
        <v>25</v>
      </c>
      <c r="G275" s="160" t="s">
        <v>866</v>
      </c>
      <c r="H275" s="161">
        <v>8707</v>
      </c>
      <c r="I275" s="161">
        <v>-36</v>
      </c>
      <c r="J275" s="161">
        <v>0</v>
      </c>
      <c r="K275" s="161">
        <v>0</v>
      </c>
      <c r="L275" s="161">
        <v>-1856</v>
      </c>
      <c r="M275" s="162">
        <v>-25</v>
      </c>
      <c r="N275" s="161">
        <v>0</v>
      </c>
      <c r="O275" s="162">
        <f t="shared" si="24"/>
        <v>6790</v>
      </c>
      <c r="P275" s="161">
        <v>-2350</v>
      </c>
      <c r="Q275" s="161">
        <v>0</v>
      </c>
      <c r="R275" s="161">
        <v>-500</v>
      </c>
      <c r="S275" s="161">
        <v>0</v>
      </c>
      <c r="T275" s="161">
        <v>0</v>
      </c>
      <c r="U275" s="161">
        <v>0</v>
      </c>
      <c r="V275" s="161">
        <v>0</v>
      </c>
      <c r="W275" s="161">
        <f t="shared" si="25"/>
        <v>3940</v>
      </c>
      <c r="X275" s="161">
        <f t="shared" si="26"/>
        <v>3940</v>
      </c>
      <c r="Y275" s="161">
        <f t="shared" si="27"/>
        <v>0</v>
      </c>
      <c r="Z275" s="161">
        <v>0</v>
      </c>
      <c r="AA275" s="161">
        <f t="shared" si="28"/>
        <v>0</v>
      </c>
      <c r="AB275" s="161">
        <f t="shared" si="29"/>
        <v>2850</v>
      </c>
      <c r="AC275" s="158" t="s">
        <v>374</v>
      </c>
      <c r="AD275" s="158"/>
    </row>
    <row r="276" spans="1:30" ht="12.75" customHeight="1" x14ac:dyDescent="0.3">
      <c r="A276" s="147">
        <v>17</v>
      </c>
      <c r="B276" s="158" t="s">
        <v>876</v>
      </c>
      <c r="C276" s="158" t="s">
        <v>150</v>
      </c>
      <c r="D276" s="158" t="s">
        <v>877</v>
      </c>
      <c r="E276" s="160" t="s">
        <v>25</v>
      </c>
      <c r="F276" s="158" t="s">
        <v>25</v>
      </c>
      <c r="G276" s="160" t="s">
        <v>866</v>
      </c>
      <c r="H276" s="161">
        <v>6230</v>
      </c>
      <c r="I276" s="161">
        <v>0</v>
      </c>
      <c r="J276" s="161">
        <v>0</v>
      </c>
      <c r="K276" s="161">
        <v>0</v>
      </c>
      <c r="L276" s="161">
        <v>-2436</v>
      </c>
      <c r="M276" s="162">
        <v>-35</v>
      </c>
      <c r="N276" s="161">
        <v>0</v>
      </c>
      <c r="O276" s="162">
        <f t="shared" si="24"/>
        <v>3759</v>
      </c>
      <c r="P276" s="161">
        <v>-2500</v>
      </c>
      <c r="Q276" s="161">
        <v>-2458</v>
      </c>
      <c r="R276" s="161">
        <v>0</v>
      </c>
      <c r="S276" s="161">
        <v>0</v>
      </c>
      <c r="T276" s="161">
        <v>0</v>
      </c>
      <c r="U276" s="161">
        <v>0</v>
      </c>
      <c r="V276" s="161">
        <v>0</v>
      </c>
      <c r="W276" s="161">
        <f t="shared" si="25"/>
        <v>-1199</v>
      </c>
      <c r="X276" s="161">
        <f t="shared" si="26"/>
        <v>0</v>
      </c>
      <c r="Y276" s="161">
        <f t="shared" si="27"/>
        <v>-1199</v>
      </c>
      <c r="Z276" s="161">
        <v>0</v>
      </c>
      <c r="AA276" s="161">
        <f t="shared" si="28"/>
        <v>-1199</v>
      </c>
      <c r="AB276" s="161">
        <f t="shared" si="29"/>
        <v>2560</v>
      </c>
      <c r="AC276" s="158"/>
      <c r="AD276" s="158"/>
    </row>
    <row r="277" spans="1:30" ht="12.75" customHeight="1" x14ac:dyDescent="0.3">
      <c r="A277" s="147">
        <v>17</v>
      </c>
      <c r="B277" s="158" t="s">
        <v>484</v>
      </c>
      <c r="C277" s="158" t="s">
        <v>46</v>
      </c>
      <c r="D277" s="158" t="s">
        <v>915</v>
      </c>
      <c r="E277" s="160" t="s">
        <v>25</v>
      </c>
      <c r="F277" s="158" t="s">
        <v>25</v>
      </c>
      <c r="G277" s="160" t="s">
        <v>866</v>
      </c>
      <c r="H277" s="161">
        <v>8524</v>
      </c>
      <c r="I277" s="161">
        <v>-130</v>
      </c>
      <c r="J277" s="161">
        <v>0</v>
      </c>
      <c r="K277" s="161">
        <v>0</v>
      </c>
      <c r="L277" s="161">
        <v>-4572</v>
      </c>
      <c r="M277" s="162">
        <v>-21</v>
      </c>
      <c r="N277" s="161">
        <v>0</v>
      </c>
      <c r="O277" s="162">
        <f t="shared" si="24"/>
        <v>3801</v>
      </c>
      <c r="P277" s="161">
        <v>-2500</v>
      </c>
      <c r="Q277" s="161">
        <v>-61</v>
      </c>
      <c r="R277" s="161">
        <v>0</v>
      </c>
      <c r="S277" s="161">
        <v>0</v>
      </c>
      <c r="T277" s="161">
        <v>0</v>
      </c>
      <c r="U277" s="161">
        <v>0</v>
      </c>
      <c r="V277" s="161">
        <v>0</v>
      </c>
      <c r="W277" s="161">
        <f t="shared" si="25"/>
        <v>1240</v>
      </c>
      <c r="X277" s="161">
        <f t="shared" si="26"/>
        <v>1240</v>
      </c>
      <c r="Y277" s="161">
        <f t="shared" si="27"/>
        <v>0</v>
      </c>
      <c r="Z277" s="161">
        <v>0</v>
      </c>
      <c r="AA277" s="161">
        <f t="shared" si="28"/>
        <v>0</v>
      </c>
      <c r="AB277" s="161">
        <f t="shared" si="29"/>
        <v>2561</v>
      </c>
      <c r="AC277" s="161" t="s">
        <v>938</v>
      </c>
      <c r="AD277" s="158"/>
    </row>
    <row r="278" spans="1:30" ht="12.75" customHeight="1" x14ac:dyDescent="0.3">
      <c r="A278" s="147">
        <v>17</v>
      </c>
      <c r="B278" s="158" t="s">
        <v>408</v>
      </c>
      <c r="C278" s="158" t="s">
        <v>878</v>
      </c>
      <c r="D278" s="158" t="s">
        <v>879</v>
      </c>
      <c r="E278" s="160" t="s">
        <v>25</v>
      </c>
      <c r="F278" s="158" t="s">
        <v>25</v>
      </c>
      <c r="G278" s="160" t="s">
        <v>866</v>
      </c>
      <c r="H278" s="161">
        <v>5891</v>
      </c>
      <c r="I278" s="161">
        <v>0</v>
      </c>
      <c r="J278" s="161">
        <v>0</v>
      </c>
      <c r="K278" s="161">
        <v>0</v>
      </c>
      <c r="L278" s="161">
        <v>-2895</v>
      </c>
      <c r="M278" s="162">
        <v>-32</v>
      </c>
      <c r="N278" s="161">
        <v>0</v>
      </c>
      <c r="O278" s="162">
        <f t="shared" si="24"/>
        <v>2964</v>
      </c>
      <c r="P278" s="161">
        <v>-2500</v>
      </c>
      <c r="Q278" s="161">
        <v>5</v>
      </c>
      <c r="R278" s="161">
        <v>0</v>
      </c>
      <c r="S278" s="161">
        <v>0</v>
      </c>
      <c r="T278" s="161">
        <v>0</v>
      </c>
      <c r="U278" s="161">
        <v>0</v>
      </c>
      <c r="V278" s="161">
        <v>0</v>
      </c>
      <c r="W278" s="161">
        <f t="shared" si="25"/>
        <v>469</v>
      </c>
      <c r="X278" s="161">
        <f t="shared" si="26"/>
        <v>469</v>
      </c>
      <c r="Y278" s="161">
        <f t="shared" si="27"/>
        <v>0</v>
      </c>
      <c r="Z278" s="161">
        <v>0</v>
      </c>
      <c r="AA278" s="161">
        <f t="shared" si="28"/>
        <v>0</v>
      </c>
      <c r="AB278" s="161">
        <f t="shared" si="29"/>
        <v>2495</v>
      </c>
      <c r="AC278" s="158" t="s">
        <v>374</v>
      </c>
      <c r="AD278" s="158"/>
    </row>
    <row r="279" spans="1:30" ht="12.75" customHeight="1" x14ac:dyDescent="0.3">
      <c r="A279" s="147">
        <v>17</v>
      </c>
      <c r="B279" s="158" t="s">
        <v>923</v>
      </c>
      <c r="C279" s="158" t="s">
        <v>372</v>
      </c>
      <c r="D279" s="158" t="s">
        <v>20</v>
      </c>
      <c r="E279" s="158" t="s">
        <v>39</v>
      </c>
      <c r="F279" s="158" t="s">
        <v>25</v>
      </c>
      <c r="G279" s="160" t="s">
        <v>866</v>
      </c>
      <c r="H279" s="161">
        <v>4312</v>
      </c>
      <c r="I279" s="161">
        <v>0</v>
      </c>
      <c r="J279" s="161">
        <v>0</v>
      </c>
      <c r="K279" s="161">
        <v>0</v>
      </c>
      <c r="L279" s="161">
        <v>-1676</v>
      </c>
      <c r="M279" s="162">
        <v>-28</v>
      </c>
      <c r="N279" s="161">
        <v>0</v>
      </c>
      <c r="O279" s="162">
        <f t="shared" si="24"/>
        <v>2608</v>
      </c>
      <c r="P279" s="161">
        <v>-2500</v>
      </c>
      <c r="Q279" s="161">
        <v>38</v>
      </c>
      <c r="R279" s="161">
        <v>-500</v>
      </c>
      <c r="S279" s="161">
        <v>0</v>
      </c>
      <c r="T279" s="161">
        <v>0</v>
      </c>
      <c r="U279" s="161">
        <v>0</v>
      </c>
      <c r="V279" s="161">
        <v>0</v>
      </c>
      <c r="W279" s="161">
        <f t="shared" si="25"/>
        <v>-354</v>
      </c>
      <c r="X279" s="161">
        <f t="shared" si="26"/>
        <v>0</v>
      </c>
      <c r="Y279" s="161">
        <f t="shared" si="27"/>
        <v>-354</v>
      </c>
      <c r="Z279" s="161">
        <v>354</v>
      </c>
      <c r="AA279" s="161">
        <f t="shared" si="28"/>
        <v>0</v>
      </c>
      <c r="AB279" s="161">
        <f t="shared" si="29"/>
        <v>2962</v>
      </c>
      <c r="AC279" s="158" t="s">
        <v>927</v>
      </c>
      <c r="AD279" s="158"/>
    </row>
    <row r="280" spans="1:30" ht="12.75" customHeight="1" x14ac:dyDescent="0.3">
      <c r="A280" s="147">
        <v>17</v>
      </c>
      <c r="B280" s="158" t="s">
        <v>880</v>
      </c>
      <c r="C280" s="158" t="s">
        <v>57</v>
      </c>
      <c r="D280" s="158" t="s">
        <v>881</v>
      </c>
      <c r="E280" s="160" t="s">
        <v>25</v>
      </c>
      <c r="F280" s="158" t="s">
        <v>25</v>
      </c>
      <c r="G280" s="160" t="s">
        <v>866</v>
      </c>
      <c r="H280" s="161">
        <v>5216</v>
      </c>
      <c r="I280" s="161">
        <v>-47</v>
      </c>
      <c r="J280" s="161">
        <v>0</v>
      </c>
      <c r="K280" s="161">
        <v>0</v>
      </c>
      <c r="L280" s="161">
        <v>-1967</v>
      </c>
      <c r="M280" s="162">
        <v>-32</v>
      </c>
      <c r="N280" s="161">
        <v>0</v>
      </c>
      <c r="O280" s="162">
        <f t="shared" si="24"/>
        <v>3170</v>
      </c>
      <c r="P280" s="161">
        <v>-2300</v>
      </c>
      <c r="Q280" s="161">
        <v>0</v>
      </c>
      <c r="R280" s="161">
        <v>0</v>
      </c>
      <c r="S280" s="161">
        <v>0</v>
      </c>
      <c r="T280" s="161">
        <v>0</v>
      </c>
      <c r="U280" s="161">
        <v>0</v>
      </c>
      <c r="V280" s="161">
        <v>0</v>
      </c>
      <c r="W280" s="161">
        <f t="shared" si="25"/>
        <v>870</v>
      </c>
      <c r="X280" s="161">
        <f t="shared" si="26"/>
        <v>870</v>
      </c>
      <c r="Y280" s="161">
        <f t="shared" si="27"/>
        <v>0</v>
      </c>
      <c r="Z280" s="161">
        <v>0</v>
      </c>
      <c r="AA280" s="161">
        <f t="shared" si="28"/>
        <v>0</v>
      </c>
      <c r="AB280" s="161">
        <f t="shared" si="29"/>
        <v>2300</v>
      </c>
      <c r="AC280" s="158" t="s">
        <v>374</v>
      </c>
      <c r="AD280" s="158"/>
    </row>
    <row r="281" spans="1:30" ht="12.75" customHeight="1" x14ac:dyDescent="0.3">
      <c r="A281" s="147">
        <v>17</v>
      </c>
      <c r="B281" s="158" t="s">
        <v>922</v>
      </c>
      <c r="C281" s="158" t="s">
        <v>347</v>
      </c>
      <c r="D281" s="158" t="s">
        <v>897</v>
      </c>
      <c r="E281" s="160" t="s">
        <v>25</v>
      </c>
      <c r="F281" s="158" t="s">
        <v>25</v>
      </c>
      <c r="G281" s="160" t="s">
        <v>866</v>
      </c>
      <c r="H281" s="161">
        <v>7110</v>
      </c>
      <c r="I281" s="161">
        <v>-54</v>
      </c>
      <c r="J281" s="161">
        <v>0</v>
      </c>
      <c r="K281" s="161">
        <v>0</v>
      </c>
      <c r="L281" s="161">
        <v>-2367</v>
      </c>
      <c r="M281" s="162">
        <v>-28</v>
      </c>
      <c r="N281" s="161">
        <v>-173</v>
      </c>
      <c r="O281" s="162">
        <f t="shared" si="24"/>
        <v>4488</v>
      </c>
      <c r="P281" s="161">
        <v>-2500</v>
      </c>
      <c r="Q281" s="161">
        <v>0</v>
      </c>
      <c r="R281" s="161">
        <v>0</v>
      </c>
      <c r="S281" s="161">
        <v>0</v>
      </c>
      <c r="T281" s="161">
        <v>0</v>
      </c>
      <c r="U281" s="161">
        <v>0</v>
      </c>
      <c r="V281" s="161">
        <v>0</v>
      </c>
      <c r="W281" s="161">
        <f t="shared" si="25"/>
        <v>1988</v>
      </c>
      <c r="X281" s="161">
        <f t="shared" si="26"/>
        <v>1988</v>
      </c>
      <c r="Y281" s="161">
        <f t="shared" si="27"/>
        <v>0</v>
      </c>
      <c r="Z281" s="161">
        <v>0</v>
      </c>
      <c r="AA281" s="161">
        <f t="shared" si="28"/>
        <v>0</v>
      </c>
      <c r="AB281" s="161">
        <f t="shared" si="29"/>
        <v>2500</v>
      </c>
      <c r="AC281" s="158" t="s">
        <v>374</v>
      </c>
      <c r="AD281" s="158"/>
    </row>
    <row r="282" spans="1:30" ht="12.75" customHeight="1" x14ac:dyDescent="0.3">
      <c r="A282" s="147">
        <v>17</v>
      </c>
      <c r="B282" s="158" t="s">
        <v>924</v>
      </c>
      <c r="C282" s="158" t="s">
        <v>100</v>
      </c>
      <c r="D282" s="158" t="s">
        <v>892</v>
      </c>
      <c r="E282" s="160" t="s">
        <v>25</v>
      </c>
      <c r="F282" s="158" t="s">
        <v>25</v>
      </c>
      <c r="G282" s="160" t="s">
        <v>866</v>
      </c>
      <c r="H282" s="161">
        <v>2121</v>
      </c>
      <c r="I282" s="161">
        <v>0</v>
      </c>
      <c r="J282" s="161">
        <v>0</v>
      </c>
      <c r="K282" s="161">
        <v>0</v>
      </c>
      <c r="L282" s="161">
        <v>-1513</v>
      </c>
      <c r="M282" s="162">
        <v>-35</v>
      </c>
      <c r="N282" s="161">
        <v>-189</v>
      </c>
      <c r="O282" s="162">
        <f t="shared" si="24"/>
        <v>384</v>
      </c>
      <c r="P282" s="161">
        <v>-2500</v>
      </c>
      <c r="Q282" s="161">
        <v>480</v>
      </c>
      <c r="R282" s="161">
        <v>-1000</v>
      </c>
      <c r="S282" s="161">
        <v>0</v>
      </c>
      <c r="T282" s="161">
        <v>0</v>
      </c>
      <c r="U282" s="161">
        <v>0</v>
      </c>
      <c r="V282" s="161">
        <v>0</v>
      </c>
      <c r="W282" s="161">
        <f t="shared" si="25"/>
        <v>-2636</v>
      </c>
      <c r="X282" s="161">
        <f t="shared" si="26"/>
        <v>0</v>
      </c>
      <c r="Y282" s="161">
        <f t="shared" si="27"/>
        <v>-2636</v>
      </c>
      <c r="Z282" s="161">
        <v>2000</v>
      </c>
      <c r="AA282" s="161">
        <f t="shared" si="28"/>
        <v>-636</v>
      </c>
      <c r="AB282" s="161">
        <f t="shared" si="29"/>
        <v>1748</v>
      </c>
      <c r="AC282" s="158" t="s">
        <v>927</v>
      </c>
      <c r="AD282" s="158"/>
    </row>
    <row r="283" spans="1:30" ht="12.75" customHeight="1" x14ac:dyDescent="0.3">
      <c r="A283" s="147">
        <v>18</v>
      </c>
      <c r="B283" s="158" t="s">
        <v>585</v>
      </c>
      <c r="C283" s="160" t="s">
        <v>257</v>
      </c>
      <c r="D283" s="158" t="s">
        <v>864</v>
      </c>
      <c r="E283" s="160" t="s">
        <v>25</v>
      </c>
      <c r="F283" s="158" t="s">
        <v>25</v>
      </c>
      <c r="G283" s="160" t="s">
        <v>866</v>
      </c>
      <c r="H283" s="161">
        <v>1144</v>
      </c>
      <c r="I283" s="161">
        <v>-12</v>
      </c>
      <c r="J283" s="161">
        <v>0</v>
      </c>
      <c r="K283" s="161">
        <v>0</v>
      </c>
      <c r="L283" s="161">
        <v>-495</v>
      </c>
      <c r="M283" s="162">
        <v>-23</v>
      </c>
      <c r="N283" s="161">
        <v>0</v>
      </c>
      <c r="O283" s="162">
        <f t="shared" si="24"/>
        <v>614</v>
      </c>
      <c r="P283" s="161">
        <v>-2500</v>
      </c>
      <c r="Q283" s="161">
        <v>0</v>
      </c>
      <c r="R283" s="161">
        <v>0</v>
      </c>
      <c r="S283" s="161">
        <v>0</v>
      </c>
      <c r="T283" s="161">
        <v>0</v>
      </c>
      <c r="U283" s="161">
        <v>0</v>
      </c>
      <c r="V283" s="161">
        <v>0</v>
      </c>
      <c r="W283" s="161">
        <f t="shared" si="25"/>
        <v>-1886</v>
      </c>
      <c r="X283" s="161">
        <f t="shared" si="26"/>
        <v>0</v>
      </c>
      <c r="Y283" s="161">
        <f t="shared" si="27"/>
        <v>-1886</v>
      </c>
      <c r="Z283" s="161">
        <v>1886</v>
      </c>
      <c r="AA283" s="161">
        <f t="shared" si="28"/>
        <v>0</v>
      </c>
      <c r="AB283" s="161">
        <f t="shared" si="29"/>
        <v>2500</v>
      </c>
      <c r="AC283" s="158"/>
      <c r="AD283" s="158"/>
    </row>
    <row r="284" spans="1:30" ht="12.75" customHeight="1" x14ac:dyDescent="0.3">
      <c r="A284" s="147">
        <v>18</v>
      </c>
      <c r="B284" s="158" t="s">
        <v>913</v>
      </c>
      <c r="C284" s="158" t="s">
        <v>120</v>
      </c>
      <c r="D284" s="158" t="s">
        <v>20</v>
      </c>
      <c r="E284" s="160" t="s">
        <v>25</v>
      </c>
      <c r="F284" s="158" t="s">
        <v>25</v>
      </c>
      <c r="G284" s="160" t="s">
        <v>866</v>
      </c>
      <c r="H284" s="161">
        <v>0</v>
      </c>
      <c r="I284" s="161">
        <v>0</v>
      </c>
      <c r="J284" s="161">
        <v>0</v>
      </c>
      <c r="K284" s="161">
        <v>0</v>
      </c>
      <c r="L284" s="161">
        <v>0</v>
      </c>
      <c r="M284" s="162">
        <v>0</v>
      </c>
      <c r="N284" s="161">
        <v>0</v>
      </c>
      <c r="O284" s="162">
        <f t="shared" si="24"/>
        <v>0</v>
      </c>
      <c r="P284" s="161">
        <v>0</v>
      </c>
      <c r="Q284" s="161">
        <v>0</v>
      </c>
      <c r="R284" s="161">
        <v>500</v>
      </c>
      <c r="S284" s="161">
        <v>0</v>
      </c>
      <c r="T284" s="161">
        <v>0</v>
      </c>
      <c r="U284" s="161">
        <v>0</v>
      </c>
      <c r="V284" s="161">
        <v>0</v>
      </c>
      <c r="W284" s="161">
        <f t="shared" si="25"/>
        <v>500</v>
      </c>
      <c r="X284" s="161">
        <f t="shared" si="26"/>
        <v>500</v>
      </c>
      <c r="Y284" s="161">
        <f t="shared" si="27"/>
        <v>0</v>
      </c>
      <c r="Z284" s="161">
        <v>0</v>
      </c>
      <c r="AA284" s="161">
        <f t="shared" si="28"/>
        <v>0</v>
      </c>
      <c r="AB284" s="161">
        <f t="shared" si="29"/>
        <v>-500</v>
      </c>
      <c r="AC284" s="158" t="s">
        <v>374</v>
      </c>
      <c r="AD284" s="158"/>
    </row>
    <row r="285" spans="1:30" ht="12.75" customHeight="1" x14ac:dyDescent="0.3">
      <c r="A285" s="147">
        <v>18</v>
      </c>
      <c r="B285" s="158" t="s">
        <v>929</v>
      </c>
      <c r="C285" s="160" t="s">
        <v>409</v>
      </c>
      <c r="D285" s="158" t="s">
        <v>20</v>
      </c>
      <c r="E285" s="160" t="s">
        <v>25</v>
      </c>
      <c r="F285" s="158" t="s">
        <v>25</v>
      </c>
      <c r="G285" s="160" t="s">
        <v>866</v>
      </c>
      <c r="H285" s="161">
        <v>3473</v>
      </c>
      <c r="I285" s="161">
        <v>0</v>
      </c>
      <c r="J285" s="161">
        <v>0</v>
      </c>
      <c r="K285" s="161">
        <v>0</v>
      </c>
      <c r="L285" s="161">
        <v>-1864</v>
      </c>
      <c r="M285" s="162">
        <v>-25</v>
      </c>
      <c r="N285" s="161">
        <v>0</v>
      </c>
      <c r="O285" s="162">
        <f t="shared" si="24"/>
        <v>1584</v>
      </c>
      <c r="P285" s="161">
        <v>-2500</v>
      </c>
      <c r="Q285" s="161">
        <v>0</v>
      </c>
      <c r="R285" s="161">
        <v>0</v>
      </c>
      <c r="S285" s="161">
        <v>0</v>
      </c>
      <c r="T285" s="161">
        <v>0</v>
      </c>
      <c r="U285" s="161">
        <v>0</v>
      </c>
      <c r="V285" s="161">
        <v>0</v>
      </c>
      <c r="W285" s="161">
        <f t="shared" si="25"/>
        <v>-916</v>
      </c>
      <c r="X285" s="161">
        <f t="shared" si="26"/>
        <v>0</v>
      </c>
      <c r="Y285" s="161">
        <f t="shared" si="27"/>
        <v>-916</v>
      </c>
      <c r="Z285" s="161">
        <v>0</v>
      </c>
      <c r="AA285" s="161">
        <f t="shared" si="28"/>
        <v>-916</v>
      </c>
      <c r="AB285" s="161">
        <f t="shared" si="29"/>
        <v>668</v>
      </c>
      <c r="AC285" s="158"/>
      <c r="AD285" s="158"/>
    </row>
    <row r="286" spans="1:30" ht="12.75" customHeight="1" x14ac:dyDescent="0.3">
      <c r="A286" s="147">
        <v>18</v>
      </c>
      <c r="B286" s="158" t="s">
        <v>888</v>
      </c>
      <c r="C286" s="158" t="s">
        <v>409</v>
      </c>
      <c r="D286" s="163" t="s">
        <v>889</v>
      </c>
      <c r="E286" s="160" t="s">
        <v>25</v>
      </c>
      <c r="F286" s="158" t="s">
        <v>25</v>
      </c>
      <c r="G286" s="160" t="s">
        <v>866</v>
      </c>
      <c r="H286" s="161">
        <v>0</v>
      </c>
      <c r="I286" s="161">
        <v>0</v>
      </c>
      <c r="J286" s="161">
        <v>0</v>
      </c>
      <c r="K286" s="161">
        <v>0</v>
      </c>
      <c r="L286" s="161">
        <v>0</v>
      </c>
      <c r="M286" s="162">
        <v>0</v>
      </c>
      <c r="N286" s="161">
        <v>0</v>
      </c>
      <c r="O286" s="162">
        <f t="shared" si="24"/>
        <v>0</v>
      </c>
      <c r="P286" s="161">
        <v>0</v>
      </c>
      <c r="Q286" s="161">
        <v>0</v>
      </c>
      <c r="R286" s="161">
        <v>0</v>
      </c>
      <c r="S286" s="161">
        <v>-1697</v>
      </c>
      <c r="T286" s="161">
        <v>0</v>
      </c>
      <c r="U286" s="161">
        <v>0</v>
      </c>
      <c r="V286" s="161">
        <v>0</v>
      </c>
      <c r="W286" s="161">
        <f t="shared" si="25"/>
        <v>-1697</v>
      </c>
      <c r="X286" s="161">
        <f t="shared" si="26"/>
        <v>0</v>
      </c>
      <c r="Y286" s="161">
        <f t="shared" si="27"/>
        <v>-1697</v>
      </c>
      <c r="Z286" s="161">
        <v>0</v>
      </c>
      <c r="AA286" s="161">
        <f t="shared" si="28"/>
        <v>-1697</v>
      </c>
      <c r="AB286" s="161">
        <f t="shared" si="29"/>
        <v>-1697</v>
      </c>
      <c r="AC286" s="158"/>
      <c r="AD286" s="158"/>
    </row>
    <row r="287" spans="1:30" ht="12.75" customHeight="1" x14ac:dyDescent="0.3">
      <c r="A287" s="147">
        <v>18</v>
      </c>
      <c r="B287" s="158" t="s">
        <v>457</v>
      </c>
      <c r="C287" s="160" t="s">
        <v>183</v>
      </c>
      <c r="D287" s="177" t="s">
        <v>887</v>
      </c>
      <c r="E287" s="160" t="s">
        <v>25</v>
      </c>
      <c r="F287" s="158" t="s">
        <v>25</v>
      </c>
      <c r="G287" s="160" t="s">
        <v>866</v>
      </c>
      <c r="H287" s="161">
        <v>4774</v>
      </c>
      <c r="I287" s="161">
        <v>0</v>
      </c>
      <c r="J287" s="161">
        <v>0</v>
      </c>
      <c r="K287" s="161">
        <v>0</v>
      </c>
      <c r="L287" s="161">
        <v>-2241</v>
      </c>
      <c r="M287" s="162">
        <v>-25</v>
      </c>
      <c r="N287" s="161">
        <v>0</v>
      </c>
      <c r="O287" s="162">
        <f t="shared" si="24"/>
        <v>2508</v>
      </c>
      <c r="P287" s="161">
        <v>-1611</v>
      </c>
      <c r="Q287" s="161">
        <v>0</v>
      </c>
      <c r="R287" s="161">
        <v>0</v>
      </c>
      <c r="S287" s="161">
        <v>0</v>
      </c>
      <c r="T287" s="161">
        <v>0</v>
      </c>
      <c r="U287" s="161">
        <v>0</v>
      </c>
      <c r="V287" s="161">
        <v>0</v>
      </c>
      <c r="W287" s="161">
        <f t="shared" si="25"/>
        <v>897</v>
      </c>
      <c r="X287" s="161">
        <f t="shared" si="26"/>
        <v>897</v>
      </c>
      <c r="Y287" s="161">
        <f t="shared" si="27"/>
        <v>0</v>
      </c>
      <c r="Z287" s="161">
        <v>0</v>
      </c>
      <c r="AA287" s="161">
        <f t="shared" si="28"/>
        <v>0</v>
      </c>
      <c r="AB287" s="161">
        <f t="shared" si="29"/>
        <v>1611</v>
      </c>
      <c r="AC287" s="158" t="s">
        <v>939</v>
      </c>
      <c r="AD287" s="158"/>
    </row>
    <row r="288" spans="1:30" ht="12.75" customHeight="1" x14ac:dyDescent="0.3">
      <c r="A288" s="147">
        <v>18</v>
      </c>
      <c r="B288" s="158" t="s">
        <v>890</v>
      </c>
      <c r="C288" s="160" t="s">
        <v>42</v>
      </c>
      <c r="D288" s="158" t="s">
        <v>903</v>
      </c>
      <c r="E288" s="160" t="s">
        <v>25</v>
      </c>
      <c r="F288" s="158" t="s">
        <v>25</v>
      </c>
      <c r="G288" s="160" t="s">
        <v>866</v>
      </c>
      <c r="H288" s="161">
        <v>4983</v>
      </c>
      <c r="I288" s="161">
        <v>0</v>
      </c>
      <c r="J288" s="161">
        <v>0</v>
      </c>
      <c r="K288" s="161">
        <v>0</v>
      </c>
      <c r="L288" s="161">
        <v>-1332</v>
      </c>
      <c r="M288" s="162">
        <v>-25</v>
      </c>
      <c r="N288" s="161">
        <v>0</v>
      </c>
      <c r="O288" s="162">
        <f t="shared" si="24"/>
        <v>3626</v>
      </c>
      <c r="P288" s="161">
        <v>-2500</v>
      </c>
      <c r="Q288" s="161">
        <v>-414</v>
      </c>
      <c r="R288" s="161">
        <v>0</v>
      </c>
      <c r="S288" s="161">
        <v>0</v>
      </c>
      <c r="T288" s="161">
        <v>0</v>
      </c>
      <c r="U288" s="161">
        <v>0</v>
      </c>
      <c r="V288" s="161">
        <v>0</v>
      </c>
      <c r="W288" s="161">
        <f t="shared" si="25"/>
        <v>712</v>
      </c>
      <c r="X288" s="161">
        <f t="shared" si="26"/>
        <v>712</v>
      </c>
      <c r="Y288" s="161">
        <f t="shared" si="27"/>
        <v>0</v>
      </c>
      <c r="Z288" s="161">
        <v>0</v>
      </c>
      <c r="AA288" s="161">
        <f t="shared" si="28"/>
        <v>0</v>
      </c>
      <c r="AB288" s="161">
        <f t="shared" si="29"/>
        <v>2914</v>
      </c>
      <c r="AC288" s="161" t="s">
        <v>374</v>
      </c>
      <c r="AD288" s="158"/>
    </row>
    <row r="289" spans="1:30" ht="12.75" customHeight="1" x14ac:dyDescent="0.3">
      <c r="A289" s="147">
        <v>18</v>
      </c>
      <c r="B289" s="158" t="s">
        <v>872</v>
      </c>
      <c r="C289" s="160" t="s">
        <v>64</v>
      </c>
      <c r="D289" s="158" t="s">
        <v>904</v>
      </c>
      <c r="E289" s="160" t="s">
        <v>25</v>
      </c>
      <c r="F289" s="158" t="s">
        <v>25</v>
      </c>
      <c r="G289" s="160" t="s">
        <v>866</v>
      </c>
      <c r="H289" s="161">
        <v>8910</v>
      </c>
      <c r="I289" s="161">
        <v>-151</v>
      </c>
      <c r="J289" s="161">
        <v>0</v>
      </c>
      <c r="K289" s="161">
        <v>-83</v>
      </c>
      <c r="L289" s="161">
        <v>-3125</v>
      </c>
      <c r="M289" s="162">
        <v>-25</v>
      </c>
      <c r="N289" s="161">
        <v>-83</v>
      </c>
      <c r="O289" s="162">
        <f t="shared" si="24"/>
        <v>5443</v>
      </c>
      <c r="P289" s="161">
        <v>-2500</v>
      </c>
      <c r="Q289" s="161">
        <v>-700</v>
      </c>
      <c r="R289" s="161">
        <v>0</v>
      </c>
      <c r="S289" s="161">
        <v>0</v>
      </c>
      <c r="T289" s="161">
        <v>-1000</v>
      </c>
      <c r="U289" s="161">
        <v>0</v>
      </c>
      <c r="V289" s="161">
        <v>0</v>
      </c>
      <c r="W289" s="161">
        <f t="shared" si="25"/>
        <v>1243</v>
      </c>
      <c r="X289" s="161">
        <f t="shared" si="26"/>
        <v>1243</v>
      </c>
      <c r="Y289" s="161">
        <f t="shared" si="27"/>
        <v>0</v>
      </c>
      <c r="Z289" s="161">
        <v>0</v>
      </c>
      <c r="AA289" s="161">
        <f t="shared" si="28"/>
        <v>0</v>
      </c>
      <c r="AB289" s="161">
        <f t="shared" si="29"/>
        <v>4200</v>
      </c>
      <c r="AC289" s="158" t="s">
        <v>374</v>
      </c>
      <c r="AD289" s="158"/>
    </row>
    <row r="290" spans="1:30" ht="12.75" customHeight="1" x14ac:dyDescent="0.3">
      <c r="A290" s="147">
        <v>18</v>
      </c>
      <c r="B290" s="158" t="s">
        <v>921</v>
      </c>
      <c r="C290" s="178" t="s">
        <v>59</v>
      </c>
      <c r="D290" s="160" t="s">
        <v>895</v>
      </c>
      <c r="E290" s="160" t="s">
        <v>25</v>
      </c>
      <c r="F290" s="158" t="s">
        <v>25</v>
      </c>
      <c r="G290" s="160" t="s">
        <v>866</v>
      </c>
      <c r="H290" s="161">
        <v>9538</v>
      </c>
      <c r="I290" s="161">
        <v>-49</v>
      </c>
      <c r="J290" s="161">
        <v>0</v>
      </c>
      <c r="K290" s="161">
        <v>0</v>
      </c>
      <c r="L290" s="161">
        <v>-954</v>
      </c>
      <c r="M290" s="162">
        <v>-25</v>
      </c>
      <c r="N290" s="161">
        <v>0</v>
      </c>
      <c r="O290" s="162">
        <f t="shared" si="24"/>
        <v>8510</v>
      </c>
      <c r="P290" s="161">
        <v>-2500</v>
      </c>
      <c r="Q290" s="161">
        <v>0</v>
      </c>
      <c r="R290" s="161">
        <v>0</v>
      </c>
      <c r="S290" s="161">
        <v>0</v>
      </c>
      <c r="T290" s="161">
        <v>0</v>
      </c>
      <c r="U290" s="161">
        <v>0</v>
      </c>
      <c r="V290" s="161">
        <v>0</v>
      </c>
      <c r="W290" s="161">
        <f t="shared" si="25"/>
        <v>6010</v>
      </c>
      <c r="X290" s="161">
        <f t="shared" si="26"/>
        <v>6010</v>
      </c>
      <c r="Y290" s="161">
        <f t="shared" si="27"/>
        <v>0</v>
      </c>
      <c r="Z290" s="161">
        <v>0</v>
      </c>
      <c r="AA290" s="161">
        <f t="shared" si="28"/>
        <v>0</v>
      </c>
      <c r="AB290" s="161">
        <f t="shared" si="29"/>
        <v>2500</v>
      </c>
      <c r="AC290" s="158" t="s">
        <v>374</v>
      </c>
      <c r="AD290" s="158"/>
    </row>
    <row r="291" spans="1:30" ht="12.75" customHeight="1" x14ac:dyDescent="0.3">
      <c r="A291" s="147">
        <v>18</v>
      </c>
      <c r="B291" s="158" t="s">
        <v>874</v>
      </c>
      <c r="C291" s="160" t="s">
        <v>195</v>
      </c>
      <c r="D291" s="158" t="s">
        <v>20</v>
      </c>
      <c r="E291" s="160" t="s">
        <v>871</v>
      </c>
      <c r="F291" s="158" t="s">
        <v>25</v>
      </c>
      <c r="G291" s="160" t="s">
        <v>866</v>
      </c>
      <c r="H291" s="161">
        <v>0</v>
      </c>
      <c r="I291" s="161">
        <v>0</v>
      </c>
      <c r="J291" s="161">
        <v>0</v>
      </c>
      <c r="K291" s="161">
        <v>0</v>
      </c>
      <c r="L291" s="161">
        <v>0</v>
      </c>
      <c r="M291" s="162">
        <v>0</v>
      </c>
      <c r="N291" s="161">
        <v>0</v>
      </c>
      <c r="O291" s="162">
        <f t="shared" si="24"/>
        <v>0</v>
      </c>
      <c r="P291" s="161">
        <v>-7431</v>
      </c>
      <c r="Q291" s="161">
        <v>0</v>
      </c>
      <c r="R291" s="161">
        <v>0</v>
      </c>
      <c r="S291" s="161">
        <v>0</v>
      </c>
      <c r="T291" s="161">
        <v>0</v>
      </c>
      <c r="U291" s="161">
        <v>0</v>
      </c>
      <c r="V291" s="161">
        <v>0</v>
      </c>
      <c r="W291" s="161">
        <f t="shared" si="25"/>
        <v>-7431</v>
      </c>
      <c r="X291" s="161">
        <f t="shared" si="26"/>
        <v>0</v>
      </c>
      <c r="Y291" s="161">
        <f t="shared" si="27"/>
        <v>-7431</v>
      </c>
      <c r="Z291" s="161">
        <v>7431</v>
      </c>
      <c r="AA291" s="161">
        <f t="shared" si="28"/>
        <v>0</v>
      </c>
      <c r="AB291" s="161">
        <f t="shared" si="29"/>
        <v>7431</v>
      </c>
      <c r="AC291" s="158" t="s">
        <v>940</v>
      </c>
      <c r="AD291" s="158"/>
    </row>
    <row r="292" spans="1:30" ht="12.75" customHeight="1" x14ac:dyDescent="0.3">
      <c r="A292" s="147">
        <v>18</v>
      </c>
      <c r="B292" s="158" t="s">
        <v>918</v>
      </c>
      <c r="C292" s="160" t="s">
        <v>169</v>
      </c>
      <c r="D292" s="158" t="s">
        <v>919</v>
      </c>
      <c r="E292" s="160" t="s">
        <v>871</v>
      </c>
      <c r="F292" s="158" t="s">
        <v>25</v>
      </c>
      <c r="G292" s="160" t="s">
        <v>866</v>
      </c>
      <c r="H292" s="161">
        <v>6407</v>
      </c>
      <c r="I292" s="161">
        <v>0</v>
      </c>
      <c r="J292" s="161">
        <v>0</v>
      </c>
      <c r="K292" s="161">
        <v>0</v>
      </c>
      <c r="L292" s="161">
        <v>-2190</v>
      </c>
      <c r="M292" s="162">
        <v>-25</v>
      </c>
      <c r="N292" s="161">
        <v>0</v>
      </c>
      <c r="O292" s="162">
        <f t="shared" si="24"/>
        <v>4192</v>
      </c>
      <c r="P292" s="161">
        <v>-2350</v>
      </c>
      <c r="Q292" s="161">
        <v>0</v>
      </c>
      <c r="R292" s="161">
        <v>0</v>
      </c>
      <c r="S292" s="161">
        <v>0</v>
      </c>
      <c r="T292" s="161">
        <v>0</v>
      </c>
      <c r="U292" s="161">
        <v>0</v>
      </c>
      <c r="V292" s="161">
        <v>0</v>
      </c>
      <c r="W292" s="161">
        <f t="shared" si="25"/>
        <v>1842</v>
      </c>
      <c r="X292" s="161">
        <f t="shared" si="26"/>
        <v>1842</v>
      </c>
      <c r="Y292" s="161">
        <f t="shared" si="27"/>
        <v>0</v>
      </c>
      <c r="Z292" s="161">
        <v>0</v>
      </c>
      <c r="AA292" s="161">
        <f t="shared" si="28"/>
        <v>0</v>
      </c>
      <c r="AB292" s="161">
        <f t="shared" si="29"/>
        <v>2350</v>
      </c>
      <c r="AC292" s="158" t="s">
        <v>374</v>
      </c>
      <c r="AD292" s="158"/>
    </row>
    <row r="293" spans="1:30" ht="12.75" customHeight="1" x14ac:dyDescent="0.3">
      <c r="A293" s="147">
        <v>18</v>
      </c>
      <c r="B293" s="158" t="s">
        <v>876</v>
      </c>
      <c r="C293" s="158" t="s">
        <v>150</v>
      </c>
      <c r="D293" s="158" t="s">
        <v>877</v>
      </c>
      <c r="E293" s="160" t="s">
        <v>25</v>
      </c>
      <c r="F293" s="158" t="s">
        <v>25</v>
      </c>
      <c r="G293" s="160" t="s">
        <v>866</v>
      </c>
      <c r="H293" s="161">
        <v>3947</v>
      </c>
      <c r="I293" s="161">
        <v>0</v>
      </c>
      <c r="J293" s="161">
        <v>0</v>
      </c>
      <c r="K293" s="161">
        <v>0</v>
      </c>
      <c r="L293" s="161">
        <v>-1322</v>
      </c>
      <c r="M293" s="162">
        <v>-25</v>
      </c>
      <c r="N293" s="161">
        <v>0</v>
      </c>
      <c r="O293" s="162">
        <f t="shared" si="24"/>
        <v>2600</v>
      </c>
      <c r="P293" s="161">
        <v>-2500</v>
      </c>
      <c r="Q293" s="161">
        <v>-1199</v>
      </c>
      <c r="R293" s="161">
        <v>0</v>
      </c>
      <c r="S293" s="161">
        <v>0</v>
      </c>
      <c r="T293" s="161">
        <v>0</v>
      </c>
      <c r="U293" s="161">
        <v>0</v>
      </c>
      <c r="V293" s="161">
        <v>0</v>
      </c>
      <c r="W293" s="161">
        <f t="shared" si="25"/>
        <v>-1099</v>
      </c>
      <c r="X293" s="161">
        <f t="shared" si="26"/>
        <v>0</v>
      </c>
      <c r="Y293" s="161">
        <f t="shared" si="27"/>
        <v>-1099</v>
      </c>
      <c r="Z293" s="161">
        <v>0</v>
      </c>
      <c r="AA293" s="161">
        <f t="shared" si="28"/>
        <v>-1099</v>
      </c>
      <c r="AB293" s="161">
        <f t="shared" si="29"/>
        <v>1501</v>
      </c>
      <c r="AC293" s="158"/>
      <c r="AD293" s="158"/>
    </row>
    <row r="294" spans="1:30" ht="12.75" customHeight="1" x14ac:dyDescent="0.3">
      <c r="A294" s="147">
        <v>18</v>
      </c>
      <c r="B294" s="158" t="s">
        <v>484</v>
      </c>
      <c r="C294" s="160" t="s">
        <v>46</v>
      </c>
      <c r="D294" s="158" t="s">
        <v>915</v>
      </c>
      <c r="E294" s="160" t="s">
        <v>25</v>
      </c>
      <c r="F294" s="158" t="s">
        <v>25</v>
      </c>
      <c r="G294" s="160" t="s">
        <v>866</v>
      </c>
      <c r="H294" s="161">
        <v>8572</v>
      </c>
      <c r="I294" s="161">
        <v>-151</v>
      </c>
      <c r="J294" s="161">
        <v>0</v>
      </c>
      <c r="K294" s="161">
        <v>0</v>
      </c>
      <c r="L294" s="161">
        <v>-4598</v>
      </c>
      <c r="M294" s="162">
        <v>-25</v>
      </c>
      <c r="N294" s="161">
        <v>0</v>
      </c>
      <c r="O294" s="162">
        <f t="shared" si="24"/>
        <v>3798</v>
      </c>
      <c r="P294" s="161">
        <v>-2500</v>
      </c>
      <c r="Q294" s="161">
        <v>40</v>
      </c>
      <c r="R294" s="161">
        <v>0</v>
      </c>
      <c r="S294" s="161">
        <v>0</v>
      </c>
      <c r="T294" s="161">
        <v>0</v>
      </c>
      <c r="U294" s="161">
        <v>0</v>
      </c>
      <c r="V294" s="161">
        <v>0</v>
      </c>
      <c r="W294" s="161">
        <f t="shared" si="25"/>
        <v>1338</v>
      </c>
      <c r="X294" s="161">
        <f t="shared" si="26"/>
        <v>1338</v>
      </c>
      <c r="Y294" s="161">
        <f t="shared" si="27"/>
        <v>0</v>
      </c>
      <c r="Z294" s="161">
        <v>0</v>
      </c>
      <c r="AA294" s="161">
        <f t="shared" si="28"/>
        <v>0</v>
      </c>
      <c r="AB294" s="161">
        <f t="shared" si="29"/>
        <v>2460</v>
      </c>
      <c r="AC294" s="158" t="s">
        <v>941</v>
      </c>
      <c r="AD294" s="158"/>
    </row>
    <row r="295" spans="1:30" ht="12.75" customHeight="1" x14ac:dyDescent="0.3">
      <c r="A295" s="147">
        <v>18</v>
      </c>
      <c r="B295" s="158" t="s">
        <v>408</v>
      </c>
      <c r="C295" s="160" t="s">
        <v>878</v>
      </c>
      <c r="D295" s="158" t="s">
        <v>879</v>
      </c>
      <c r="E295" s="160" t="s">
        <v>25</v>
      </c>
      <c r="F295" s="158" t="s">
        <v>25</v>
      </c>
      <c r="G295" s="160" t="s">
        <v>866</v>
      </c>
      <c r="H295" s="161">
        <v>3695</v>
      </c>
      <c r="I295" s="161">
        <v>-18</v>
      </c>
      <c r="J295" s="161">
        <v>0</v>
      </c>
      <c r="K295" s="161">
        <v>0</v>
      </c>
      <c r="L295" s="161">
        <v>-954</v>
      </c>
      <c r="M295" s="162">
        <v>-25</v>
      </c>
      <c r="N295" s="161">
        <v>-212.5</v>
      </c>
      <c r="O295" s="162">
        <f t="shared" si="24"/>
        <v>2485.5</v>
      </c>
      <c r="P295" s="161">
        <v>-2500</v>
      </c>
      <c r="Q295" s="161">
        <v>0</v>
      </c>
      <c r="R295" s="161">
        <v>0</v>
      </c>
      <c r="S295" s="161">
        <v>0</v>
      </c>
      <c r="T295" s="161">
        <v>0</v>
      </c>
      <c r="U295" s="161">
        <v>0</v>
      </c>
      <c r="V295" s="161">
        <v>0</v>
      </c>
      <c r="W295" s="161">
        <f t="shared" si="25"/>
        <v>-14.5</v>
      </c>
      <c r="X295" s="161">
        <f t="shared" si="26"/>
        <v>0</v>
      </c>
      <c r="Y295" s="161">
        <f t="shared" si="27"/>
        <v>-14.5</v>
      </c>
      <c r="Z295" s="161">
        <v>0</v>
      </c>
      <c r="AA295" s="161">
        <f t="shared" si="28"/>
        <v>-14.5</v>
      </c>
      <c r="AB295" s="161">
        <f t="shared" si="29"/>
        <v>2471</v>
      </c>
      <c r="AC295" s="158"/>
      <c r="AD295" s="158"/>
    </row>
    <row r="296" spans="1:30" ht="12.75" customHeight="1" x14ac:dyDescent="0.3">
      <c r="A296" s="147">
        <v>18</v>
      </c>
      <c r="B296" s="158" t="s">
        <v>923</v>
      </c>
      <c r="C296" s="158" t="s">
        <v>372</v>
      </c>
      <c r="D296" s="158" t="s">
        <v>20</v>
      </c>
      <c r="E296" s="158" t="s">
        <v>39</v>
      </c>
      <c r="F296" s="158" t="s">
        <v>25</v>
      </c>
      <c r="G296" s="160" t="s">
        <v>866</v>
      </c>
      <c r="H296" s="161">
        <v>4134</v>
      </c>
      <c r="I296" s="161">
        <v>-2</v>
      </c>
      <c r="J296" s="161">
        <v>0</v>
      </c>
      <c r="K296" s="161">
        <v>0</v>
      </c>
      <c r="L296" s="161">
        <v>-1583</v>
      </c>
      <c r="M296" s="162">
        <v>-25</v>
      </c>
      <c r="N296" s="161">
        <v>0</v>
      </c>
      <c r="O296" s="162">
        <f t="shared" si="24"/>
        <v>2524</v>
      </c>
      <c r="P296" s="161">
        <v>-2500</v>
      </c>
      <c r="Q296" s="161">
        <v>0</v>
      </c>
      <c r="R296" s="161">
        <v>-500</v>
      </c>
      <c r="S296" s="161">
        <v>0</v>
      </c>
      <c r="T296" s="161">
        <v>0</v>
      </c>
      <c r="U296" s="161">
        <v>0</v>
      </c>
      <c r="V296" s="161">
        <v>0</v>
      </c>
      <c r="W296" s="161">
        <f t="shared" si="25"/>
        <v>-476</v>
      </c>
      <c r="X296" s="161">
        <f t="shared" si="26"/>
        <v>0</v>
      </c>
      <c r="Y296" s="161">
        <f t="shared" si="27"/>
        <v>-476</v>
      </c>
      <c r="Z296" s="161">
        <v>476</v>
      </c>
      <c r="AA296" s="161">
        <f t="shared" si="28"/>
        <v>0</v>
      </c>
      <c r="AB296" s="161">
        <f t="shared" si="29"/>
        <v>3000</v>
      </c>
      <c r="AC296" s="158"/>
      <c r="AD296" s="158"/>
    </row>
    <row r="297" spans="1:30" ht="12.75" customHeight="1" x14ac:dyDescent="0.3">
      <c r="A297" s="147">
        <v>18</v>
      </c>
      <c r="B297" s="158" t="s">
        <v>880</v>
      </c>
      <c r="C297" s="160" t="s">
        <v>57</v>
      </c>
      <c r="D297" s="158" t="s">
        <v>881</v>
      </c>
      <c r="E297" s="160" t="s">
        <v>25</v>
      </c>
      <c r="F297" s="158" t="s">
        <v>25</v>
      </c>
      <c r="G297" s="160" t="s">
        <v>866</v>
      </c>
      <c r="H297" s="161">
        <v>5136</v>
      </c>
      <c r="I297" s="161">
        <v>-38</v>
      </c>
      <c r="J297" s="161">
        <v>0</v>
      </c>
      <c r="K297" s="161">
        <v>0</v>
      </c>
      <c r="L297" s="161">
        <v>-2176</v>
      </c>
      <c r="M297" s="162">
        <v>-25</v>
      </c>
      <c r="N297" s="161">
        <v>0</v>
      </c>
      <c r="O297" s="162">
        <f t="shared" si="24"/>
        <v>2897</v>
      </c>
      <c r="P297" s="161">
        <v>-2300</v>
      </c>
      <c r="Q297" s="161">
        <v>0</v>
      </c>
      <c r="R297" s="161">
        <v>0</v>
      </c>
      <c r="S297" s="161">
        <v>0</v>
      </c>
      <c r="T297" s="161">
        <v>0</v>
      </c>
      <c r="U297" s="161">
        <v>0</v>
      </c>
      <c r="V297" s="161">
        <v>0</v>
      </c>
      <c r="W297" s="161">
        <f t="shared" si="25"/>
        <v>597</v>
      </c>
      <c r="X297" s="161">
        <f t="shared" si="26"/>
        <v>597</v>
      </c>
      <c r="Y297" s="161">
        <f t="shared" si="27"/>
        <v>0</v>
      </c>
      <c r="Z297" s="161">
        <v>0</v>
      </c>
      <c r="AA297" s="161">
        <f t="shared" si="28"/>
        <v>0</v>
      </c>
      <c r="AB297" s="161">
        <f t="shared" si="29"/>
        <v>2300</v>
      </c>
      <c r="AC297" s="158" t="s">
        <v>374</v>
      </c>
      <c r="AD297" s="158"/>
    </row>
    <row r="298" spans="1:30" ht="12.75" customHeight="1" x14ac:dyDescent="0.3">
      <c r="A298" s="147">
        <v>18</v>
      </c>
      <c r="B298" s="158" t="s">
        <v>922</v>
      </c>
      <c r="C298" s="158" t="s">
        <v>347</v>
      </c>
      <c r="D298" s="158" t="s">
        <v>897</v>
      </c>
      <c r="E298" s="160" t="s">
        <v>25</v>
      </c>
      <c r="F298" s="158" t="s">
        <v>25</v>
      </c>
      <c r="G298" s="160" t="s">
        <v>866</v>
      </c>
      <c r="H298" s="161">
        <v>7845</v>
      </c>
      <c r="I298" s="161">
        <v>-48</v>
      </c>
      <c r="J298" s="161">
        <v>0</v>
      </c>
      <c r="K298" s="161">
        <v>0</v>
      </c>
      <c r="L298" s="161">
        <v>-3039</v>
      </c>
      <c r="M298" s="162">
        <v>-25</v>
      </c>
      <c r="N298" s="161">
        <v>0</v>
      </c>
      <c r="O298" s="162">
        <f t="shared" si="24"/>
        <v>4733</v>
      </c>
      <c r="P298" s="161">
        <v>-2500</v>
      </c>
      <c r="Q298" s="161">
        <v>-300</v>
      </c>
      <c r="R298" s="161">
        <v>0</v>
      </c>
      <c r="S298" s="161">
        <v>0</v>
      </c>
      <c r="T298" s="161">
        <v>0</v>
      </c>
      <c r="U298" s="161">
        <v>0</v>
      </c>
      <c r="V298" s="161">
        <v>0</v>
      </c>
      <c r="W298" s="161">
        <f t="shared" si="25"/>
        <v>1933</v>
      </c>
      <c r="X298" s="161">
        <f t="shared" si="26"/>
        <v>1933</v>
      </c>
      <c r="Y298" s="161">
        <f t="shared" si="27"/>
        <v>0</v>
      </c>
      <c r="Z298" s="161">
        <v>0</v>
      </c>
      <c r="AA298" s="161">
        <f t="shared" si="28"/>
        <v>0</v>
      </c>
      <c r="AB298" s="161">
        <f t="shared" si="29"/>
        <v>2800</v>
      </c>
      <c r="AC298" s="158" t="s">
        <v>374</v>
      </c>
      <c r="AD298" s="158"/>
    </row>
    <row r="299" spans="1:30" ht="12.75" customHeight="1" x14ac:dyDescent="0.3">
      <c r="A299" s="147">
        <v>18</v>
      </c>
      <c r="B299" s="158" t="s">
        <v>924</v>
      </c>
      <c r="C299" s="158" t="s">
        <v>100</v>
      </c>
      <c r="D299" s="158" t="s">
        <v>892</v>
      </c>
      <c r="E299" s="160" t="s">
        <v>25</v>
      </c>
      <c r="F299" s="158" t="s">
        <v>25</v>
      </c>
      <c r="G299" s="160" t="s">
        <v>866</v>
      </c>
      <c r="H299" s="161">
        <v>212</v>
      </c>
      <c r="I299" s="161">
        <v>0</v>
      </c>
      <c r="J299" s="161">
        <v>0</v>
      </c>
      <c r="K299" s="161">
        <v>0</v>
      </c>
      <c r="L299" s="161">
        <v>-54</v>
      </c>
      <c r="M299" s="162">
        <v>-25</v>
      </c>
      <c r="N299" s="161">
        <v>-53</v>
      </c>
      <c r="O299" s="162">
        <f t="shared" si="24"/>
        <v>80</v>
      </c>
      <c r="P299" s="161">
        <v>-2500</v>
      </c>
      <c r="Q299" s="161">
        <v>-636</v>
      </c>
      <c r="R299" s="161">
        <v>0</v>
      </c>
      <c r="S299" s="161">
        <v>0</v>
      </c>
      <c r="T299" s="161">
        <v>0</v>
      </c>
      <c r="U299" s="161">
        <v>0</v>
      </c>
      <c r="V299" s="161">
        <v>0</v>
      </c>
      <c r="W299" s="161">
        <f t="shared" si="25"/>
        <v>-3056</v>
      </c>
      <c r="X299" s="161">
        <f t="shared" si="26"/>
        <v>0</v>
      </c>
      <c r="Y299" s="161">
        <f t="shared" si="27"/>
        <v>-3056</v>
      </c>
      <c r="Z299" s="161">
        <v>2400</v>
      </c>
      <c r="AA299" s="161">
        <f t="shared" si="28"/>
        <v>-656</v>
      </c>
      <c r="AB299" s="161">
        <f t="shared" si="29"/>
        <v>1824</v>
      </c>
      <c r="AC299" s="158" t="s">
        <v>942</v>
      </c>
      <c r="AD299" s="158"/>
    </row>
    <row r="300" spans="1:30" ht="12.75" customHeight="1" x14ac:dyDescent="0.3">
      <c r="A300" s="147">
        <v>19</v>
      </c>
      <c r="B300" s="158" t="s">
        <v>585</v>
      </c>
      <c r="C300" s="160" t="s">
        <v>257</v>
      </c>
      <c r="D300" s="160" t="s">
        <v>943</v>
      </c>
      <c r="E300" s="160" t="s">
        <v>25</v>
      </c>
      <c r="F300" s="158" t="s">
        <v>25</v>
      </c>
      <c r="G300" s="160" t="s">
        <v>866</v>
      </c>
      <c r="H300" s="161">
        <v>379</v>
      </c>
      <c r="I300" s="161">
        <v>-5</v>
      </c>
      <c r="J300" s="161">
        <v>0</v>
      </c>
      <c r="K300" s="161">
        <v>0</v>
      </c>
      <c r="L300" s="161">
        <v>0</v>
      </c>
      <c r="M300" s="162">
        <v>-30</v>
      </c>
      <c r="N300" s="161">
        <v>0</v>
      </c>
      <c r="O300" s="162">
        <f t="shared" si="24"/>
        <v>344</v>
      </c>
      <c r="P300" s="161">
        <v>-2500</v>
      </c>
      <c r="Q300" s="161">
        <v>0</v>
      </c>
      <c r="R300" s="161">
        <v>0</v>
      </c>
      <c r="S300" s="161">
        <v>0</v>
      </c>
      <c r="T300" s="161">
        <v>-500</v>
      </c>
      <c r="U300" s="161">
        <v>0</v>
      </c>
      <c r="V300" s="161">
        <v>0</v>
      </c>
      <c r="W300" s="161">
        <f t="shared" si="25"/>
        <v>-2656</v>
      </c>
      <c r="X300" s="161">
        <f t="shared" si="26"/>
        <v>0</v>
      </c>
      <c r="Y300" s="161">
        <f t="shared" si="27"/>
        <v>-2656</v>
      </c>
      <c r="Z300" s="161">
        <v>2656</v>
      </c>
      <c r="AA300" s="161">
        <f t="shared" si="28"/>
        <v>0</v>
      </c>
      <c r="AB300" s="161">
        <f t="shared" si="29"/>
        <v>3000</v>
      </c>
      <c r="AC300" s="158"/>
      <c r="AD300" s="158"/>
    </row>
    <row r="301" spans="1:30" ht="12.75" customHeight="1" x14ac:dyDescent="0.3">
      <c r="A301" s="147">
        <v>19</v>
      </c>
      <c r="B301" s="158" t="s">
        <v>944</v>
      </c>
      <c r="C301" s="160" t="s">
        <v>101</v>
      </c>
      <c r="D301" s="160" t="s">
        <v>945</v>
      </c>
      <c r="E301" s="160" t="s">
        <v>25</v>
      </c>
      <c r="F301" s="158" t="s">
        <v>25</v>
      </c>
      <c r="G301" s="160" t="s">
        <v>866</v>
      </c>
      <c r="H301" s="161">
        <v>3721</v>
      </c>
      <c r="I301" s="161">
        <v>-54</v>
      </c>
      <c r="J301" s="161">
        <v>0</v>
      </c>
      <c r="K301" s="161">
        <v>0</v>
      </c>
      <c r="L301" s="161">
        <v>-638</v>
      </c>
      <c r="M301" s="162">
        <v>-30</v>
      </c>
      <c r="N301" s="161">
        <v>0</v>
      </c>
      <c r="O301" s="162">
        <f t="shared" si="24"/>
        <v>2999</v>
      </c>
      <c r="P301" s="161">
        <v>-1432</v>
      </c>
      <c r="Q301" s="161">
        <v>0</v>
      </c>
      <c r="R301" s="161">
        <v>-500</v>
      </c>
      <c r="S301" s="161">
        <v>0</v>
      </c>
      <c r="T301" s="161">
        <v>0</v>
      </c>
      <c r="U301" s="161">
        <v>0</v>
      </c>
      <c r="V301" s="161">
        <v>0</v>
      </c>
      <c r="W301" s="161">
        <f t="shared" si="25"/>
        <v>1067</v>
      </c>
      <c r="X301" s="161">
        <f t="shared" si="26"/>
        <v>1067</v>
      </c>
      <c r="Y301" s="161">
        <f t="shared" si="27"/>
        <v>0</v>
      </c>
      <c r="Z301" s="161">
        <v>0</v>
      </c>
      <c r="AA301" s="161">
        <f t="shared" si="28"/>
        <v>0</v>
      </c>
      <c r="AB301" s="161">
        <f t="shared" si="29"/>
        <v>1932</v>
      </c>
      <c r="AC301" s="158"/>
      <c r="AD301" s="158"/>
    </row>
    <row r="302" spans="1:30" ht="12.75" customHeight="1" x14ac:dyDescent="0.3">
      <c r="A302" s="147">
        <v>19</v>
      </c>
      <c r="B302" s="158" t="s">
        <v>913</v>
      </c>
      <c r="C302" s="158" t="s">
        <v>120</v>
      </c>
      <c r="D302" s="158" t="s">
        <v>20</v>
      </c>
      <c r="E302" s="160" t="s">
        <v>25</v>
      </c>
      <c r="F302" s="158" t="s">
        <v>25</v>
      </c>
      <c r="G302" s="160" t="s">
        <v>866</v>
      </c>
      <c r="H302" s="161">
        <v>0</v>
      </c>
      <c r="I302" s="161">
        <v>0</v>
      </c>
      <c r="J302" s="161">
        <v>0</v>
      </c>
      <c r="K302" s="161">
        <v>0</v>
      </c>
      <c r="L302" s="161">
        <v>0</v>
      </c>
      <c r="M302" s="162">
        <v>0</v>
      </c>
      <c r="N302" s="161">
        <v>0</v>
      </c>
      <c r="O302" s="162">
        <f t="shared" si="24"/>
        <v>0</v>
      </c>
      <c r="P302" s="161">
        <v>0</v>
      </c>
      <c r="Q302" s="161">
        <v>0</v>
      </c>
      <c r="R302" s="161">
        <v>500</v>
      </c>
      <c r="S302" s="161">
        <v>0</v>
      </c>
      <c r="T302" s="161">
        <v>0</v>
      </c>
      <c r="U302" s="161">
        <v>0</v>
      </c>
      <c r="V302" s="161">
        <v>0</v>
      </c>
      <c r="W302" s="161">
        <f t="shared" si="25"/>
        <v>500</v>
      </c>
      <c r="X302" s="161">
        <f t="shared" si="26"/>
        <v>500</v>
      </c>
      <c r="Y302" s="161">
        <f t="shared" si="27"/>
        <v>0</v>
      </c>
      <c r="Z302" s="161">
        <v>0</v>
      </c>
      <c r="AA302" s="161">
        <f t="shared" si="28"/>
        <v>0</v>
      </c>
      <c r="AB302" s="161">
        <f t="shared" si="29"/>
        <v>-500</v>
      </c>
      <c r="AC302" s="158"/>
      <c r="AD302" s="158"/>
    </row>
    <row r="303" spans="1:30" ht="12.75" customHeight="1" x14ac:dyDescent="0.3">
      <c r="A303" s="147">
        <v>19</v>
      </c>
      <c r="B303" s="158" t="s">
        <v>929</v>
      </c>
      <c r="C303" s="160" t="s">
        <v>409</v>
      </c>
      <c r="D303" s="160" t="s">
        <v>946</v>
      </c>
      <c r="E303" s="160" t="s">
        <v>25</v>
      </c>
      <c r="F303" s="158" t="s">
        <v>25</v>
      </c>
      <c r="G303" s="160" t="s">
        <v>866</v>
      </c>
      <c r="H303" s="161">
        <v>5517</v>
      </c>
      <c r="I303" s="161">
        <v>0</v>
      </c>
      <c r="J303" s="161">
        <v>0</v>
      </c>
      <c r="K303" s="161">
        <v>0</v>
      </c>
      <c r="L303" s="161">
        <v>-2528</v>
      </c>
      <c r="M303" s="162">
        <v>-30</v>
      </c>
      <c r="N303" s="161">
        <v>0</v>
      </c>
      <c r="O303" s="162">
        <f t="shared" si="24"/>
        <v>2959</v>
      </c>
      <c r="P303" s="161">
        <v>-2500</v>
      </c>
      <c r="Q303" s="161">
        <v>-916</v>
      </c>
      <c r="R303" s="161">
        <v>0</v>
      </c>
      <c r="S303" s="161">
        <v>0</v>
      </c>
      <c r="T303" s="161">
        <v>0</v>
      </c>
      <c r="U303" s="161">
        <v>0</v>
      </c>
      <c r="V303" s="161">
        <v>0</v>
      </c>
      <c r="W303" s="161">
        <f t="shared" si="25"/>
        <v>-457</v>
      </c>
      <c r="X303" s="161">
        <f t="shared" si="26"/>
        <v>0</v>
      </c>
      <c r="Y303" s="161">
        <f t="shared" si="27"/>
        <v>-457</v>
      </c>
      <c r="Z303" s="161">
        <v>0</v>
      </c>
      <c r="AA303" s="161">
        <f t="shared" si="28"/>
        <v>-457</v>
      </c>
      <c r="AB303" s="161">
        <f t="shared" si="29"/>
        <v>2502</v>
      </c>
      <c r="AC303" s="158"/>
      <c r="AD303" s="158"/>
    </row>
    <row r="304" spans="1:30" ht="12.75" customHeight="1" x14ac:dyDescent="0.3">
      <c r="A304" s="147">
        <v>19</v>
      </c>
      <c r="B304" s="158" t="s">
        <v>888</v>
      </c>
      <c r="C304" s="158" t="s">
        <v>409</v>
      </c>
      <c r="D304" s="163" t="s">
        <v>889</v>
      </c>
      <c r="E304" s="160" t="s">
        <v>25</v>
      </c>
      <c r="F304" s="158" t="s">
        <v>25</v>
      </c>
      <c r="G304" s="160" t="s">
        <v>866</v>
      </c>
      <c r="H304" s="161">
        <v>0</v>
      </c>
      <c r="I304" s="161">
        <v>0</v>
      </c>
      <c r="J304" s="161">
        <v>0</v>
      </c>
      <c r="K304" s="161">
        <v>0</v>
      </c>
      <c r="L304" s="161">
        <v>0</v>
      </c>
      <c r="M304" s="162">
        <v>0</v>
      </c>
      <c r="N304" s="161">
        <v>0</v>
      </c>
      <c r="O304" s="162">
        <f t="shared" si="24"/>
        <v>0</v>
      </c>
      <c r="P304" s="161">
        <v>0</v>
      </c>
      <c r="Q304" s="161">
        <v>0</v>
      </c>
      <c r="R304" s="161">
        <v>0</v>
      </c>
      <c r="S304" s="161">
        <v>-1697</v>
      </c>
      <c r="T304" s="161">
        <v>0</v>
      </c>
      <c r="U304" s="161">
        <v>0</v>
      </c>
      <c r="V304" s="161">
        <v>0</v>
      </c>
      <c r="W304" s="161">
        <f t="shared" si="25"/>
        <v>-1697</v>
      </c>
      <c r="X304" s="161">
        <f t="shared" si="26"/>
        <v>0</v>
      </c>
      <c r="Y304" s="161">
        <f t="shared" si="27"/>
        <v>-1697</v>
      </c>
      <c r="Z304" s="161">
        <v>0</v>
      </c>
      <c r="AA304" s="161">
        <f t="shared" si="28"/>
        <v>-1697</v>
      </c>
      <c r="AB304" s="161">
        <f t="shared" si="29"/>
        <v>-1697</v>
      </c>
      <c r="AC304" s="158" t="s">
        <v>947</v>
      </c>
      <c r="AD304" s="158"/>
    </row>
    <row r="305" spans="1:30" ht="12.75" customHeight="1" x14ac:dyDescent="0.3">
      <c r="A305" s="147">
        <v>19</v>
      </c>
      <c r="B305" s="158" t="s">
        <v>457</v>
      </c>
      <c r="C305" s="160" t="s">
        <v>183</v>
      </c>
      <c r="D305" s="160" t="s">
        <v>887</v>
      </c>
      <c r="E305" s="160" t="s">
        <v>25</v>
      </c>
      <c r="F305" s="158" t="s">
        <v>25</v>
      </c>
      <c r="G305" s="160" t="s">
        <v>866</v>
      </c>
      <c r="H305" s="161">
        <v>3903</v>
      </c>
      <c r="I305" s="161">
        <v>-7</v>
      </c>
      <c r="J305" s="161">
        <v>0</v>
      </c>
      <c r="K305" s="161">
        <v>0</v>
      </c>
      <c r="L305" s="161">
        <v>-1427</v>
      </c>
      <c r="M305" s="162">
        <v>-30</v>
      </c>
      <c r="N305" s="161">
        <v>0</v>
      </c>
      <c r="O305" s="162">
        <f t="shared" si="24"/>
        <v>2439</v>
      </c>
      <c r="P305" s="161">
        <v>-2500</v>
      </c>
      <c r="Q305" s="161">
        <v>1177</v>
      </c>
      <c r="R305" s="161">
        <v>-500</v>
      </c>
      <c r="S305" s="161">
        <v>0</v>
      </c>
      <c r="T305" s="161">
        <v>0</v>
      </c>
      <c r="U305" s="161">
        <v>0</v>
      </c>
      <c r="V305" s="161">
        <v>0</v>
      </c>
      <c r="W305" s="161">
        <f t="shared" si="25"/>
        <v>616</v>
      </c>
      <c r="X305" s="161">
        <f t="shared" si="26"/>
        <v>616</v>
      </c>
      <c r="Y305" s="161">
        <f t="shared" si="27"/>
        <v>0</v>
      </c>
      <c r="Z305" s="161">
        <v>0</v>
      </c>
      <c r="AA305" s="161">
        <f t="shared" si="28"/>
        <v>0</v>
      </c>
      <c r="AB305" s="161">
        <f t="shared" si="29"/>
        <v>1823</v>
      </c>
      <c r="AC305" s="158"/>
      <c r="AD305" s="158"/>
    </row>
    <row r="306" spans="1:30" ht="12.75" customHeight="1" x14ac:dyDescent="0.3">
      <c r="A306" s="147">
        <v>19</v>
      </c>
      <c r="B306" s="158" t="s">
        <v>890</v>
      </c>
      <c r="C306" s="160" t="s">
        <v>42</v>
      </c>
      <c r="D306" s="160" t="s">
        <v>948</v>
      </c>
      <c r="E306" s="160" t="s">
        <v>25</v>
      </c>
      <c r="F306" s="158" t="s">
        <v>25</v>
      </c>
      <c r="G306" s="160" t="s">
        <v>866</v>
      </c>
      <c r="H306" s="161">
        <v>4829</v>
      </c>
      <c r="I306" s="161">
        <v>-3</v>
      </c>
      <c r="J306" s="161">
        <v>0</v>
      </c>
      <c r="K306" s="161">
        <v>0</v>
      </c>
      <c r="L306" s="161">
        <v>-2115</v>
      </c>
      <c r="M306" s="162">
        <v>-30</v>
      </c>
      <c r="N306" s="161">
        <v>0</v>
      </c>
      <c r="O306" s="162">
        <f t="shared" si="24"/>
        <v>2681</v>
      </c>
      <c r="P306" s="161">
        <v>-2500</v>
      </c>
      <c r="Q306" s="161">
        <v>0</v>
      </c>
      <c r="R306" s="161">
        <v>0</v>
      </c>
      <c r="S306" s="161">
        <v>0</v>
      </c>
      <c r="T306" s="161">
        <v>0</v>
      </c>
      <c r="U306" s="161">
        <v>0</v>
      </c>
      <c r="V306" s="161">
        <v>0</v>
      </c>
      <c r="W306" s="161">
        <f t="shared" si="25"/>
        <v>181</v>
      </c>
      <c r="X306" s="161">
        <f t="shared" si="26"/>
        <v>181</v>
      </c>
      <c r="Y306" s="161">
        <f t="shared" si="27"/>
        <v>0</v>
      </c>
      <c r="Z306" s="161">
        <v>0</v>
      </c>
      <c r="AA306" s="161">
        <f t="shared" si="28"/>
        <v>0</v>
      </c>
      <c r="AB306" s="161">
        <f t="shared" si="29"/>
        <v>2500</v>
      </c>
      <c r="AC306" s="158"/>
      <c r="AD306" s="158"/>
    </row>
    <row r="307" spans="1:30" ht="12.75" customHeight="1" x14ac:dyDescent="0.3">
      <c r="A307" s="147">
        <v>19</v>
      </c>
      <c r="B307" s="158" t="s">
        <v>872</v>
      </c>
      <c r="C307" s="160" t="s">
        <v>64</v>
      </c>
      <c r="D307" s="160" t="s">
        <v>949</v>
      </c>
      <c r="E307" s="160" t="s">
        <v>25</v>
      </c>
      <c r="F307" s="158" t="s">
        <v>25</v>
      </c>
      <c r="G307" s="160" t="s">
        <v>866</v>
      </c>
      <c r="H307" s="161">
        <v>10032</v>
      </c>
      <c r="I307" s="161">
        <v>-120</v>
      </c>
      <c r="J307" s="161">
        <v>0</v>
      </c>
      <c r="K307" s="161">
        <v>-101</v>
      </c>
      <c r="L307" s="161">
        <v>-4313</v>
      </c>
      <c r="M307" s="162">
        <v>-30</v>
      </c>
      <c r="N307" s="161">
        <v>0</v>
      </c>
      <c r="O307" s="162">
        <f t="shared" si="24"/>
        <v>5468</v>
      </c>
      <c r="P307" s="161">
        <v>-2500</v>
      </c>
      <c r="Q307" s="161">
        <v>-1500</v>
      </c>
      <c r="R307" s="161">
        <v>0</v>
      </c>
      <c r="S307" s="161">
        <v>0</v>
      </c>
      <c r="T307" s="161">
        <v>0</v>
      </c>
      <c r="U307" s="161">
        <v>0</v>
      </c>
      <c r="V307" s="161">
        <v>0</v>
      </c>
      <c r="W307" s="161">
        <f t="shared" si="25"/>
        <v>1468</v>
      </c>
      <c r="X307" s="161">
        <f t="shared" si="26"/>
        <v>1468</v>
      </c>
      <c r="Y307" s="161">
        <f t="shared" si="27"/>
        <v>0</v>
      </c>
      <c r="Z307" s="161">
        <v>0</v>
      </c>
      <c r="AA307" s="161">
        <f t="shared" si="28"/>
        <v>0</v>
      </c>
      <c r="AB307" s="161">
        <f t="shared" si="29"/>
        <v>4000</v>
      </c>
      <c r="AC307" s="158"/>
      <c r="AD307" s="158"/>
    </row>
    <row r="308" spans="1:30" ht="12.75" customHeight="1" x14ac:dyDescent="0.3">
      <c r="A308" s="147">
        <v>19</v>
      </c>
      <c r="B308" s="158" t="s">
        <v>921</v>
      </c>
      <c r="C308" s="178" t="s">
        <v>59</v>
      </c>
      <c r="D308" s="160" t="s">
        <v>895</v>
      </c>
      <c r="E308" s="160" t="s">
        <v>25</v>
      </c>
      <c r="F308" s="158" t="s">
        <v>25</v>
      </c>
      <c r="G308" s="160" t="s">
        <v>866</v>
      </c>
      <c r="H308" s="161">
        <v>11121</v>
      </c>
      <c r="I308" s="161">
        <v>-145</v>
      </c>
      <c r="J308" s="161">
        <v>0</v>
      </c>
      <c r="K308" s="161">
        <v>0</v>
      </c>
      <c r="L308" s="161">
        <v>-5091</v>
      </c>
      <c r="M308" s="162">
        <v>-30</v>
      </c>
      <c r="N308" s="161">
        <v>0</v>
      </c>
      <c r="O308" s="162">
        <f t="shared" si="24"/>
        <v>5855</v>
      </c>
      <c r="P308" s="161">
        <v>-2500</v>
      </c>
      <c r="Q308" s="161">
        <v>0</v>
      </c>
      <c r="R308" s="161">
        <v>0</v>
      </c>
      <c r="S308" s="161">
        <v>0</v>
      </c>
      <c r="T308" s="161">
        <v>0</v>
      </c>
      <c r="U308" s="161">
        <v>0</v>
      </c>
      <c r="V308" s="161">
        <v>0</v>
      </c>
      <c r="W308" s="161">
        <f t="shared" si="25"/>
        <v>3355</v>
      </c>
      <c r="X308" s="161">
        <f t="shared" si="26"/>
        <v>3355</v>
      </c>
      <c r="Y308" s="161">
        <f t="shared" si="27"/>
        <v>0</v>
      </c>
      <c r="Z308" s="161">
        <v>0</v>
      </c>
      <c r="AA308" s="161">
        <f t="shared" si="28"/>
        <v>0</v>
      </c>
      <c r="AB308" s="161">
        <f t="shared" si="29"/>
        <v>2500</v>
      </c>
      <c r="AC308" s="158"/>
      <c r="AD308" s="158"/>
    </row>
    <row r="309" spans="1:30" ht="12.75" customHeight="1" x14ac:dyDescent="0.3">
      <c r="A309" s="147">
        <v>19</v>
      </c>
      <c r="B309" s="158" t="s">
        <v>874</v>
      </c>
      <c r="C309" s="160" t="s">
        <v>195</v>
      </c>
      <c r="D309" s="158" t="s">
        <v>20</v>
      </c>
      <c r="E309" s="160" t="s">
        <v>871</v>
      </c>
      <c r="F309" s="158" t="s">
        <v>25</v>
      </c>
      <c r="G309" s="160" t="s">
        <v>866</v>
      </c>
      <c r="H309" s="161">
        <v>0</v>
      </c>
      <c r="I309" s="161">
        <v>0</v>
      </c>
      <c r="J309" s="161">
        <v>0</v>
      </c>
      <c r="K309" s="161">
        <v>0</v>
      </c>
      <c r="L309" s="161">
        <v>0</v>
      </c>
      <c r="M309" s="162">
        <v>0</v>
      </c>
      <c r="N309" s="161">
        <v>0</v>
      </c>
      <c r="O309" s="162">
        <f t="shared" si="24"/>
        <v>0</v>
      </c>
      <c r="P309" s="161">
        <v>-4361</v>
      </c>
      <c r="Q309" s="161">
        <v>0</v>
      </c>
      <c r="R309" s="161">
        <v>0</v>
      </c>
      <c r="S309" s="161">
        <v>0</v>
      </c>
      <c r="T309" s="161">
        <v>0</v>
      </c>
      <c r="U309" s="161">
        <v>0</v>
      </c>
      <c r="V309" s="161">
        <v>0</v>
      </c>
      <c r="W309" s="161">
        <f t="shared" si="25"/>
        <v>-4361</v>
      </c>
      <c r="X309" s="161">
        <f t="shared" si="26"/>
        <v>0</v>
      </c>
      <c r="Y309" s="161">
        <f t="shared" si="27"/>
        <v>-4361</v>
      </c>
      <c r="Z309" s="161">
        <v>4361</v>
      </c>
      <c r="AA309" s="161">
        <f t="shared" si="28"/>
        <v>0</v>
      </c>
      <c r="AB309" s="161">
        <f t="shared" si="29"/>
        <v>4361</v>
      </c>
      <c r="AC309" s="158"/>
      <c r="AD309" s="158"/>
    </row>
    <row r="310" spans="1:30" ht="12.75" customHeight="1" x14ac:dyDescent="0.3">
      <c r="A310" s="147">
        <v>19</v>
      </c>
      <c r="B310" s="158" t="s">
        <v>918</v>
      </c>
      <c r="C310" s="178" t="s">
        <v>120</v>
      </c>
      <c r="D310" s="160" t="s">
        <v>950</v>
      </c>
      <c r="E310" s="158" t="s">
        <v>25</v>
      </c>
      <c r="F310" s="158" t="s">
        <v>25</v>
      </c>
      <c r="G310" s="160" t="s">
        <v>866</v>
      </c>
      <c r="H310" s="161">
        <v>0</v>
      </c>
      <c r="I310" s="161">
        <v>0</v>
      </c>
      <c r="J310" s="161">
        <v>0</v>
      </c>
      <c r="K310" s="161">
        <v>0</v>
      </c>
      <c r="L310" s="161">
        <v>0</v>
      </c>
      <c r="M310" s="162">
        <v>0</v>
      </c>
      <c r="N310" s="161"/>
      <c r="O310" s="162">
        <f t="shared" si="24"/>
        <v>0</v>
      </c>
      <c r="P310" s="161">
        <v>0</v>
      </c>
      <c r="Q310" s="161">
        <v>0</v>
      </c>
      <c r="R310" s="161">
        <v>0</v>
      </c>
      <c r="S310" s="161">
        <v>0</v>
      </c>
      <c r="T310" s="161">
        <v>0</v>
      </c>
      <c r="U310" s="161">
        <v>0</v>
      </c>
      <c r="V310" s="161">
        <v>0</v>
      </c>
      <c r="W310" s="161">
        <f t="shared" si="25"/>
        <v>0</v>
      </c>
      <c r="X310" s="161">
        <f t="shared" si="26"/>
        <v>0</v>
      </c>
      <c r="Y310" s="161">
        <f t="shared" si="27"/>
        <v>0</v>
      </c>
      <c r="Z310" s="161">
        <v>0</v>
      </c>
      <c r="AA310" s="161">
        <f t="shared" si="28"/>
        <v>0</v>
      </c>
      <c r="AB310" s="161">
        <f t="shared" si="29"/>
        <v>0</v>
      </c>
      <c r="AC310" s="158"/>
      <c r="AD310" s="158"/>
    </row>
    <row r="311" spans="1:30" ht="12.75" customHeight="1" x14ac:dyDescent="0.3">
      <c r="A311" s="147">
        <v>19</v>
      </c>
      <c r="B311" s="158" t="s">
        <v>876</v>
      </c>
      <c r="C311" s="158" t="s">
        <v>150</v>
      </c>
      <c r="D311" s="160" t="s">
        <v>877</v>
      </c>
      <c r="E311" s="160" t="s">
        <v>25</v>
      </c>
      <c r="F311" s="158" t="s">
        <v>25</v>
      </c>
      <c r="G311" s="160" t="s">
        <v>866</v>
      </c>
      <c r="H311" s="161">
        <v>3616</v>
      </c>
      <c r="I311" s="161">
        <v>0</v>
      </c>
      <c r="J311" s="161">
        <v>0</v>
      </c>
      <c r="K311" s="161">
        <v>0</v>
      </c>
      <c r="L311" s="161">
        <v>-405</v>
      </c>
      <c r="M311" s="162">
        <v>-30</v>
      </c>
      <c r="N311" s="161">
        <v>0</v>
      </c>
      <c r="O311" s="162">
        <f t="shared" si="24"/>
        <v>3181</v>
      </c>
      <c r="P311" s="161">
        <v>-2500</v>
      </c>
      <c r="Q311" s="161">
        <v>-1099</v>
      </c>
      <c r="R311" s="161">
        <v>0</v>
      </c>
      <c r="S311" s="161">
        <v>0</v>
      </c>
      <c r="T311" s="161">
        <v>0</v>
      </c>
      <c r="U311" s="161">
        <v>0</v>
      </c>
      <c r="V311" s="161">
        <v>0</v>
      </c>
      <c r="W311" s="161">
        <f t="shared" si="25"/>
        <v>-418</v>
      </c>
      <c r="X311" s="161">
        <f t="shared" si="26"/>
        <v>0</v>
      </c>
      <c r="Y311" s="161">
        <f t="shared" si="27"/>
        <v>-418</v>
      </c>
      <c r="Z311" s="161">
        <v>0</v>
      </c>
      <c r="AA311" s="161">
        <f t="shared" si="28"/>
        <v>-418</v>
      </c>
      <c r="AB311" s="161">
        <f t="shared" si="29"/>
        <v>2763</v>
      </c>
      <c r="AC311" s="158"/>
      <c r="AD311" s="158"/>
    </row>
    <row r="312" spans="1:30" ht="12.75" customHeight="1" x14ac:dyDescent="0.3">
      <c r="A312" s="147">
        <v>19</v>
      </c>
      <c r="B312" s="158" t="s">
        <v>484</v>
      </c>
      <c r="C312" s="160" t="s">
        <v>426</v>
      </c>
      <c r="D312" s="160" t="s">
        <v>903</v>
      </c>
      <c r="E312" s="160" t="s">
        <v>25</v>
      </c>
      <c r="F312" s="158" t="s">
        <v>25</v>
      </c>
      <c r="G312" s="160" t="s">
        <v>866</v>
      </c>
      <c r="H312" s="161">
        <v>8118</v>
      </c>
      <c r="I312" s="161">
        <v>-121</v>
      </c>
      <c r="J312" s="161">
        <v>0</v>
      </c>
      <c r="K312" s="161">
        <v>0</v>
      </c>
      <c r="L312" s="161">
        <v>-4482</v>
      </c>
      <c r="M312" s="162">
        <v>-30</v>
      </c>
      <c r="N312" s="161">
        <v>0</v>
      </c>
      <c r="O312" s="162">
        <f t="shared" si="24"/>
        <v>3485</v>
      </c>
      <c r="P312" s="161">
        <v>-2142</v>
      </c>
      <c r="Q312" s="161">
        <v>38</v>
      </c>
      <c r="R312" s="161">
        <v>0</v>
      </c>
      <c r="S312" s="161">
        <v>0</v>
      </c>
      <c r="T312" s="161">
        <v>0</v>
      </c>
      <c r="U312" s="161">
        <v>0</v>
      </c>
      <c r="V312" s="161">
        <v>0</v>
      </c>
      <c r="W312" s="161">
        <f t="shared" si="25"/>
        <v>1381</v>
      </c>
      <c r="X312" s="161">
        <f t="shared" si="26"/>
        <v>1381</v>
      </c>
      <c r="Y312" s="161">
        <f t="shared" si="27"/>
        <v>0</v>
      </c>
      <c r="Z312" s="161">
        <v>0</v>
      </c>
      <c r="AA312" s="161">
        <f t="shared" si="28"/>
        <v>0</v>
      </c>
      <c r="AB312" s="161">
        <f t="shared" si="29"/>
        <v>2104</v>
      </c>
      <c r="AC312" s="158" t="s">
        <v>951</v>
      </c>
      <c r="AD312" s="158"/>
    </row>
    <row r="313" spans="1:30" ht="12.75" customHeight="1" x14ac:dyDescent="0.3">
      <c r="A313" s="147">
        <v>19</v>
      </c>
      <c r="B313" s="158" t="s">
        <v>408</v>
      </c>
      <c r="C313" s="160" t="s">
        <v>878</v>
      </c>
      <c r="D313" s="158" t="s">
        <v>20</v>
      </c>
      <c r="E313" s="160" t="s">
        <v>25</v>
      </c>
      <c r="F313" s="158" t="s">
        <v>39</v>
      </c>
      <c r="G313" s="160" t="s">
        <v>866</v>
      </c>
      <c r="H313" s="161">
        <v>2212</v>
      </c>
      <c r="I313" s="161">
        <v>0</v>
      </c>
      <c r="J313" s="161">
        <v>0</v>
      </c>
      <c r="K313" s="161">
        <v>0</v>
      </c>
      <c r="L313" s="161">
        <v>-995</v>
      </c>
      <c r="M313" s="162">
        <v>-30</v>
      </c>
      <c r="N313" s="161">
        <v>0</v>
      </c>
      <c r="O313" s="162">
        <f t="shared" si="24"/>
        <v>1187</v>
      </c>
      <c r="P313" s="161">
        <v>-2500</v>
      </c>
      <c r="Q313" s="161">
        <v>-15</v>
      </c>
      <c r="R313" s="161">
        <v>0</v>
      </c>
      <c r="S313" s="161">
        <v>0</v>
      </c>
      <c r="T313" s="161">
        <v>0</v>
      </c>
      <c r="U313" s="161">
        <v>0</v>
      </c>
      <c r="V313" s="161">
        <v>0</v>
      </c>
      <c r="W313" s="161">
        <f t="shared" si="25"/>
        <v>-1328</v>
      </c>
      <c r="X313" s="161">
        <f t="shared" si="26"/>
        <v>0</v>
      </c>
      <c r="Y313" s="161">
        <f t="shared" si="27"/>
        <v>-1328</v>
      </c>
      <c r="Z313" s="161">
        <v>1320</v>
      </c>
      <c r="AA313" s="161">
        <f t="shared" si="28"/>
        <v>-8</v>
      </c>
      <c r="AB313" s="161">
        <f t="shared" si="29"/>
        <v>2499</v>
      </c>
      <c r="AC313" s="158"/>
      <c r="AD313" s="158"/>
    </row>
    <row r="314" spans="1:30" ht="12.75" customHeight="1" x14ac:dyDescent="0.3">
      <c r="A314" s="147">
        <v>19</v>
      </c>
      <c r="B314" s="158" t="s">
        <v>923</v>
      </c>
      <c r="C314" s="160" t="s">
        <v>46</v>
      </c>
      <c r="D314" s="160" t="s">
        <v>915</v>
      </c>
      <c r="E314" s="160" t="s">
        <v>25</v>
      </c>
      <c r="F314" s="158" t="s">
        <v>25</v>
      </c>
      <c r="G314" s="160" t="s">
        <v>866</v>
      </c>
      <c r="H314" s="161">
        <v>4048</v>
      </c>
      <c r="I314" s="161">
        <v>0</v>
      </c>
      <c r="J314" s="161">
        <v>0</v>
      </c>
      <c r="K314" s="161">
        <v>0</v>
      </c>
      <c r="L314" s="161">
        <v>-1137</v>
      </c>
      <c r="M314" s="162">
        <v>-30</v>
      </c>
      <c r="N314" s="161">
        <v>0</v>
      </c>
      <c r="O314" s="162">
        <f t="shared" si="24"/>
        <v>2881</v>
      </c>
      <c r="P314" s="161">
        <v>-2500</v>
      </c>
      <c r="Q314" s="161">
        <v>-491</v>
      </c>
      <c r="R314" s="161">
        <v>-500</v>
      </c>
      <c r="S314" s="161">
        <v>0</v>
      </c>
      <c r="T314" s="161">
        <v>-500</v>
      </c>
      <c r="U314" s="161">
        <v>0</v>
      </c>
      <c r="V314" s="161">
        <v>0</v>
      </c>
      <c r="W314" s="161">
        <f t="shared" si="25"/>
        <v>-1110</v>
      </c>
      <c r="X314" s="161">
        <f t="shared" si="26"/>
        <v>0</v>
      </c>
      <c r="Y314" s="161">
        <f t="shared" si="27"/>
        <v>-1110</v>
      </c>
      <c r="Z314" s="161">
        <v>1110</v>
      </c>
      <c r="AA314" s="161">
        <f t="shared" si="28"/>
        <v>0</v>
      </c>
      <c r="AB314" s="161">
        <f t="shared" si="29"/>
        <v>3991</v>
      </c>
      <c r="AC314" s="158"/>
      <c r="AD314" s="158"/>
    </row>
    <row r="315" spans="1:30" ht="12.75" customHeight="1" x14ac:dyDescent="0.3">
      <c r="A315" s="147">
        <v>19</v>
      </c>
      <c r="B315" s="158" t="s">
        <v>952</v>
      </c>
      <c r="C315" s="160" t="s">
        <v>123</v>
      </c>
      <c r="D315" s="158" t="s">
        <v>20</v>
      </c>
      <c r="E315" s="160" t="s">
        <v>871</v>
      </c>
      <c r="F315" s="158" t="s">
        <v>25</v>
      </c>
      <c r="G315" s="160" t="s">
        <v>866</v>
      </c>
      <c r="H315" s="161">
        <v>202</v>
      </c>
      <c r="I315" s="161">
        <v>-2</v>
      </c>
      <c r="J315" s="161">
        <v>0</v>
      </c>
      <c r="K315" s="161">
        <v>0</v>
      </c>
      <c r="L315" s="161">
        <v>0</v>
      </c>
      <c r="M315" s="162">
        <v>0</v>
      </c>
      <c r="N315" s="161">
        <v>0</v>
      </c>
      <c r="O315" s="162">
        <f t="shared" si="24"/>
        <v>200</v>
      </c>
      <c r="P315" s="161">
        <v>-179</v>
      </c>
      <c r="Q315" s="161">
        <v>0</v>
      </c>
      <c r="R315" s="161">
        <v>-72</v>
      </c>
      <c r="S315" s="161">
        <v>0</v>
      </c>
      <c r="T315" s="161">
        <v>0</v>
      </c>
      <c r="U315" s="161">
        <v>0</v>
      </c>
      <c r="V315" s="161">
        <v>0</v>
      </c>
      <c r="W315" s="161">
        <f t="shared" si="25"/>
        <v>-51</v>
      </c>
      <c r="X315" s="161">
        <f t="shared" si="26"/>
        <v>0</v>
      </c>
      <c r="Y315" s="161">
        <f t="shared" si="27"/>
        <v>-51</v>
      </c>
      <c r="Z315" s="161">
        <v>51</v>
      </c>
      <c r="AA315" s="161">
        <f t="shared" si="28"/>
        <v>0</v>
      </c>
      <c r="AB315" s="161">
        <f t="shared" si="29"/>
        <v>251</v>
      </c>
      <c r="AC315" s="158"/>
      <c r="AD315" s="158"/>
    </row>
    <row r="316" spans="1:30" ht="12.75" customHeight="1" x14ac:dyDescent="0.3">
      <c r="A316" s="147">
        <v>19</v>
      </c>
      <c r="B316" s="158" t="s">
        <v>952</v>
      </c>
      <c r="C316" s="160" t="s">
        <v>123</v>
      </c>
      <c r="D316" s="158" t="s">
        <v>20</v>
      </c>
      <c r="E316" s="160" t="s">
        <v>871</v>
      </c>
      <c r="F316" s="158" t="s">
        <v>39</v>
      </c>
      <c r="G316" s="160" t="s">
        <v>866</v>
      </c>
      <c r="H316" s="161">
        <v>1415</v>
      </c>
      <c r="I316" s="161">
        <v>-8</v>
      </c>
      <c r="J316" s="161">
        <v>0</v>
      </c>
      <c r="K316" s="161">
        <v>0</v>
      </c>
      <c r="L316" s="161">
        <v>-499</v>
      </c>
      <c r="M316" s="162">
        <v>-30</v>
      </c>
      <c r="N316" s="161">
        <v>0</v>
      </c>
      <c r="O316" s="162">
        <f t="shared" si="24"/>
        <v>878</v>
      </c>
      <c r="P316" s="161">
        <v>-1074</v>
      </c>
      <c r="Q316" s="161">
        <v>0</v>
      </c>
      <c r="R316" s="161">
        <v>-178</v>
      </c>
      <c r="S316" s="161">
        <v>0</v>
      </c>
      <c r="T316" s="161">
        <v>0</v>
      </c>
      <c r="U316" s="161">
        <v>0</v>
      </c>
      <c r="V316" s="161">
        <v>0</v>
      </c>
      <c r="W316" s="161">
        <f t="shared" si="25"/>
        <v>-374</v>
      </c>
      <c r="X316" s="161">
        <f t="shared" si="26"/>
        <v>0</v>
      </c>
      <c r="Y316" s="161">
        <f t="shared" si="27"/>
        <v>-374</v>
      </c>
      <c r="Z316" s="161">
        <v>374</v>
      </c>
      <c r="AA316" s="161">
        <f t="shared" si="28"/>
        <v>0</v>
      </c>
      <c r="AB316" s="161">
        <f t="shared" si="29"/>
        <v>1252</v>
      </c>
      <c r="AC316" s="158"/>
      <c r="AD316" s="158"/>
    </row>
    <row r="317" spans="1:30" ht="12.75" customHeight="1" x14ac:dyDescent="0.3">
      <c r="A317" s="147">
        <v>19</v>
      </c>
      <c r="B317" s="158" t="s">
        <v>880</v>
      </c>
      <c r="C317" s="160" t="s">
        <v>57</v>
      </c>
      <c r="D317" s="160" t="s">
        <v>881</v>
      </c>
      <c r="E317" s="160" t="s">
        <v>25</v>
      </c>
      <c r="F317" s="158" t="s">
        <v>25</v>
      </c>
      <c r="G317" s="160" t="s">
        <v>866</v>
      </c>
      <c r="H317" s="161">
        <v>2704</v>
      </c>
      <c r="I317" s="161">
        <v>0</v>
      </c>
      <c r="J317" s="161">
        <v>0</v>
      </c>
      <c r="K317" s="161">
        <v>0</v>
      </c>
      <c r="L317" s="161">
        <v>-1495</v>
      </c>
      <c r="M317" s="162">
        <v>-30</v>
      </c>
      <c r="N317" s="161">
        <v>0</v>
      </c>
      <c r="O317" s="162">
        <f t="shared" si="24"/>
        <v>1179</v>
      </c>
      <c r="P317" s="161">
        <v>-2300</v>
      </c>
      <c r="Q317" s="161">
        <v>0</v>
      </c>
      <c r="R317" s="161">
        <v>0</v>
      </c>
      <c r="S317" s="161">
        <v>0</v>
      </c>
      <c r="T317" s="161">
        <v>0</v>
      </c>
      <c r="U317" s="161">
        <v>0</v>
      </c>
      <c r="V317" s="161">
        <v>0</v>
      </c>
      <c r="W317" s="161">
        <f t="shared" si="25"/>
        <v>-1121</v>
      </c>
      <c r="X317" s="161">
        <f t="shared" si="26"/>
        <v>0</v>
      </c>
      <c r="Y317" s="161">
        <f t="shared" si="27"/>
        <v>-1121</v>
      </c>
      <c r="Z317" s="161">
        <v>1121</v>
      </c>
      <c r="AA317" s="161">
        <f t="shared" si="28"/>
        <v>0</v>
      </c>
      <c r="AB317" s="161">
        <f t="shared" si="29"/>
        <v>2300</v>
      </c>
      <c r="AC317" s="158"/>
      <c r="AD317" s="158"/>
    </row>
    <row r="318" spans="1:30" ht="12.75" customHeight="1" x14ac:dyDescent="0.3">
      <c r="A318" s="147">
        <v>19</v>
      </c>
      <c r="B318" s="158" t="s">
        <v>922</v>
      </c>
      <c r="C318" s="158" t="s">
        <v>347</v>
      </c>
      <c r="D318" s="160" t="s">
        <v>897</v>
      </c>
      <c r="E318" s="160" t="s">
        <v>25</v>
      </c>
      <c r="F318" s="158" t="s">
        <v>25</v>
      </c>
      <c r="G318" s="160" t="s">
        <v>866</v>
      </c>
      <c r="H318" s="161">
        <v>6558</v>
      </c>
      <c r="I318" s="161">
        <v>-54</v>
      </c>
      <c r="J318" s="161">
        <v>0</v>
      </c>
      <c r="K318" s="161">
        <v>0</v>
      </c>
      <c r="L318" s="161">
        <v>-1686</v>
      </c>
      <c r="M318" s="162">
        <v>-30</v>
      </c>
      <c r="N318" s="161">
        <v>-173</v>
      </c>
      <c r="O318" s="162">
        <f t="shared" si="24"/>
        <v>4615</v>
      </c>
      <c r="P318" s="161">
        <v>-2500</v>
      </c>
      <c r="Q318" s="161">
        <v>0</v>
      </c>
      <c r="R318" s="161">
        <v>0</v>
      </c>
      <c r="S318" s="161">
        <v>0</v>
      </c>
      <c r="T318" s="161">
        <v>0</v>
      </c>
      <c r="U318" s="161">
        <v>0</v>
      </c>
      <c r="V318" s="161">
        <v>0</v>
      </c>
      <c r="W318" s="161">
        <f t="shared" si="25"/>
        <v>2115</v>
      </c>
      <c r="X318" s="161">
        <f t="shared" si="26"/>
        <v>2115</v>
      </c>
      <c r="Y318" s="161">
        <f t="shared" si="27"/>
        <v>0</v>
      </c>
      <c r="Z318" s="161">
        <v>0</v>
      </c>
      <c r="AA318" s="161">
        <f t="shared" si="28"/>
        <v>0</v>
      </c>
      <c r="AB318" s="161">
        <f t="shared" si="29"/>
        <v>2500</v>
      </c>
      <c r="AC318" s="158"/>
      <c r="AD318" s="158"/>
    </row>
    <row r="319" spans="1:30" ht="12.75" customHeight="1" x14ac:dyDescent="0.3">
      <c r="A319" s="147">
        <v>19</v>
      </c>
      <c r="B319" s="158" t="s">
        <v>924</v>
      </c>
      <c r="C319" s="158" t="s">
        <v>100</v>
      </c>
      <c r="D319" s="160" t="s">
        <v>953</v>
      </c>
      <c r="E319" s="160" t="s">
        <v>25</v>
      </c>
      <c r="F319" s="158" t="s">
        <v>25</v>
      </c>
      <c r="G319" s="160" t="s">
        <v>866</v>
      </c>
      <c r="H319" s="161">
        <v>1645</v>
      </c>
      <c r="I319" s="161">
        <v>0</v>
      </c>
      <c r="J319" s="161">
        <v>0</v>
      </c>
      <c r="K319" s="161">
        <v>0</v>
      </c>
      <c r="L319" s="161">
        <v>-581</v>
      </c>
      <c r="M319" s="162">
        <v>-30</v>
      </c>
      <c r="N319" s="161">
        <v>0</v>
      </c>
      <c r="O319" s="162">
        <f t="shared" si="24"/>
        <v>1034</v>
      </c>
      <c r="P319" s="161">
        <v>-2142.8571428571431</v>
      </c>
      <c r="Q319" s="161">
        <v>-656</v>
      </c>
      <c r="R319" s="161">
        <v>0</v>
      </c>
      <c r="S319" s="161">
        <v>0</v>
      </c>
      <c r="T319" s="161">
        <v>0</v>
      </c>
      <c r="U319" s="161">
        <v>0</v>
      </c>
      <c r="V319" s="161">
        <v>0</v>
      </c>
      <c r="W319" s="161">
        <f t="shared" si="25"/>
        <v>-1764.8571428571431</v>
      </c>
      <c r="X319" s="161">
        <f t="shared" si="26"/>
        <v>0</v>
      </c>
      <c r="Y319" s="161">
        <f t="shared" si="27"/>
        <v>-1764.8571428571431</v>
      </c>
      <c r="Z319" s="161">
        <v>1300</v>
      </c>
      <c r="AA319" s="161">
        <f t="shared" si="28"/>
        <v>-464.85714285714312</v>
      </c>
      <c r="AB319" s="161">
        <f t="shared" si="29"/>
        <v>1869.1428571428569</v>
      </c>
      <c r="AC319" s="158"/>
      <c r="AD319" s="158"/>
    </row>
    <row r="320" spans="1:30" ht="12.75" customHeight="1" x14ac:dyDescent="0.3">
      <c r="A320" s="147">
        <v>20</v>
      </c>
      <c r="B320" s="158" t="s">
        <v>585</v>
      </c>
      <c r="C320" s="160" t="s">
        <v>257</v>
      </c>
      <c r="D320" s="160" t="s">
        <v>943</v>
      </c>
      <c r="E320" s="160" t="s">
        <v>25</v>
      </c>
      <c r="F320" s="158" t="s">
        <v>25</v>
      </c>
      <c r="G320" s="160" t="s">
        <v>866</v>
      </c>
      <c r="H320" s="161">
        <v>138</v>
      </c>
      <c r="I320" s="161">
        <v>-1</v>
      </c>
      <c r="J320" s="161">
        <v>0</v>
      </c>
      <c r="K320" s="161">
        <v>0</v>
      </c>
      <c r="L320" s="161">
        <v>0</v>
      </c>
      <c r="M320" s="162">
        <v>-30</v>
      </c>
      <c r="N320" s="161">
        <v>-108</v>
      </c>
      <c r="O320" s="162">
        <f t="shared" si="24"/>
        <v>-1</v>
      </c>
      <c r="P320" s="161">
        <v>-2500</v>
      </c>
      <c r="Q320" s="161">
        <v>0</v>
      </c>
      <c r="R320" s="161">
        <v>0</v>
      </c>
      <c r="S320" s="161">
        <v>0</v>
      </c>
      <c r="T320" s="161">
        <v>-500</v>
      </c>
      <c r="U320" s="161">
        <v>0</v>
      </c>
      <c r="V320" s="161">
        <v>0</v>
      </c>
      <c r="W320" s="161">
        <f t="shared" si="25"/>
        <v>-3001</v>
      </c>
      <c r="X320" s="161">
        <f t="shared" si="26"/>
        <v>0</v>
      </c>
      <c r="Y320" s="161">
        <f t="shared" si="27"/>
        <v>-3001</v>
      </c>
      <c r="Z320" s="161">
        <v>3001</v>
      </c>
      <c r="AA320" s="161">
        <f t="shared" si="28"/>
        <v>0</v>
      </c>
      <c r="AB320" s="161">
        <f t="shared" si="29"/>
        <v>3000</v>
      </c>
      <c r="AC320" s="158"/>
      <c r="AD320" s="158"/>
    </row>
    <row r="321" spans="1:30" ht="12.75" customHeight="1" x14ac:dyDescent="0.3">
      <c r="A321" s="147">
        <v>20</v>
      </c>
      <c r="B321" s="158" t="s">
        <v>954</v>
      </c>
      <c r="C321" s="158" t="s">
        <v>68</v>
      </c>
      <c r="D321" s="158" t="s">
        <v>869</v>
      </c>
      <c r="E321" s="160" t="s">
        <v>25</v>
      </c>
      <c r="F321" s="158" t="s">
        <v>25</v>
      </c>
      <c r="G321" s="160" t="s">
        <v>866</v>
      </c>
      <c r="H321" s="161">
        <v>1394</v>
      </c>
      <c r="I321" s="161">
        <v>0</v>
      </c>
      <c r="J321" s="161">
        <v>0</v>
      </c>
      <c r="K321" s="161">
        <v>0</v>
      </c>
      <c r="L321" s="161">
        <v>-1157</v>
      </c>
      <c r="M321" s="162">
        <v>-30</v>
      </c>
      <c r="N321" s="161">
        <v>0</v>
      </c>
      <c r="O321" s="162">
        <f t="shared" si="24"/>
        <v>207</v>
      </c>
      <c r="P321" s="161">
        <v>-716</v>
      </c>
      <c r="Q321" s="161">
        <v>0</v>
      </c>
      <c r="R321" s="161">
        <v>0</v>
      </c>
      <c r="S321" s="161">
        <v>0</v>
      </c>
      <c r="T321" s="161">
        <v>0</v>
      </c>
      <c r="U321" s="161">
        <v>0</v>
      </c>
      <c r="V321" s="161">
        <v>0</v>
      </c>
      <c r="W321" s="161">
        <f t="shared" si="25"/>
        <v>-509</v>
      </c>
      <c r="X321" s="161">
        <f t="shared" si="26"/>
        <v>0</v>
      </c>
      <c r="Y321" s="161">
        <f t="shared" si="27"/>
        <v>-509</v>
      </c>
      <c r="Z321" s="161">
        <v>500</v>
      </c>
      <c r="AA321" s="161">
        <f t="shared" si="28"/>
        <v>-9</v>
      </c>
      <c r="AB321" s="161">
        <f t="shared" si="29"/>
        <v>698</v>
      </c>
      <c r="AC321" s="158"/>
      <c r="AD321" s="158"/>
    </row>
    <row r="322" spans="1:30" ht="12.75" customHeight="1" x14ac:dyDescent="0.3">
      <c r="A322" s="147">
        <v>20</v>
      </c>
      <c r="B322" s="158" t="s">
        <v>944</v>
      </c>
      <c r="C322" s="160" t="s">
        <v>101</v>
      </c>
      <c r="D322" s="160" t="s">
        <v>945</v>
      </c>
      <c r="E322" s="160" t="s">
        <v>25</v>
      </c>
      <c r="F322" s="158" t="s">
        <v>25</v>
      </c>
      <c r="G322" s="160" t="s">
        <v>866</v>
      </c>
      <c r="H322" s="161">
        <v>7851</v>
      </c>
      <c r="I322" s="161">
        <v>-180</v>
      </c>
      <c r="J322" s="161">
        <v>0</v>
      </c>
      <c r="K322" s="161">
        <v>0</v>
      </c>
      <c r="L322" s="161">
        <v>-2340</v>
      </c>
      <c r="M322" s="162">
        <v>-30</v>
      </c>
      <c r="N322" s="161">
        <v>0</v>
      </c>
      <c r="O322" s="162">
        <f t="shared" ref="O322:O385" si="30">SUM(H322:N322)</f>
        <v>5301</v>
      </c>
      <c r="P322" s="161">
        <v>-2500</v>
      </c>
      <c r="Q322" s="161">
        <v>0</v>
      </c>
      <c r="R322" s="161">
        <v>-500</v>
      </c>
      <c r="S322" s="161">
        <v>0</v>
      </c>
      <c r="T322" s="161">
        <v>0</v>
      </c>
      <c r="U322" s="161">
        <v>0</v>
      </c>
      <c r="V322" s="161">
        <v>0</v>
      </c>
      <c r="W322" s="161">
        <f t="shared" ref="W322:W385" si="31">+O322+SUM(P322:V322)</f>
        <v>2301</v>
      </c>
      <c r="X322" s="161">
        <f t="shared" ref="X322:X385" si="32">IF(W322&gt;=0,W322,0)</f>
        <v>2301</v>
      </c>
      <c r="Y322" s="161">
        <f t="shared" ref="Y322:Y385" si="33">IF(W322&lt;=0,W322,0)</f>
        <v>0</v>
      </c>
      <c r="Z322" s="161">
        <v>0</v>
      </c>
      <c r="AA322" s="161">
        <f t="shared" ref="AA322:AA385" si="34">+Y322+Z322</f>
        <v>0</v>
      </c>
      <c r="AB322" s="161">
        <f t="shared" ref="AB322:AB385" si="35">+O322-X322+Z322+AA322</f>
        <v>3000</v>
      </c>
      <c r="AC322" s="158"/>
      <c r="AD322" s="158"/>
    </row>
    <row r="323" spans="1:30" ht="12.75" customHeight="1" x14ac:dyDescent="0.3">
      <c r="A323" s="147">
        <v>20</v>
      </c>
      <c r="B323" s="158" t="s">
        <v>913</v>
      </c>
      <c r="C323" s="158" t="s">
        <v>120</v>
      </c>
      <c r="D323" s="158" t="s">
        <v>20</v>
      </c>
      <c r="E323" s="160" t="s">
        <v>25</v>
      </c>
      <c r="F323" s="158" t="s">
        <v>25</v>
      </c>
      <c r="G323" s="160" t="s">
        <v>866</v>
      </c>
      <c r="H323" s="161">
        <v>0</v>
      </c>
      <c r="I323" s="161">
        <v>0</v>
      </c>
      <c r="J323" s="161">
        <v>0</v>
      </c>
      <c r="K323" s="161">
        <v>0</v>
      </c>
      <c r="L323" s="161">
        <v>0</v>
      </c>
      <c r="M323" s="162">
        <v>0</v>
      </c>
      <c r="N323" s="161">
        <v>0</v>
      </c>
      <c r="O323" s="162">
        <f t="shared" si="30"/>
        <v>0</v>
      </c>
      <c r="P323" s="161">
        <v>0</v>
      </c>
      <c r="Q323" s="161">
        <v>0</v>
      </c>
      <c r="R323" s="161">
        <v>500</v>
      </c>
      <c r="S323" s="161">
        <v>0</v>
      </c>
      <c r="T323" s="161">
        <v>0</v>
      </c>
      <c r="U323" s="161">
        <v>0</v>
      </c>
      <c r="V323" s="161">
        <v>0</v>
      </c>
      <c r="W323" s="161">
        <f t="shared" si="31"/>
        <v>500</v>
      </c>
      <c r="X323" s="161">
        <f t="shared" si="32"/>
        <v>500</v>
      </c>
      <c r="Y323" s="161">
        <f t="shared" si="33"/>
        <v>0</v>
      </c>
      <c r="Z323" s="161">
        <v>0</v>
      </c>
      <c r="AA323" s="161">
        <f t="shared" si="34"/>
        <v>0</v>
      </c>
      <c r="AB323" s="161">
        <f t="shared" si="35"/>
        <v>-500</v>
      </c>
      <c r="AC323" s="158"/>
      <c r="AD323" s="158"/>
    </row>
    <row r="324" spans="1:30" ht="12.75" customHeight="1" x14ac:dyDescent="0.3">
      <c r="A324" s="147">
        <v>20</v>
      </c>
      <c r="B324" s="158" t="s">
        <v>929</v>
      </c>
      <c r="C324" s="160" t="s">
        <v>409</v>
      </c>
      <c r="D324" s="160" t="s">
        <v>946</v>
      </c>
      <c r="E324" s="160" t="s">
        <v>25</v>
      </c>
      <c r="F324" s="158" t="s">
        <v>25</v>
      </c>
      <c r="G324" s="160" t="s">
        <v>866</v>
      </c>
      <c r="H324" s="161">
        <v>4062</v>
      </c>
      <c r="I324" s="161">
        <v>0</v>
      </c>
      <c r="J324" s="161">
        <v>0</v>
      </c>
      <c r="K324" s="161">
        <v>0</v>
      </c>
      <c r="L324" s="161">
        <v>-1700</v>
      </c>
      <c r="M324" s="162">
        <v>-30</v>
      </c>
      <c r="N324" s="161">
        <v>0</v>
      </c>
      <c r="O324" s="162">
        <f t="shared" si="30"/>
        <v>2332</v>
      </c>
      <c r="P324" s="161">
        <v>-2500</v>
      </c>
      <c r="Q324" s="161">
        <v>-457</v>
      </c>
      <c r="R324" s="161">
        <v>0</v>
      </c>
      <c r="S324" s="161">
        <v>0</v>
      </c>
      <c r="T324" s="161">
        <v>-500</v>
      </c>
      <c r="U324" s="161">
        <v>0</v>
      </c>
      <c r="V324" s="161">
        <v>0</v>
      </c>
      <c r="W324" s="161">
        <f t="shared" si="31"/>
        <v>-1125</v>
      </c>
      <c r="X324" s="161">
        <f t="shared" si="32"/>
        <v>0</v>
      </c>
      <c r="Y324" s="161">
        <f t="shared" si="33"/>
        <v>-1125</v>
      </c>
      <c r="Z324" s="161">
        <v>0</v>
      </c>
      <c r="AA324" s="161">
        <f t="shared" si="34"/>
        <v>-1125</v>
      </c>
      <c r="AB324" s="161">
        <f t="shared" si="35"/>
        <v>1207</v>
      </c>
      <c r="AC324" s="158"/>
      <c r="AD324" s="158"/>
    </row>
    <row r="325" spans="1:30" ht="12.75" customHeight="1" x14ac:dyDescent="0.3">
      <c r="A325" s="147">
        <v>20</v>
      </c>
      <c r="B325" s="158" t="s">
        <v>888</v>
      </c>
      <c r="C325" s="158" t="s">
        <v>409</v>
      </c>
      <c r="D325" s="163" t="s">
        <v>889</v>
      </c>
      <c r="E325" s="160" t="s">
        <v>25</v>
      </c>
      <c r="F325" s="158" t="s">
        <v>25</v>
      </c>
      <c r="G325" s="160" t="s">
        <v>866</v>
      </c>
      <c r="H325" s="161">
        <v>0</v>
      </c>
      <c r="I325" s="161">
        <v>0</v>
      </c>
      <c r="J325" s="161">
        <v>0</v>
      </c>
      <c r="K325" s="161">
        <v>0</v>
      </c>
      <c r="L325" s="161">
        <v>0</v>
      </c>
      <c r="M325" s="162">
        <v>0</v>
      </c>
      <c r="N325" s="161">
        <v>0</v>
      </c>
      <c r="O325" s="162">
        <f t="shared" si="30"/>
        <v>0</v>
      </c>
      <c r="P325" s="161">
        <v>0</v>
      </c>
      <c r="Q325" s="161">
        <v>0</v>
      </c>
      <c r="R325" s="161">
        <v>0</v>
      </c>
      <c r="S325" s="161">
        <v>-1697</v>
      </c>
      <c r="T325" s="161">
        <v>0</v>
      </c>
      <c r="U325" s="161">
        <v>0</v>
      </c>
      <c r="V325" s="161">
        <v>0</v>
      </c>
      <c r="W325" s="161">
        <f t="shared" si="31"/>
        <v>-1697</v>
      </c>
      <c r="X325" s="161">
        <f t="shared" si="32"/>
        <v>0</v>
      </c>
      <c r="Y325" s="161">
        <f t="shared" si="33"/>
        <v>-1697</v>
      </c>
      <c r="Z325" s="161">
        <v>0</v>
      </c>
      <c r="AA325" s="161">
        <f t="shared" si="34"/>
        <v>-1697</v>
      </c>
      <c r="AB325" s="161">
        <f t="shared" si="35"/>
        <v>-1697</v>
      </c>
      <c r="AC325" s="158" t="s">
        <v>947</v>
      </c>
      <c r="AD325" s="158"/>
    </row>
    <row r="326" spans="1:30" ht="12.75" customHeight="1" x14ac:dyDescent="0.3">
      <c r="A326" s="147">
        <v>20</v>
      </c>
      <c r="B326" s="158" t="s">
        <v>457</v>
      </c>
      <c r="C326" s="160" t="s">
        <v>183</v>
      </c>
      <c r="D326" s="160" t="s">
        <v>887</v>
      </c>
      <c r="E326" s="160" t="s">
        <v>25</v>
      </c>
      <c r="F326" s="158" t="s">
        <v>25</v>
      </c>
      <c r="G326" s="160" t="s">
        <v>866</v>
      </c>
      <c r="H326" s="161">
        <v>3318</v>
      </c>
      <c r="I326" s="161">
        <v>-45</v>
      </c>
      <c r="J326" s="161">
        <v>0</v>
      </c>
      <c r="K326" s="161">
        <v>0</v>
      </c>
      <c r="L326" s="161">
        <v>-76</v>
      </c>
      <c r="M326" s="162">
        <v>-30</v>
      </c>
      <c r="N326" s="161">
        <v>0</v>
      </c>
      <c r="O326" s="162">
        <f t="shared" si="30"/>
        <v>3167</v>
      </c>
      <c r="P326" s="161">
        <v>-2500</v>
      </c>
      <c r="Q326" s="161">
        <v>0</v>
      </c>
      <c r="R326" s="161">
        <v>-500</v>
      </c>
      <c r="S326" s="161">
        <v>0</v>
      </c>
      <c r="T326" s="161">
        <v>0</v>
      </c>
      <c r="U326" s="161">
        <v>0</v>
      </c>
      <c r="V326" s="161">
        <v>0</v>
      </c>
      <c r="W326" s="161">
        <f t="shared" si="31"/>
        <v>167</v>
      </c>
      <c r="X326" s="161">
        <f t="shared" si="32"/>
        <v>167</v>
      </c>
      <c r="Y326" s="161">
        <f t="shared" si="33"/>
        <v>0</v>
      </c>
      <c r="Z326" s="161">
        <v>0</v>
      </c>
      <c r="AA326" s="161">
        <f t="shared" si="34"/>
        <v>0</v>
      </c>
      <c r="AB326" s="161">
        <f t="shared" si="35"/>
        <v>3000</v>
      </c>
      <c r="AC326" s="158"/>
      <c r="AD326" s="158"/>
    </row>
    <row r="327" spans="1:30" ht="12.75" customHeight="1" x14ac:dyDescent="0.3">
      <c r="A327" s="147">
        <v>20</v>
      </c>
      <c r="B327" s="158" t="s">
        <v>890</v>
      </c>
      <c r="C327" s="160" t="s">
        <v>42</v>
      </c>
      <c r="D327" s="160" t="s">
        <v>948</v>
      </c>
      <c r="E327" s="160" t="s">
        <v>25</v>
      </c>
      <c r="F327" s="158" t="s">
        <v>25</v>
      </c>
      <c r="G327" s="160" t="s">
        <v>866</v>
      </c>
      <c r="H327" s="161">
        <v>5318</v>
      </c>
      <c r="I327" s="161">
        <v>0</v>
      </c>
      <c r="J327" s="161">
        <v>0</v>
      </c>
      <c r="K327" s="161">
        <v>0</v>
      </c>
      <c r="L327" s="161">
        <v>-1721</v>
      </c>
      <c r="M327" s="162">
        <v>-30</v>
      </c>
      <c r="N327" s="161">
        <v>0</v>
      </c>
      <c r="O327" s="162">
        <f t="shared" si="30"/>
        <v>3567</v>
      </c>
      <c r="P327" s="161">
        <v>-2500</v>
      </c>
      <c r="Q327" s="161">
        <v>0</v>
      </c>
      <c r="R327" s="161">
        <v>0</v>
      </c>
      <c r="S327" s="161">
        <v>0</v>
      </c>
      <c r="T327" s="161">
        <v>0</v>
      </c>
      <c r="U327" s="161">
        <v>0</v>
      </c>
      <c r="V327" s="161">
        <v>0</v>
      </c>
      <c r="W327" s="161">
        <f t="shared" si="31"/>
        <v>1067</v>
      </c>
      <c r="X327" s="161">
        <f t="shared" si="32"/>
        <v>1067</v>
      </c>
      <c r="Y327" s="161">
        <f t="shared" si="33"/>
        <v>0</v>
      </c>
      <c r="Z327" s="161">
        <v>0</v>
      </c>
      <c r="AA327" s="161">
        <f t="shared" si="34"/>
        <v>0</v>
      </c>
      <c r="AB327" s="161">
        <f t="shared" si="35"/>
        <v>2500</v>
      </c>
      <c r="AC327" s="158"/>
      <c r="AD327" s="158"/>
    </row>
    <row r="328" spans="1:30" ht="12.75" customHeight="1" x14ac:dyDescent="0.3">
      <c r="A328" s="147">
        <v>20</v>
      </c>
      <c r="B328" s="158" t="s">
        <v>872</v>
      </c>
      <c r="C328" s="160" t="s">
        <v>64</v>
      </c>
      <c r="D328" s="160" t="s">
        <v>949</v>
      </c>
      <c r="E328" s="160" t="s">
        <v>25</v>
      </c>
      <c r="F328" s="158" t="s">
        <v>25</v>
      </c>
      <c r="G328" s="160" t="s">
        <v>866</v>
      </c>
      <c r="H328" s="161">
        <v>10251</v>
      </c>
      <c r="I328" s="161">
        <v>-111</v>
      </c>
      <c r="J328" s="161">
        <v>0</v>
      </c>
      <c r="K328" s="161">
        <v>-104</v>
      </c>
      <c r="L328" s="161">
        <v>-5089</v>
      </c>
      <c r="M328" s="162">
        <v>-30</v>
      </c>
      <c r="N328" s="161">
        <v>0</v>
      </c>
      <c r="O328" s="162">
        <f t="shared" si="30"/>
        <v>4917</v>
      </c>
      <c r="P328" s="161">
        <v>-2500</v>
      </c>
      <c r="Q328" s="161">
        <v>-800</v>
      </c>
      <c r="R328" s="161">
        <v>0</v>
      </c>
      <c r="S328" s="161">
        <v>0</v>
      </c>
      <c r="T328" s="161">
        <v>0</v>
      </c>
      <c r="U328" s="161">
        <v>0</v>
      </c>
      <c r="V328" s="161">
        <v>0</v>
      </c>
      <c r="W328" s="161">
        <f t="shared" si="31"/>
        <v>1617</v>
      </c>
      <c r="X328" s="161">
        <f t="shared" si="32"/>
        <v>1617</v>
      </c>
      <c r="Y328" s="161">
        <f t="shared" si="33"/>
        <v>0</v>
      </c>
      <c r="Z328" s="161">
        <v>0</v>
      </c>
      <c r="AA328" s="161">
        <f t="shared" si="34"/>
        <v>0</v>
      </c>
      <c r="AB328" s="161">
        <f t="shared" si="35"/>
        <v>3300</v>
      </c>
      <c r="AC328" s="158"/>
      <c r="AD328" s="158"/>
    </row>
    <row r="329" spans="1:30" ht="12.75" customHeight="1" x14ac:dyDescent="0.3">
      <c r="A329" s="147">
        <v>20</v>
      </c>
      <c r="B329" s="158" t="s">
        <v>921</v>
      </c>
      <c r="C329" s="178" t="s">
        <v>59</v>
      </c>
      <c r="D329" s="160" t="s">
        <v>895</v>
      </c>
      <c r="E329" s="160" t="s">
        <v>25</v>
      </c>
      <c r="F329" s="158" t="s">
        <v>25</v>
      </c>
      <c r="G329" s="160" t="s">
        <v>866</v>
      </c>
      <c r="H329" s="161">
        <v>1232</v>
      </c>
      <c r="I329" s="161">
        <v>0</v>
      </c>
      <c r="J329" s="161">
        <v>0</v>
      </c>
      <c r="K329" s="161">
        <v>0</v>
      </c>
      <c r="L329" s="161">
        <v>-735</v>
      </c>
      <c r="M329" s="162">
        <v>-30</v>
      </c>
      <c r="N329" s="161">
        <v>0</v>
      </c>
      <c r="O329" s="162">
        <f t="shared" si="30"/>
        <v>467</v>
      </c>
      <c r="P329" s="161">
        <v>-358</v>
      </c>
      <c r="Q329" s="161">
        <v>0</v>
      </c>
      <c r="R329" s="161">
        <v>0</v>
      </c>
      <c r="S329" s="161">
        <v>0</v>
      </c>
      <c r="T329" s="161">
        <v>0</v>
      </c>
      <c r="U329" s="161">
        <v>0</v>
      </c>
      <c r="V329" s="161">
        <v>0</v>
      </c>
      <c r="W329" s="161">
        <f t="shared" si="31"/>
        <v>109</v>
      </c>
      <c r="X329" s="161">
        <f t="shared" si="32"/>
        <v>109</v>
      </c>
      <c r="Y329" s="161">
        <f t="shared" si="33"/>
        <v>0</v>
      </c>
      <c r="Z329" s="161">
        <v>0</v>
      </c>
      <c r="AA329" s="161">
        <f t="shared" si="34"/>
        <v>0</v>
      </c>
      <c r="AB329" s="161">
        <f t="shared" si="35"/>
        <v>358</v>
      </c>
      <c r="AC329" s="158"/>
      <c r="AD329" s="158"/>
    </row>
    <row r="330" spans="1:30" ht="12.75" customHeight="1" x14ac:dyDescent="0.3">
      <c r="A330" s="147">
        <v>20</v>
      </c>
      <c r="B330" s="158" t="s">
        <v>874</v>
      </c>
      <c r="C330" s="160" t="s">
        <v>195</v>
      </c>
      <c r="D330" s="158" t="s">
        <v>20</v>
      </c>
      <c r="E330" s="160" t="s">
        <v>871</v>
      </c>
      <c r="F330" s="158" t="s">
        <v>25</v>
      </c>
      <c r="G330" s="160" t="s">
        <v>866</v>
      </c>
      <c r="H330" s="161">
        <v>4099.62</v>
      </c>
      <c r="I330" s="161">
        <v>0</v>
      </c>
      <c r="J330" s="161">
        <v>0</v>
      </c>
      <c r="K330" s="161">
        <v>0</v>
      </c>
      <c r="L330" s="161">
        <v>619.24</v>
      </c>
      <c r="M330" s="162">
        <v>0</v>
      </c>
      <c r="N330" s="161">
        <v>0</v>
      </c>
      <c r="O330" s="162">
        <f t="shared" si="30"/>
        <v>4718.8599999999997</v>
      </c>
      <c r="P330" s="161">
        <v>-9437.7199999999993</v>
      </c>
      <c r="Q330" s="161">
        <v>681</v>
      </c>
      <c r="R330" s="161">
        <v>0</v>
      </c>
      <c r="S330" s="161">
        <v>0</v>
      </c>
      <c r="T330" s="161">
        <v>0</v>
      </c>
      <c r="U330" s="161">
        <v>0</v>
      </c>
      <c r="V330" s="161">
        <v>0</v>
      </c>
      <c r="W330" s="161">
        <f t="shared" si="31"/>
        <v>-4037.8599999999997</v>
      </c>
      <c r="X330" s="161">
        <f t="shared" si="32"/>
        <v>0</v>
      </c>
      <c r="Y330" s="161">
        <f t="shared" si="33"/>
        <v>-4037.8599999999997</v>
      </c>
      <c r="Z330" s="161">
        <v>4038</v>
      </c>
      <c r="AA330" s="161">
        <f t="shared" si="34"/>
        <v>0.14000000000032742</v>
      </c>
      <c r="AB330" s="161">
        <f t="shared" si="35"/>
        <v>8757</v>
      </c>
      <c r="AC330" s="158"/>
      <c r="AD330" s="158"/>
    </row>
    <row r="331" spans="1:30" ht="12.75" customHeight="1" x14ac:dyDescent="0.3">
      <c r="A331" s="147">
        <v>20</v>
      </c>
      <c r="B331" s="158" t="s">
        <v>918</v>
      </c>
      <c r="C331" s="178" t="s">
        <v>120</v>
      </c>
      <c r="D331" s="160" t="s">
        <v>950</v>
      </c>
      <c r="E331" s="158" t="s">
        <v>25</v>
      </c>
      <c r="F331" s="158" t="s">
        <v>25</v>
      </c>
      <c r="G331" s="160" t="s">
        <v>866</v>
      </c>
      <c r="H331" s="161">
        <v>4943</v>
      </c>
      <c r="I331" s="161">
        <v>0</v>
      </c>
      <c r="J331" s="161">
        <v>0</v>
      </c>
      <c r="K331" s="161">
        <v>0</v>
      </c>
      <c r="L331" s="161">
        <v>-1057</v>
      </c>
      <c r="M331" s="162">
        <v>-30</v>
      </c>
      <c r="N331" s="161">
        <v>-190</v>
      </c>
      <c r="O331" s="162">
        <f t="shared" si="30"/>
        <v>3666</v>
      </c>
      <c r="P331" s="161">
        <v>-1432</v>
      </c>
      <c r="Q331" s="161">
        <v>0</v>
      </c>
      <c r="R331" s="161">
        <v>0</v>
      </c>
      <c r="S331" s="161">
        <v>0</v>
      </c>
      <c r="T331" s="161">
        <v>0</v>
      </c>
      <c r="U331" s="161">
        <v>0</v>
      </c>
      <c r="V331" s="161">
        <v>0</v>
      </c>
      <c r="W331" s="161">
        <f t="shared" si="31"/>
        <v>2234</v>
      </c>
      <c r="X331" s="161">
        <f t="shared" si="32"/>
        <v>2234</v>
      </c>
      <c r="Y331" s="161">
        <f t="shared" si="33"/>
        <v>0</v>
      </c>
      <c r="Z331" s="161">
        <v>0</v>
      </c>
      <c r="AA331" s="161">
        <f t="shared" si="34"/>
        <v>0</v>
      </c>
      <c r="AB331" s="161">
        <f t="shared" si="35"/>
        <v>1432</v>
      </c>
      <c r="AC331" s="158"/>
      <c r="AD331" s="158"/>
    </row>
    <row r="332" spans="1:30" ht="12.75" customHeight="1" x14ac:dyDescent="0.3">
      <c r="A332" s="147">
        <v>20</v>
      </c>
      <c r="B332" s="158" t="s">
        <v>955</v>
      </c>
      <c r="C332" s="178" t="s">
        <v>59</v>
      </c>
      <c r="D332" s="160" t="s">
        <v>895</v>
      </c>
      <c r="E332" s="177" t="s">
        <v>25</v>
      </c>
      <c r="F332" s="179" t="s">
        <v>25</v>
      </c>
      <c r="G332" s="160" t="s">
        <v>866</v>
      </c>
      <c r="H332" s="161">
        <v>3880</v>
      </c>
      <c r="I332" s="161">
        <v>0</v>
      </c>
      <c r="J332" s="161">
        <v>0</v>
      </c>
      <c r="K332" s="161">
        <v>0</v>
      </c>
      <c r="L332" s="161">
        <v>-2523</v>
      </c>
      <c r="M332" s="162">
        <v>-30</v>
      </c>
      <c r="N332" s="161">
        <v>0</v>
      </c>
      <c r="O332" s="162">
        <f t="shared" si="30"/>
        <v>1327</v>
      </c>
      <c r="P332" s="161">
        <v>-2500</v>
      </c>
      <c r="Q332" s="161">
        <v>0</v>
      </c>
      <c r="R332" s="161">
        <v>-500</v>
      </c>
      <c r="S332" s="161">
        <v>0</v>
      </c>
      <c r="T332" s="161">
        <v>0</v>
      </c>
      <c r="U332" s="161">
        <v>-435</v>
      </c>
      <c r="V332" s="161">
        <v>0</v>
      </c>
      <c r="W332" s="161">
        <f t="shared" si="31"/>
        <v>-2108</v>
      </c>
      <c r="X332" s="161">
        <f t="shared" si="32"/>
        <v>0</v>
      </c>
      <c r="Y332" s="161">
        <f t="shared" si="33"/>
        <v>-2108</v>
      </c>
      <c r="Z332" s="161">
        <v>0</v>
      </c>
      <c r="AA332" s="161">
        <f t="shared" si="34"/>
        <v>-2108</v>
      </c>
      <c r="AB332" s="161">
        <f t="shared" si="35"/>
        <v>-781</v>
      </c>
      <c r="AC332" s="158"/>
      <c r="AD332" s="158"/>
    </row>
    <row r="333" spans="1:30" ht="12.75" customHeight="1" x14ac:dyDescent="0.3">
      <c r="A333" s="147">
        <v>20</v>
      </c>
      <c r="B333" s="158" t="s">
        <v>876</v>
      </c>
      <c r="C333" s="158" t="s">
        <v>150</v>
      </c>
      <c r="D333" s="160" t="s">
        <v>877</v>
      </c>
      <c r="E333" s="160" t="s">
        <v>25</v>
      </c>
      <c r="F333" s="158" t="s">
        <v>25</v>
      </c>
      <c r="G333" s="160" t="s">
        <v>866</v>
      </c>
      <c r="H333" s="161">
        <v>1749</v>
      </c>
      <c r="I333" s="161">
        <v>0</v>
      </c>
      <c r="J333" s="161">
        <v>0</v>
      </c>
      <c r="K333" s="161">
        <v>0</v>
      </c>
      <c r="L333" s="161">
        <v>0</v>
      </c>
      <c r="M333" s="162">
        <v>-30</v>
      </c>
      <c r="N333" s="161">
        <v>-71</v>
      </c>
      <c r="O333" s="162">
        <f t="shared" si="30"/>
        <v>1648</v>
      </c>
      <c r="P333" s="161">
        <v>-1611</v>
      </c>
      <c r="Q333" s="161">
        <v>-418</v>
      </c>
      <c r="R333" s="161">
        <v>0</v>
      </c>
      <c r="S333" s="161">
        <v>0</v>
      </c>
      <c r="T333" s="161">
        <v>0</v>
      </c>
      <c r="U333" s="161">
        <v>0</v>
      </c>
      <c r="V333" s="161">
        <v>0</v>
      </c>
      <c r="W333" s="161">
        <f t="shared" si="31"/>
        <v>-381</v>
      </c>
      <c r="X333" s="161">
        <f t="shared" si="32"/>
        <v>0</v>
      </c>
      <c r="Y333" s="161">
        <f t="shared" si="33"/>
        <v>-381</v>
      </c>
      <c r="Z333" s="161">
        <v>0</v>
      </c>
      <c r="AA333" s="161">
        <f t="shared" si="34"/>
        <v>-381</v>
      </c>
      <c r="AB333" s="161">
        <f t="shared" si="35"/>
        <v>1267</v>
      </c>
      <c r="AC333" s="158"/>
      <c r="AD333" s="158"/>
    </row>
    <row r="334" spans="1:30" ht="12.75" customHeight="1" x14ac:dyDescent="0.3">
      <c r="A334" s="147">
        <v>20</v>
      </c>
      <c r="B334" s="158" t="s">
        <v>484</v>
      </c>
      <c r="C334" s="160" t="s">
        <v>426</v>
      </c>
      <c r="D334" s="160" t="s">
        <v>903</v>
      </c>
      <c r="E334" s="160" t="s">
        <v>25</v>
      </c>
      <c r="F334" s="158" t="s">
        <v>25</v>
      </c>
      <c r="G334" s="160" t="s">
        <v>866</v>
      </c>
      <c r="H334" s="161">
        <v>8669</v>
      </c>
      <c r="I334" s="161">
        <v>-135</v>
      </c>
      <c r="J334" s="161">
        <v>0</v>
      </c>
      <c r="K334" s="161">
        <v>0</v>
      </c>
      <c r="L334" s="161">
        <v>-5349</v>
      </c>
      <c r="M334" s="162">
        <v>-30</v>
      </c>
      <c r="N334" s="161">
        <v>0</v>
      </c>
      <c r="O334" s="162">
        <f t="shared" si="30"/>
        <v>3155</v>
      </c>
      <c r="P334" s="161">
        <v>-2500</v>
      </c>
      <c r="Q334" s="161">
        <v>81</v>
      </c>
      <c r="R334" s="161">
        <v>0</v>
      </c>
      <c r="S334" s="161">
        <v>0</v>
      </c>
      <c r="T334" s="161">
        <v>0</v>
      </c>
      <c r="U334" s="161">
        <v>0</v>
      </c>
      <c r="V334" s="161">
        <v>0</v>
      </c>
      <c r="W334" s="161">
        <f t="shared" si="31"/>
        <v>736</v>
      </c>
      <c r="X334" s="161">
        <f t="shared" si="32"/>
        <v>736</v>
      </c>
      <c r="Y334" s="161">
        <f t="shared" si="33"/>
        <v>0</v>
      </c>
      <c r="Z334" s="161">
        <v>0</v>
      </c>
      <c r="AA334" s="161">
        <f t="shared" si="34"/>
        <v>0</v>
      </c>
      <c r="AB334" s="161">
        <f t="shared" si="35"/>
        <v>2419</v>
      </c>
      <c r="AC334" s="158" t="s">
        <v>956</v>
      </c>
      <c r="AD334" s="158"/>
    </row>
    <row r="335" spans="1:30" ht="12.75" customHeight="1" x14ac:dyDescent="0.3">
      <c r="A335" s="147">
        <v>20</v>
      </c>
      <c r="B335" s="158" t="s">
        <v>408</v>
      </c>
      <c r="C335" s="160" t="s">
        <v>878</v>
      </c>
      <c r="D335" s="158" t="s">
        <v>20</v>
      </c>
      <c r="E335" s="160" t="s">
        <v>25</v>
      </c>
      <c r="F335" s="158" t="s">
        <v>39</v>
      </c>
      <c r="G335" s="160" t="s">
        <v>866</v>
      </c>
      <c r="H335" s="161">
        <v>0</v>
      </c>
      <c r="I335" s="161">
        <v>0</v>
      </c>
      <c r="J335" s="161">
        <v>0</v>
      </c>
      <c r="K335" s="161">
        <v>0</v>
      </c>
      <c r="L335" s="161">
        <v>0</v>
      </c>
      <c r="M335" s="162">
        <v>0</v>
      </c>
      <c r="N335" s="161">
        <v>0</v>
      </c>
      <c r="O335" s="162">
        <f t="shared" si="30"/>
        <v>0</v>
      </c>
      <c r="P335" s="161">
        <v>-2500</v>
      </c>
      <c r="Q335" s="161">
        <v>-8</v>
      </c>
      <c r="R335" s="161">
        <v>0</v>
      </c>
      <c r="S335" s="161">
        <v>0</v>
      </c>
      <c r="T335" s="161">
        <v>0</v>
      </c>
      <c r="U335" s="161">
        <v>0</v>
      </c>
      <c r="V335" s="161">
        <v>0</v>
      </c>
      <c r="W335" s="161">
        <f t="shared" si="31"/>
        <v>-2508</v>
      </c>
      <c r="X335" s="161">
        <f t="shared" si="32"/>
        <v>0</v>
      </c>
      <c r="Y335" s="161">
        <f t="shared" si="33"/>
        <v>-2508</v>
      </c>
      <c r="Z335" s="161">
        <v>1000</v>
      </c>
      <c r="AA335" s="161">
        <f t="shared" si="34"/>
        <v>-1508</v>
      </c>
      <c r="AB335" s="161">
        <f t="shared" si="35"/>
        <v>-508</v>
      </c>
      <c r="AC335" s="158"/>
      <c r="AD335" s="158"/>
    </row>
    <row r="336" spans="1:30" ht="12.75" customHeight="1" x14ac:dyDescent="0.3">
      <c r="A336" s="147">
        <v>20</v>
      </c>
      <c r="B336" s="158" t="s">
        <v>923</v>
      </c>
      <c r="C336" s="160" t="s">
        <v>46</v>
      </c>
      <c r="D336" s="160" t="s">
        <v>915</v>
      </c>
      <c r="E336" s="160" t="s">
        <v>25</v>
      </c>
      <c r="F336" s="158" t="s">
        <v>25</v>
      </c>
      <c r="G336" s="160" t="s">
        <v>866</v>
      </c>
      <c r="H336" s="161">
        <v>860</v>
      </c>
      <c r="I336" s="161">
        <v>-23</v>
      </c>
      <c r="J336" s="161">
        <v>0</v>
      </c>
      <c r="K336" s="161">
        <v>0</v>
      </c>
      <c r="L336" s="161">
        <v>0</v>
      </c>
      <c r="M336" s="162">
        <v>-30</v>
      </c>
      <c r="N336" s="161">
        <v>-200</v>
      </c>
      <c r="O336" s="162">
        <f t="shared" si="30"/>
        <v>607</v>
      </c>
      <c r="P336" s="161">
        <v>-2500</v>
      </c>
      <c r="Q336" s="161">
        <v>-171</v>
      </c>
      <c r="R336" s="161">
        <v>-500</v>
      </c>
      <c r="S336" s="161">
        <v>0</v>
      </c>
      <c r="T336" s="161">
        <v>-500</v>
      </c>
      <c r="U336" s="161">
        <v>0</v>
      </c>
      <c r="V336" s="161">
        <v>0</v>
      </c>
      <c r="W336" s="161">
        <f t="shared" si="31"/>
        <v>-3064</v>
      </c>
      <c r="X336" s="161">
        <f t="shared" si="32"/>
        <v>0</v>
      </c>
      <c r="Y336" s="161">
        <f t="shared" si="33"/>
        <v>-3064</v>
      </c>
      <c r="Z336" s="161">
        <v>3000</v>
      </c>
      <c r="AA336" s="161">
        <f t="shared" si="34"/>
        <v>-64</v>
      </c>
      <c r="AB336" s="161">
        <f t="shared" si="35"/>
        <v>3543</v>
      </c>
      <c r="AC336" s="158"/>
      <c r="AD336" s="158"/>
    </row>
    <row r="337" spans="1:30" ht="12.75" customHeight="1" x14ac:dyDescent="0.3">
      <c r="A337" s="147">
        <v>20</v>
      </c>
      <c r="B337" s="158" t="s">
        <v>952</v>
      </c>
      <c r="C337" s="160" t="s">
        <v>123</v>
      </c>
      <c r="D337" s="158" t="s">
        <v>20</v>
      </c>
      <c r="E337" s="160" t="s">
        <v>871</v>
      </c>
      <c r="F337" s="158" t="s">
        <v>25</v>
      </c>
      <c r="G337" s="160" t="s">
        <v>866</v>
      </c>
      <c r="H337" s="161">
        <v>265</v>
      </c>
      <c r="I337" s="161">
        <v>0</v>
      </c>
      <c r="J337" s="161">
        <v>0</v>
      </c>
      <c r="K337" s="161">
        <v>0</v>
      </c>
      <c r="L337" s="161">
        <v>0</v>
      </c>
      <c r="M337" s="162">
        <v>0</v>
      </c>
      <c r="N337" s="161">
        <v>0</v>
      </c>
      <c r="O337" s="162">
        <f t="shared" si="30"/>
        <v>265</v>
      </c>
      <c r="P337" s="161">
        <v>-182</v>
      </c>
      <c r="Q337" s="161">
        <v>0</v>
      </c>
      <c r="R337" s="161">
        <v>0</v>
      </c>
      <c r="S337" s="161">
        <v>0</v>
      </c>
      <c r="T337" s="161">
        <v>0</v>
      </c>
      <c r="U337" s="161">
        <v>0</v>
      </c>
      <c r="V337" s="161">
        <v>0</v>
      </c>
      <c r="W337" s="161">
        <f t="shared" si="31"/>
        <v>83</v>
      </c>
      <c r="X337" s="161">
        <f t="shared" si="32"/>
        <v>83</v>
      </c>
      <c r="Y337" s="161">
        <f t="shared" si="33"/>
        <v>0</v>
      </c>
      <c r="Z337" s="161">
        <v>0</v>
      </c>
      <c r="AA337" s="161">
        <f t="shared" si="34"/>
        <v>0</v>
      </c>
      <c r="AB337" s="161">
        <f t="shared" si="35"/>
        <v>182</v>
      </c>
      <c r="AC337" s="158"/>
      <c r="AD337" s="158"/>
    </row>
    <row r="338" spans="1:30" ht="12.75" customHeight="1" x14ac:dyDescent="0.3">
      <c r="A338" s="147">
        <v>20</v>
      </c>
      <c r="B338" s="158" t="s">
        <v>952</v>
      </c>
      <c r="C338" s="160" t="s">
        <v>123</v>
      </c>
      <c r="D338" s="158" t="s">
        <v>20</v>
      </c>
      <c r="E338" s="160" t="s">
        <v>871</v>
      </c>
      <c r="F338" s="158" t="s">
        <v>39</v>
      </c>
      <c r="G338" s="160" t="s">
        <v>866</v>
      </c>
      <c r="H338" s="161">
        <v>2500</v>
      </c>
      <c r="I338" s="161">
        <v>-54</v>
      </c>
      <c r="J338" s="161">
        <v>0</v>
      </c>
      <c r="K338" s="161">
        <v>0</v>
      </c>
      <c r="L338" s="161">
        <v>-135</v>
      </c>
      <c r="M338" s="162">
        <v>-30</v>
      </c>
      <c r="N338" s="161">
        <v>0</v>
      </c>
      <c r="O338" s="162">
        <f t="shared" si="30"/>
        <v>2281</v>
      </c>
      <c r="P338" s="161">
        <v>-1781</v>
      </c>
      <c r="Q338" s="161">
        <v>0</v>
      </c>
      <c r="R338" s="161">
        <v>-500</v>
      </c>
      <c r="S338" s="161">
        <v>0</v>
      </c>
      <c r="T338" s="161">
        <v>0</v>
      </c>
      <c r="U338" s="161">
        <v>0</v>
      </c>
      <c r="V338" s="161">
        <v>0</v>
      </c>
      <c r="W338" s="161">
        <f t="shared" si="31"/>
        <v>0</v>
      </c>
      <c r="X338" s="161">
        <f t="shared" si="32"/>
        <v>0</v>
      </c>
      <c r="Y338" s="161">
        <f t="shared" si="33"/>
        <v>0</v>
      </c>
      <c r="Z338" s="161">
        <v>0</v>
      </c>
      <c r="AA338" s="161">
        <f t="shared" si="34"/>
        <v>0</v>
      </c>
      <c r="AB338" s="161">
        <f t="shared" si="35"/>
        <v>2281</v>
      </c>
      <c r="AC338" s="158"/>
      <c r="AD338" s="158"/>
    </row>
    <row r="339" spans="1:30" ht="12.75" customHeight="1" x14ac:dyDescent="0.3">
      <c r="A339" s="147">
        <v>20</v>
      </c>
      <c r="B339" s="158" t="s">
        <v>880</v>
      </c>
      <c r="C339" s="160" t="s">
        <v>57</v>
      </c>
      <c r="D339" s="160" t="s">
        <v>881</v>
      </c>
      <c r="E339" s="160" t="s">
        <v>25</v>
      </c>
      <c r="F339" s="158" t="s">
        <v>25</v>
      </c>
      <c r="G339" s="160" t="s">
        <v>866</v>
      </c>
      <c r="H339" s="161">
        <v>5764</v>
      </c>
      <c r="I339" s="161">
        <v>-59</v>
      </c>
      <c r="J339" s="161">
        <v>0</v>
      </c>
      <c r="K339" s="161">
        <v>0</v>
      </c>
      <c r="L339" s="161">
        <v>-1395</v>
      </c>
      <c r="M339" s="162">
        <v>-30</v>
      </c>
      <c r="N339" s="161">
        <v>0</v>
      </c>
      <c r="O339" s="162">
        <f t="shared" si="30"/>
        <v>4280</v>
      </c>
      <c r="P339" s="161">
        <v>-2300</v>
      </c>
      <c r="Q339" s="161">
        <v>0</v>
      </c>
      <c r="R339" s="161">
        <v>0</v>
      </c>
      <c r="S339" s="161">
        <v>0</v>
      </c>
      <c r="T339" s="161">
        <v>0</v>
      </c>
      <c r="U339" s="161">
        <v>0</v>
      </c>
      <c r="V339" s="161">
        <v>0</v>
      </c>
      <c r="W339" s="161">
        <f t="shared" si="31"/>
        <v>1980</v>
      </c>
      <c r="X339" s="161">
        <f t="shared" si="32"/>
        <v>1980</v>
      </c>
      <c r="Y339" s="161">
        <f t="shared" si="33"/>
        <v>0</v>
      </c>
      <c r="Z339" s="161">
        <v>0</v>
      </c>
      <c r="AA339" s="161">
        <f t="shared" si="34"/>
        <v>0</v>
      </c>
      <c r="AB339" s="161">
        <f t="shared" si="35"/>
        <v>2300</v>
      </c>
      <c r="AC339" s="158"/>
      <c r="AD339" s="158"/>
    </row>
    <row r="340" spans="1:30" ht="12.75" customHeight="1" x14ac:dyDescent="0.3">
      <c r="A340" s="147">
        <v>20</v>
      </c>
      <c r="B340" s="158" t="s">
        <v>922</v>
      </c>
      <c r="C340" s="158" t="s">
        <v>347</v>
      </c>
      <c r="D340" s="160" t="s">
        <v>897</v>
      </c>
      <c r="E340" s="160" t="s">
        <v>25</v>
      </c>
      <c r="F340" s="158" t="s">
        <v>25</v>
      </c>
      <c r="G340" s="160" t="s">
        <v>866</v>
      </c>
      <c r="H340" s="161">
        <v>6185</v>
      </c>
      <c r="I340" s="161">
        <v>0</v>
      </c>
      <c r="J340" s="161">
        <v>0</v>
      </c>
      <c r="K340" s="161">
        <v>0</v>
      </c>
      <c r="L340" s="161">
        <v>-1892</v>
      </c>
      <c r="M340" s="162">
        <v>-30</v>
      </c>
      <c r="N340" s="161">
        <v>-8</v>
      </c>
      <c r="O340" s="162">
        <f t="shared" si="30"/>
        <v>4255</v>
      </c>
      <c r="P340" s="161">
        <v>-2500</v>
      </c>
      <c r="Q340" s="161">
        <v>-600</v>
      </c>
      <c r="R340" s="161">
        <v>0</v>
      </c>
      <c r="S340" s="161">
        <v>0</v>
      </c>
      <c r="T340" s="161">
        <v>0</v>
      </c>
      <c r="U340" s="161">
        <v>0</v>
      </c>
      <c r="V340" s="161">
        <v>0</v>
      </c>
      <c r="W340" s="161">
        <f t="shared" si="31"/>
        <v>1155</v>
      </c>
      <c r="X340" s="161">
        <f t="shared" si="32"/>
        <v>1155</v>
      </c>
      <c r="Y340" s="161">
        <f t="shared" si="33"/>
        <v>0</v>
      </c>
      <c r="Z340" s="161">
        <v>0</v>
      </c>
      <c r="AA340" s="161">
        <f t="shared" si="34"/>
        <v>0</v>
      </c>
      <c r="AB340" s="161">
        <f t="shared" si="35"/>
        <v>3100</v>
      </c>
      <c r="AC340" s="158" t="s">
        <v>957</v>
      </c>
      <c r="AD340" s="158"/>
    </row>
    <row r="341" spans="1:30" ht="12.75" customHeight="1" x14ac:dyDescent="0.3">
      <c r="A341" s="147">
        <v>20</v>
      </c>
      <c r="B341" s="158" t="s">
        <v>924</v>
      </c>
      <c r="C341" s="158" t="s">
        <v>100</v>
      </c>
      <c r="D341" s="160" t="s">
        <v>953</v>
      </c>
      <c r="E341" s="160" t="s">
        <v>25</v>
      </c>
      <c r="F341" s="158" t="s">
        <v>25</v>
      </c>
      <c r="G341" s="160" t="s">
        <v>866</v>
      </c>
      <c r="H341" s="161">
        <v>687</v>
      </c>
      <c r="I341" s="161">
        <v>0</v>
      </c>
      <c r="J341" s="161">
        <v>0</v>
      </c>
      <c r="K341" s="161">
        <v>0</v>
      </c>
      <c r="L341" s="161">
        <v>0</v>
      </c>
      <c r="M341" s="162">
        <v>-30</v>
      </c>
      <c r="N341" s="161">
        <v>0</v>
      </c>
      <c r="O341" s="162">
        <f t="shared" si="30"/>
        <v>657</v>
      </c>
      <c r="P341" s="161">
        <v>-2500</v>
      </c>
      <c r="Q341" s="161">
        <v>-465</v>
      </c>
      <c r="R341" s="161">
        <v>0</v>
      </c>
      <c r="S341" s="161">
        <v>-1063</v>
      </c>
      <c r="T341" s="161">
        <v>0</v>
      </c>
      <c r="U341" s="161">
        <v>0</v>
      </c>
      <c r="V341" s="161">
        <v>0</v>
      </c>
      <c r="W341" s="161">
        <f t="shared" si="31"/>
        <v>-3371</v>
      </c>
      <c r="X341" s="161">
        <f t="shared" si="32"/>
        <v>0</v>
      </c>
      <c r="Y341" s="161">
        <f t="shared" si="33"/>
        <v>-3371</v>
      </c>
      <c r="Z341" s="161">
        <v>1500</v>
      </c>
      <c r="AA341" s="161">
        <f t="shared" si="34"/>
        <v>-1871</v>
      </c>
      <c r="AB341" s="161">
        <f t="shared" si="35"/>
        <v>286</v>
      </c>
      <c r="AC341" s="158"/>
      <c r="AD341" s="158"/>
    </row>
    <row r="342" spans="1:30" ht="12.75" customHeight="1" x14ac:dyDescent="0.3">
      <c r="A342" s="147">
        <v>21</v>
      </c>
      <c r="B342" s="158" t="s">
        <v>585</v>
      </c>
      <c r="C342" s="160" t="s">
        <v>64</v>
      </c>
      <c r="D342" s="160" t="s">
        <v>949</v>
      </c>
      <c r="E342" s="160" t="s">
        <v>25</v>
      </c>
      <c r="F342" s="158" t="s">
        <v>25</v>
      </c>
      <c r="G342" s="160" t="s">
        <v>866</v>
      </c>
      <c r="H342" s="161">
        <v>520.1</v>
      </c>
      <c r="I342" s="161">
        <v>0</v>
      </c>
      <c r="J342" s="161">
        <v>0</v>
      </c>
      <c r="K342" s="161">
        <v>0</v>
      </c>
      <c r="L342" s="161">
        <v>0</v>
      </c>
      <c r="M342" s="162">
        <v>-20</v>
      </c>
      <c r="N342" s="161">
        <v>0</v>
      </c>
      <c r="O342" s="162">
        <f t="shared" si="30"/>
        <v>500.1</v>
      </c>
      <c r="P342" s="161">
        <v>-2500</v>
      </c>
      <c r="Q342" s="161">
        <v>0</v>
      </c>
      <c r="R342" s="161">
        <v>0</v>
      </c>
      <c r="S342" s="161">
        <v>0</v>
      </c>
      <c r="T342" s="161">
        <v>-500</v>
      </c>
      <c r="U342" s="161">
        <v>0</v>
      </c>
      <c r="V342" s="161">
        <v>0</v>
      </c>
      <c r="W342" s="161">
        <f t="shared" si="31"/>
        <v>-2499.9</v>
      </c>
      <c r="X342" s="161">
        <f t="shared" si="32"/>
        <v>0</v>
      </c>
      <c r="Y342" s="161">
        <f t="shared" si="33"/>
        <v>-2499.9</v>
      </c>
      <c r="Z342" s="161">
        <v>2500</v>
      </c>
      <c r="AA342" s="161">
        <f t="shared" si="34"/>
        <v>9.9999999999909051E-2</v>
      </c>
      <c r="AB342" s="161">
        <f t="shared" si="35"/>
        <v>3000.2</v>
      </c>
      <c r="AC342" s="158"/>
      <c r="AD342" s="158"/>
    </row>
    <row r="343" spans="1:30" ht="12.75" customHeight="1" x14ac:dyDescent="0.3">
      <c r="A343" s="147">
        <v>21</v>
      </c>
      <c r="B343" s="158" t="s">
        <v>954</v>
      </c>
      <c r="C343" s="158" t="s">
        <v>68</v>
      </c>
      <c r="D343" s="158" t="s">
        <v>869</v>
      </c>
      <c r="E343" s="160" t="s">
        <v>25</v>
      </c>
      <c r="F343" s="158" t="s">
        <v>25</v>
      </c>
      <c r="G343" s="160" t="s">
        <v>866</v>
      </c>
      <c r="H343" s="161">
        <v>2871.6</v>
      </c>
      <c r="I343" s="161">
        <v>0</v>
      </c>
      <c r="J343" s="161">
        <v>0</v>
      </c>
      <c r="K343" s="161">
        <v>0</v>
      </c>
      <c r="L343" s="161">
        <v>-149.84</v>
      </c>
      <c r="M343" s="162">
        <v>-35</v>
      </c>
      <c r="N343" s="161">
        <v>0</v>
      </c>
      <c r="O343" s="162">
        <f t="shared" si="30"/>
        <v>2686.7599999999998</v>
      </c>
      <c r="P343" s="161">
        <v>-2500</v>
      </c>
      <c r="Q343" s="161">
        <v>-9</v>
      </c>
      <c r="R343" s="161">
        <v>-500</v>
      </c>
      <c r="S343" s="161">
        <v>0</v>
      </c>
      <c r="T343" s="161">
        <v>0</v>
      </c>
      <c r="U343" s="161">
        <v>0</v>
      </c>
      <c r="V343" s="161">
        <v>0</v>
      </c>
      <c r="W343" s="161">
        <f t="shared" si="31"/>
        <v>-322.24000000000024</v>
      </c>
      <c r="X343" s="161">
        <f t="shared" si="32"/>
        <v>0</v>
      </c>
      <c r="Y343" s="161">
        <f t="shared" si="33"/>
        <v>-322.24000000000024</v>
      </c>
      <c r="Z343" s="161">
        <v>0</v>
      </c>
      <c r="AA343" s="161">
        <f t="shared" si="34"/>
        <v>-322.24000000000024</v>
      </c>
      <c r="AB343" s="161">
        <f t="shared" si="35"/>
        <v>2364.5199999999995</v>
      </c>
      <c r="AC343" s="158"/>
      <c r="AD343" s="158"/>
    </row>
    <row r="344" spans="1:30" ht="12.75" customHeight="1" x14ac:dyDescent="0.3">
      <c r="A344" s="147">
        <v>21</v>
      </c>
      <c r="B344" s="158" t="s">
        <v>944</v>
      </c>
      <c r="C344" s="160" t="s">
        <v>101</v>
      </c>
      <c r="D344" s="160" t="s">
        <v>945</v>
      </c>
      <c r="E344" s="160" t="s">
        <v>25</v>
      </c>
      <c r="F344" s="158" t="s">
        <v>25</v>
      </c>
      <c r="G344" s="160" t="s">
        <v>866</v>
      </c>
      <c r="H344" s="161">
        <v>5711.99</v>
      </c>
      <c r="I344" s="161">
        <v>-24.6</v>
      </c>
      <c r="J344" s="161">
        <v>-150</v>
      </c>
      <c r="K344" s="161">
        <v>-139</v>
      </c>
      <c r="L344" s="161">
        <v>-1058.75</v>
      </c>
      <c r="M344" s="162">
        <v>-28</v>
      </c>
      <c r="N344" s="161">
        <v>0</v>
      </c>
      <c r="O344" s="162">
        <f t="shared" si="30"/>
        <v>4311.6399999999994</v>
      </c>
      <c r="P344" s="161">
        <v>-2500</v>
      </c>
      <c r="Q344" s="161">
        <v>0</v>
      </c>
      <c r="R344" s="161">
        <v>-500</v>
      </c>
      <c r="S344" s="161">
        <v>0</v>
      </c>
      <c r="T344" s="161">
        <v>0</v>
      </c>
      <c r="U344" s="161">
        <v>0</v>
      </c>
      <c r="V344" s="161">
        <v>0</v>
      </c>
      <c r="W344" s="161">
        <f t="shared" si="31"/>
        <v>1311.6399999999994</v>
      </c>
      <c r="X344" s="161">
        <f t="shared" si="32"/>
        <v>1311.6399999999994</v>
      </c>
      <c r="Y344" s="161">
        <f t="shared" si="33"/>
        <v>0</v>
      </c>
      <c r="Z344" s="161">
        <v>0</v>
      </c>
      <c r="AA344" s="161">
        <f t="shared" si="34"/>
        <v>0</v>
      </c>
      <c r="AB344" s="161">
        <f t="shared" si="35"/>
        <v>3000</v>
      </c>
      <c r="AC344" s="158" t="s">
        <v>374</v>
      </c>
      <c r="AD344" s="158"/>
    </row>
    <row r="345" spans="1:30" ht="12.75" customHeight="1" x14ac:dyDescent="0.3">
      <c r="A345" s="147">
        <v>21</v>
      </c>
      <c r="B345" s="158" t="s">
        <v>913</v>
      </c>
      <c r="C345" s="160" t="s">
        <v>863</v>
      </c>
      <c r="D345" s="160" t="s">
        <v>864</v>
      </c>
      <c r="E345" s="160" t="s">
        <v>25</v>
      </c>
      <c r="F345" s="158" t="s">
        <v>25</v>
      </c>
      <c r="G345" s="160" t="s">
        <v>866</v>
      </c>
      <c r="H345" s="161">
        <v>5052.12</v>
      </c>
      <c r="I345" s="161">
        <v>0</v>
      </c>
      <c r="J345" s="161">
        <v>0</v>
      </c>
      <c r="K345" s="161">
        <v>0</v>
      </c>
      <c r="L345" s="161">
        <v>-2903.66</v>
      </c>
      <c r="M345" s="162">
        <v>-28</v>
      </c>
      <c r="N345" s="161">
        <v>0</v>
      </c>
      <c r="O345" s="162">
        <f t="shared" si="30"/>
        <v>2120.46</v>
      </c>
      <c r="P345" s="161">
        <v>-1963</v>
      </c>
      <c r="Q345" s="161">
        <v>0</v>
      </c>
      <c r="R345" s="161">
        <v>-500</v>
      </c>
      <c r="S345" s="161">
        <v>0</v>
      </c>
      <c r="T345" s="161">
        <v>0</v>
      </c>
      <c r="U345" s="161">
        <v>0</v>
      </c>
      <c r="V345" s="161">
        <v>0</v>
      </c>
      <c r="W345" s="161">
        <f t="shared" si="31"/>
        <v>-342.53999999999996</v>
      </c>
      <c r="X345" s="161">
        <f t="shared" si="32"/>
        <v>0</v>
      </c>
      <c r="Y345" s="161">
        <f t="shared" si="33"/>
        <v>-342.53999999999996</v>
      </c>
      <c r="Z345" s="161">
        <v>343</v>
      </c>
      <c r="AA345" s="161">
        <f t="shared" si="34"/>
        <v>0.46000000000003638</v>
      </c>
      <c r="AB345" s="161">
        <f t="shared" si="35"/>
        <v>2463.92</v>
      </c>
      <c r="AC345" s="158"/>
      <c r="AD345" s="158"/>
    </row>
    <row r="346" spans="1:30" ht="12.75" customHeight="1" x14ac:dyDescent="0.3">
      <c r="A346" s="147">
        <v>21</v>
      </c>
      <c r="B346" s="158" t="s">
        <v>929</v>
      </c>
      <c r="C346" s="160" t="s">
        <v>169</v>
      </c>
      <c r="D346" s="158" t="s">
        <v>20</v>
      </c>
      <c r="E346" s="160" t="s">
        <v>871</v>
      </c>
      <c r="F346" s="158" t="s">
        <v>39</v>
      </c>
      <c r="G346" s="160" t="s">
        <v>866</v>
      </c>
      <c r="H346" s="161">
        <v>3774.07</v>
      </c>
      <c r="I346" s="161">
        <v>0</v>
      </c>
      <c r="J346" s="161">
        <v>0</v>
      </c>
      <c r="K346" s="161">
        <v>0</v>
      </c>
      <c r="L346" s="161">
        <v>-1947.41</v>
      </c>
      <c r="M346" s="162">
        <v>0</v>
      </c>
      <c r="N346" s="161">
        <v>0</v>
      </c>
      <c r="O346" s="162">
        <f t="shared" si="30"/>
        <v>1826.66</v>
      </c>
      <c r="P346" s="161">
        <v>-2142</v>
      </c>
      <c r="Q346" s="161">
        <v>-1125</v>
      </c>
      <c r="R346" s="161">
        <v>0</v>
      </c>
      <c r="S346" s="161">
        <v>0</v>
      </c>
      <c r="T346" s="161">
        <v>-500</v>
      </c>
      <c r="U346" s="161">
        <v>0</v>
      </c>
      <c r="V346" s="161">
        <v>0</v>
      </c>
      <c r="W346" s="161">
        <f t="shared" si="31"/>
        <v>-1940.34</v>
      </c>
      <c r="X346" s="161">
        <f t="shared" si="32"/>
        <v>0</v>
      </c>
      <c r="Y346" s="161">
        <f t="shared" si="33"/>
        <v>-1940.34</v>
      </c>
      <c r="Z346" s="161">
        <v>0</v>
      </c>
      <c r="AA346" s="161">
        <f t="shared" si="34"/>
        <v>-1940.34</v>
      </c>
      <c r="AB346" s="161">
        <f t="shared" si="35"/>
        <v>-113.67999999999984</v>
      </c>
      <c r="AC346" s="158"/>
      <c r="AD346" s="158"/>
    </row>
    <row r="347" spans="1:30" ht="12.75" customHeight="1" x14ac:dyDescent="0.3">
      <c r="A347" s="147">
        <v>21</v>
      </c>
      <c r="B347" s="158" t="s">
        <v>929</v>
      </c>
      <c r="C347" s="160" t="s">
        <v>169</v>
      </c>
      <c r="D347" s="158" t="s">
        <v>20</v>
      </c>
      <c r="E347" s="160" t="s">
        <v>871</v>
      </c>
      <c r="F347" s="158" t="s">
        <v>25</v>
      </c>
      <c r="G347" s="160" t="s">
        <v>866</v>
      </c>
      <c r="H347" s="161">
        <v>525.17999999999995</v>
      </c>
      <c r="I347" s="161">
        <v>0</v>
      </c>
      <c r="J347" s="161">
        <v>0</v>
      </c>
      <c r="K347" s="161">
        <v>0</v>
      </c>
      <c r="L347" s="161">
        <v>-49.98</v>
      </c>
      <c r="M347" s="162">
        <v>-25</v>
      </c>
      <c r="N347" s="161">
        <v>-140</v>
      </c>
      <c r="O347" s="162">
        <f t="shared" si="30"/>
        <v>310.19999999999993</v>
      </c>
      <c r="P347" s="161">
        <v>-358</v>
      </c>
      <c r="Q347" s="161">
        <v>-1940</v>
      </c>
      <c r="R347" s="161">
        <v>0</v>
      </c>
      <c r="S347" s="161">
        <v>0</v>
      </c>
      <c r="T347" s="161">
        <v>0</v>
      </c>
      <c r="U347" s="161">
        <v>0</v>
      </c>
      <c r="V347" s="161">
        <v>0</v>
      </c>
      <c r="W347" s="161">
        <f t="shared" si="31"/>
        <v>-1987.8000000000002</v>
      </c>
      <c r="X347" s="161">
        <f t="shared" si="32"/>
        <v>0</v>
      </c>
      <c r="Y347" s="161">
        <f t="shared" si="33"/>
        <v>-1987.8000000000002</v>
      </c>
      <c r="Z347" s="161">
        <v>0</v>
      </c>
      <c r="AA347" s="161">
        <f t="shared" si="34"/>
        <v>-1987.8000000000002</v>
      </c>
      <c r="AB347" s="161">
        <f t="shared" si="35"/>
        <v>-1677.6000000000004</v>
      </c>
      <c r="AC347" s="158"/>
      <c r="AD347" s="158"/>
    </row>
    <row r="348" spans="1:30" ht="12.75" customHeight="1" x14ac:dyDescent="0.3">
      <c r="A348" s="147">
        <v>21</v>
      </c>
      <c r="B348" s="158" t="s">
        <v>888</v>
      </c>
      <c r="C348" s="158" t="s">
        <v>409</v>
      </c>
      <c r="D348" s="163" t="s">
        <v>889</v>
      </c>
      <c r="E348" s="160" t="s">
        <v>25</v>
      </c>
      <c r="F348" s="158" t="s">
        <v>25</v>
      </c>
      <c r="G348" s="160" t="s">
        <v>866</v>
      </c>
      <c r="H348" s="161">
        <v>0</v>
      </c>
      <c r="I348" s="161">
        <v>0</v>
      </c>
      <c r="J348" s="161">
        <v>0</v>
      </c>
      <c r="K348" s="161">
        <v>0</v>
      </c>
      <c r="L348" s="161">
        <v>0</v>
      </c>
      <c r="M348" s="162">
        <v>0</v>
      </c>
      <c r="N348" s="161">
        <v>0</v>
      </c>
      <c r="O348" s="162">
        <f t="shared" si="30"/>
        <v>0</v>
      </c>
      <c r="P348" s="161">
        <v>0</v>
      </c>
      <c r="Q348" s="161">
        <v>0</v>
      </c>
      <c r="R348" s="161">
        <v>0</v>
      </c>
      <c r="S348" s="161">
        <v>-1697</v>
      </c>
      <c r="T348" s="161">
        <v>0</v>
      </c>
      <c r="U348" s="161">
        <v>0</v>
      </c>
      <c r="V348" s="161">
        <v>0</v>
      </c>
      <c r="W348" s="161">
        <f t="shared" si="31"/>
        <v>-1697</v>
      </c>
      <c r="X348" s="161">
        <f t="shared" si="32"/>
        <v>0</v>
      </c>
      <c r="Y348" s="161">
        <f t="shared" si="33"/>
        <v>-1697</v>
      </c>
      <c r="Z348" s="161">
        <v>0</v>
      </c>
      <c r="AA348" s="161">
        <f t="shared" si="34"/>
        <v>-1697</v>
      </c>
      <c r="AB348" s="161">
        <f t="shared" si="35"/>
        <v>-1697</v>
      </c>
      <c r="AC348" s="158" t="s">
        <v>947</v>
      </c>
      <c r="AD348" s="158"/>
    </row>
    <row r="349" spans="1:30" ht="12.75" customHeight="1" x14ac:dyDescent="0.3">
      <c r="A349" s="147">
        <v>21</v>
      </c>
      <c r="B349" s="158" t="s">
        <v>457</v>
      </c>
      <c r="C349" s="160" t="s">
        <v>183</v>
      </c>
      <c r="D349" s="160" t="s">
        <v>887</v>
      </c>
      <c r="E349" s="160" t="s">
        <v>25</v>
      </c>
      <c r="F349" s="158" t="s">
        <v>25</v>
      </c>
      <c r="G349" s="160" t="s">
        <v>866</v>
      </c>
      <c r="H349" s="161">
        <v>3893.88</v>
      </c>
      <c r="I349" s="161">
        <v>0</v>
      </c>
      <c r="J349" s="161">
        <v>0</v>
      </c>
      <c r="K349" s="161">
        <v>0</v>
      </c>
      <c r="L349" s="161">
        <v>-1041.33</v>
      </c>
      <c r="M349" s="162">
        <v>-25</v>
      </c>
      <c r="N349" s="161">
        <v>-29</v>
      </c>
      <c r="O349" s="162">
        <f t="shared" si="30"/>
        <v>2798.55</v>
      </c>
      <c r="P349" s="161">
        <v>-2500</v>
      </c>
      <c r="Q349" s="161">
        <v>0</v>
      </c>
      <c r="R349" s="161">
        <v>-500</v>
      </c>
      <c r="S349" s="161">
        <v>0</v>
      </c>
      <c r="T349" s="161">
        <v>0</v>
      </c>
      <c r="U349" s="161">
        <v>0</v>
      </c>
      <c r="V349" s="161">
        <v>0</v>
      </c>
      <c r="W349" s="161">
        <f t="shared" si="31"/>
        <v>-201.44999999999982</v>
      </c>
      <c r="X349" s="161">
        <f t="shared" si="32"/>
        <v>0</v>
      </c>
      <c r="Y349" s="161">
        <f t="shared" si="33"/>
        <v>-201.44999999999982</v>
      </c>
      <c r="Z349" s="161">
        <v>201</v>
      </c>
      <c r="AA349" s="161">
        <f t="shared" si="34"/>
        <v>-0.4499999999998181</v>
      </c>
      <c r="AB349" s="161">
        <f t="shared" si="35"/>
        <v>2999.1000000000004</v>
      </c>
      <c r="AC349" s="158"/>
      <c r="AD349" s="158"/>
    </row>
    <row r="350" spans="1:30" ht="12.75" customHeight="1" x14ac:dyDescent="0.3">
      <c r="A350" s="147">
        <v>21</v>
      </c>
      <c r="B350" s="158" t="s">
        <v>890</v>
      </c>
      <c r="C350" s="160" t="s">
        <v>42</v>
      </c>
      <c r="D350" s="160" t="s">
        <v>948</v>
      </c>
      <c r="E350" s="160" t="s">
        <v>25</v>
      </c>
      <c r="F350" s="158" t="s">
        <v>25</v>
      </c>
      <c r="G350" s="160" t="s">
        <v>866</v>
      </c>
      <c r="H350" s="161">
        <v>5775.65</v>
      </c>
      <c r="I350" s="161">
        <v>0</v>
      </c>
      <c r="J350" s="161">
        <v>0</v>
      </c>
      <c r="K350" s="161">
        <v>0</v>
      </c>
      <c r="L350" s="161">
        <v>-1166.48</v>
      </c>
      <c r="M350" s="162">
        <v>-25</v>
      </c>
      <c r="N350" s="161">
        <v>0</v>
      </c>
      <c r="O350" s="162">
        <f t="shared" si="30"/>
        <v>4584.17</v>
      </c>
      <c r="P350" s="161">
        <v>-2500</v>
      </c>
      <c r="Q350" s="161">
        <v>0</v>
      </c>
      <c r="R350" s="161">
        <v>0</v>
      </c>
      <c r="S350" s="161">
        <v>-500</v>
      </c>
      <c r="T350" s="161">
        <v>0</v>
      </c>
      <c r="U350" s="161">
        <v>0</v>
      </c>
      <c r="V350" s="161">
        <v>0</v>
      </c>
      <c r="W350" s="161">
        <f t="shared" si="31"/>
        <v>1584.17</v>
      </c>
      <c r="X350" s="161">
        <f t="shared" si="32"/>
        <v>1584.17</v>
      </c>
      <c r="Y350" s="161">
        <f t="shared" si="33"/>
        <v>0</v>
      </c>
      <c r="Z350" s="161">
        <v>0</v>
      </c>
      <c r="AA350" s="161">
        <f t="shared" si="34"/>
        <v>0</v>
      </c>
      <c r="AB350" s="161">
        <f t="shared" si="35"/>
        <v>3000</v>
      </c>
      <c r="AC350" s="158" t="s">
        <v>374</v>
      </c>
      <c r="AD350" s="158"/>
    </row>
    <row r="351" spans="1:30" ht="12.75" customHeight="1" x14ac:dyDescent="0.3">
      <c r="A351" s="147">
        <v>21</v>
      </c>
      <c r="B351" s="158" t="s">
        <v>872</v>
      </c>
      <c r="C351" s="160" t="s">
        <v>36</v>
      </c>
      <c r="D351" s="160" t="s">
        <v>904</v>
      </c>
      <c r="E351" s="160" t="s">
        <v>25</v>
      </c>
      <c r="F351" s="158" t="s">
        <v>25</v>
      </c>
      <c r="G351" s="160" t="s">
        <v>866</v>
      </c>
      <c r="H351" s="161">
        <v>10515.92</v>
      </c>
      <c r="I351" s="161">
        <v>-104</v>
      </c>
      <c r="J351" s="161">
        <v>0</v>
      </c>
      <c r="K351" s="161">
        <v>-104.41</v>
      </c>
      <c r="L351" s="161">
        <v>-4903.3500000000004</v>
      </c>
      <c r="M351" s="162">
        <v>-25</v>
      </c>
      <c r="N351" s="161">
        <v>-26</v>
      </c>
      <c r="O351" s="162">
        <f t="shared" si="30"/>
        <v>5353.16</v>
      </c>
      <c r="P351" s="161">
        <v>-2500</v>
      </c>
      <c r="Q351" s="161">
        <v>-200</v>
      </c>
      <c r="R351" s="161">
        <v>0</v>
      </c>
      <c r="S351" s="161">
        <v>-780</v>
      </c>
      <c r="T351" s="161">
        <v>0</v>
      </c>
      <c r="U351" s="161">
        <v>0</v>
      </c>
      <c r="V351" s="161">
        <v>0</v>
      </c>
      <c r="W351" s="161">
        <f t="shared" si="31"/>
        <v>1873.1599999999999</v>
      </c>
      <c r="X351" s="161">
        <f t="shared" si="32"/>
        <v>1873.1599999999999</v>
      </c>
      <c r="Y351" s="161">
        <f t="shared" si="33"/>
        <v>0</v>
      </c>
      <c r="Z351" s="161">
        <v>0</v>
      </c>
      <c r="AA351" s="161">
        <f t="shared" si="34"/>
        <v>0</v>
      </c>
      <c r="AB351" s="161">
        <f t="shared" si="35"/>
        <v>3480</v>
      </c>
      <c r="AC351" s="158" t="s">
        <v>958</v>
      </c>
      <c r="AD351" s="158"/>
    </row>
    <row r="352" spans="1:30" ht="12.75" customHeight="1" x14ac:dyDescent="0.3">
      <c r="A352" s="147">
        <v>21</v>
      </c>
      <c r="B352" s="158" t="s">
        <v>921</v>
      </c>
      <c r="C352" s="160" t="s">
        <v>257</v>
      </c>
      <c r="D352" s="160" t="s">
        <v>943</v>
      </c>
      <c r="E352" s="160" t="s">
        <v>25</v>
      </c>
      <c r="F352" s="158" t="s">
        <v>25</v>
      </c>
      <c r="G352" s="160" t="s">
        <v>866</v>
      </c>
      <c r="H352" s="161">
        <v>10824.93</v>
      </c>
      <c r="I352" s="161">
        <v>-53.6</v>
      </c>
      <c r="J352" s="161">
        <v>0</v>
      </c>
      <c r="K352" s="161">
        <v>0</v>
      </c>
      <c r="L352" s="161">
        <v>-3730.53</v>
      </c>
      <c r="M352" s="162">
        <v>-25</v>
      </c>
      <c r="N352" s="161">
        <v>0</v>
      </c>
      <c r="O352" s="162">
        <f t="shared" si="30"/>
        <v>7015.7999999999993</v>
      </c>
      <c r="P352" s="161">
        <v>-2500</v>
      </c>
      <c r="Q352" s="161">
        <v>-1500</v>
      </c>
      <c r="R352" s="161">
        <v>0</v>
      </c>
      <c r="S352" s="161">
        <v>0</v>
      </c>
      <c r="T352" s="161">
        <v>0</v>
      </c>
      <c r="U352" s="161">
        <v>0</v>
      </c>
      <c r="V352" s="161">
        <v>0</v>
      </c>
      <c r="W352" s="161">
        <f t="shared" si="31"/>
        <v>3015.7999999999993</v>
      </c>
      <c r="X352" s="161">
        <f t="shared" si="32"/>
        <v>3015.7999999999993</v>
      </c>
      <c r="Y352" s="161">
        <f t="shared" si="33"/>
        <v>0</v>
      </c>
      <c r="Z352" s="161">
        <v>0</v>
      </c>
      <c r="AA352" s="161">
        <f t="shared" si="34"/>
        <v>0</v>
      </c>
      <c r="AB352" s="161">
        <f t="shared" si="35"/>
        <v>4000</v>
      </c>
      <c r="AC352" s="158" t="s">
        <v>959</v>
      </c>
      <c r="AD352" s="158"/>
    </row>
    <row r="353" spans="1:30" ht="12.75" customHeight="1" x14ac:dyDescent="0.3">
      <c r="A353" s="147">
        <v>21</v>
      </c>
      <c r="B353" s="158" t="s">
        <v>874</v>
      </c>
      <c r="C353" s="160" t="s">
        <v>195</v>
      </c>
      <c r="D353" s="158" t="s">
        <v>20</v>
      </c>
      <c r="E353" s="160" t="s">
        <v>871</v>
      </c>
      <c r="F353" s="158" t="s">
        <v>39</v>
      </c>
      <c r="G353" s="160" t="s">
        <v>866</v>
      </c>
      <c r="H353" s="161">
        <v>0</v>
      </c>
      <c r="I353" s="161">
        <v>0</v>
      </c>
      <c r="J353" s="161">
        <v>0</v>
      </c>
      <c r="K353" s="161">
        <v>0</v>
      </c>
      <c r="L353" s="161">
        <v>0</v>
      </c>
      <c r="M353" s="162">
        <v>0</v>
      </c>
      <c r="N353" s="161">
        <v>0</v>
      </c>
      <c r="O353" s="162">
        <f t="shared" si="30"/>
        <v>0</v>
      </c>
      <c r="P353" s="161">
        <v>-2500</v>
      </c>
      <c r="Q353" s="161">
        <v>0</v>
      </c>
      <c r="R353" s="161">
        <v>0</v>
      </c>
      <c r="S353" s="161">
        <v>0</v>
      </c>
      <c r="T353" s="161">
        <v>0</v>
      </c>
      <c r="U353" s="161">
        <v>0</v>
      </c>
      <c r="V353" s="161">
        <v>0</v>
      </c>
      <c r="W353" s="161">
        <f t="shared" si="31"/>
        <v>-2500</v>
      </c>
      <c r="X353" s="161">
        <f t="shared" si="32"/>
        <v>0</v>
      </c>
      <c r="Y353" s="161">
        <f t="shared" si="33"/>
        <v>-2500</v>
      </c>
      <c r="Z353" s="161">
        <v>1000</v>
      </c>
      <c r="AA353" s="161">
        <f t="shared" si="34"/>
        <v>-1500</v>
      </c>
      <c r="AB353" s="161">
        <f t="shared" si="35"/>
        <v>-500</v>
      </c>
      <c r="AC353" s="158" t="s">
        <v>960</v>
      </c>
      <c r="AD353" s="158"/>
    </row>
    <row r="354" spans="1:30" ht="12.75" customHeight="1" x14ac:dyDescent="0.3">
      <c r="A354" s="147">
        <v>21</v>
      </c>
      <c r="B354" s="158" t="s">
        <v>918</v>
      </c>
      <c r="C354" s="160" t="s">
        <v>120</v>
      </c>
      <c r="D354" s="160" t="s">
        <v>950</v>
      </c>
      <c r="E354" s="158" t="s">
        <v>25</v>
      </c>
      <c r="F354" s="158" t="s">
        <v>25</v>
      </c>
      <c r="G354" s="160" t="s">
        <v>866</v>
      </c>
      <c r="H354" s="161">
        <v>7203.84</v>
      </c>
      <c r="I354" s="161">
        <v>0</v>
      </c>
      <c r="J354" s="161">
        <v>0</v>
      </c>
      <c r="K354" s="161">
        <v>0</v>
      </c>
      <c r="L354" s="161">
        <v>-2154.85</v>
      </c>
      <c r="M354" s="162">
        <v>-25</v>
      </c>
      <c r="N354" s="161">
        <v>-254</v>
      </c>
      <c r="O354" s="162">
        <f t="shared" si="30"/>
        <v>4769.99</v>
      </c>
      <c r="P354" s="161">
        <v>-2500</v>
      </c>
      <c r="Q354" s="161">
        <v>0</v>
      </c>
      <c r="R354" s="161">
        <v>0</v>
      </c>
      <c r="S354" s="161">
        <v>0</v>
      </c>
      <c r="T354" s="161">
        <v>0</v>
      </c>
      <c r="U354" s="161">
        <v>0</v>
      </c>
      <c r="V354" s="161">
        <v>0</v>
      </c>
      <c r="W354" s="161">
        <f t="shared" si="31"/>
        <v>2269.9899999999998</v>
      </c>
      <c r="X354" s="161">
        <f t="shared" si="32"/>
        <v>2269.9899999999998</v>
      </c>
      <c r="Y354" s="161">
        <f t="shared" si="33"/>
        <v>0</v>
      </c>
      <c r="Z354" s="161">
        <v>0</v>
      </c>
      <c r="AA354" s="161">
        <f t="shared" si="34"/>
        <v>0</v>
      </c>
      <c r="AB354" s="161">
        <f t="shared" si="35"/>
        <v>2500</v>
      </c>
      <c r="AC354" s="158"/>
      <c r="AD354" s="158"/>
    </row>
    <row r="355" spans="1:30" ht="12.75" customHeight="1" x14ac:dyDescent="0.3">
      <c r="A355" s="147">
        <v>21</v>
      </c>
      <c r="B355" s="158" t="s">
        <v>955</v>
      </c>
      <c r="C355" s="160" t="s">
        <v>59</v>
      </c>
      <c r="D355" s="160" t="s">
        <v>895</v>
      </c>
      <c r="E355" s="177" t="s">
        <v>25</v>
      </c>
      <c r="F355" s="179" t="s">
        <v>25</v>
      </c>
      <c r="G355" s="160" t="s">
        <v>866</v>
      </c>
      <c r="H355" s="161">
        <v>4986.0600000000004</v>
      </c>
      <c r="I355" s="161">
        <v>0</v>
      </c>
      <c r="J355" s="161">
        <v>0</v>
      </c>
      <c r="K355" s="161">
        <v>0</v>
      </c>
      <c r="L355" s="161">
        <v>-1421.56</v>
      </c>
      <c r="M355" s="162">
        <v>-38</v>
      </c>
      <c r="N355" s="161">
        <v>-293.56</v>
      </c>
      <c r="O355" s="162">
        <f t="shared" si="30"/>
        <v>3232.9400000000005</v>
      </c>
      <c r="P355" s="161">
        <v>-2142</v>
      </c>
      <c r="Q355" s="161">
        <v>-2108</v>
      </c>
      <c r="R355" s="161">
        <v>-500</v>
      </c>
      <c r="S355" s="161">
        <v>0</v>
      </c>
      <c r="T355" s="161">
        <v>0</v>
      </c>
      <c r="U355" s="161">
        <v>0</v>
      </c>
      <c r="V355" s="161">
        <v>0</v>
      </c>
      <c r="W355" s="161">
        <f t="shared" si="31"/>
        <v>-1517.0599999999995</v>
      </c>
      <c r="X355" s="161">
        <f t="shared" si="32"/>
        <v>0</v>
      </c>
      <c r="Y355" s="161">
        <f t="shared" si="33"/>
        <v>-1517.0599999999995</v>
      </c>
      <c r="Z355" s="161">
        <v>0</v>
      </c>
      <c r="AA355" s="161">
        <f t="shared" si="34"/>
        <v>-1517.0599999999995</v>
      </c>
      <c r="AB355" s="161">
        <f t="shared" si="35"/>
        <v>1715.880000000001</v>
      </c>
      <c r="AC355" s="158" t="s">
        <v>961</v>
      </c>
      <c r="AD355" s="158"/>
    </row>
    <row r="356" spans="1:30" ht="12.75" customHeight="1" x14ac:dyDescent="0.3">
      <c r="A356" s="147">
        <v>21</v>
      </c>
      <c r="B356" s="158" t="s">
        <v>876</v>
      </c>
      <c r="C356" s="158" t="s">
        <v>150</v>
      </c>
      <c r="D356" s="160" t="s">
        <v>877</v>
      </c>
      <c r="E356" s="160" t="s">
        <v>25</v>
      </c>
      <c r="F356" s="158" t="s">
        <v>25</v>
      </c>
      <c r="G356" s="160" t="s">
        <v>866</v>
      </c>
      <c r="H356" s="161">
        <v>3668.38</v>
      </c>
      <c r="I356" s="161">
        <v>0</v>
      </c>
      <c r="J356" s="161">
        <v>0</v>
      </c>
      <c r="K356" s="161">
        <v>0</v>
      </c>
      <c r="L356" s="161">
        <v>-490.76</v>
      </c>
      <c r="M356" s="162">
        <v>-38</v>
      </c>
      <c r="N356" s="161">
        <v>0</v>
      </c>
      <c r="O356" s="162">
        <f t="shared" si="30"/>
        <v>3139.62</v>
      </c>
      <c r="P356" s="161">
        <v>-2142</v>
      </c>
      <c r="Q356" s="161">
        <v>-381</v>
      </c>
      <c r="R356" s="161">
        <v>0</v>
      </c>
      <c r="S356" s="161">
        <v>0</v>
      </c>
      <c r="T356" s="161">
        <v>0</v>
      </c>
      <c r="U356" s="161">
        <v>0</v>
      </c>
      <c r="V356" s="161">
        <v>0</v>
      </c>
      <c r="W356" s="161">
        <f t="shared" si="31"/>
        <v>616.61999999999989</v>
      </c>
      <c r="X356" s="161">
        <f t="shared" si="32"/>
        <v>616.61999999999989</v>
      </c>
      <c r="Y356" s="161">
        <f t="shared" si="33"/>
        <v>0</v>
      </c>
      <c r="Z356" s="161">
        <v>0</v>
      </c>
      <c r="AA356" s="161">
        <f t="shared" si="34"/>
        <v>0</v>
      </c>
      <c r="AB356" s="161">
        <f t="shared" si="35"/>
        <v>2523</v>
      </c>
      <c r="AC356" s="158" t="s">
        <v>374</v>
      </c>
      <c r="AD356" s="158"/>
    </row>
    <row r="357" spans="1:30" ht="12.75" customHeight="1" x14ac:dyDescent="0.3">
      <c r="A357" s="147">
        <v>21</v>
      </c>
      <c r="B357" s="158" t="s">
        <v>484</v>
      </c>
      <c r="C357" s="160" t="s">
        <v>426</v>
      </c>
      <c r="D357" s="160" t="s">
        <v>903</v>
      </c>
      <c r="E357" s="160" t="s">
        <v>25</v>
      </c>
      <c r="F357" s="158" t="s">
        <v>25</v>
      </c>
      <c r="G357" s="160" t="s">
        <v>866</v>
      </c>
      <c r="H357" s="161">
        <v>8662.4699999999993</v>
      </c>
      <c r="I357" s="161">
        <v>-130</v>
      </c>
      <c r="J357" s="161">
        <v>0</v>
      </c>
      <c r="K357" s="161">
        <v>0</v>
      </c>
      <c r="L357" s="161">
        <v>-4397.74</v>
      </c>
      <c r="M357" s="162">
        <v>-25</v>
      </c>
      <c r="N357" s="161">
        <v>0</v>
      </c>
      <c r="O357" s="162">
        <f t="shared" si="30"/>
        <v>4109.7299999999996</v>
      </c>
      <c r="P357" s="161">
        <v>-2500</v>
      </c>
      <c r="Q357" s="161">
        <v>0</v>
      </c>
      <c r="R357" s="161">
        <v>0</v>
      </c>
      <c r="S357" s="161">
        <v>0</v>
      </c>
      <c r="T357" s="161">
        <v>0</v>
      </c>
      <c r="U357" s="161">
        <v>0</v>
      </c>
      <c r="V357" s="161">
        <v>0</v>
      </c>
      <c r="W357" s="161">
        <f t="shared" si="31"/>
        <v>1609.7299999999996</v>
      </c>
      <c r="X357" s="161">
        <f t="shared" si="32"/>
        <v>1609.7299999999996</v>
      </c>
      <c r="Y357" s="161">
        <f t="shared" si="33"/>
        <v>0</v>
      </c>
      <c r="Z357" s="161">
        <v>0</v>
      </c>
      <c r="AA357" s="161">
        <f t="shared" si="34"/>
        <v>0</v>
      </c>
      <c r="AB357" s="161">
        <f t="shared" si="35"/>
        <v>2500</v>
      </c>
      <c r="AC357" s="158"/>
      <c r="AD357" s="158"/>
    </row>
    <row r="358" spans="1:30" ht="12.75" customHeight="1" x14ac:dyDescent="0.3">
      <c r="A358" s="147">
        <v>21</v>
      </c>
      <c r="B358" s="158" t="s">
        <v>408</v>
      </c>
      <c r="C358" s="160" t="s">
        <v>878</v>
      </c>
      <c r="D358" s="158" t="s">
        <v>20</v>
      </c>
      <c r="E358" s="160" t="s">
        <v>25</v>
      </c>
      <c r="F358" s="158" t="s">
        <v>39</v>
      </c>
      <c r="G358" s="160" t="s">
        <v>866</v>
      </c>
      <c r="H358" s="161">
        <v>2096.92</v>
      </c>
      <c r="I358" s="161">
        <v>-8</v>
      </c>
      <c r="J358" s="161">
        <v>0</v>
      </c>
      <c r="K358" s="161">
        <v>0</v>
      </c>
      <c r="L358" s="161">
        <v>-389.96</v>
      </c>
      <c r="M358" s="162">
        <v>-38</v>
      </c>
      <c r="N358" s="161">
        <v>0</v>
      </c>
      <c r="O358" s="162">
        <f t="shared" si="30"/>
        <v>1660.96</v>
      </c>
      <c r="P358" s="161">
        <v>-2500</v>
      </c>
      <c r="Q358" s="161">
        <v>-1508</v>
      </c>
      <c r="R358" s="161">
        <v>0</v>
      </c>
      <c r="S358" s="161">
        <v>0</v>
      </c>
      <c r="T358" s="161">
        <v>0</v>
      </c>
      <c r="U358" s="161">
        <v>0</v>
      </c>
      <c r="V358" s="161">
        <v>0</v>
      </c>
      <c r="W358" s="161">
        <f t="shared" si="31"/>
        <v>-2347.04</v>
      </c>
      <c r="X358" s="161">
        <f t="shared" si="32"/>
        <v>0</v>
      </c>
      <c r="Y358" s="161">
        <f t="shared" si="33"/>
        <v>-2347.04</v>
      </c>
      <c r="Z358" s="161">
        <v>2000</v>
      </c>
      <c r="AA358" s="161">
        <f t="shared" si="34"/>
        <v>-347.03999999999996</v>
      </c>
      <c r="AB358" s="161">
        <f t="shared" si="35"/>
        <v>3313.92</v>
      </c>
      <c r="AC358" s="158"/>
      <c r="AD358" s="158"/>
    </row>
    <row r="359" spans="1:30" ht="12.75" customHeight="1" x14ac:dyDescent="0.3">
      <c r="A359" s="147">
        <v>21</v>
      </c>
      <c r="B359" s="158" t="s">
        <v>962</v>
      </c>
      <c r="C359" s="160" t="s">
        <v>123</v>
      </c>
      <c r="D359" s="158" t="s">
        <v>20</v>
      </c>
      <c r="E359" s="160" t="s">
        <v>871</v>
      </c>
      <c r="F359" s="158" t="s">
        <v>39</v>
      </c>
      <c r="G359" s="160" t="s">
        <v>866</v>
      </c>
      <c r="H359" s="161">
        <v>3389.84</v>
      </c>
      <c r="I359" s="161">
        <v>0</v>
      </c>
      <c r="J359" s="161">
        <v>0</v>
      </c>
      <c r="K359" s="161">
        <v>0</v>
      </c>
      <c r="L359" s="161">
        <v>-1319.5</v>
      </c>
      <c r="M359" s="162">
        <v>-38</v>
      </c>
      <c r="N359" s="161">
        <v>0</v>
      </c>
      <c r="O359" s="162">
        <f t="shared" si="30"/>
        <v>2032.3400000000001</v>
      </c>
      <c r="P359" s="161">
        <v>-895</v>
      </c>
      <c r="Q359" s="161">
        <v>-100</v>
      </c>
      <c r="R359" s="161">
        <v>-500</v>
      </c>
      <c r="S359" s="161">
        <v>0</v>
      </c>
      <c r="T359" s="161">
        <v>0</v>
      </c>
      <c r="U359" s="161">
        <v>0</v>
      </c>
      <c r="V359" s="161">
        <v>0</v>
      </c>
      <c r="W359" s="161">
        <f t="shared" si="31"/>
        <v>537.34000000000015</v>
      </c>
      <c r="X359" s="161">
        <f t="shared" si="32"/>
        <v>537.34000000000015</v>
      </c>
      <c r="Y359" s="161">
        <f t="shared" si="33"/>
        <v>0</v>
      </c>
      <c r="Z359" s="161">
        <v>0</v>
      </c>
      <c r="AA359" s="161">
        <f t="shared" si="34"/>
        <v>0</v>
      </c>
      <c r="AB359" s="161">
        <f t="shared" si="35"/>
        <v>1495</v>
      </c>
      <c r="AC359" s="158" t="s">
        <v>963</v>
      </c>
      <c r="AD359" s="158"/>
    </row>
    <row r="360" spans="1:30" ht="12.75" customHeight="1" x14ac:dyDescent="0.3">
      <c r="A360" s="147">
        <v>21</v>
      </c>
      <c r="B360" s="158" t="s">
        <v>923</v>
      </c>
      <c r="C360" s="160" t="s">
        <v>46</v>
      </c>
      <c r="D360" s="160" t="s">
        <v>915</v>
      </c>
      <c r="E360" s="160" t="s">
        <v>25</v>
      </c>
      <c r="F360" s="158" t="s">
        <v>25</v>
      </c>
      <c r="G360" s="160" t="s">
        <v>866</v>
      </c>
      <c r="H360" s="161">
        <v>264.88</v>
      </c>
      <c r="I360" s="161">
        <v>0</v>
      </c>
      <c r="J360" s="161">
        <v>0</v>
      </c>
      <c r="K360" s="161">
        <v>0</v>
      </c>
      <c r="L360" s="161">
        <v>-202.45</v>
      </c>
      <c r="M360" s="162">
        <v>-38</v>
      </c>
      <c r="N360" s="161">
        <v>-323</v>
      </c>
      <c r="O360" s="162">
        <f t="shared" si="30"/>
        <v>-298.57</v>
      </c>
      <c r="P360" s="161">
        <v>-2500</v>
      </c>
      <c r="Q360" s="161">
        <v>-235</v>
      </c>
      <c r="R360" s="161">
        <v>-143</v>
      </c>
      <c r="S360" s="161">
        <v>0</v>
      </c>
      <c r="T360" s="161">
        <v>-500</v>
      </c>
      <c r="U360" s="161">
        <v>0</v>
      </c>
      <c r="V360" s="161">
        <v>0</v>
      </c>
      <c r="W360" s="161">
        <f t="shared" si="31"/>
        <v>-3676.57</v>
      </c>
      <c r="X360" s="161">
        <f t="shared" si="32"/>
        <v>0</v>
      </c>
      <c r="Y360" s="161">
        <f t="shared" si="33"/>
        <v>-3676.57</v>
      </c>
      <c r="Z360" s="161">
        <v>3200</v>
      </c>
      <c r="AA360" s="161">
        <f t="shared" si="34"/>
        <v>-476.57000000000016</v>
      </c>
      <c r="AB360" s="161">
        <f t="shared" si="35"/>
        <v>2424.8599999999997</v>
      </c>
      <c r="AC360" s="158"/>
      <c r="AD360" s="158"/>
    </row>
    <row r="361" spans="1:30" ht="12.75" customHeight="1" x14ac:dyDescent="0.3">
      <c r="A361" s="147">
        <v>21</v>
      </c>
      <c r="B361" s="158" t="s">
        <v>952</v>
      </c>
      <c r="C361" s="160" t="s">
        <v>409</v>
      </c>
      <c r="D361" s="160" t="s">
        <v>946</v>
      </c>
      <c r="E361" s="160" t="s">
        <v>25</v>
      </c>
      <c r="F361" s="158" t="s">
        <v>25</v>
      </c>
      <c r="G361" s="160" t="s">
        <v>866</v>
      </c>
      <c r="H361" s="161">
        <v>3898.48</v>
      </c>
      <c r="I361" s="161">
        <v>0</v>
      </c>
      <c r="J361" s="161">
        <v>0</v>
      </c>
      <c r="K361" s="161">
        <v>0</v>
      </c>
      <c r="L361" s="161">
        <v>-1569.93</v>
      </c>
      <c r="M361" s="162">
        <v>-25</v>
      </c>
      <c r="N361" s="161">
        <v>0</v>
      </c>
      <c r="O361" s="162">
        <f t="shared" si="30"/>
        <v>2303.5500000000002</v>
      </c>
      <c r="P361" s="161">
        <v>-2500</v>
      </c>
      <c r="Q361" s="161">
        <v>83</v>
      </c>
      <c r="R361" s="161">
        <v>-500</v>
      </c>
      <c r="S361" s="161">
        <v>0</v>
      </c>
      <c r="T361" s="161">
        <v>0</v>
      </c>
      <c r="U361" s="161">
        <v>0</v>
      </c>
      <c r="V361" s="161">
        <v>0</v>
      </c>
      <c r="W361" s="161">
        <f t="shared" si="31"/>
        <v>-613.44999999999982</v>
      </c>
      <c r="X361" s="161">
        <f t="shared" si="32"/>
        <v>0</v>
      </c>
      <c r="Y361" s="161">
        <f t="shared" si="33"/>
        <v>-613.44999999999982</v>
      </c>
      <c r="Z361" s="161">
        <v>0</v>
      </c>
      <c r="AA361" s="161">
        <f t="shared" si="34"/>
        <v>-613.44999999999982</v>
      </c>
      <c r="AB361" s="161">
        <f t="shared" si="35"/>
        <v>1690.1000000000004</v>
      </c>
      <c r="AC361" s="158"/>
      <c r="AD361" s="158"/>
    </row>
    <row r="362" spans="1:30" ht="12.75" customHeight="1" x14ac:dyDescent="0.3">
      <c r="A362" s="147">
        <v>21</v>
      </c>
      <c r="B362" s="158" t="s">
        <v>880</v>
      </c>
      <c r="C362" s="160" t="s">
        <v>57</v>
      </c>
      <c r="D362" s="160" t="s">
        <v>881</v>
      </c>
      <c r="E362" s="160" t="s">
        <v>25</v>
      </c>
      <c r="F362" s="158" t="s">
        <v>25</v>
      </c>
      <c r="G362" s="160" t="s">
        <v>866</v>
      </c>
      <c r="H362" s="161">
        <v>4532.7299999999996</v>
      </c>
      <c r="I362" s="161">
        <v>-42.4</v>
      </c>
      <c r="J362" s="161">
        <v>0</v>
      </c>
      <c r="K362" s="161">
        <v>0</v>
      </c>
      <c r="L362" s="161">
        <v>-1945.65</v>
      </c>
      <c r="M362" s="162">
        <v>-25</v>
      </c>
      <c r="N362" s="161">
        <v>0</v>
      </c>
      <c r="O362" s="162">
        <f t="shared" si="30"/>
        <v>2519.6799999999998</v>
      </c>
      <c r="P362" s="161">
        <v>-2300</v>
      </c>
      <c r="Q362" s="161">
        <v>0</v>
      </c>
      <c r="R362" s="161">
        <v>0</v>
      </c>
      <c r="S362" s="161">
        <v>0</v>
      </c>
      <c r="T362" s="161">
        <v>0</v>
      </c>
      <c r="U362" s="161">
        <v>0</v>
      </c>
      <c r="V362" s="161">
        <v>0</v>
      </c>
      <c r="W362" s="161">
        <f t="shared" si="31"/>
        <v>219.67999999999984</v>
      </c>
      <c r="X362" s="161">
        <f t="shared" si="32"/>
        <v>219.67999999999984</v>
      </c>
      <c r="Y362" s="161">
        <f t="shared" si="33"/>
        <v>0</v>
      </c>
      <c r="Z362" s="161">
        <v>0</v>
      </c>
      <c r="AA362" s="161">
        <f t="shared" si="34"/>
        <v>0</v>
      </c>
      <c r="AB362" s="161">
        <f t="shared" si="35"/>
        <v>2300</v>
      </c>
      <c r="AC362" s="158" t="s">
        <v>374</v>
      </c>
      <c r="AD362" s="158"/>
    </row>
    <row r="363" spans="1:30" ht="12.75" customHeight="1" x14ac:dyDescent="0.3">
      <c r="A363" s="147">
        <v>21</v>
      </c>
      <c r="B363" s="158" t="s">
        <v>922</v>
      </c>
      <c r="C363" s="158" t="s">
        <v>347</v>
      </c>
      <c r="D363" s="160" t="s">
        <v>897</v>
      </c>
      <c r="E363" s="160" t="s">
        <v>25</v>
      </c>
      <c r="F363" s="158" t="s">
        <v>25</v>
      </c>
      <c r="G363" s="160" t="s">
        <v>866</v>
      </c>
      <c r="H363" s="161">
        <v>7466.89</v>
      </c>
      <c r="I363" s="161">
        <v>0</v>
      </c>
      <c r="J363" s="161">
        <v>0</v>
      </c>
      <c r="K363" s="161">
        <v>0</v>
      </c>
      <c r="L363" s="161">
        <v>-1962.38</v>
      </c>
      <c r="M363" s="162">
        <v>-38</v>
      </c>
      <c r="N363" s="161">
        <v>0</v>
      </c>
      <c r="O363" s="162">
        <f t="shared" si="30"/>
        <v>5466.51</v>
      </c>
      <c r="P363" s="161">
        <v>-2500</v>
      </c>
      <c r="Q363" s="161">
        <v>-1100</v>
      </c>
      <c r="R363" s="161">
        <v>0</v>
      </c>
      <c r="S363" s="161">
        <v>0</v>
      </c>
      <c r="T363" s="161">
        <v>0</v>
      </c>
      <c r="U363" s="161">
        <v>0</v>
      </c>
      <c r="V363" s="161">
        <v>0</v>
      </c>
      <c r="W363" s="161">
        <f t="shared" si="31"/>
        <v>1866.5100000000002</v>
      </c>
      <c r="X363" s="161">
        <f t="shared" si="32"/>
        <v>1866.5100000000002</v>
      </c>
      <c r="Y363" s="161">
        <f t="shared" si="33"/>
        <v>0</v>
      </c>
      <c r="Z363" s="161">
        <v>0</v>
      </c>
      <c r="AA363" s="161">
        <f t="shared" si="34"/>
        <v>0</v>
      </c>
      <c r="AB363" s="161">
        <f t="shared" si="35"/>
        <v>3600</v>
      </c>
      <c r="AC363" s="158" t="s">
        <v>374</v>
      </c>
      <c r="AD363" s="158"/>
    </row>
    <row r="364" spans="1:30" ht="12.75" customHeight="1" x14ac:dyDescent="0.3">
      <c r="A364" s="147">
        <v>21</v>
      </c>
      <c r="B364" s="158" t="s">
        <v>924</v>
      </c>
      <c r="C364" s="158" t="s">
        <v>100</v>
      </c>
      <c r="D364" s="160" t="s">
        <v>953</v>
      </c>
      <c r="E364" s="160" t="s">
        <v>25</v>
      </c>
      <c r="F364" s="158" t="s">
        <v>25</v>
      </c>
      <c r="G364" s="160" t="s">
        <v>866</v>
      </c>
      <c r="H364" s="161">
        <v>0</v>
      </c>
      <c r="I364" s="161">
        <v>0</v>
      </c>
      <c r="J364" s="161">
        <v>0</v>
      </c>
      <c r="K364" s="161">
        <v>0</v>
      </c>
      <c r="L364" s="161">
        <v>0</v>
      </c>
      <c r="M364" s="162">
        <v>0</v>
      </c>
      <c r="N364" s="161">
        <v>0</v>
      </c>
      <c r="O364" s="162">
        <f t="shared" si="30"/>
        <v>0</v>
      </c>
      <c r="P364" s="161">
        <v>-2500</v>
      </c>
      <c r="Q364" s="161">
        <v>-1871</v>
      </c>
      <c r="R364" s="161">
        <v>0</v>
      </c>
      <c r="S364" s="161">
        <v>0</v>
      </c>
      <c r="T364" s="161">
        <v>0</v>
      </c>
      <c r="U364" s="161">
        <v>0</v>
      </c>
      <c r="V364" s="161">
        <v>0</v>
      </c>
      <c r="W364" s="161">
        <f t="shared" si="31"/>
        <v>-4371</v>
      </c>
      <c r="X364" s="161">
        <f t="shared" si="32"/>
        <v>0</v>
      </c>
      <c r="Y364" s="161">
        <f t="shared" si="33"/>
        <v>-4371</v>
      </c>
      <c r="Z364" s="161">
        <f>1563+1000</f>
        <v>2563</v>
      </c>
      <c r="AA364" s="161">
        <f t="shared" si="34"/>
        <v>-1808</v>
      </c>
      <c r="AB364" s="161">
        <f t="shared" si="35"/>
        <v>755</v>
      </c>
      <c r="AC364" s="158"/>
      <c r="AD364" s="158"/>
    </row>
    <row r="365" spans="1:30" ht="12.75" customHeight="1" x14ac:dyDescent="0.3">
      <c r="A365" s="147">
        <v>22</v>
      </c>
      <c r="B365" s="158" t="s">
        <v>585</v>
      </c>
      <c r="C365" s="158" t="s">
        <v>64</v>
      </c>
      <c r="D365" s="158" t="s">
        <v>949</v>
      </c>
      <c r="E365" s="160" t="s">
        <v>25</v>
      </c>
      <c r="F365" s="158" t="s">
        <v>25</v>
      </c>
      <c r="G365" s="160" t="s">
        <v>866</v>
      </c>
      <c r="H365" s="161">
        <v>0</v>
      </c>
      <c r="I365" s="161">
        <v>0</v>
      </c>
      <c r="J365" s="161">
        <v>0</v>
      </c>
      <c r="K365" s="161">
        <v>0</v>
      </c>
      <c r="L365" s="161">
        <v>0</v>
      </c>
      <c r="M365" s="161">
        <v>-30</v>
      </c>
      <c r="N365" s="161">
        <v>0</v>
      </c>
      <c r="O365" s="162">
        <f t="shared" si="30"/>
        <v>-30</v>
      </c>
      <c r="P365" s="161">
        <v>-2500</v>
      </c>
      <c r="Q365" s="161">
        <v>0</v>
      </c>
      <c r="R365" s="161">
        <v>0</v>
      </c>
      <c r="S365" s="161">
        <v>0</v>
      </c>
      <c r="T365" s="161">
        <v>-500</v>
      </c>
      <c r="U365" s="161">
        <v>0</v>
      </c>
      <c r="V365" s="161">
        <v>0</v>
      </c>
      <c r="W365" s="161">
        <f t="shared" si="31"/>
        <v>-3030</v>
      </c>
      <c r="X365" s="161">
        <f t="shared" si="32"/>
        <v>0</v>
      </c>
      <c r="Y365" s="161">
        <f t="shared" si="33"/>
        <v>-3030</v>
      </c>
      <c r="Z365" s="161">
        <v>3030</v>
      </c>
      <c r="AA365" s="161">
        <f t="shared" si="34"/>
        <v>0</v>
      </c>
      <c r="AB365" s="161">
        <f t="shared" si="35"/>
        <v>3000</v>
      </c>
      <c r="AC365" s="158"/>
      <c r="AD365" s="158"/>
    </row>
    <row r="366" spans="1:30" ht="12.75" customHeight="1" x14ac:dyDescent="0.3">
      <c r="A366" s="147">
        <v>22</v>
      </c>
      <c r="B366" s="158" t="s">
        <v>954</v>
      </c>
      <c r="C366" s="158" t="s">
        <v>68</v>
      </c>
      <c r="D366" s="158" t="s">
        <v>869</v>
      </c>
      <c r="E366" s="160" t="s">
        <v>25</v>
      </c>
      <c r="F366" s="158" t="s">
        <v>25</v>
      </c>
      <c r="G366" s="160" t="s">
        <v>866</v>
      </c>
      <c r="H366" s="161">
        <v>2894.6399999999994</v>
      </c>
      <c r="I366" s="161">
        <v>0</v>
      </c>
      <c r="J366" s="161">
        <v>0</v>
      </c>
      <c r="K366" s="161">
        <v>0</v>
      </c>
      <c r="L366" s="161">
        <v>0</v>
      </c>
      <c r="M366" s="161">
        <v>-30</v>
      </c>
      <c r="N366" s="161">
        <v>-493.93000000000006</v>
      </c>
      <c r="O366" s="162">
        <f t="shared" si="30"/>
        <v>2370.7099999999991</v>
      </c>
      <c r="P366" s="161">
        <v>-2500</v>
      </c>
      <c r="Q366" s="161">
        <v>-322.24000000000024</v>
      </c>
      <c r="R366" s="161">
        <v>-500</v>
      </c>
      <c r="S366" s="161">
        <v>0</v>
      </c>
      <c r="T366" s="161">
        <v>0</v>
      </c>
      <c r="U366" s="161">
        <v>0</v>
      </c>
      <c r="V366" s="161">
        <v>0</v>
      </c>
      <c r="W366" s="161">
        <f t="shared" si="31"/>
        <v>-951.53000000000111</v>
      </c>
      <c r="X366" s="161">
        <f t="shared" si="32"/>
        <v>0</v>
      </c>
      <c r="Y366" s="161">
        <f t="shared" si="33"/>
        <v>-951.53000000000111</v>
      </c>
      <c r="Z366" s="161">
        <v>952</v>
      </c>
      <c r="AA366" s="161">
        <f t="shared" si="34"/>
        <v>0.46999999999889042</v>
      </c>
      <c r="AB366" s="161">
        <f t="shared" si="35"/>
        <v>3323.179999999998</v>
      </c>
      <c r="AC366" s="158"/>
      <c r="AD366" s="158"/>
    </row>
    <row r="367" spans="1:30" ht="12.75" customHeight="1" x14ac:dyDescent="0.3">
      <c r="A367" s="147">
        <v>22</v>
      </c>
      <c r="B367" s="158" t="s">
        <v>944</v>
      </c>
      <c r="C367" s="158" t="s">
        <v>101</v>
      </c>
      <c r="D367" s="158" t="s">
        <v>945</v>
      </c>
      <c r="E367" s="160" t="s">
        <v>25</v>
      </c>
      <c r="F367" s="158" t="s">
        <v>25</v>
      </c>
      <c r="G367" s="160" t="s">
        <v>866</v>
      </c>
      <c r="H367" s="161">
        <v>6353.13</v>
      </c>
      <c r="I367" s="161">
        <v>0</v>
      </c>
      <c r="J367" s="161">
        <v>0</v>
      </c>
      <c r="K367" s="161">
        <v>0</v>
      </c>
      <c r="L367" s="161">
        <v>-893.27</v>
      </c>
      <c r="M367" s="161">
        <v>-30</v>
      </c>
      <c r="N367" s="161">
        <v>0</v>
      </c>
      <c r="O367" s="162">
        <f t="shared" si="30"/>
        <v>5429.8600000000006</v>
      </c>
      <c r="P367" s="161">
        <v>-2500</v>
      </c>
      <c r="Q367" s="161">
        <v>0</v>
      </c>
      <c r="R367" s="161">
        <v>-500</v>
      </c>
      <c r="S367" s="161">
        <v>0</v>
      </c>
      <c r="T367" s="161">
        <v>0</v>
      </c>
      <c r="U367" s="161">
        <v>0</v>
      </c>
      <c r="V367" s="161">
        <v>0</v>
      </c>
      <c r="W367" s="161">
        <f t="shared" si="31"/>
        <v>2429.8600000000006</v>
      </c>
      <c r="X367" s="161">
        <f t="shared" si="32"/>
        <v>2429.8600000000006</v>
      </c>
      <c r="Y367" s="161">
        <f t="shared" si="33"/>
        <v>0</v>
      </c>
      <c r="Z367" s="161">
        <v>0</v>
      </c>
      <c r="AA367" s="161">
        <f t="shared" si="34"/>
        <v>0</v>
      </c>
      <c r="AB367" s="161">
        <f t="shared" si="35"/>
        <v>3000</v>
      </c>
      <c r="AC367" s="158"/>
      <c r="AD367" s="158"/>
    </row>
    <row r="368" spans="1:30" ht="12.75" customHeight="1" x14ac:dyDescent="0.3">
      <c r="A368" s="147">
        <v>22</v>
      </c>
      <c r="B368" s="158" t="s">
        <v>913</v>
      </c>
      <c r="C368" s="158" t="s">
        <v>863</v>
      </c>
      <c r="D368" s="158" t="s">
        <v>864</v>
      </c>
      <c r="E368" s="160" t="s">
        <v>25</v>
      </c>
      <c r="F368" s="158" t="s">
        <v>25</v>
      </c>
      <c r="G368" s="160" t="s">
        <v>866</v>
      </c>
      <c r="H368" s="161">
        <v>8647.1799999999985</v>
      </c>
      <c r="I368" s="161">
        <v>-86.399999999999991</v>
      </c>
      <c r="J368" s="161">
        <v>0</v>
      </c>
      <c r="K368" s="161">
        <v>0</v>
      </c>
      <c r="L368" s="161">
        <v>-5492.87</v>
      </c>
      <c r="M368" s="161">
        <v>0</v>
      </c>
      <c r="N368" s="161">
        <v>0</v>
      </c>
      <c r="O368" s="162">
        <f t="shared" si="30"/>
        <v>3067.9099999999989</v>
      </c>
      <c r="P368" s="161">
        <v>-2500</v>
      </c>
      <c r="Q368" s="161">
        <v>0</v>
      </c>
      <c r="R368" s="161">
        <v>-500</v>
      </c>
      <c r="S368" s="161">
        <v>0</v>
      </c>
      <c r="T368" s="161">
        <v>0</v>
      </c>
      <c r="U368" s="161">
        <v>0</v>
      </c>
      <c r="V368" s="161">
        <v>0</v>
      </c>
      <c r="W368" s="161">
        <f t="shared" si="31"/>
        <v>67.909999999998945</v>
      </c>
      <c r="X368" s="161">
        <f t="shared" si="32"/>
        <v>67.909999999998945</v>
      </c>
      <c r="Y368" s="161">
        <f t="shared" si="33"/>
        <v>0</v>
      </c>
      <c r="Z368" s="161">
        <v>0</v>
      </c>
      <c r="AA368" s="161">
        <f t="shared" si="34"/>
        <v>0</v>
      </c>
      <c r="AB368" s="161">
        <f t="shared" si="35"/>
        <v>3000</v>
      </c>
      <c r="AC368" s="158"/>
      <c r="AD368" s="158"/>
    </row>
    <row r="369" spans="1:30" ht="12.75" customHeight="1" x14ac:dyDescent="0.3">
      <c r="A369" s="147">
        <v>22</v>
      </c>
      <c r="B369" s="158" t="s">
        <v>929</v>
      </c>
      <c r="C369" s="158" t="s">
        <v>169</v>
      </c>
      <c r="D369" s="158" t="s">
        <v>912</v>
      </c>
      <c r="E369" s="160" t="s">
        <v>871</v>
      </c>
      <c r="F369" s="158" t="s">
        <v>39</v>
      </c>
      <c r="G369" s="160" t="s">
        <v>866</v>
      </c>
      <c r="H369" s="161">
        <v>3464.5799999999995</v>
      </c>
      <c r="I369" s="161">
        <v>-36.799999999999997</v>
      </c>
      <c r="J369" s="161">
        <v>0</v>
      </c>
      <c r="K369" s="161">
        <v>0</v>
      </c>
      <c r="L369" s="161">
        <v>-1147.9100000000005</v>
      </c>
      <c r="M369" s="161">
        <v>-30</v>
      </c>
      <c r="N369" s="161">
        <v>0</v>
      </c>
      <c r="O369" s="162">
        <f t="shared" si="30"/>
        <v>2249.869999999999</v>
      </c>
      <c r="P369" s="161">
        <v>-2500</v>
      </c>
      <c r="Q369" s="161">
        <v>-1988</v>
      </c>
      <c r="R369" s="161">
        <v>0</v>
      </c>
      <c r="S369" s="161">
        <v>0</v>
      </c>
      <c r="T369" s="161">
        <v>-500</v>
      </c>
      <c r="U369" s="161">
        <v>0</v>
      </c>
      <c r="V369" s="161">
        <v>0</v>
      </c>
      <c r="W369" s="161">
        <f t="shared" si="31"/>
        <v>-2738.130000000001</v>
      </c>
      <c r="X369" s="161">
        <f t="shared" si="32"/>
        <v>0</v>
      </c>
      <c r="Y369" s="161">
        <f t="shared" si="33"/>
        <v>-2738.130000000001</v>
      </c>
      <c r="Z369" s="161">
        <v>0</v>
      </c>
      <c r="AA369" s="161">
        <f t="shared" si="34"/>
        <v>-2738.130000000001</v>
      </c>
      <c r="AB369" s="161">
        <f t="shared" si="35"/>
        <v>-488.26000000000204</v>
      </c>
      <c r="AC369" s="158"/>
      <c r="AD369" s="158"/>
    </row>
    <row r="370" spans="1:30" ht="12.75" customHeight="1" x14ac:dyDescent="0.3">
      <c r="A370" s="147">
        <v>22</v>
      </c>
      <c r="B370" s="158" t="s">
        <v>457</v>
      </c>
      <c r="C370" s="158" t="s">
        <v>183</v>
      </c>
      <c r="D370" s="158" t="s">
        <v>887</v>
      </c>
      <c r="E370" s="160" t="s">
        <v>25</v>
      </c>
      <c r="F370" s="158" t="s">
        <v>25</v>
      </c>
      <c r="G370" s="160" t="s">
        <v>866</v>
      </c>
      <c r="H370" s="161">
        <v>2659.4999999999991</v>
      </c>
      <c r="I370" s="161">
        <v>0</v>
      </c>
      <c r="J370" s="161">
        <v>0</v>
      </c>
      <c r="K370" s="161">
        <v>0</v>
      </c>
      <c r="L370" s="161">
        <v>-175.20999999999998</v>
      </c>
      <c r="M370" s="161">
        <v>-30</v>
      </c>
      <c r="N370" s="161">
        <v>0</v>
      </c>
      <c r="O370" s="162">
        <f t="shared" si="30"/>
        <v>2454.2899999999991</v>
      </c>
      <c r="P370" s="161">
        <v>-2500</v>
      </c>
      <c r="Q370" s="161">
        <v>0</v>
      </c>
      <c r="R370" s="161">
        <v>-500</v>
      </c>
      <c r="S370" s="161">
        <v>0</v>
      </c>
      <c r="T370" s="161">
        <v>0</v>
      </c>
      <c r="U370" s="161">
        <v>0</v>
      </c>
      <c r="V370" s="161">
        <v>0</v>
      </c>
      <c r="W370" s="161">
        <f t="shared" si="31"/>
        <v>-545.71000000000095</v>
      </c>
      <c r="X370" s="161">
        <f t="shared" si="32"/>
        <v>0</v>
      </c>
      <c r="Y370" s="161">
        <f t="shared" si="33"/>
        <v>-545.71000000000095</v>
      </c>
      <c r="Z370" s="161">
        <v>0</v>
      </c>
      <c r="AA370" s="161">
        <f t="shared" si="34"/>
        <v>-545.71000000000095</v>
      </c>
      <c r="AB370" s="161">
        <f t="shared" si="35"/>
        <v>1908.5799999999981</v>
      </c>
      <c r="AC370" s="158"/>
      <c r="AD370" s="158"/>
    </row>
    <row r="371" spans="1:30" ht="12.75" customHeight="1" x14ac:dyDescent="0.3">
      <c r="A371" s="147">
        <v>22</v>
      </c>
      <c r="B371" s="158" t="s">
        <v>890</v>
      </c>
      <c r="C371" s="158" t="s">
        <v>42</v>
      </c>
      <c r="D371" s="158" t="s">
        <v>948</v>
      </c>
      <c r="E371" s="160" t="s">
        <v>25</v>
      </c>
      <c r="F371" s="158" t="s">
        <v>25</v>
      </c>
      <c r="G371" s="160" t="s">
        <v>866</v>
      </c>
      <c r="H371" s="161">
        <v>4761.05</v>
      </c>
      <c r="I371" s="161">
        <v>0</v>
      </c>
      <c r="J371" s="161">
        <v>0</v>
      </c>
      <c r="K371" s="161">
        <v>0</v>
      </c>
      <c r="L371" s="161">
        <v>-1260.6500000000001</v>
      </c>
      <c r="M371" s="161">
        <v>-31</v>
      </c>
      <c r="N371" s="161">
        <v>0</v>
      </c>
      <c r="O371" s="162">
        <f t="shared" si="30"/>
        <v>3469.4</v>
      </c>
      <c r="P371" s="161">
        <v>0</v>
      </c>
      <c r="Q371" s="161">
        <v>0</v>
      </c>
      <c r="R371" s="161">
        <v>0</v>
      </c>
      <c r="S371" s="161">
        <v>0</v>
      </c>
      <c r="T371" s="161">
        <v>0</v>
      </c>
      <c r="U371" s="161">
        <v>0</v>
      </c>
      <c r="V371" s="161">
        <v>0</v>
      </c>
      <c r="W371" s="161">
        <f t="shared" si="31"/>
        <v>3469.4</v>
      </c>
      <c r="X371" s="161">
        <f t="shared" si="32"/>
        <v>3469.4</v>
      </c>
      <c r="Y371" s="161">
        <f t="shared" si="33"/>
        <v>0</v>
      </c>
      <c r="Z371" s="161">
        <v>0</v>
      </c>
      <c r="AA371" s="161">
        <f t="shared" si="34"/>
        <v>0</v>
      </c>
      <c r="AB371" s="161">
        <f t="shared" si="35"/>
        <v>0</v>
      </c>
      <c r="AC371" s="158"/>
      <c r="AD371" s="158"/>
    </row>
    <row r="372" spans="1:30" ht="12.75" customHeight="1" x14ac:dyDescent="0.3">
      <c r="A372" s="147">
        <v>22</v>
      </c>
      <c r="B372" s="158" t="s">
        <v>872</v>
      </c>
      <c r="C372" s="158" t="s">
        <v>36</v>
      </c>
      <c r="D372" s="158" t="s">
        <v>904</v>
      </c>
      <c r="E372" s="160" t="s">
        <v>25</v>
      </c>
      <c r="F372" s="158" t="s">
        <v>25</v>
      </c>
      <c r="G372" s="160" t="s">
        <v>866</v>
      </c>
      <c r="H372" s="161">
        <v>10131.520000000004</v>
      </c>
      <c r="I372" s="161">
        <v>-120.80000000000001</v>
      </c>
      <c r="J372" s="161">
        <v>0</v>
      </c>
      <c r="K372" s="161">
        <v>-90.02000000000001</v>
      </c>
      <c r="L372" s="161">
        <v>-3499.41</v>
      </c>
      <c r="M372" s="161">
        <v>-63.629999999999995</v>
      </c>
      <c r="N372" s="161">
        <v>-165.46000000000004</v>
      </c>
      <c r="O372" s="162">
        <f t="shared" si="30"/>
        <v>6192.2000000000044</v>
      </c>
      <c r="P372" s="161">
        <v>-2500</v>
      </c>
      <c r="Q372" s="161">
        <v>0</v>
      </c>
      <c r="R372" s="161">
        <v>0</v>
      </c>
      <c r="S372" s="161">
        <v>-780</v>
      </c>
      <c r="T372" s="161">
        <v>0</v>
      </c>
      <c r="U372" s="161">
        <v>0</v>
      </c>
      <c r="V372" s="161">
        <v>0</v>
      </c>
      <c r="W372" s="161">
        <f t="shared" si="31"/>
        <v>2912.2000000000044</v>
      </c>
      <c r="X372" s="161">
        <f t="shared" si="32"/>
        <v>2912.2000000000044</v>
      </c>
      <c r="Y372" s="161">
        <f t="shared" si="33"/>
        <v>0</v>
      </c>
      <c r="Z372" s="161">
        <v>0</v>
      </c>
      <c r="AA372" s="161">
        <f t="shared" si="34"/>
        <v>0</v>
      </c>
      <c r="AB372" s="161">
        <f t="shared" si="35"/>
        <v>3280</v>
      </c>
      <c r="AC372" s="158"/>
      <c r="AD372" s="158"/>
    </row>
    <row r="373" spans="1:30" ht="12.75" customHeight="1" x14ac:dyDescent="0.3">
      <c r="A373" s="147">
        <v>22</v>
      </c>
      <c r="B373" s="158" t="s">
        <v>921</v>
      </c>
      <c r="C373" s="158" t="s">
        <v>257</v>
      </c>
      <c r="D373" s="158" t="s">
        <v>943</v>
      </c>
      <c r="E373" s="160" t="s">
        <v>25</v>
      </c>
      <c r="F373" s="158" t="s">
        <v>25</v>
      </c>
      <c r="G373" s="160" t="s">
        <v>866</v>
      </c>
      <c r="H373" s="161">
        <v>9408.1200000000008</v>
      </c>
      <c r="I373" s="161">
        <v>-138.4</v>
      </c>
      <c r="J373" s="161">
        <v>0</v>
      </c>
      <c r="K373" s="161">
        <v>0</v>
      </c>
      <c r="L373" s="161">
        <v>-4032.1100000000006</v>
      </c>
      <c r="M373" s="161">
        <v>-45.69</v>
      </c>
      <c r="N373" s="161">
        <v>-107</v>
      </c>
      <c r="O373" s="162">
        <f t="shared" si="30"/>
        <v>5084.920000000001</v>
      </c>
      <c r="P373" s="161">
        <v>-2500</v>
      </c>
      <c r="Q373" s="161">
        <v>-1500</v>
      </c>
      <c r="R373" s="161">
        <v>0</v>
      </c>
      <c r="S373" s="161">
        <v>0</v>
      </c>
      <c r="T373" s="161">
        <v>0</v>
      </c>
      <c r="U373" s="161">
        <v>0</v>
      </c>
      <c r="V373" s="161">
        <v>0</v>
      </c>
      <c r="W373" s="161">
        <f t="shared" si="31"/>
        <v>1084.920000000001</v>
      </c>
      <c r="X373" s="161">
        <f t="shared" si="32"/>
        <v>1084.920000000001</v>
      </c>
      <c r="Y373" s="161">
        <f t="shared" si="33"/>
        <v>0</v>
      </c>
      <c r="Z373" s="161">
        <v>0</v>
      </c>
      <c r="AA373" s="161">
        <f t="shared" si="34"/>
        <v>0</v>
      </c>
      <c r="AB373" s="161">
        <f t="shared" si="35"/>
        <v>4000</v>
      </c>
      <c r="AC373" s="158"/>
      <c r="AD373" s="158"/>
    </row>
    <row r="374" spans="1:30" ht="12.75" customHeight="1" x14ac:dyDescent="0.3">
      <c r="A374" s="147">
        <v>22</v>
      </c>
      <c r="B374" s="158" t="s">
        <v>874</v>
      </c>
      <c r="C374" s="158" t="s">
        <v>195</v>
      </c>
      <c r="D374" s="158" t="s">
        <v>964</v>
      </c>
      <c r="E374" s="160" t="s">
        <v>871</v>
      </c>
      <c r="F374" s="158" t="s">
        <v>39</v>
      </c>
      <c r="G374" s="160" t="s">
        <v>866</v>
      </c>
      <c r="H374" s="161">
        <v>0</v>
      </c>
      <c r="I374" s="161">
        <v>0</v>
      </c>
      <c r="J374" s="161">
        <v>0</v>
      </c>
      <c r="K374" s="161">
        <v>0</v>
      </c>
      <c r="L374" s="161">
        <v>0</v>
      </c>
      <c r="M374" s="161">
        <v>0</v>
      </c>
      <c r="N374" s="161">
        <v>0</v>
      </c>
      <c r="O374" s="162">
        <f t="shared" si="30"/>
        <v>0</v>
      </c>
      <c r="P374" s="161">
        <v>-2500</v>
      </c>
      <c r="Q374" s="161">
        <v>0</v>
      </c>
      <c r="R374" s="161">
        <v>0</v>
      </c>
      <c r="S374" s="161">
        <v>0</v>
      </c>
      <c r="T374" s="161">
        <v>0</v>
      </c>
      <c r="U374" s="161">
        <v>0</v>
      </c>
      <c r="V374" s="161">
        <v>0</v>
      </c>
      <c r="W374" s="161">
        <f t="shared" si="31"/>
        <v>-2500</v>
      </c>
      <c r="X374" s="161">
        <f t="shared" si="32"/>
        <v>0</v>
      </c>
      <c r="Y374" s="161">
        <f t="shared" si="33"/>
        <v>-2500</v>
      </c>
      <c r="Z374" s="161">
        <v>2500</v>
      </c>
      <c r="AA374" s="161">
        <f t="shared" si="34"/>
        <v>0</v>
      </c>
      <c r="AB374" s="161">
        <f t="shared" si="35"/>
        <v>2500</v>
      </c>
      <c r="AC374" s="158"/>
      <c r="AD374" s="158"/>
    </row>
    <row r="375" spans="1:30" ht="12.75" customHeight="1" x14ac:dyDescent="0.3">
      <c r="A375" s="147">
        <v>22</v>
      </c>
      <c r="B375" s="158" t="s">
        <v>918</v>
      </c>
      <c r="C375" s="158" t="s">
        <v>120</v>
      </c>
      <c r="D375" s="158" t="s">
        <v>950</v>
      </c>
      <c r="E375" s="158" t="s">
        <v>25</v>
      </c>
      <c r="F375" s="158" t="s">
        <v>25</v>
      </c>
      <c r="G375" s="160" t="s">
        <v>866</v>
      </c>
      <c r="H375" s="161">
        <v>8718.2899999999991</v>
      </c>
      <c r="I375" s="161">
        <v>-54.4</v>
      </c>
      <c r="J375" s="161">
        <v>0</v>
      </c>
      <c r="K375" s="161">
        <v>0</v>
      </c>
      <c r="L375" s="161">
        <v>-2748.8</v>
      </c>
      <c r="M375" s="161">
        <v>-31</v>
      </c>
      <c r="N375" s="161">
        <v>-58</v>
      </c>
      <c r="O375" s="162">
        <f t="shared" si="30"/>
        <v>5826.0899999999992</v>
      </c>
      <c r="P375" s="161">
        <v>-2500</v>
      </c>
      <c r="Q375" s="161">
        <v>0</v>
      </c>
      <c r="R375" s="161">
        <v>0</v>
      </c>
      <c r="S375" s="161">
        <v>0</v>
      </c>
      <c r="T375" s="161">
        <v>0</v>
      </c>
      <c r="U375" s="161">
        <v>0</v>
      </c>
      <c r="V375" s="161">
        <v>0</v>
      </c>
      <c r="W375" s="161">
        <f t="shared" si="31"/>
        <v>3326.0899999999992</v>
      </c>
      <c r="X375" s="161">
        <f t="shared" si="32"/>
        <v>3326.0899999999992</v>
      </c>
      <c r="Y375" s="161">
        <f t="shared" si="33"/>
        <v>0</v>
      </c>
      <c r="Z375" s="161">
        <v>0</v>
      </c>
      <c r="AA375" s="161">
        <f t="shared" si="34"/>
        <v>0</v>
      </c>
      <c r="AB375" s="161">
        <f t="shared" si="35"/>
        <v>2500</v>
      </c>
      <c r="AC375" s="158"/>
      <c r="AD375" s="158"/>
    </row>
    <row r="376" spans="1:30" ht="12.75" customHeight="1" x14ac:dyDescent="0.3">
      <c r="A376" s="147">
        <v>22</v>
      </c>
      <c r="B376" s="158" t="s">
        <v>955</v>
      </c>
      <c r="C376" s="158" t="s">
        <v>59</v>
      </c>
      <c r="D376" s="158" t="s">
        <v>895</v>
      </c>
      <c r="E376" s="177" t="s">
        <v>25</v>
      </c>
      <c r="F376" s="179" t="s">
        <v>25</v>
      </c>
      <c r="G376" s="160" t="s">
        <v>866</v>
      </c>
      <c r="H376" s="161">
        <v>4709.2299999999996</v>
      </c>
      <c r="I376" s="161">
        <v>0</v>
      </c>
      <c r="J376" s="161">
        <v>0</v>
      </c>
      <c r="K376" s="161">
        <v>0</v>
      </c>
      <c r="L376" s="161">
        <v>-1662.8100000000004</v>
      </c>
      <c r="M376" s="161">
        <v>-30</v>
      </c>
      <c r="N376" s="161">
        <v>-75</v>
      </c>
      <c r="O376" s="162">
        <f t="shared" si="30"/>
        <v>2941.4199999999992</v>
      </c>
      <c r="P376" s="161">
        <v>-2500</v>
      </c>
      <c r="Q376" s="161">
        <v>-1517</v>
      </c>
      <c r="R376" s="161">
        <v>-500</v>
      </c>
      <c r="S376" s="161">
        <v>0</v>
      </c>
      <c r="T376" s="161">
        <v>0</v>
      </c>
      <c r="U376" s="161">
        <v>0</v>
      </c>
      <c r="V376" s="161">
        <v>0</v>
      </c>
      <c r="W376" s="161">
        <f t="shared" si="31"/>
        <v>-1575.5800000000008</v>
      </c>
      <c r="X376" s="161">
        <f t="shared" si="32"/>
        <v>0</v>
      </c>
      <c r="Y376" s="161">
        <f t="shared" si="33"/>
        <v>-1575.5800000000008</v>
      </c>
      <c r="Z376" s="161">
        <v>0</v>
      </c>
      <c r="AA376" s="161">
        <f t="shared" si="34"/>
        <v>-1575.5800000000008</v>
      </c>
      <c r="AB376" s="161">
        <f t="shared" si="35"/>
        <v>1365.8399999999983</v>
      </c>
      <c r="AC376" s="158"/>
      <c r="AD376" s="158"/>
    </row>
    <row r="377" spans="1:30" ht="12.75" customHeight="1" x14ac:dyDescent="0.3">
      <c r="A377" s="147">
        <v>22</v>
      </c>
      <c r="B377" s="158" t="s">
        <v>876</v>
      </c>
      <c r="C377" s="158" t="s">
        <v>150</v>
      </c>
      <c r="D377" s="158" t="s">
        <v>877</v>
      </c>
      <c r="E377" s="160" t="s">
        <v>25</v>
      </c>
      <c r="F377" s="158" t="s">
        <v>25</v>
      </c>
      <c r="G377" s="160" t="s">
        <v>866</v>
      </c>
      <c r="H377" s="161">
        <v>3332.45</v>
      </c>
      <c r="I377" s="161">
        <v>0</v>
      </c>
      <c r="J377" s="161">
        <v>0</v>
      </c>
      <c r="K377" s="161">
        <v>0</v>
      </c>
      <c r="L377" s="161">
        <v>-1348.8200000000004</v>
      </c>
      <c r="M377" s="161">
        <v>-30</v>
      </c>
      <c r="N377" s="161">
        <v>-61</v>
      </c>
      <c r="O377" s="162">
        <f t="shared" si="30"/>
        <v>1892.6299999999994</v>
      </c>
      <c r="P377" s="161">
        <v>-2500</v>
      </c>
      <c r="Q377" s="161">
        <v>0</v>
      </c>
      <c r="R377" s="161">
        <v>0</v>
      </c>
      <c r="S377" s="161">
        <v>0</v>
      </c>
      <c r="T377" s="161">
        <v>0</v>
      </c>
      <c r="U377" s="161">
        <v>0</v>
      </c>
      <c r="V377" s="161">
        <v>0</v>
      </c>
      <c r="W377" s="161">
        <f t="shared" si="31"/>
        <v>-607.37000000000057</v>
      </c>
      <c r="X377" s="161">
        <f t="shared" si="32"/>
        <v>0</v>
      </c>
      <c r="Y377" s="161">
        <f t="shared" si="33"/>
        <v>-607.37000000000057</v>
      </c>
      <c r="Z377" s="161">
        <v>0</v>
      </c>
      <c r="AA377" s="161">
        <f t="shared" si="34"/>
        <v>-607.37000000000057</v>
      </c>
      <c r="AB377" s="161">
        <f t="shared" si="35"/>
        <v>1285.2599999999989</v>
      </c>
      <c r="AC377" s="158"/>
      <c r="AD377" s="158"/>
    </row>
    <row r="378" spans="1:30" ht="12.75" customHeight="1" x14ac:dyDescent="0.3">
      <c r="A378" s="147">
        <v>22</v>
      </c>
      <c r="B378" s="158" t="s">
        <v>484</v>
      </c>
      <c r="C378" s="158" t="s">
        <v>426</v>
      </c>
      <c r="D378" s="158" t="s">
        <v>903</v>
      </c>
      <c r="E378" s="160" t="s">
        <v>25</v>
      </c>
      <c r="F378" s="158" t="s">
        <v>25</v>
      </c>
      <c r="G378" s="160" t="s">
        <v>866</v>
      </c>
      <c r="H378" s="161">
        <v>9332.7899999999972</v>
      </c>
      <c r="I378" s="161">
        <v>-261.60000000000002</v>
      </c>
      <c r="J378" s="161">
        <v>0</v>
      </c>
      <c r="K378" s="161">
        <v>0</v>
      </c>
      <c r="L378" s="161">
        <v>-4569.6899999999978</v>
      </c>
      <c r="M378" s="161">
        <v>-31</v>
      </c>
      <c r="N378" s="161">
        <v>0</v>
      </c>
      <c r="O378" s="162">
        <f t="shared" si="30"/>
        <v>4470.4999999999991</v>
      </c>
      <c r="P378" s="161">
        <v>-2500</v>
      </c>
      <c r="Q378" s="161">
        <v>0</v>
      </c>
      <c r="R378" s="161">
        <v>0</v>
      </c>
      <c r="S378" s="161">
        <v>0</v>
      </c>
      <c r="T378" s="161">
        <v>0</v>
      </c>
      <c r="U378" s="161">
        <v>0</v>
      </c>
      <c r="V378" s="161">
        <v>0</v>
      </c>
      <c r="W378" s="161">
        <f t="shared" si="31"/>
        <v>1970.4999999999991</v>
      </c>
      <c r="X378" s="161">
        <f t="shared" si="32"/>
        <v>1970.4999999999991</v>
      </c>
      <c r="Y378" s="161">
        <f t="shared" si="33"/>
        <v>0</v>
      </c>
      <c r="Z378" s="161">
        <v>0</v>
      </c>
      <c r="AA378" s="161">
        <f t="shared" si="34"/>
        <v>0</v>
      </c>
      <c r="AB378" s="161">
        <f t="shared" si="35"/>
        <v>2500</v>
      </c>
      <c r="AC378" s="158"/>
      <c r="AD378" s="158"/>
    </row>
    <row r="379" spans="1:30" ht="12.75" customHeight="1" x14ac:dyDescent="0.3">
      <c r="A379" s="147">
        <v>22</v>
      </c>
      <c r="B379" s="158" t="s">
        <v>408</v>
      </c>
      <c r="C379" s="158" t="s">
        <v>878</v>
      </c>
      <c r="D379" s="158" t="s">
        <v>912</v>
      </c>
      <c r="E379" s="160" t="s">
        <v>25</v>
      </c>
      <c r="F379" s="158" t="s">
        <v>39</v>
      </c>
      <c r="G379" s="160" t="s">
        <v>866</v>
      </c>
      <c r="H379" s="161">
        <v>1921.36</v>
      </c>
      <c r="I379" s="161">
        <v>-19.2</v>
      </c>
      <c r="J379" s="161">
        <v>0</v>
      </c>
      <c r="K379" s="161">
        <v>0</v>
      </c>
      <c r="L379" s="161">
        <v>-658.53</v>
      </c>
      <c r="M379" s="161">
        <v>-30</v>
      </c>
      <c r="N379" s="161">
        <v>0</v>
      </c>
      <c r="O379" s="162">
        <f t="shared" si="30"/>
        <v>1213.6299999999999</v>
      </c>
      <c r="P379" s="161">
        <v>-2500</v>
      </c>
      <c r="Q379" s="161">
        <v>-347.03999999999996</v>
      </c>
      <c r="R379" s="161">
        <v>0</v>
      </c>
      <c r="S379" s="161">
        <v>0</v>
      </c>
      <c r="T379" s="161">
        <v>0</v>
      </c>
      <c r="U379" s="161">
        <v>0</v>
      </c>
      <c r="V379" s="161">
        <v>0</v>
      </c>
      <c r="W379" s="161">
        <f t="shared" si="31"/>
        <v>-1633.41</v>
      </c>
      <c r="X379" s="161">
        <f t="shared" si="32"/>
        <v>0</v>
      </c>
      <c r="Y379" s="161">
        <f t="shared" si="33"/>
        <v>-1633.41</v>
      </c>
      <c r="Z379" s="161">
        <v>0</v>
      </c>
      <c r="AA379" s="161">
        <f t="shared" si="34"/>
        <v>-1633.41</v>
      </c>
      <c r="AB379" s="161">
        <f t="shared" si="35"/>
        <v>-419.7800000000002</v>
      </c>
      <c r="AC379" s="158"/>
      <c r="AD379" s="158"/>
    </row>
    <row r="380" spans="1:30" ht="12.75" customHeight="1" x14ac:dyDescent="0.3">
      <c r="A380" s="147">
        <v>22</v>
      </c>
      <c r="B380" s="158" t="s">
        <v>962</v>
      </c>
      <c r="C380" s="160" t="s">
        <v>123</v>
      </c>
      <c r="D380" s="158" t="s">
        <v>20</v>
      </c>
      <c r="E380" s="160" t="s">
        <v>871</v>
      </c>
      <c r="F380" s="158" t="s">
        <v>39</v>
      </c>
      <c r="G380" s="160" t="s">
        <v>866</v>
      </c>
      <c r="H380" s="161">
        <v>2723.44</v>
      </c>
      <c r="I380" s="161">
        <v>0</v>
      </c>
      <c r="J380" s="161">
        <v>0</v>
      </c>
      <c r="K380" s="161">
        <v>0</v>
      </c>
      <c r="L380" s="161">
        <v>-738.2700000000001</v>
      </c>
      <c r="M380" s="161">
        <v>-30</v>
      </c>
      <c r="N380" s="161">
        <v>0</v>
      </c>
      <c r="O380" s="162">
        <f t="shared" si="30"/>
        <v>1955.17</v>
      </c>
      <c r="P380" s="161">
        <v>-2142</v>
      </c>
      <c r="Q380" s="161">
        <v>0</v>
      </c>
      <c r="R380" s="161">
        <v>-500</v>
      </c>
      <c r="S380" s="161">
        <v>0</v>
      </c>
      <c r="T380" s="161">
        <v>0</v>
      </c>
      <c r="U380" s="161">
        <v>0</v>
      </c>
      <c r="V380" s="161">
        <v>0</v>
      </c>
      <c r="W380" s="161">
        <f t="shared" si="31"/>
        <v>-686.82999999999993</v>
      </c>
      <c r="X380" s="161">
        <f t="shared" si="32"/>
        <v>0</v>
      </c>
      <c r="Y380" s="161">
        <f t="shared" si="33"/>
        <v>-686.82999999999993</v>
      </c>
      <c r="Z380" s="161">
        <v>700</v>
      </c>
      <c r="AA380" s="161">
        <f t="shared" si="34"/>
        <v>13.170000000000073</v>
      </c>
      <c r="AB380" s="161">
        <f t="shared" si="35"/>
        <v>2668.34</v>
      </c>
      <c r="AC380" s="158"/>
      <c r="AD380" s="158"/>
    </row>
    <row r="381" spans="1:30" ht="12.75" customHeight="1" x14ac:dyDescent="0.3">
      <c r="A381" s="147">
        <v>22</v>
      </c>
      <c r="B381" s="158" t="s">
        <v>923</v>
      </c>
      <c r="C381" s="158" t="s">
        <v>46</v>
      </c>
      <c r="D381" s="158" t="s">
        <v>915</v>
      </c>
      <c r="E381" s="160" t="s">
        <v>25</v>
      </c>
      <c r="F381" s="158" t="s">
        <v>25</v>
      </c>
      <c r="G381" s="160" t="s">
        <v>866</v>
      </c>
      <c r="H381" s="161">
        <v>0</v>
      </c>
      <c r="I381" s="161">
        <v>0</v>
      </c>
      <c r="J381" s="161">
        <v>0</v>
      </c>
      <c r="K381" s="161">
        <v>0</v>
      </c>
      <c r="L381" s="161">
        <v>0</v>
      </c>
      <c r="M381" s="161">
        <v>0</v>
      </c>
      <c r="N381" s="161">
        <v>-200.23</v>
      </c>
      <c r="O381" s="162">
        <f t="shared" si="30"/>
        <v>-200.23</v>
      </c>
      <c r="P381" s="161">
        <v>-2500</v>
      </c>
      <c r="Q381" s="161">
        <v>-647.57000000000016</v>
      </c>
      <c r="R381" s="161">
        <v>0</v>
      </c>
      <c r="S381" s="161">
        <v>0</v>
      </c>
      <c r="T381" s="161">
        <v>-500</v>
      </c>
      <c r="U381" s="161">
        <v>0</v>
      </c>
      <c r="V381" s="161">
        <v>0</v>
      </c>
      <c r="W381" s="161">
        <f t="shared" si="31"/>
        <v>-3847.8</v>
      </c>
      <c r="X381" s="161">
        <f t="shared" si="32"/>
        <v>0</v>
      </c>
      <c r="Y381" s="161">
        <f t="shared" si="33"/>
        <v>-3847.8</v>
      </c>
      <c r="Z381" s="161">
        <v>2500</v>
      </c>
      <c r="AA381" s="161">
        <f t="shared" si="34"/>
        <v>-1347.8000000000002</v>
      </c>
      <c r="AB381" s="161">
        <f t="shared" si="35"/>
        <v>951.9699999999998</v>
      </c>
      <c r="AC381" s="158"/>
      <c r="AD381" s="158"/>
    </row>
    <row r="382" spans="1:30" ht="12.75" customHeight="1" x14ac:dyDescent="0.3">
      <c r="A382" s="147">
        <v>22</v>
      </c>
      <c r="B382" s="158" t="s">
        <v>952</v>
      </c>
      <c r="C382" s="158" t="s">
        <v>409</v>
      </c>
      <c r="D382" s="158" t="s">
        <v>946</v>
      </c>
      <c r="E382" s="160" t="s">
        <v>25</v>
      </c>
      <c r="F382" s="158" t="s">
        <v>25</v>
      </c>
      <c r="G382" s="160" t="s">
        <v>866</v>
      </c>
      <c r="H382" s="161">
        <v>4052.3700000000008</v>
      </c>
      <c r="I382" s="161">
        <v>0</v>
      </c>
      <c r="J382" s="161">
        <v>0</v>
      </c>
      <c r="K382" s="161">
        <v>0</v>
      </c>
      <c r="L382" s="161">
        <v>-1042.6200000000001</v>
      </c>
      <c r="M382" s="161">
        <v>-30</v>
      </c>
      <c r="N382" s="161">
        <v>0</v>
      </c>
      <c r="O382" s="162">
        <f t="shared" si="30"/>
        <v>2979.7500000000009</v>
      </c>
      <c r="P382" s="161">
        <v>-2500</v>
      </c>
      <c r="Q382" s="161">
        <v>-613.44999999999982</v>
      </c>
      <c r="R382" s="161">
        <v>-500</v>
      </c>
      <c r="S382" s="161">
        <v>0</v>
      </c>
      <c r="T382" s="161">
        <v>0</v>
      </c>
      <c r="U382" s="161">
        <v>0</v>
      </c>
      <c r="V382" s="161">
        <v>0</v>
      </c>
      <c r="W382" s="161">
        <f t="shared" si="31"/>
        <v>-633.69999999999891</v>
      </c>
      <c r="X382" s="161">
        <f t="shared" si="32"/>
        <v>0</v>
      </c>
      <c r="Y382" s="161">
        <f t="shared" si="33"/>
        <v>-633.69999999999891</v>
      </c>
      <c r="Z382" s="161">
        <v>634</v>
      </c>
      <c r="AA382" s="161">
        <f t="shared" si="34"/>
        <v>0.30000000000109139</v>
      </c>
      <c r="AB382" s="161">
        <f t="shared" si="35"/>
        <v>3614.050000000002</v>
      </c>
      <c r="AC382" s="158"/>
      <c r="AD382" s="158"/>
    </row>
    <row r="383" spans="1:30" ht="12.75" customHeight="1" x14ac:dyDescent="0.3">
      <c r="A383" s="147">
        <v>22</v>
      </c>
      <c r="B383" s="158" t="s">
        <v>880</v>
      </c>
      <c r="C383" s="158" t="s">
        <v>57</v>
      </c>
      <c r="D383" s="158" t="s">
        <v>881</v>
      </c>
      <c r="E383" s="160" t="s">
        <v>25</v>
      </c>
      <c r="F383" s="158" t="s">
        <v>25</v>
      </c>
      <c r="G383" s="160" t="s">
        <v>866</v>
      </c>
      <c r="H383" s="161">
        <v>4710.1500000000005</v>
      </c>
      <c r="I383" s="161">
        <v>-108</v>
      </c>
      <c r="J383" s="161">
        <v>0</v>
      </c>
      <c r="K383" s="161">
        <v>0</v>
      </c>
      <c r="L383" s="161">
        <v>-802.73000000000013</v>
      </c>
      <c r="M383" s="161">
        <v>-51.519999999999996</v>
      </c>
      <c r="N383" s="161">
        <v>0</v>
      </c>
      <c r="O383" s="162">
        <f t="shared" si="30"/>
        <v>3747.9000000000005</v>
      </c>
      <c r="P383" s="161">
        <v>-2500</v>
      </c>
      <c r="Q383" s="161">
        <v>0</v>
      </c>
      <c r="R383" s="161">
        <v>0</v>
      </c>
      <c r="S383" s="161">
        <v>0</v>
      </c>
      <c r="T383" s="161">
        <v>0</v>
      </c>
      <c r="U383" s="161">
        <v>0</v>
      </c>
      <c r="V383" s="161">
        <v>0</v>
      </c>
      <c r="W383" s="161">
        <f t="shared" si="31"/>
        <v>1247.9000000000005</v>
      </c>
      <c r="X383" s="161">
        <f t="shared" si="32"/>
        <v>1247.9000000000005</v>
      </c>
      <c r="Y383" s="161">
        <f t="shared" si="33"/>
        <v>0</v>
      </c>
      <c r="Z383" s="161">
        <v>0</v>
      </c>
      <c r="AA383" s="161">
        <f t="shared" si="34"/>
        <v>0</v>
      </c>
      <c r="AB383" s="161">
        <f t="shared" si="35"/>
        <v>2500</v>
      </c>
      <c r="AC383" s="158"/>
      <c r="AD383" s="158"/>
    </row>
    <row r="384" spans="1:30" ht="12.75" customHeight="1" x14ac:dyDescent="0.3">
      <c r="A384" s="147">
        <v>22</v>
      </c>
      <c r="B384" s="158" t="s">
        <v>922</v>
      </c>
      <c r="C384" s="158" t="s">
        <v>347</v>
      </c>
      <c r="D384" s="158" t="s">
        <v>897</v>
      </c>
      <c r="E384" s="160" t="s">
        <v>25</v>
      </c>
      <c r="F384" s="158" t="s">
        <v>25</v>
      </c>
      <c r="G384" s="160" t="s">
        <v>866</v>
      </c>
      <c r="H384" s="161">
        <v>7417.760000000002</v>
      </c>
      <c r="I384" s="161">
        <v>-47.2</v>
      </c>
      <c r="J384" s="161">
        <v>0</v>
      </c>
      <c r="K384" s="161">
        <v>0</v>
      </c>
      <c r="L384" s="161">
        <v>-2181.0500000000002</v>
      </c>
      <c r="M384" s="161">
        <v>-32</v>
      </c>
      <c r="N384" s="161">
        <v>-96.960000000000008</v>
      </c>
      <c r="O384" s="162">
        <f t="shared" si="30"/>
        <v>5060.550000000002</v>
      </c>
      <c r="P384" s="161">
        <v>0</v>
      </c>
      <c r="Q384" s="161">
        <v>0</v>
      </c>
      <c r="R384" s="161">
        <v>0</v>
      </c>
      <c r="S384" s="161">
        <v>0</v>
      </c>
      <c r="T384" s="161">
        <v>0</v>
      </c>
      <c r="U384" s="161">
        <v>0</v>
      </c>
      <c r="V384" s="161">
        <v>0</v>
      </c>
      <c r="W384" s="161">
        <f t="shared" si="31"/>
        <v>5060.550000000002</v>
      </c>
      <c r="X384" s="161">
        <f t="shared" si="32"/>
        <v>5060.550000000002</v>
      </c>
      <c r="Y384" s="161">
        <f t="shared" si="33"/>
        <v>0</v>
      </c>
      <c r="Z384" s="161">
        <v>0</v>
      </c>
      <c r="AA384" s="161">
        <f t="shared" si="34"/>
        <v>0</v>
      </c>
      <c r="AB384" s="161">
        <f t="shared" si="35"/>
        <v>0</v>
      </c>
      <c r="AC384" s="158"/>
      <c r="AD384" s="158"/>
    </row>
    <row r="385" spans="1:30" ht="12.75" customHeight="1" x14ac:dyDescent="0.3">
      <c r="A385" s="147">
        <v>22</v>
      </c>
      <c r="B385" s="158" t="s">
        <v>924</v>
      </c>
      <c r="C385" s="158" t="s">
        <v>100</v>
      </c>
      <c r="D385" s="158" t="s">
        <v>953</v>
      </c>
      <c r="E385" s="160" t="s">
        <v>25</v>
      </c>
      <c r="F385" s="158" t="s">
        <v>25</v>
      </c>
      <c r="G385" s="160" t="s">
        <v>866</v>
      </c>
      <c r="H385" s="161">
        <v>0</v>
      </c>
      <c r="I385" s="161">
        <v>0</v>
      </c>
      <c r="J385" s="161">
        <v>0</v>
      </c>
      <c r="K385" s="161">
        <v>0</v>
      </c>
      <c r="L385" s="161">
        <v>0</v>
      </c>
      <c r="M385" s="161">
        <v>0</v>
      </c>
      <c r="N385" s="161">
        <v>0</v>
      </c>
      <c r="O385" s="162">
        <f t="shared" si="30"/>
        <v>0</v>
      </c>
      <c r="P385" s="161">
        <v>-2500</v>
      </c>
      <c r="Q385" s="161">
        <v>-1808</v>
      </c>
      <c r="R385" s="161">
        <v>0</v>
      </c>
      <c r="S385" s="161">
        <v>0</v>
      </c>
      <c r="T385" s="161">
        <v>0</v>
      </c>
      <c r="U385" s="161">
        <v>0</v>
      </c>
      <c r="V385" s="161">
        <v>0</v>
      </c>
      <c r="W385" s="161">
        <f t="shared" si="31"/>
        <v>-4308</v>
      </c>
      <c r="X385" s="161">
        <f t="shared" si="32"/>
        <v>0</v>
      </c>
      <c r="Y385" s="161">
        <f t="shared" si="33"/>
        <v>-4308</v>
      </c>
      <c r="Z385" s="161">
        <v>2500</v>
      </c>
      <c r="AA385" s="161">
        <f t="shared" si="34"/>
        <v>-1808</v>
      </c>
      <c r="AB385" s="161">
        <f t="shared" si="35"/>
        <v>692</v>
      </c>
      <c r="AC385" s="158"/>
      <c r="AD385" s="158"/>
    </row>
    <row r="386" spans="1:30" ht="12.75" customHeight="1" x14ac:dyDescent="0.3">
      <c r="A386" s="147">
        <v>23</v>
      </c>
      <c r="B386" s="158" t="s">
        <v>585</v>
      </c>
      <c r="C386" s="158" t="s">
        <v>64</v>
      </c>
      <c r="D386" s="158" t="s">
        <v>949</v>
      </c>
      <c r="E386" s="160" t="s">
        <v>25</v>
      </c>
      <c r="F386" s="158" t="s">
        <v>25</v>
      </c>
      <c r="G386" s="160" t="s">
        <v>866</v>
      </c>
      <c r="H386" s="161">
        <v>0</v>
      </c>
      <c r="I386" s="161">
        <v>0</v>
      </c>
      <c r="J386" s="161">
        <v>0</v>
      </c>
      <c r="K386" s="161">
        <v>0</v>
      </c>
      <c r="L386" s="161">
        <v>0</v>
      </c>
      <c r="M386" s="161">
        <v>-35</v>
      </c>
      <c r="N386" s="161">
        <v>0</v>
      </c>
      <c r="O386" s="162">
        <f t="shared" ref="O386:O449" si="36">SUM(H386:N386)</f>
        <v>-35</v>
      </c>
      <c r="P386" s="161">
        <v>-2500</v>
      </c>
      <c r="Q386" s="161">
        <v>0</v>
      </c>
      <c r="R386" s="161">
        <v>0</v>
      </c>
      <c r="S386" s="161">
        <v>0</v>
      </c>
      <c r="T386" s="161">
        <v>-500</v>
      </c>
      <c r="U386" s="161">
        <v>0</v>
      </c>
      <c r="V386" s="161">
        <v>0</v>
      </c>
      <c r="W386" s="161">
        <f t="shared" ref="W386:W449" si="37">+O386+SUM(P386:V386)</f>
        <v>-3035</v>
      </c>
      <c r="X386" s="161">
        <f t="shared" ref="X386:X449" si="38">IF(W386&gt;=0,W386,0)</f>
        <v>0</v>
      </c>
      <c r="Y386" s="161">
        <f t="shared" ref="Y386:Y449" si="39">IF(W386&lt;=0,W386,0)</f>
        <v>-3035</v>
      </c>
      <c r="Z386" s="161">
        <v>3035</v>
      </c>
      <c r="AA386" s="161">
        <f t="shared" ref="AA386:AA449" si="40">+Y386+Z386</f>
        <v>0</v>
      </c>
      <c r="AB386" s="161">
        <f t="shared" ref="AB386:AB449" si="41">+O386-X386+Z386+AA386</f>
        <v>3000</v>
      </c>
      <c r="AC386" s="158" t="s">
        <v>965</v>
      </c>
      <c r="AD386" s="158"/>
    </row>
    <row r="387" spans="1:30" ht="12.75" customHeight="1" x14ac:dyDescent="0.3">
      <c r="A387" s="147">
        <v>23</v>
      </c>
      <c r="B387" s="158" t="s">
        <v>954</v>
      </c>
      <c r="C387" s="158" t="s">
        <v>68</v>
      </c>
      <c r="D387" s="158" t="s">
        <v>869</v>
      </c>
      <c r="E387" s="160" t="s">
        <v>25</v>
      </c>
      <c r="F387" s="158" t="s">
        <v>25</v>
      </c>
      <c r="G387" s="160" t="s">
        <v>866</v>
      </c>
      <c r="H387" s="161">
        <v>1892.21</v>
      </c>
      <c r="I387" s="161">
        <v>-7.24</v>
      </c>
      <c r="J387" s="161">
        <v>0</v>
      </c>
      <c r="K387" s="161">
        <v>0</v>
      </c>
      <c r="L387" s="161">
        <v>0</v>
      </c>
      <c r="M387" s="161">
        <v>-32</v>
      </c>
      <c r="N387" s="161">
        <v>-213</v>
      </c>
      <c r="O387" s="162">
        <f t="shared" si="36"/>
        <v>1639.97</v>
      </c>
      <c r="P387" s="161">
        <v>-2500</v>
      </c>
      <c r="Q387" s="161">
        <v>0</v>
      </c>
      <c r="R387" s="161">
        <v>-500</v>
      </c>
      <c r="S387" s="161">
        <v>0</v>
      </c>
      <c r="T387" s="161">
        <v>0</v>
      </c>
      <c r="U387" s="161">
        <v>0</v>
      </c>
      <c r="V387" s="161">
        <v>0</v>
      </c>
      <c r="W387" s="161">
        <f t="shared" si="37"/>
        <v>-1360.03</v>
      </c>
      <c r="X387" s="161">
        <f t="shared" si="38"/>
        <v>0</v>
      </c>
      <c r="Y387" s="161">
        <f t="shared" si="39"/>
        <v>-1360.03</v>
      </c>
      <c r="Z387" s="161">
        <v>1060</v>
      </c>
      <c r="AA387" s="161">
        <f t="shared" si="40"/>
        <v>-300.02999999999997</v>
      </c>
      <c r="AB387" s="161">
        <f t="shared" si="41"/>
        <v>2399.9400000000005</v>
      </c>
      <c r="AC387" s="158" t="s">
        <v>966</v>
      </c>
      <c r="AD387" s="158"/>
    </row>
    <row r="388" spans="1:30" ht="12.75" customHeight="1" x14ac:dyDescent="0.3">
      <c r="A388" s="147">
        <v>23</v>
      </c>
      <c r="B388" s="158" t="s">
        <v>944</v>
      </c>
      <c r="C388" s="158" t="s">
        <v>101</v>
      </c>
      <c r="D388" s="158" t="s">
        <v>945</v>
      </c>
      <c r="E388" s="160" t="s">
        <v>25</v>
      </c>
      <c r="F388" s="158" t="s">
        <v>25</v>
      </c>
      <c r="G388" s="160" t="s">
        <v>866</v>
      </c>
      <c r="H388" s="161">
        <v>2509.58</v>
      </c>
      <c r="I388" s="161">
        <v>0</v>
      </c>
      <c r="J388" s="161">
        <v>0</v>
      </c>
      <c r="K388" s="161">
        <v>0</v>
      </c>
      <c r="L388" s="161">
        <v>-132.9</v>
      </c>
      <c r="M388" s="161">
        <v>-32</v>
      </c>
      <c r="N388" s="161">
        <v>-92.04</v>
      </c>
      <c r="O388" s="162">
        <f t="shared" si="36"/>
        <v>2252.64</v>
      </c>
      <c r="P388" s="161">
        <v>-1250</v>
      </c>
      <c r="Q388" s="161">
        <v>0</v>
      </c>
      <c r="R388" s="161">
        <v>-500</v>
      </c>
      <c r="S388" s="161">
        <v>0</v>
      </c>
      <c r="T388" s="161">
        <v>0</v>
      </c>
      <c r="U388" s="161">
        <v>0</v>
      </c>
      <c r="V388" s="161">
        <v>0</v>
      </c>
      <c r="W388" s="161">
        <f t="shared" si="37"/>
        <v>502.63999999999987</v>
      </c>
      <c r="X388" s="161">
        <f t="shared" si="38"/>
        <v>502.63999999999987</v>
      </c>
      <c r="Y388" s="161">
        <f t="shared" si="39"/>
        <v>0</v>
      </c>
      <c r="Z388" s="161">
        <v>0</v>
      </c>
      <c r="AA388" s="161">
        <f t="shared" si="40"/>
        <v>0</v>
      </c>
      <c r="AB388" s="161">
        <f t="shared" si="41"/>
        <v>1750</v>
      </c>
      <c r="AC388" s="158"/>
      <c r="AD388" s="158"/>
    </row>
    <row r="389" spans="1:30" ht="12.75" customHeight="1" x14ac:dyDescent="0.3">
      <c r="A389" s="147">
        <v>23</v>
      </c>
      <c r="B389" s="158" t="s">
        <v>944</v>
      </c>
      <c r="C389" s="158" t="s">
        <v>372</v>
      </c>
      <c r="D389" s="158" t="s">
        <v>20</v>
      </c>
      <c r="E389" s="158" t="s">
        <v>39</v>
      </c>
      <c r="F389" s="158" t="s">
        <v>39</v>
      </c>
      <c r="G389" s="160" t="s">
        <v>866</v>
      </c>
      <c r="H389" s="161">
        <v>2985.25</v>
      </c>
      <c r="I389" s="161">
        <v>-1.9</v>
      </c>
      <c r="J389" s="161">
        <v>0</v>
      </c>
      <c r="K389" s="161">
        <v>0</v>
      </c>
      <c r="L389" s="161">
        <v>-467.83</v>
      </c>
      <c r="M389" s="162">
        <v>0</v>
      </c>
      <c r="N389" s="161">
        <v>0</v>
      </c>
      <c r="O389" s="162">
        <f t="shared" si="36"/>
        <v>2515.52</v>
      </c>
      <c r="P389" s="162">
        <v>-1250</v>
      </c>
      <c r="Q389" s="162">
        <v>0</v>
      </c>
      <c r="R389" s="162">
        <v>0</v>
      </c>
      <c r="S389" s="162">
        <v>0</v>
      </c>
      <c r="T389" s="162">
        <v>0</v>
      </c>
      <c r="U389" s="161">
        <v>0</v>
      </c>
      <c r="V389" s="161">
        <v>0</v>
      </c>
      <c r="W389" s="161">
        <f t="shared" si="37"/>
        <v>1265.52</v>
      </c>
      <c r="X389" s="161">
        <f t="shared" si="38"/>
        <v>1265.52</v>
      </c>
      <c r="Y389" s="161">
        <f t="shared" si="39"/>
        <v>0</v>
      </c>
      <c r="Z389" s="161">
        <v>0</v>
      </c>
      <c r="AA389" s="161">
        <f t="shared" si="40"/>
        <v>0</v>
      </c>
      <c r="AB389" s="161">
        <f t="shared" si="41"/>
        <v>1250</v>
      </c>
      <c r="AC389" s="158"/>
      <c r="AD389" s="158"/>
    </row>
    <row r="390" spans="1:30" ht="12.75" customHeight="1" x14ac:dyDescent="0.3">
      <c r="A390" s="147">
        <v>23</v>
      </c>
      <c r="B390" s="158" t="s">
        <v>913</v>
      </c>
      <c r="C390" s="158" t="s">
        <v>863</v>
      </c>
      <c r="D390" s="158" t="s">
        <v>864</v>
      </c>
      <c r="E390" s="160" t="s">
        <v>25</v>
      </c>
      <c r="F390" s="158" t="s">
        <v>25</v>
      </c>
      <c r="G390" s="160" t="s">
        <v>866</v>
      </c>
      <c r="H390" s="161">
        <v>3946.97</v>
      </c>
      <c r="I390" s="161">
        <v>0</v>
      </c>
      <c r="J390" s="161">
        <v>0</v>
      </c>
      <c r="K390" s="161">
        <v>0</v>
      </c>
      <c r="L390" s="161">
        <v>-2456.67</v>
      </c>
      <c r="M390" s="161">
        <v>-32</v>
      </c>
      <c r="N390" s="161">
        <v>0</v>
      </c>
      <c r="O390" s="162">
        <f t="shared" si="36"/>
        <v>1458.2999999999997</v>
      </c>
      <c r="P390" s="161">
        <v>-2500</v>
      </c>
      <c r="Q390" s="161">
        <v>0</v>
      </c>
      <c r="R390" s="161">
        <v>-500</v>
      </c>
      <c r="S390" s="161">
        <v>0</v>
      </c>
      <c r="T390" s="161">
        <v>0</v>
      </c>
      <c r="U390" s="161">
        <v>0</v>
      </c>
      <c r="V390" s="161">
        <v>0</v>
      </c>
      <c r="W390" s="161">
        <f t="shared" si="37"/>
        <v>-1541.7000000000003</v>
      </c>
      <c r="X390" s="161">
        <f t="shared" si="38"/>
        <v>0</v>
      </c>
      <c r="Y390" s="161">
        <f t="shared" si="39"/>
        <v>-1541.7000000000003</v>
      </c>
      <c r="Z390" s="161">
        <v>1542</v>
      </c>
      <c r="AA390" s="161">
        <f t="shared" si="40"/>
        <v>0.29999999999972715</v>
      </c>
      <c r="AB390" s="161">
        <f t="shared" si="41"/>
        <v>3000.5999999999995</v>
      </c>
      <c r="AC390" s="158" t="s">
        <v>966</v>
      </c>
      <c r="AD390" s="158"/>
    </row>
    <row r="391" spans="1:30" ht="12.75" customHeight="1" x14ac:dyDescent="0.3">
      <c r="A391" s="147">
        <v>23</v>
      </c>
      <c r="B391" s="158" t="s">
        <v>929</v>
      </c>
      <c r="C391" s="158" t="s">
        <v>169</v>
      </c>
      <c r="D391" s="158" t="s">
        <v>967</v>
      </c>
      <c r="E391" s="160" t="s">
        <v>871</v>
      </c>
      <c r="F391" s="158" t="s">
        <v>39</v>
      </c>
      <c r="G391" s="160" t="s">
        <v>866</v>
      </c>
      <c r="H391" s="161">
        <v>4581.7899999999991</v>
      </c>
      <c r="I391" s="161">
        <v>0</v>
      </c>
      <c r="J391" s="161">
        <v>0</v>
      </c>
      <c r="K391" s="161">
        <v>0</v>
      </c>
      <c r="L391" s="161">
        <v>-1634.0500000000004</v>
      </c>
      <c r="M391" s="162">
        <v>-34</v>
      </c>
      <c r="N391" s="161">
        <v>-47.48</v>
      </c>
      <c r="O391" s="162">
        <f t="shared" si="36"/>
        <v>2866.2599999999989</v>
      </c>
      <c r="P391" s="162">
        <v>-2500</v>
      </c>
      <c r="Q391" s="161">
        <v>-2738</v>
      </c>
      <c r="R391" s="162">
        <v>3000</v>
      </c>
      <c r="S391" s="162">
        <v>0</v>
      </c>
      <c r="T391" s="162">
        <v>-500</v>
      </c>
      <c r="U391" s="161">
        <v>0</v>
      </c>
      <c r="V391" s="161">
        <v>0</v>
      </c>
      <c r="W391" s="161">
        <f t="shared" si="37"/>
        <v>128.25999999999885</v>
      </c>
      <c r="X391" s="161">
        <f t="shared" si="38"/>
        <v>128.25999999999885</v>
      </c>
      <c r="Y391" s="161">
        <f t="shared" si="39"/>
        <v>0</v>
      </c>
      <c r="Z391" s="161">
        <v>0</v>
      </c>
      <c r="AA391" s="161">
        <f t="shared" si="40"/>
        <v>0</v>
      </c>
      <c r="AB391" s="161">
        <f t="shared" si="41"/>
        <v>2738</v>
      </c>
      <c r="AC391" s="158" t="s">
        <v>968</v>
      </c>
      <c r="AD391" s="158"/>
    </row>
    <row r="392" spans="1:30" ht="12.75" customHeight="1" x14ac:dyDescent="0.3">
      <c r="A392" s="147">
        <v>23</v>
      </c>
      <c r="B392" s="158" t="s">
        <v>457</v>
      </c>
      <c r="C392" s="158" t="s">
        <v>183</v>
      </c>
      <c r="D392" s="158" t="s">
        <v>887</v>
      </c>
      <c r="E392" s="160" t="s">
        <v>25</v>
      </c>
      <c r="F392" s="158" t="s">
        <v>25</v>
      </c>
      <c r="G392" s="160" t="s">
        <v>866</v>
      </c>
      <c r="H392" s="161">
        <v>3419.56</v>
      </c>
      <c r="I392" s="161">
        <v>-8</v>
      </c>
      <c r="J392" s="161">
        <v>0</v>
      </c>
      <c r="K392" s="161">
        <v>0</v>
      </c>
      <c r="L392" s="161">
        <v>-2010.03</v>
      </c>
      <c r="M392" s="161">
        <v>-32</v>
      </c>
      <c r="N392" s="161">
        <v>0</v>
      </c>
      <c r="O392" s="162">
        <f t="shared" si="36"/>
        <v>1369.53</v>
      </c>
      <c r="P392" s="161">
        <v>-2500</v>
      </c>
      <c r="Q392" s="161">
        <v>-546</v>
      </c>
      <c r="R392" s="161">
        <v>-500</v>
      </c>
      <c r="S392" s="161">
        <v>0</v>
      </c>
      <c r="T392" s="161">
        <v>0</v>
      </c>
      <c r="U392" s="161">
        <v>0</v>
      </c>
      <c r="V392" s="161">
        <v>0</v>
      </c>
      <c r="W392" s="161">
        <f t="shared" si="37"/>
        <v>-2176.4700000000003</v>
      </c>
      <c r="X392" s="161">
        <f t="shared" si="38"/>
        <v>0</v>
      </c>
      <c r="Y392" s="161">
        <f t="shared" si="39"/>
        <v>-2176.4700000000003</v>
      </c>
      <c r="Z392" s="161">
        <v>1400</v>
      </c>
      <c r="AA392" s="161">
        <f t="shared" si="40"/>
        <v>-776.47000000000025</v>
      </c>
      <c r="AB392" s="161">
        <f t="shared" si="41"/>
        <v>1993.0599999999995</v>
      </c>
      <c r="AC392" s="158" t="s">
        <v>965</v>
      </c>
      <c r="AD392" s="158"/>
    </row>
    <row r="393" spans="1:30" ht="12.75" customHeight="1" x14ac:dyDescent="0.3">
      <c r="A393" s="147">
        <v>23</v>
      </c>
      <c r="B393" s="158" t="s">
        <v>890</v>
      </c>
      <c r="C393" s="158" t="s">
        <v>42</v>
      </c>
      <c r="D393" s="158" t="s">
        <v>948</v>
      </c>
      <c r="E393" s="160" t="s">
        <v>25</v>
      </c>
      <c r="F393" s="158" t="s">
        <v>25</v>
      </c>
      <c r="G393" s="160" t="s">
        <v>866</v>
      </c>
      <c r="H393" s="161">
        <v>4393.32</v>
      </c>
      <c r="I393" s="161">
        <v>-4.8899999999999997</v>
      </c>
      <c r="J393" s="161">
        <v>0</v>
      </c>
      <c r="K393" s="161">
        <v>0</v>
      </c>
      <c r="L393" s="161">
        <v>-1327.86</v>
      </c>
      <c r="M393" s="161">
        <v>-28</v>
      </c>
      <c r="N393" s="161">
        <v>0</v>
      </c>
      <c r="O393" s="162">
        <f t="shared" si="36"/>
        <v>3032.5699999999997</v>
      </c>
      <c r="P393" s="161">
        <v>0</v>
      </c>
      <c r="Q393" s="161">
        <v>0</v>
      </c>
      <c r="R393" s="161">
        <v>0</v>
      </c>
      <c r="S393" s="161">
        <v>0</v>
      </c>
      <c r="T393" s="161">
        <v>0</v>
      </c>
      <c r="U393" s="161">
        <v>0</v>
      </c>
      <c r="V393" s="161">
        <v>0</v>
      </c>
      <c r="W393" s="161">
        <f t="shared" si="37"/>
        <v>3032.5699999999997</v>
      </c>
      <c r="X393" s="161">
        <f t="shared" si="38"/>
        <v>3032.5699999999997</v>
      </c>
      <c r="Y393" s="161">
        <f t="shared" si="39"/>
        <v>0</v>
      </c>
      <c r="Z393" s="161">
        <v>0</v>
      </c>
      <c r="AA393" s="161">
        <f t="shared" si="40"/>
        <v>0</v>
      </c>
      <c r="AB393" s="161">
        <f t="shared" si="41"/>
        <v>0</v>
      </c>
      <c r="AC393" s="158"/>
      <c r="AD393" s="158"/>
    </row>
    <row r="394" spans="1:30" ht="12.75" customHeight="1" x14ac:dyDescent="0.3">
      <c r="A394" s="147">
        <v>23</v>
      </c>
      <c r="B394" s="158" t="s">
        <v>872</v>
      </c>
      <c r="C394" s="158" t="s">
        <v>36</v>
      </c>
      <c r="D394" s="158" t="s">
        <v>904</v>
      </c>
      <c r="E394" s="160" t="s">
        <v>25</v>
      </c>
      <c r="F394" s="158" t="s">
        <v>25</v>
      </c>
      <c r="G394" s="160" t="s">
        <v>866</v>
      </c>
      <c r="H394" s="161">
        <v>8338.65</v>
      </c>
      <c r="I394" s="161">
        <v>-88.8</v>
      </c>
      <c r="J394" s="161">
        <v>0</v>
      </c>
      <c r="K394" s="161">
        <v>-78.069999999999993</v>
      </c>
      <c r="L394" s="161">
        <v>-2203.7600000000002</v>
      </c>
      <c r="M394" s="161">
        <v>-28</v>
      </c>
      <c r="N394" s="161">
        <v>-59</v>
      </c>
      <c r="O394" s="162">
        <f t="shared" si="36"/>
        <v>5881.02</v>
      </c>
      <c r="P394" s="161">
        <v>-2142</v>
      </c>
      <c r="Q394" s="161">
        <v>-1100</v>
      </c>
      <c r="R394" s="161">
        <v>0</v>
      </c>
      <c r="S394" s="161">
        <v>-780</v>
      </c>
      <c r="T394" s="161">
        <v>0</v>
      </c>
      <c r="U394" s="161">
        <v>0</v>
      </c>
      <c r="V394" s="161">
        <v>0</v>
      </c>
      <c r="W394" s="161">
        <f t="shared" si="37"/>
        <v>1859.0200000000004</v>
      </c>
      <c r="X394" s="161">
        <f t="shared" si="38"/>
        <v>1859.0200000000004</v>
      </c>
      <c r="Y394" s="161">
        <f t="shared" si="39"/>
        <v>0</v>
      </c>
      <c r="Z394" s="161">
        <v>0</v>
      </c>
      <c r="AA394" s="161">
        <f t="shared" si="40"/>
        <v>0</v>
      </c>
      <c r="AB394" s="161">
        <f t="shared" si="41"/>
        <v>4022</v>
      </c>
      <c r="AC394" s="158"/>
      <c r="AD394" s="158"/>
    </row>
    <row r="395" spans="1:30" ht="12.75" customHeight="1" x14ac:dyDescent="0.3">
      <c r="A395" s="147">
        <v>23</v>
      </c>
      <c r="B395" s="158" t="s">
        <v>872</v>
      </c>
      <c r="C395" s="158" t="s">
        <v>256</v>
      </c>
      <c r="D395" s="158" t="s">
        <v>912</v>
      </c>
      <c r="E395" s="160" t="s">
        <v>871</v>
      </c>
      <c r="F395" s="158" t="s">
        <v>39</v>
      </c>
      <c r="G395" s="160" t="s">
        <v>866</v>
      </c>
      <c r="H395" s="161">
        <v>2095.8000000000002</v>
      </c>
      <c r="I395" s="161">
        <v>-111.19999999999999</v>
      </c>
      <c r="J395" s="161">
        <v>0</v>
      </c>
      <c r="K395" s="161">
        <v>-17.270000000000003</v>
      </c>
      <c r="L395" s="161">
        <v>-625.57999999999993</v>
      </c>
      <c r="M395" s="162">
        <v>0</v>
      </c>
      <c r="N395" s="161">
        <v>0</v>
      </c>
      <c r="O395" s="162">
        <f t="shared" si="36"/>
        <v>1341.7500000000002</v>
      </c>
      <c r="P395" s="162">
        <v>-358</v>
      </c>
      <c r="Q395" s="162">
        <v>0</v>
      </c>
      <c r="R395" s="162">
        <v>0</v>
      </c>
      <c r="S395" s="162">
        <v>0</v>
      </c>
      <c r="T395" s="162">
        <v>0</v>
      </c>
      <c r="U395" s="161">
        <v>0</v>
      </c>
      <c r="V395" s="161">
        <v>0</v>
      </c>
      <c r="W395" s="161">
        <f t="shared" si="37"/>
        <v>983.75000000000023</v>
      </c>
      <c r="X395" s="161">
        <f t="shared" si="38"/>
        <v>983.75000000000023</v>
      </c>
      <c r="Y395" s="161">
        <f t="shared" si="39"/>
        <v>0</v>
      </c>
      <c r="Z395" s="161">
        <v>0</v>
      </c>
      <c r="AA395" s="161">
        <f t="shared" si="40"/>
        <v>0</v>
      </c>
      <c r="AB395" s="161">
        <f t="shared" si="41"/>
        <v>358</v>
      </c>
      <c r="AC395" s="158"/>
      <c r="AD395" s="158"/>
    </row>
    <row r="396" spans="1:30" ht="12.75" customHeight="1" x14ac:dyDescent="0.3">
      <c r="A396" s="147">
        <v>23</v>
      </c>
      <c r="B396" s="158" t="s">
        <v>921</v>
      </c>
      <c r="C396" s="158" t="s">
        <v>257</v>
      </c>
      <c r="D396" s="158" t="s">
        <v>943</v>
      </c>
      <c r="E396" s="160" t="s">
        <v>25</v>
      </c>
      <c r="F396" s="158" t="s">
        <v>25</v>
      </c>
      <c r="G396" s="160" t="s">
        <v>866</v>
      </c>
      <c r="H396" s="161">
        <v>9948.7199999999993</v>
      </c>
      <c r="I396" s="161">
        <v>-235.2</v>
      </c>
      <c r="J396" s="161">
        <v>0</v>
      </c>
      <c r="K396" s="161">
        <v>0</v>
      </c>
      <c r="L396" s="161">
        <v>-5000.49</v>
      </c>
      <c r="M396" s="161">
        <v>-34.47</v>
      </c>
      <c r="N396" s="161">
        <v>-240</v>
      </c>
      <c r="O396" s="162">
        <f t="shared" si="36"/>
        <v>4438.5599999999986</v>
      </c>
      <c r="P396" s="161">
        <v>-2500</v>
      </c>
      <c r="Q396" s="161">
        <v>0</v>
      </c>
      <c r="R396" s="161">
        <v>0</v>
      </c>
      <c r="S396" s="161">
        <v>0</v>
      </c>
      <c r="T396" s="161">
        <v>0</v>
      </c>
      <c r="U396" s="161">
        <v>0</v>
      </c>
      <c r="V396" s="161">
        <v>0</v>
      </c>
      <c r="W396" s="161">
        <f t="shared" si="37"/>
        <v>1938.5599999999986</v>
      </c>
      <c r="X396" s="161">
        <f t="shared" si="38"/>
        <v>1938.5599999999986</v>
      </c>
      <c r="Y396" s="161">
        <f t="shared" si="39"/>
        <v>0</v>
      </c>
      <c r="Z396" s="161">
        <v>0</v>
      </c>
      <c r="AA396" s="161">
        <f t="shared" si="40"/>
        <v>0</v>
      </c>
      <c r="AB396" s="161">
        <f t="shared" si="41"/>
        <v>2500</v>
      </c>
      <c r="AC396" s="158" t="s">
        <v>969</v>
      </c>
      <c r="AD396" s="158"/>
    </row>
    <row r="397" spans="1:30" ht="12.75" customHeight="1" x14ac:dyDescent="0.3">
      <c r="A397" s="147">
        <v>23</v>
      </c>
      <c r="B397" s="158" t="s">
        <v>874</v>
      </c>
      <c r="C397" s="158" t="s">
        <v>195</v>
      </c>
      <c r="D397" s="158" t="s">
        <v>964</v>
      </c>
      <c r="E397" s="160" t="s">
        <v>871</v>
      </c>
      <c r="F397" s="158" t="s">
        <v>39</v>
      </c>
      <c r="G397" s="160" t="s">
        <v>866</v>
      </c>
      <c r="H397" s="161">
        <v>0</v>
      </c>
      <c r="I397" s="161">
        <v>0</v>
      </c>
      <c r="J397" s="161">
        <v>0</v>
      </c>
      <c r="K397" s="161">
        <v>0</v>
      </c>
      <c r="L397" s="161">
        <v>0</v>
      </c>
      <c r="M397" s="161">
        <v>0</v>
      </c>
      <c r="N397" s="161">
        <v>0</v>
      </c>
      <c r="O397" s="162">
        <f t="shared" si="36"/>
        <v>0</v>
      </c>
      <c r="P397" s="161">
        <v>-2500</v>
      </c>
      <c r="Q397" s="161">
        <v>0</v>
      </c>
      <c r="R397" s="161">
        <v>0</v>
      </c>
      <c r="S397" s="161">
        <v>0</v>
      </c>
      <c r="T397" s="161">
        <v>0</v>
      </c>
      <c r="U397" s="161">
        <v>0</v>
      </c>
      <c r="V397" s="161">
        <v>0</v>
      </c>
      <c r="W397" s="161">
        <f t="shared" si="37"/>
        <v>-2500</v>
      </c>
      <c r="X397" s="161">
        <f t="shared" si="38"/>
        <v>0</v>
      </c>
      <c r="Y397" s="161">
        <f t="shared" si="39"/>
        <v>-2500</v>
      </c>
      <c r="Z397" s="161">
        <v>2500</v>
      </c>
      <c r="AA397" s="161">
        <f t="shared" si="40"/>
        <v>0</v>
      </c>
      <c r="AB397" s="161">
        <f t="shared" si="41"/>
        <v>2500</v>
      </c>
      <c r="AC397" s="158" t="s">
        <v>927</v>
      </c>
      <c r="AD397" s="158"/>
    </row>
    <row r="398" spans="1:30" ht="12.75" customHeight="1" x14ac:dyDescent="0.3">
      <c r="A398" s="147">
        <v>23</v>
      </c>
      <c r="B398" s="158" t="s">
        <v>918</v>
      </c>
      <c r="C398" s="158" t="s">
        <v>120</v>
      </c>
      <c r="D398" s="158" t="s">
        <v>950</v>
      </c>
      <c r="E398" s="158" t="s">
        <v>25</v>
      </c>
      <c r="F398" s="158" t="s">
        <v>25</v>
      </c>
      <c r="G398" s="160" t="s">
        <v>866</v>
      </c>
      <c r="H398" s="161">
        <v>8219.51</v>
      </c>
      <c r="I398" s="161">
        <v>0</v>
      </c>
      <c r="J398" s="161">
        <v>0</v>
      </c>
      <c r="K398" s="161">
        <v>0</v>
      </c>
      <c r="L398" s="161">
        <v>-2745.73</v>
      </c>
      <c r="M398" s="161">
        <v>-25</v>
      </c>
      <c r="N398" s="180">
        <v>-61</v>
      </c>
      <c r="O398" s="162">
        <f t="shared" si="36"/>
        <v>5387.7800000000007</v>
      </c>
      <c r="P398" s="161">
        <v>-2500</v>
      </c>
      <c r="Q398" s="161">
        <v>0</v>
      </c>
      <c r="R398" s="161">
        <v>0</v>
      </c>
      <c r="S398" s="161">
        <v>0</v>
      </c>
      <c r="T398" s="161">
        <v>0</v>
      </c>
      <c r="U398" s="161">
        <v>0</v>
      </c>
      <c r="V398" s="161">
        <v>0</v>
      </c>
      <c r="W398" s="161">
        <f t="shared" si="37"/>
        <v>2887.7800000000007</v>
      </c>
      <c r="X398" s="161">
        <f t="shared" si="38"/>
        <v>2887.7800000000007</v>
      </c>
      <c r="Y398" s="161">
        <f t="shared" si="39"/>
        <v>0</v>
      </c>
      <c r="Z398" s="161">
        <v>0</v>
      </c>
      <c r="AA398" s="161">
        <f t="shared" si="40"/>
        <v>0</v>
      </c>
      <c r="AB398" s="161">
        <f t="shared" si="41"/>
        <v>2500</v>
      </c>
      <c r="AC398" s="158"/>
      <c r="AD398" s="158"/>
    </row>
    <row r="399" spans="1:30" ht="12.75" customHeight="1" x14ac:dyDescent="0.3">
      <c r="A399" s="147">
        <v>23</v>
      </c>
      <c r="B399" s="158" t="s">
        <v>955</v>
      </c>
      <c r="C399" s="158" t="s">
        <v>59</v>
      </c>
      <c r="D399" s="158" t="s">
        <v>895</v>
      </c>
      <c r="E399" s="177" t="s">
        <v>25</v>
      </c>
      <c r="F399" s="179" t="s">
        <v>25</v>
      </c>
      <c r="G399" s="160" t="s">
        <v>866</v>
      </c>
      <c r="H399" s="161">
        <v>2375.36</v>
      </c>
      <c r="I399" s="161">
        <v>0</v>
      </c>
      <c r="J399" s="161">
        <v>0</v>
      </c>
      <c r="K399" s="161">
        <v>0</v>
      </c>
      <c r="L399" s="161">
        <v>-1171.76</v>
      </c>
      <c r="M399" s="161">
        <v>-34</v>
      </c>
      <c r="N399" s="161">
        <v>-60</v>
      </c>
      <c r="O399" s="162">
        <f t="shared" si="36"/>
        <v>1109.6000000000001</v>
      </c>
      <c r="P399" s="161">
        <v>-1785</v>
      </c>
      <c r="Q399" s="161">
        <v>-2311</v>
      </c>
      <c r="R399" s="161">
        <v>-500</v>
      </c>
      <c r="S399" s="161">
        <v>0</v>
      </c>
      <c r="T399" s="161">
        <v>-500</v>
      </c>
      <c r="U399" s="161">
        <v>0</v>
      </c>
      <c r="V399" s="161">
        <v>0</v>
      </c>
      <c r="W399" s="161">
        <f t="shared" si="37"/>
        <v>-3986.3999999999996</v>
      </c>
      <c r="X399" s="161">
        <f t="shared" si="38"/>
        <v>0</v>
      </c>
      <c r="Y399" s="161">
        <f t="shared" si="39"/>
        <v>-3986.3999999999996</v>
      </c>
      <c r="Z399" s="161">
        <v>4815</v>
      </c>
      <c r="AA399" s="161">
        <f t="shared" si="40"/>
        <v>828.60000000000036</v>
      </c>
      <c r="AB399" s="161">
        <f t="shared" si="41"/>
        <v>6753.2000000000007</v>
      </c>
      <c r="AC399" s="158" t="s">
        <v>970</v>
      </c>
      <c r="AD399" s="158"/>
    </row>
    <row r="400" spans="1:30" ht="12.75" customHeight="1" x14ac:dyDescent="0.3">
      <c r="A400" s="147">
        <v>23</v>
      </c>
      <c r="B400" s="158" t="s">
        <v>955</v>
      </c>
      <c r="C400" s="158" t="s">
        <v>372</v>
      </c>
      <c r="D400" s="158" t="s">
        <v>20</v>
      </c>
      <c r="E400" s="179" t="s">
        <v>39</v>
      </c>
      <c r="F400" s="179" t="s">
        <v>39</v>
      </c>
      <c r="G400" s="160" t="s">
        <v>866</v>
      </c>
      <c r="H400" s="161">
        <v>1529.6499999999996</v>
      </c>
      <c r="I400" s="161">
        <v>0</v>
      </c>
      <c r="J400" s="161">
        <v>0</v>
      </c>
      <c r="K400" s="161">
        <v>0</v>
      </c>
      <c r="L400" s="161">
        <v>0</v>
      </c>
      <c r="M400" s="162">
        <v>0</v>
      </c>
      <c r="N400" s="161">
        <v>0</v>
      </c>
      <c r="O400" s="162">
        <f t="shared" si="36"/>
        <v>1529.6499999999996</v>
      </c>
      <c r="P400" s="162">
        <v>-715</v>
      </c>
      <c r="Q400" s="162">
        <v>0</v>
      </c>
      <c r="R400" s="162">
        <v>0</v>
      </c>
      <c r="S400" s="162">
        <v>0</v>
      </c>
      <c r="T400" s="162">
        <v>0</v>
      </c>
      <c r="U400" s="161">
        <v>0</v>
      </c>
      <c r="V400" s="161">
        <v>0</v>
      </c>
      <c r="W400" s="161">
        <f t="shared" si="37"/>
        <v>814.64999999999964</v>
      </c>
      <c r="X400" s="161">
        <f t="shared" si="38"/>
        <v>814.64999999999964</v>
      </c>
      <c r="Y400" s="161">
        <f t="shared" si="39"/>
        <v>0</v>
      </c>
      <c r="Z400" s="161">
        <v>0</v>
      </c>
      <c r="AA400" s="161">
        <f t="shared" si="40"/>
        <v>0</v>
      </c>
      <c r="AB400" s="161">
        <f t="shared" si="41"/>
        <v>715</v>
      </c>
      <c r="AC400" s="158"/>
      <c r="AD400" s="158"/>
    </row>
    <row r="401" spans="1:30" ht="12.75" customHeight="1" x14ac:dyDescent="0.3">
      <c r="A401" s="147">
        <v>23</v>
      </c>
      <c r="B401" s="158" t="s">
        <v>876</v>
      </c>
      <c r="C401" s="158" t="s">
        <v>150</v>
      </c>
      <c r="D401" s="160" t="s">
        <v>877</v>
      </c>
      <c r="E401" s="160" t="s">
        <v>25</v>
      </c>
      <c r="F401" s="158" t="s">
        <v>25</v>
      </c>
      <c r="G401" s="160" t="s">
        <v>866</v>
      </c>
      <c r="H401" s="161">
        <v>3123.55</v>
      </c>
      <c r="I401" s="161">
        <v>0</v>
      </c>
      <c r="J401" s="161">
        <v>0</v>
      </c>
      <c r="K401" s="161">
        <v>0</v>
      </c>
      <c r="L401" s="161">
        <v>0</v>
      </c>
      <c r="M401" s="161">
        <v>-35</v>
      </c>
      <c r="N401" s="161">
        <v>0</v>
      </c>
      <c r="O401" s="162">
        <f t="shared" si="36"/>
        <v>3088.55</v>
      </c>
      <c r="P401" s="161">
        <v>-2500</v>
      </c>
      <c r="Q401" s="161">
        <v>-607</v>
      </c>
      <c r="R401" s="161">
        <v>0</v>
      </c>
      <c r="S401" s="161">
        <v>0</v>
      </c>
      <c r="T401" s="161">
        <v>0</v>
      </c>
      <c r="U401" s="161">
        <v>0</v>
      </c>
      <c r="V401" s="161">
        <v>0</v>
      </c>
      <c r="W401" s="161">
        <f t="shared" si="37"/>
        <v>-18.449999999999818</v>
      </c>
      <c r="X401" s="161">
        <f t="shared" si="38"/>
        <v>0</v>
      </c>
      <c r="Y401" s="161">
        <f t="shared" si="39"/>
        <v>-18.449999999999818</v>
      </c>
      <c r="Z401" s="161">
        <v>0</v>
      </c>
      <c r="AA401" s="161">
        <f t="shared" si="40"/>
        <v>-18.449999999999818</v>
      </c>
      <c r="AB401" s="161">
        <f t="shared" si="41"/>
        <v>3070.1000000000004</v>
      </c>
      <c r="AC401" s="158"/>
      <c r="AD401" s="158"/>
    </row>
    <row r="402" spans="1:30" ht="12.75" customHeight="1" x14ac:dyDescent="0.3">
      <c r="A402" s="147">
        <v>23</v>
      </c>
      <c r="B402" s="158" t="s">
        <v>484</v>
      </c>
      <c r="C402" s="158" t="s">
        <v>426</v>
      </c>
      <c r="D402" s="158" t="s">
        <v>903</v>
      </c>
      <c r="E402" s="160" t="s">
        <v>25</v>
      </c>
      <c r="F402" s="158" t="s">
        <v>25</v>
      </c>
      <c r="G402" s="160" t="s">
        <v>866</v>
      </c>
      <c r="H402" s="161">
        <v>10090.799999999999</v>
      </c>
      <c r="I402" s="161">
        <v>-422.4</v>
      </c>
      <c r="J402" s="161">
        <v>0</v>
      </c>
      <c r="K402" s="161">
        <v>0</v>
      </c>
      <c r="L402" s="161">
        <v>-3425.83</v>
      </c>
      <c r="M402" s="161">
        <v>-28</v>
      </c>
      <c r="N402" s="161">
        <v>0</v>
      </c>
      <c r="O402" s="162">
        <f t="shared" si="36"/>
        <v>6214.57</v>
      </c>
      <c r="P402" s="161">
        <v>-2500</v>
      </c>
      <c r="Q402" s="161">
        <v>0</v>
      </c>
      <c r="R402" s="161">
        <v>0</v>
      </c>
      <c r="S402" s="161">
        <v>0</v>
      </c>
      <c r="T402" s="161">
        <v>0</v>
      </c>
      <c r="U402" s="161">
        <v>0</v>
      </c>
      <c r="V402" s="161">
        <v>0</v>
      </c>
      <c r="W402" s="161">
        <f t="shared" si="37"/>
        <v>3714.5699999999997</v>
      </c>
      <c r="X402" s="161">
        <f t="shared" si="38"/>
        <v>3714.5699999999997</v>
      </c>
      <c r="Y402" s="161">
        <f t="shared" si="39"/>
        <v>0</v>
      </c>
      <c r="Z402" s="161">
        <v>0</v>
      </c>
      <c r="AA402" s="161">
        <f t="shared" si="40"/>
        <v>0</v>
      </c>
      <c r="AB402" s="161">
        <f t="shared" si="41"/>
        <v>2500</v>
      </c>
      <c r="AC402" s="158" t="s">
        <v>971</v>
      </c>
      <c r="AD402" s="158"/>
    </row>
    <row r="403" spans="1:30" ht="12.75" customHeight="1" x14ac:dyDescent="0.3">
      <c r="A403" s="147">
        <v>23</v>
      </c>
      <c r="B403" s="158" t="s">
        <v>408</v>
      </c>
      <c r="C403" s="158" t="s">
        <v>878</v>
      </c>
      <c r="D403" s="158" t="s">
        <v>972</v>
      </c>
      <c r="E403" s="160" t="s">
        <v>25</v>
      </c>
      <c r="F403" s="158" t="s">
        <v>39</v>
      </c>
      <c r="G403" s="160" t="s">
        <v>866</v>
      </c>
      <c r="H403" s="161">
        <v>2419.1</v>
      </c>
      <c r="I403" s="161">
        <v>0</v>
      </c>
      <c r="J403" s="161">
        <v>0</v>
      </c>
      <c r="K403" s="161">
        <v>0</v>
      </c>
      <c r="L403" s="161">
        <v>-203.46</v>
      </c>
      <c r="M403" s="162">
        <v>-38</v>
      </c>
      <c r="N403" s="161">
        <v>-113</v>
      </c>
      <c r="O403" s="162">
        <f t="shared" si="36"/>
        <v>2064.64</v>
      </c>
      <c r="P403" s="162">
        <v>-2500</v>
      </c>
      <c r="Q403" s="162">
        <v>-1633</v>
      </c>
      <c r="R403" s="162">
        <v>0</v>
      </c>
      <c r="S403" s="162">
        <v>0</v>
      </c>
      <c r="T403" s="162">
        <v>0</v>
      </c>
      <c r="U403" s="161">
        <v>0</v>
      </c>
      <c r="V403" s="161">
        <v>0</v>
      </c>
      <c r="W403" s="161">
        <f t="shared" si="37"/>
        <v>-2068.36</v>
      </c>
      <c r="X403" s="161">
        <f t="shared" si="38"/>
        <v>0</v>
      </c>
      <c r="Y403" s="161">
        <f t="shared" si="39"/>
        <v>-2068.36</v>
      </c>
      <c r="Z403" s="161">
        <v>2100</v>
      </c>
      <c r="AA403" s="161">
        <f t="shared" si="40"/>
        <v>31.639999999999873</v>
      </c>
      <c r="AB403" s="161">
        <f t="shared" si="41"/>
        <v>4196.2799999999988</v>
      </c>
      <c r="AC403" s="158" t="s">
        <v>927</v>
      </c>
      <c r="AD403" s="158"/>
    </row>
    <row r="404" spans="1:30" ht="12.75" customHeight="1" x14ac:dyDescent="0.3">
      <c r="A404" s="147">
        <v>23</v>
      </c>
      <c r="B404" s="158" t="s">
        <v>962</v>
      </c>
      <c r="C404" s="160" t="s">
        <v>123</v>
      </c>
      <c r="D404" s="158" t="s">
        <v>20</v>
      </c>
      <c r="E404" s="160" t="s">
        <v>871</v>
      </c>
      <c r="F404" s="158" t="s">
        <v>39</v>
      </c>
      <c r="G404" s="160" t="s">
        <v>866</v>
      </c>
      <c r="H404" s="161">
        <v>1624</v>
      </c>
      <c r="I404" s="161">
        <v>-1.9</v>
      </c>
      <c r="J404" s="161">
        <v>0</v>
      </c>
      <c r="K404" s="161">
        <v>0</v>
      </c>
      <c r="L404" s="161">
        <v>-372.4</v>
      </c>
      <c r="M404" s="162">
        <v>-30</v>
      </c>
      <c r="N404" s="161">
        <v>0</v>
      </c>
      <c r="O404" s="162">
        <f t="shared" si="36"/>
        <v>1219.6999999999998</v>
      </c>
      <c r="P404" s="162">
        <v>-1611</v>
      </c>
      <c r="Q404" s="162">
        <v>13</v>
      </c>
      <c r="R404" s="162">
        <v>-500</v>
      </c>
      <c r="S404" s="162">
        <v>0</v>
      </c>
      <c r="T404" s="162">
        <v>0</v>
      </c>
      <c r="U404" s="161">
        <v>0</v>
      </c>
      <c r="V404" s="161">
        <v>0</v>
      </c>
      <c r="W404" s="161">
        <f t="shared" si="37"/>
        <v>-878.30000000000018</v>
      </c>
      <c r="X404" s="161">
        <f t="shared" si="38"/>
        <v>0</v>
      </c>
      <c r="Y404" s="161">
        <f t="shared" si="39"/>
        <v>-878.30000000000018</v>
      </c>
      <c r="Z404" s="161">
        <v>0</v>
      </c>
      <c r="AA404" s="161">
        <f t="shared" si="40"/>
        <v>-878.30000000000018</v>
      </c>
      <c r="AB404" s="161">
        <f t="shared" si="41"/>
        <v>341.39999999999964</v>
      </c>
      <c r="AC404" s="158"/>
      <c r="AD404" s="158"/>
    </row>
    <row r="405" spans="1:30" ht="12.75" customHeight="1" x14ac:dyDescent="0.3">
      <c r="A405" s="147">
        <v>23</v>
      </c>
      <c r="B405" s="158" t="s">
        <v>923</v>
      </c>
      <c r="C405" s="158" t="s">
        <v>46</v>
      </c>
      <c r="D405" s="158" t="s">
        <v>915</v>
      </c>
      <c r="E405" s="160" t="s">
        <v>25</v>
      </c>
      <c r="F405" s="158" t="s">
        <v>25</v>
      </c>
      <c r="G405" s="160" t="s">
        <v>866</v>
      </c>
      <c r="H405" s="161">
        <v>960.38</v>
      </c>
      <c r="I405" s="161">
        <v>0</v>
      </c>
      <c r="J405" s="161">
        <v>0</v>
      </c>
      <c r="K405" s="161">
        <v>0</v>
      </c>
      <c r="L405" s="161">
        <v>-549.89</v>
      </c>
      <c r="M405" s="161">
        <v>-28</v>
      </c>
      <c r="N405" s="161">
        <v>-566.59</v>
      </c>
      <c r="O405" s="162">
        <f t="shared" si="36"/>
        <v>-184.10000000000002</v>
      </c>
      <c r="P405" s="161">
        <v>-2500</v>
      </c>
      <c r="Q405" s="161">
        <v>-1348</v>
      </c>
      <c r="R405" s="161">
        <v>0</v>
      </c>
      <c r="S405" s="161">
        <v>0</v>
      </c>
      <c r="T405" s="161">
        <v>0</v>
      </c>
      <c r="U405" s="161">
        <v>0</v>
      </c>
      <c r="V405" s="161">
        <v>0</v>
      </c>
      <c r="W405" s="161">
        <f t="shared" si="37"/>
        <v>-4032.1</v>
      </c>
      <c r="X405" s="161">
        <f t="shared" si="38"/>
        <v>0</v>
      </c>
      <c r="Y405" s="161">
        <f t="shared" si="39"/>
        <v>-4032.1</v>
      </c>
      <c r="Z405" s="161">
        <v>2500</v>
      </c>
      <c r="AA405" s="161">
        <f t="shared" si="40"/>
        <v>-1532.1</v>
      </c>
      <c r="AB405" s="161">
        <f t="shared" si="41"/>
        <v>783.80000000000018</v>
      </c>
      <c r="AC405" s="158" t="s">
        <v>965</v>
      </c>
      <c r="AD405" s="158"/>
    </row>
    <row r="406" spans="1:30" ht="12.75" customHeight="1" x14ac:dyDescent="0.3">
      <c r="A406" s="147">
        <v>23</v>
      </c>
      <c r="B406" s="158" t="s">
        <v>952</v>
      </c>
      <c r="C406" s="158" t="s">
        <v>409</v>
      </c>
      <c r="D406" s="158" t="s">
        <v>946</v>
      </c>
      <c r="E406" s="160" t="s">
        <v>25</v>
      </c>
      <c r="F406" s="158" t="s">
        <v>25</v>
      </c>
      <c r="G406" s="160" t="s">
        <v>866</v>
      </c>
      <c r="H406" s="161">
        <v>3526.77</v>
      </c>
      <c r="I406" s="161">
        <v>0</v>
      </c>
      <c r="J406" s="161">
        <v>0</v>
      </c>
      <c r="K406" s="161">
        <v>0</v>
      </c>
      <c r="L406" s="161">
        <v>-1355.62</v>
      </c>
      <c r="M406" s="161">
        <v>-30</v>
      </c>
      <c r="N406" s="161">
        <v>0</v>
      </c>
      <c r="O406" s="162">
        <f t="shared" si="36"/>
        <v>2141.15</v>
      </c>
      <c r="P406" s="161">
        <v>-2500</v>
      </c>
      <c r="Q406" s="161">
        <v>0</v>
      </c>
      <c r="R406" s="161">
        <v>-500</v>
      </c>
      <c r="S406" s="161">
        <v>0</v>
      </c>
      <c r="T406" s="161">
        <v>0</v>
      </c>
      <c r="U406" s="161">
        <v>0</v>
      </c>
      <c r="V406" s="161">
        <v>0</v>
      </c>
      <c r="W406" s="161">
        <f t="shared" si="37"/>
        <v>-858.84999999999991</v>
      </c>
      <c r="X406" s="161">
        <f t="shared" si="38"/>
        <v>0</v>
      </c>
      <c r="Y406" s="161">
        <f t="shared" si="39"/>
        <v>-858.84999999999991</v>
      </c>
      <c r="Z406" s="161">
        <v>859</v>
      </c>
      <c r="AA406" s="161">
        <f t="shared" si="40"/>
        <v>0.15000000000009095</v>
      </c>
      <c r="AB406" s="161">
        <f t="shared" si="41"/>
        <v>3000.3</v>
      </c>
      <c r="AC406" s="158" t="s">
        <v>965</v>
      </c>
      <c r="AD406" s="158"/>
    </row>
    <row r="407" spans="1:30" ht="12.75" customHeight="1" x14ac:dyDescent="0.3">
      <c r="A407" s="147">
        <v>23</v>
      </c>
      <c r="B407" s="158" t="s">
        <v>880</v>
      </c>
      <c r="C407" s="158" t="s">
        <v>57</v>
      </c>
      <c r="D407" s="158" t="s">
        <v>881</v>
      </c>
      <c r="E407" s="160" t="s">
        <v>25</v>
      </c>
      <c r="F407" s="158" t="s">
        <v>25</v>
      </c>
      <c r="G407" s="160" t="s">
        <v>866</v>
      </c>
      <c r="H407" s="161">
        <v>5316.44</v>
      </c>
      <c r="I407" s="161">
        <v>-185.76</v>
      </c>
      <c r="J407" s="161">
        <v>0</v>
      </c>
      <c r="K407" s="161">
        <v>0</v>
      </c>
      <c r="L407" s="161">
        <v>-1530.62</v>
      </c>
      <c r="M407" s="161">
        <v>-28</v>
      </c>
      <c r="N407" s="161">
        <v>0</v>
      </c>
      <c r="O407" s="162">
        <f t="shared" si="36"/>
        <v>3572.0599999999995</v>
      </c>
      <c r="P407" s="161">
        <v>-2100</v>
      </c>
      <c r="Q407" s="161">
        <v>0</v>
      </c>
      <c r="R407" s="161">
        <v>0</v>
      </c>
      <c r="S407" s="161">
        <v>0</v>
      </c>
      <c r="T407" s="161">
        <v>0</v>
      </c>
      <c r="U407" s="161">
        <v>0</v>
      </c>
      <c r="V407" s="161">
        <v>0</v>
      </c>
      <c r="W407" s="161">
        <f t="shared" si="37"/>
        <v>1472.0599999999995</v>
      </c>
      <c r="X407" s="161">
        <f t="shared" si="38"/>
        <v>1472.0599999999995</v>
      </c>
      <c r="Y407" s="161">
        <f t="shared" si="39"/>
        <v>0</v>
      </c>
      <c r="Z407" s="161">
        <v>0</v>
      </c>
      <c r="AA407" s="161">
        <f t="shared" si="40"/>
        <v>0</v>
      </c>
      <c r="AB407" s="161">
        <f t="shared" si="41"/>
        <v>2100</v>
      </c>
      <c r="AC407" s="158"/>
      <c r="AD407" s="158"/>
    </row>
    <row r="408" spans="1:30" ht="12.75" customHeight="1" x14ac:dyDescent="0.3">
      <c r="A408" s="147">
        <v>23</v>
      </c>
      <c r="B408" s="158" t="s">
        <v>922</v>
      </c>
      <c r="C408" s="158" t="s">
        <v>347</v>
      </c>
      <c r="D408" s="158" t="s">
        <v>897</v>
      </c>
      <c r="E408" s="160" t="s">
        <v>25</v>
      </c>
      <c r="F408" s="158" t="s">
        <v>25</v>
      </c>
      <c r="G408" s="160" t="s">
        <v>866</v>
      </c>
      <c r="H408" s="161">
        <v>5671.25</v>
      </c>
      <c r="I408" s="161">
        <v>0</v>
      </c>
      <c r="J408" s="161">
        <v>0</v>
      </c>
      <c r="K408" s="161">
        <v>0</v>
      </c>
      <c r="L408" s="161">
        <v>-1997.74</v>
      </c>
      <c r="M408" s="161">
        <v>-28</v>
      </c>
      <c r="N408" s="161">
        <v>-261</v>
      </c>
      <c r="O408" s="162">
        <f t="shared" si="36"/>
        <v>3384.51</v>
      </c>
      <c r="P408" s="161">
        <v>0</v>
      </c>
      <c r="Q408" s="161">
        <v>0</v>
      </c>
      <c r="R408" s="161">
        <v>0</v>
      </c>
      <c r="S408" s="161">
        <v>0</v>
      </c>
      <c r="T408" s="161">
        <v>0</v>
      </c>
      <c r="U408" s="161">
        <v>0</v>
      </c>
      <c r="V408" s="161">
        <v>0</v>
      </c>
      <c r="W408" s="161">
        <f t="shared" si="37"/>
        <v>3384.51</v>
      </c>
      <c r="X408" s="161">
        <f t="shared" si="38"/>
        <v>3384.51</v>
      </c>
      <c r="Y408" s="161">
        <f t="shared" si="39"/>
        <v>0</v>
      </c>
      <c r="Z408" s="161">
        <v>0</v>
      </c>
      <c r="AA408" s="161">
        <f t="shared" si="40"/>
        <v>0</v>
      </c>
      <c r="AB408" s="161">
        <f t="shared" si="41"/>
        <v>0</v>
      </c>
      <c r="AC408" s="158"/>
      <c r="AD408" s="158"/>
    </row>
    <row r="409" spans="1:30" ht="12.75" customHeight="1" x14ac:dyDescent="0.3">
      <c r="A409" s="147">
        <v>23</v>
      </c>
      <c r="B409" s="158" t="s">
        <v>973</v>
      </c>
      <c r="C409" s="158" t="s">
        <v>571</v>
      </c>
      <c r="D409" s="158" t="s">
        <v>974</v>
      </c>
      <c r="E409" s="160" t="s">
        <v>25</v>
      </c>
      <c r="F409" s="158" t="s">
        <v>20</v>
      </c>
      <c r="G409" s="160" t="s">
        <v>866</v>
      </c>
      <c r="H409" s="161">
        <v>0</v>
      </c>
      <c r="I409" s="161">
        <v>0</v>
      </c>
      <c r="J409" s="161">
        <v>0</v>
      </c>
      <c r="K409" s="161">
        <v>0</v>
      </c>
      <c r="L409" s="161">
        <v>0</v>
      </c>
      <c r="M409" s="162">
        <v>0</v>
      </c>
      <c r="N409" s="161">
        <v>0</v>
      </c>
      <c r="O409" s="162">
        <f t="shared" si="36"/>
        <v>0</v>
      </c>
      <c r="P409" s="161">
        <v>-1250</v>
      </c>
      <c r="Q409" s="161">
        <v>0</v>
      </c>
      <c r="R409" s="161">
        <v>0</v>
      </c>
      <c r="S409" s="161">
        <v>0</v>
      </c>
      <c r="T409" s="161">
        <v>0</v>
      </c>
      <c r="U409" s="161">
        <v>0</v>
      </c>
      <c r="V409" s="161">
        <v>0</v>
      </c>
      <c r="W409" s="161">
        <f t="shared" si="37"/>
        <v>-1250</v>
      </c>
      <c r="X409" s="161">
        <f t="shared" si="38"/>
        <v>0</v>
      </c>
      <c r="Y409" s="161">
        <f t="shared" si="39"/>
        <v>-1250</v>
      </c>
      <c r="Z409" s="161">
        <v>1250</v>
      </c>
      <c r="AA409" s="161">
        <f t="shared" si="40"/>
        <v>0</v>
      </c>
      <c r="AB409" s="161">
        <f t="shared" si="41"/>
        <v>1250</v>
      </c>
      <c r="AC409" s="158" t="s">
        <v>965</v>
      </c>
      <c r="AD409" s="158"/>
    </row>
    <row r="410" spans="1:30" ht="12.75" customHeight="1" x14ac:dyDescent="0.3">
      <c r="A410" s="147">
        <v>23</v>
      </c>
      <c r="B410" s="158" t="s">
        <v>924</v>
      </c>
      <c r="C410" s="158" t="s">
        <v>100</v>
      </c>
      <c r="D410" s="158" t="s">
        <v>953</v>
      </c>
      <c r="E410" s="160" t="s">
        <v>25</v>
      </c>
      <c r="F410" s="158" t="s">
        <v>25</v>
      </c>
      <c r="G410" s="160" t="s">
        <v>866</v>
      </c>
      <c r="H410" s="161">
        <v>0</v>
      </c>
      <c r="I410" s="161">
        <v>0</v>
      </c>
      <c r="J410" s="161">
        <v>0</v>
      </c>
      <c r="K410" s="161">
        <v>0</v>
      </c>
      <c r="L410" s="161">
        <v>0</v>
      </c>
      <c r="M410" s="161">
        <v>0</v>
      </c>
      <c r="N410" s="161">
        <v>-737.51</v>
      </c>
      <c r="O410" s="162">
        <f t="shared" si="36"/>
        <v>-737.51</v>
      </c>
      <c r="P410" s="161">
        <v>-2500</v>
      </c>
      <c r="Q410" s="161">
        <v>-1808</v>
      </c>
      <c r="R410" s="161">
        <v>0</v>
      </c>
      <c r="S410" s="161">
        <v>0</v>
      </c>
      <c r="T410" s="161">
        <v>0</v>
      </c>
      <c r="U410" s="161">
        <v>0</v>
      </c>
      <c r="V410" s="161">
        <v>0</v>
      </c>
      <c r="W410" s="161">
        <f t="shared" si="37"/>
        <v>-5045.51</v>
      </c>
      <c r="X410" s="161">
        <f t="shared" si="38"/>
        <v>0</v>
      </c>
      <c r="Y410" s="161">
        <f t="shared" si="39"/>
        <v>-5045.51</v>
      </c>
      <c r="Z410" s="161">
        <v>3500</v>
      </c>
      <c r="AA410" s="161">
        <f t="shared" si="40"/>
        <v>-1545.5100000000002</v>
      </c>
      <c r="AB410" s="161">
        <f t="shared" si="41"/>
        <v>1216.9799999999996</v>
      </c>
      <c r="AC410" s="158" t="s">
        <v>965</v>
      </c>
      <c r="AD410" s="158"/>
    </row>
    <row r="411" spans="1:30" ht="12.75" customHeight="1" x14ac:dyDescent="0.3">
      <c r="A411" s="147">
        <v>24</v>
      </c>
      <c r="B411" s="158" t="s">
        <v>585</v>
      </c>
      <c r="C411" s="158" t="s">
        <v>64</v>
      </c>
      <c r="D411" s="158" t="s">
        <v>949</v>
      </c>
      <c r="E411" s="160" t="s">
        <v>25</v>
      </c>
      <c r="F411" s="158" t="s">
        <v>25</v>
      </c>
      <c r="G411" s="160" t="s">
        <v>866</v>
      </c>
      <c r="H411" s="161">
        <v>0</v>
      </c>
      <c r="I411" s="161">
        <v>0</v>
      </c>
      <c r="J411" s="161">
        <v>0</v>
      </c>
      <c r="K411" s="161">
        <v>0</v>
      </c>
      <c r="L411" s="161">
        <v>0</v>
      </c>
      <c r="M411" s="161">
        <v>-23</v>
      </c>
      <c r="N411" s="161">
        <v>0</v>
      </c>
      <c r="O411" s="162">
        <f t="shared" si="36"/>
        <v>-23</v>
      </c>
      <c r="P411" s="161">
        <v>-1071</v>
      </c>
      <c r="Q411" s="161">
        <v>0</v>
      </c>
      <c r="R411" s="161">
        <v>0</v>
      </c>
      <c r="S411" s="161">
        <v>0</v>
      </c>
      <c r="T411" s="161">
        <v>-500</v>
      </c>
      <c r="U411" s="161">
        <v>0</v>
      </c>
      <c r="V411" s="161">
        <v>0</v>
      </c>
      <c r="W411" s="161">
        <f t="shared" si="37"/>
        <v>-1594</v>
      </c>
      <c r="X411" s="161">
        <f t="shared" si="38"/>
        <v>0</v>
      </c>
      <c r="Y411" s="161">
        <f t="shared" si="39"/>
        <v>-1594</v>
      </c>
      <c r="Z411" s="161">
        <v>1594</v>
      </c>
      <c r="AA411" s="161">
        <f t="shared" si="40"/>
        <v>0</v>
      </c>
      <c r="AB411" s="161">
        <f t="shared" si="41"/>
        <v>1571</v>
      </c>
      <c r="AC411" s="158" t="s">
        <v>975</v>
      </c>
      <c r="AD411" s="158"/>
    </row>
    <row r="412" spans="1:30" ht="12.75" customHeight="1" x14ac:dyDescent="0.3">
      <c r="A412" s="147">
        <v>24</v>
      </c>
      <c r="B412" s="158" t="s">
        <v>976</v>
      </c>
      <c r="C412" s="158" t="s">
        <v>863</v>
      </c>
      <c r="D412" s="158" t="s">
        <v>20</v>
      </c>
      <c r="E412" s="160" t="s">
        <v>25</v>
      </c>
      <c r="F412" s="158" t="s">
        <v>25</v>
      </c>
      <c r="G412" s="160" t="s">
        <v>866</v>
      </c>
      <c r="H412" s="161">
        <v>3346.31</v>
      </c>
      <c r="I412" s="161">
        <v>0</v>
      </c>
      <c r="J412" s="161">
        <v>0</v>
      </c>
      <c r="K412" s="161">
        <v>0</v>
      </c>
      <c r="L412" s="161">
        <v>-1614</v>
      </c>
      <c r="M412" s="162">
        <v>-25</v>
      </c>
      <c r="N412" s="161">
        <v>0</v>
      </c>
      <c r="O412" s="162">
        <f t="shared" si="36"/>
        <v>1707.31</v>
      </c>
      <c r="P412" s="161">
        <v>-1072</v>
      </c>
      <c r="Q412" s="161">
        <v>0</v>
      </c>
      <c r="R412" s="161">
        <v>-216</v>
      </c>
      <c r="S412" s="161">
        <v>0</v>
      </c>
      <c r="T412" s="161">
        <v>0</v>
      </c>
      <c r="U412" s="161">
        <v>-200</v>
      </c>
      <c r="V412" s="161">
        <v>0</v>
      </c>
      <c r="W412" s="161">
        <f t="shared" si="37"/>
        <v>219.30999999999995</v>
      </c>
      <c r="X412" s="161">
        <f t="shared" si="38"/>
        <v>219.30999999999995</v>
      </c>
      <c r="Y412" s="161">
        <f t="shared" si="39"/>
        <v>0</v>
      </c>
      <c r="Z412" s="161">
        <v>0</v>
      </c>
      <c r="AA412" s="161">
        <f t="shared" si="40"/>
        <v>0</v>
      </c>
      <c r="AB412" s="161">
        <f t="shared" si="41"/>
        <v>1488</v>
      </c>
      <c r="AC412" s="158"/>
      <c r="AD412" s="158"/>
    </row>
    <row r="413" spans="1:30" ht="12.75" customHeight="1" x14ac:dyDescent="0.3">
      <c r="A413" s="147">
        <v>24</v>
      </c>
      <c r="B413" s="158" t="s">
        <v>976</v>
      </c>
      <c r="C413" s="158" t="s">
        <v>169</v>
      </c>
      <c r="D413" s="158" t="s">
        <v>20</v>
      </c>
      <c r="E413" s="160" t="s">
        <v>871</v>
      </c>
      <c r="F413" s="161" t="s">
        <v>39</v>
      </c>
      <c r="G413" s="160" t="s">
        <v>866</v>
      </c>
      <c r="H413" s="161">
        <v>674.68</v>
      </c>
      <c r="I413" s="162">
        <v>0</v>
      </c>
      <c r="J413" s="161">
        <v>0</v>
      </c>
      <c r="K413" s="162">
        <v>0</v>
      </c>
      <c r="L413" s="161">
        <v>0</v>
      </c>
      <c r="M413" s="161">
        <v>-10</v>
      </c>
      <c r="N413" s="161">
        <v>0</v>
      </c>
      <c r="O413" s="162">
        <f t="shared" si="36"/>
        <v>664.68</v>
      </c>
      <c r="P413" s="161">
        <v>-357</v>
      </c>
      <c r="Q413" s="161">
        <v>0</v>
      </c>
      <c r="R413" s="161">
        <v>-72</v>
      </c>
      <c r="S413" s="161">
        <v>0</v>
      </c>
      <c r="T413" s="161">
        <v>0</v>
      </c>
      <c r="U413" s="161">
        <v>0</v>
      </c>
      <c r="V413" s="161">
        <v>0</v>
      </c>
      <c r="W413" s="161">
        <f t="shared" si="37"/>
        <v>235.67999999999995</v>
      </c>
      <c r="X413" s="161">
        <f t="shared" si="38"/>
        <v>235.67999999999995</v>
      </c>
      <c r="Y413" s="161">
        <f t="shared" si="39"/>
        <v>0</v>
      </c>
      <c r="Z413" s="158">
        <v>0</v>
      </c>
      <c r="AA413" s="161">
        <f t="shared" si="40"/>
        <v>0</v>
      </c>
      <c r="AB413" s="161">
        <f t="shared" si="41"/>
        <v>429</v>
      </c>
      <c r="AC413" s="158"/>
      <c r="AD413" s="158"/>
    </row>
    <row r="414" spans="1:30" ht="12.75" customHeight="1" x14ac:dyDescent="0.3">
      <c r="A414" s="147">
        <v>24</v>
      </c>
      <c r="B414" s="158" t="s">
        <v>954</v>
      </c>
      <c r="C414" s="158" t="s">
        <v>68</v>
      </c>
      <c r="D414" s="158" t="s">
        <v>20</v>
      </c>
      <c r="E414" s="160" t="s">
        <v>25</v>
      </c>
      <c r="F414" s="158" t="s">
        <v>25</v>
      </c>
      <c r="G414" s="160" t="s">
        <v>866</v>
      </c>
      <c r="H414" s="161">
        <v>3125.84</v>
      </c>
      <c r="I414" s="161">
        <v>0</v>
      </c>
      <c r="J414" s="161">
        <v>0</v>
      </c>
      <c r="K414" s="161">
        <v>0</v>
      </c>
      <c r="L414" s="161">
        <v>0</v>
      </c>
      <c r="M414" s="161">
        <v>-35</v>
      </c>
      <c r="N414" s="161">
        <v>0</v>
      </c>
      <c r="O414" s="162">
        <f t="shared" si="36"/>
        <v>3090.84</v>
      </c>
      <c r="P414" s="161">
        <v>-2500</v>
      </c>
      <c r="Q414" s="161">
        <v>-300</v>
      </c>
      <c r="R414" s="161">
        <v>-500</v>
      </c>
      <c r="S414" s="161">
        <v>0</v>
      </c>
      <c r="T414" s="161">
        <v>0</v>
      </c>
      <c r="U414" s="161">
        <v>-300</v>
      </c>
      <c r="V414" s="161">
        <v>0</v>
      </c>
      <c r="W414" s="161">
        <f t="shared" si="37"/>
        <v>-509.15999999999985</v>
      </c>
      <c r="X414" s="161">
        <f t="shared" si="38"/>
        <v>0</v>
      </c>
      <c r="Y414" s="161">
        <f t="shared" si="39"/>
        <v>-509.15999999999985</v>
      </c>
      <c r="Z414" s="161">
        <v>509</v>
      </c>
      <c r="AA414" s="161">
        <f t="shared" si="40"/>
        <v>-0.15999999999985448</v>
      </c>
      <c r="AB414" s="161">
        <f t="shared" si="41"/>
        <v>3599.6800000000003</v>
      </c>
      <c r="AC414" s="158" t="s">
        <v>927</v>
      </c>
      <c r="AD414" s="158"/>
    </row>
    <row r="415" spans="1:30" ht="12.75" customHeight="1" x14ac:dyDescent="0.3">
      <c r="A415" s="147">
        <v>24</v>
      </c>
      <c r="B415" s="158" t="s">
        <v>944</v>
      </c>
      <c r="C415" s="158" t="s">
        <v>372</v>
      </c>
      <c r="D415" s="158" t="s">
        <v>20</v>
      </c>
      <c r="E415" s="158" t="s">
        <v>39</v>
      </c>
      <c r="F415" s="158" t="s">
        <v>39</v>
      </c>
      <c r="G415" s="160" t="s">
        <v>866</v>
      </c>
      <c r="H415" s="161">
        <v>3326.67</v>
      </c>
      <c r="I415" s="161">
        <v>0</v>
      </c>
      <c r="J415" s="161">
        <v>0</v>
      </c>
      <c r="K415" s="161">
        <v>0</v>
      </c>
      <c r="L415" s="161">
        <v>-2160</v>
      </c>
      <c r="M415" s="161">
        <v>-35</v>
      </c>
      <c r="N415" s="161">
        <v>0</v>
      </c>
      <c r="O415" s="162">
        <f t="shared" si="36"/>
        <v>1131.67</v>
      </c>
      <c r="P415" s="161">
        <v>-2142</v>
      </c>
      <c r="Q415" s="161">
        <v>0</v>
      </c>
      <c r="R415" s="161">
        <v>-500</v>
      </c>
      <c r="S415" s="161">
        <v>0</v>
      </c>
      <c r="T415" s="161">
        <v>0</v>
      </c>
      <c r="U415" s="161">
        <v>0</v>
      </c>
      <c r="V415" s="161">
        <v>0</v>
      </c>
      <c r="W415" s="161">
        <f t="shared" si="37"/>
        <v>-1510.33</v>
      </c>
      <c r="X415" s="161">
        <f t="shared" si="38"/>
        <v>0</v>
      </c>
      <c r="Y415" s="161">
        <f t="shared" si="39"/>
        <v>-1510.33</v>
      </c>
      <c r="Z415" s="161">
        <v>624</v>
      </c>
      <c r="AA415" s="161">
        <f t="shared" si="40"/>
        <v>-886.32999999999993</v>
      </c>
      <c r="AB415" s="161">
        <f t="shared" si="41"/>
        <v>869.34000000000015</v>
      </c>
      <c r="AC415" s="158"/>
      <c r="AD415" s="158"/>
    </row>
    <row r="416" spans="1:30" ht="12.75" customHeight="1" x14ac:dyDescent="0.3">
      <c r="A416" s="147">
        <v>24</v>
      </c>
      <c r="B416" s="158" t="s">
        <v>944</v>
      </c>
      <c r="C416" s="158" t="s">
        <v>372</v>
      </c>
      <c r="D416" s="158" t="s">
        <v>20</v>
      </c>
      <c r="E416" s="158" t="s">
        <v>39</v>
      </c>
      <c r="F416" s="158" t="s">
        <v>39</v>
      </c>
      <c r="G416" s="160" t="s">
        <v>866</v>
      </c>
      <c r="H416" s="161">
        <v>1686.14</v>
      </c>
      <c r="I416" s="161">
        <v>0</v>
      </c>
      <c r="J416" s="161">
        <v>0</v>
      </c>
      <c r="K416" s="162">
        <v>0</v>
      </c>
      <c r="L416" s="161">
        <v>-703.71</v>
      </c>
      <c r="M416" s="161">
        <v>0</v>
      </c>
      <c r="N416" s="161">
        <v>0</v>
      </c>
      <c r="O416" s="162">
        <f t="shared" si="36"/>
        <v>982.43000000000006</v>
      </c>
      <c r="P416" s="161">
        <v>-358</v>
      </c>
      <c r="Q416" s="161">
        <v>0</v>
      </c>
      <c r="R416" s="161">
        <v>0</v>
      </c>
      <c r="S416" s="161">
        <v>0</v>
      </c>
      <c r="T416" s="161">
        <v>0</v>
      </c>
      <c r="U416" s="161">
        <v>0</v>
      </c>
      <c r="V416" s="161">
        <v>0</v>
      </c>
      <c r="W416" s="161">
        <f t="shared" si="37"/>
        <v>624.43000000000006</v>
      </c>
      <c r="X416" s="161">
        <f t="shared" si="38"/>
        <v>624.43000000000006</v>
      </c>
      <c r="Y416" s="161">
        <f t="shared" si="39"/>
        <v>0</v>
      </c>
      <c r="Z416" s="158">
        <v>0</v>
      </c>
      <c r="AA416" s="161">
        <f t="shared" si="40"/>
        <v>0</v>
      </c>
      <c r="AB416" s="161">
        <f t="shared" si="41"/>
        <v>358</v>
      </c>
      <c r="AC416" s="158"/>
      <c r="AD416" s="158"/>
    </row>
    <row r="417" spans="1:30" ht="12.75" customHeight="1" x14ac:dyDescent="0.3">
      <c r="A417" s="147">
        <v>24</v>
      </c>
      <c r="B417" s="158" t="s">
        <v>913</v>
      </c>
      <c r="C417" s="158" t="s">
        <v>46</v>
      </c>
      <c r="D417" s="158" t="s">
        <v>915</v>
      </c>
      <c r="E417" s="160" t="s">
        <v>25</v>
      </c>
      <c r="F417" s="158" t="s">
        <v>25</v>
      </c>
      <c r="G417" s="160" t="s">
        <v>866</v>
      </c>
      <c r="H417" s="161">
        <v>7238.05</v>
      </c>
      <c r="I417" s="161">
        <v>-16</v>
      </c>
      <c r="J417" s="161">
        <v>-9.3800000000000008</v>
      </c>
      <c r="K417" s="161">
        <v>0</v>
      </c>
      <c r="L417" s="161">
        <v>-3631</v>
      </c>
      <c r="M417" s="161">
        <v>-35</v>
      </c>
      <c r="N417" s="161">
        <v>0</v>
      </c>
      <c r="O417" s="162">
        <f t="shared" si="36"/>
        <v>3546.67</v>
      </c>
      <c r="P417" s="161">
        <v>-2500</v>
      </c>
      <c r="Q417" s="161">
        <v>0</v>
      </c>
      <c r="R417" s="161">
        <v>-500</v>
      </c>
      <c r="S417" s="161">
        <v>0</v>
      </c>
      <c r="T417" s="161">
        <v>0</v>
      </c>
      <c r="U417" s="161">
        <v>0</v>
      </c>
      <c r="V417" s="161">
        <v>0</v>
      </c>
      <c r="W417" s="161">
        <f t="shared" si="37"/>
        <v>546.67000000000007</v>
      </c>
      <c r="X417" s="161">
        <f t="shared" si="38"/>
        <v>546.67000000000007</v>
      </c>
      <c r="Y417" s="161">
        <f t="shared" si="39"/>
        <v>0</v>
      </c>
      <c r="Z417" s="161">
        <v>0</v>
      </c>
      <c r="AA417" s="161">
        <f t="shared" si="40"/>
        <v>0</v>
      </c>
      <c r="AB417" s="161">
        <f t="shared" si="41"/>
        <v>3000</v>
      </c>
      <c r="AC417" s="158"/>
      <c r="AD417" s="158"/>
    </row>
    <row r="418" spans="1:30" ht="12.75" customHeight="1" x14ac:dyDescent="0.3">
      <c r="A418" s="147">
        <v>24</v>
      </c>
      <c r="B418" s="158" t="s">
        <v>929</v>
      </c>
      <c r="C418" s="158" t="s">
        <v>169</v>
      </c>
      <c r="D418" s="158" t="s">
        <v>20</v>
      </c>
      <c r="E418" s="160" t="s">
        <v>871</v>
      </c>
      <c r="F418" s="158" t="s">
        <v>20</v>
      </c>
      <c r="G418" s="160" t="s">
        <v>866</v>
      </c>
      <c r="H418" s="161">
        <v>724.01</v>
      </c>
      <c r="I418" s="161">
        <v>0</v>
      </c>
      <c r="J418" s="161">
        <v>0</v>
      </c>
      <c r="K418" s="161">
        <v>0</v>
      </c>
      <c r="L418" s="161">
        <v>-155.24</v>
      </c>
      <c r="M418" s="162">
        <v>0</v>
      </c>
      <c r="N418" s="161">
        <v>0</v>
      </c>
      <c r="O418" s="162">
        <f t="shared" si="36"/>
        <v>568.77</v>
      </c>
      <c r="P418" s="161">
        <v>0</v>
      </c>
      <c r="Q418" s="161">
        <v>0</v>
      </c>
      <c r="R418" s="161">
        <v>0</v>
      </c>
      <c r="S418" s="161">
        <v>0</v>
      </c>
      <c r="T418" s="161">
        <v>0</v>
      </c>
      <c r="U418" s="161">
        <v>0</v>
      </c>
      <c r="V418" s="161">
        <v>0</v>
      </c>
      <c r="W418" s="161">
        <f t="shared" si="37"/>
        <v>568.77</v>
      </c>
      <c r="X418" s="161">
        <f t="shared" si="38"/>
        <v>568.77</v>
      </c>
      <c r="Y418" s="161">
        <f t="shared" si="39"/>
        <v>0</v>
      </c>
      <c r="Z418" s="161">
        <v>0</v>
      </c>
      <c r="AA418" s="161">
        <f t="shared" si="40"/>
        <v>0</v>
      </c>
      <c r="AB418" s="161">
        <f t="shared" si="41"/>
        <v>0</v>
      </c>
      <c r="AC418" s="158" t="s">
        <v>977</v>
      </c>
      <c r="AD418" s="158"/>
    </row>
    <row r="419" spans="1:30" ht="12.75" customHeight="1" x14ac:dyDescent="0.3">
      <c r="A419" s="147">
        <v>24</v>
      </c>
      <c r="B419" s="158" t="s">
        <v>457</v>
      </c>
      <c r="C419" s="158" t="s">
        <v>183</v>
      </c>
      <c r="D419" s="158" t="s">
        <v>20</v>
      </c>
      <c r="E419" s="160" t="s">
        <v>25</v>
      </c>
      <c r="F419" s="158" t="s">
        <v>25</v>
      </c>
      <c r="G419" s="160" t="s">
        <v>866</v>
      </c>
      <c r="H419" s="161">
        <v>4390.1400000000003</v>
      </c>
      <c r="I419" s="161">
        <v>0</v>
      </c>
      <c r="J419" s="161">
        <v>0</v>
      </c>
      <c r="K419" s="161">
        <v>0</v>
      </c>
      <c r="L419" s="161">
        <v>-1120.6199999999999</v>
      </c>
      <c r="M419" s="161">
        <v>-35</v>
      </c>
      <c r="N419" s="161">
        <v>0</v>
      </c>
      <c r="O419" s="162">
        <f t="shared" si="36"/>
        <v>3234.5200000000004</v>
      </c>
      <c r="P419" s="161">
        <v>-2500</v>
      </c>
      <c r="Q419" s="161">
        <v>-776</v>
      </c>
      <c r="R419" s="161">
        <v>-500</v>
      </c>
      <c r="S419" s="161">
        <v>0</v>
      </c>
      <c r="T419" s="161">
        <v>0</v>
      </c>
      <c r="U419" s="161">
        <v>0</v>
      </c>
      <c r="V419" s="161">
        <v>0</v>
      </c>
      <c r="W419" s="161">
        <f t="shared" si="37"/>
        <v>-541.47999999999956</v>
      </c>
      <c r="X419" s="161">
        <f t="shared" si="38"/>
        <v>0</v>
      </c>
      <c r="Y419" s="161">
        <f t="shared" si="39"/>
        <v>-541.47999999999956</v>
      </c>
      <c r="Z419" s="161">
        <v>0</v>
      </c>
      <c r="AA419" s="161">
        <f t="shared" si="40"/>
        <v>-541.47999999999956</v>
      </c>
      <c r="AB419" s="161">
        <f t="shared" si="41"/>
        <v>2693.0400000000009</v>
      </c>
      <c r="AC419" s="158"/>
      <c r="AD419" s="158"/>
    </row>
    <row r="420" spans="1:30" ht="12.75" customHeight="1" x14ac:dyDescent="0.3">
      <c r="A420" s="147">
        <v>24</v>
      </c>
      <c r="B420" s="158" t="s">
        <v>890</v>
      </c>
      <c r="C420" s="158" t="s">
        <v>42</v>
      </c>
      <c r="D420" s="158" t="s">
        <v>20</v>
      </c>
      <c r="E420" s="160" t="s">
        <v>25</v>
      </c>
      <c r="F420" s="158" t="s">
        <v>25</v>
      </c>
      <c r="G420" s="160" t="s">
        <v>866</v>
      </c>
      <c r="H420" s="161">
        <v>5728.35</v>
      </c>
      <c r="I420" s="161">
        <v>-18.5</v>
      </c>
      <c r="J420" s="161">
        <v>0</v>
      </c>
      <c r="K420" s="161">
        <v>0</v>
      </c>
      <c r="L420" s="161">
        <v>-1703.75</v>
      </c>
      <c r="M420" s="161">
        <v>-35</v>
      </c>
      <c r="N420" s="161">
        <v>0</v>
      </c>
      <c r="O420" s="162">
        <f t="shared" si="36"/>
        <v>3971.1000000000004</v>
      </c>
      <c r="P420" s="161">
        <v>-2500</v>
      </c>
      <c r="Q420" s="161">
        <v>0</v>
      </c>
      <c r="R420" s="161">
        <v>0</v>
      </c>
      <c r="S420" s="161">
        <v>-500</v>
      </c>
      <c r="T420" s="161">
        <v>0</v>
      </c>
      <c r="U420" s="161">
        <v>0</v>
      </c>
      <c r="V420" s="161">
        <v>0</v>
      </c>
      <c r="W420" s="161">
        <f t="shared" si="37"/>
        <v>971.10000000000036</v>
      </c>
      <c r="X420" s="161">
        <f t="shared" si="38"/>
        <v>971.10000000000036</v>
      </c>
      <c r="Y420" s="161">
        <f t="shared" si="39"/>
        <v>0</v>
      </c>
      <c r="Z420" s="161">
        <v>0</v>
      </c>
      <c r="AA420" s="161">
        <f t="shared" si="40"/>
        <v>0</v>
      </c>
      <c r="AB420" s="161">
        <f t="shared" si="41"/>
        <v>3000</v>
      </c>
      <c r="AC420" s="158"/>
      <c r="AD420" s="158"/>
    </row>
    <row r="421" spans="1:30" ht="12.75" customHeight="1" x14ac:dyDescent="0.3">
      <c r="A421" s="147">
        <v>24</v>
      </c>
      <c r="B421" s="158" t="s">
        <v>872</v>
      </c>
      <c r="C421" s="158" t="s">
        <v>256</v>
      </c>
      <c r="D421" s="158" t="s">
        <v>20</v>
      </c>
      <c r="E421" s="160" t="s">
        <v>871</v>
      </c>
      <c r="F421" s="158" t="s">
        <v>39</v>
      </c>
      <c r="G421" s="160" t="s">
        <v>866</v>
      </c>
      <c r="H421" s="161">
        <v>10013.450000000001</v>
      </c>
      <c r="I421" s="161">
        <v>-138.4</v>
      </c>
      <c r="J421" s="161">
        <v>0</v>
      </c>
      <c r="K421" s="161">
        <v>-84.2</v>
      </c>
      <c r="L421" s="161">
        <v>-4262.97</v>
      </c>
      <c r="M421" s="161">
        <v>-28</v>
      </c>
      <c r="N421" s="161">
        <v>-107</v>
      </c>
      <c r="O421" s="162">
        <f t="shared" si="36"/>
        <v>5392.88</v>
      </c>
      <c r="P421" s="161">
        <v>-2500</v>
      </c>
      <c r="Q421" s="161">
        <v>-800</v>
      </c>
      <c r="R421" s="161">
        <v>0</v>
      </c>
      <c r="S421" s="161">
        <v>-38</v>
      </c>
      <c r="T421" s="161">
        <v>0</v>
      </c>
      <c r="U421" s="161">
        <v>150</v>
      </c>
      <c r="V421" s="161">
        <v>0</v>
      </c>
      <c r="W421" s="161">
        <f t="shared" si="37"/>
        <v>2204.88</v>
      </c>
      <c r="X421" s="161">
        <f t="shared" si="38"/>
        <v>2204.88</v>
      </c>
      <c r="Y421" s="161">
        <f t="shared" si="39"/>
        <v>0</v>
      </c>
      <c r="Z421" s="161">
        <v>0</v>
      </c>
      <c r="AA421" s="161">
        <f t="shared" si="40"/>
        <v>0</v>
      </c>
      <c r="AB421" s="161">
        <f t="shared" si="41"/>
        <v>3188</v>
      </c>
      <c r="AC421" s="158"/>
      <c r="AD421" s="158"/>
    </row>
    <row r="422" spans="1:30" ht="12.75" customHeight="1" x14ac:dyDescent="0.3">
      <c r="A422" s="147">
        <v>24</v>
      </c>
      <c r="B422" s="158" t="s">
        <v>921</v>
      </c>
      <c r="C422" s="158" t="s">
        <v>257</v>
      </c>
      <c r="D422" s="158" t="s">
        <v>20</v>
      </c>
      <c r="E422" s="160" t="s">
        <v>25</v>
      </c>
      <c r="F422" s="158" t="s">
        <v>25</v>
      </c>
      <c r="G422" s="160" t="s">
        <v>866</v>
      </c>
      <c r="H422" s="161">
        <v>10504.54</v>
      </c>
      <c r="I422" s="161">
        <v>-120</v>
      </c>
      <c r="J422" s="161">
        <v>-9.6999999999999993</v>
      </c>
      <c r="K422" s="161">
        <v>180</v>
      </c>
      <c r="L422" s="161">
        <v>-3778.57</v>
      </c>
      <c r="M422" s="161">
        <v>-23</v>
      </c>
      <c r="N422" s="161">
        <v>-40</v>
      </c>
      <c r="O422" s="162">
        <f t="shared" si="36"/>
        <v>6713.27</v>
      </c>
      <c r="P422" s="161">
        <v>-2500</v>
      </c>
      <c r="Q422" s="161">
        <v>0</v>
      </c>
      <c r="R422" s="161">
        <v>0</v>
      </c>
      <c r="S422" s="161">
        <v>0</v>
      </c>
      <c r="T422" s="161">
        <v>0</v>
      </c>
      <c r="U422" s="161">
        <v>-61</v>
      </c>
      <c r="V422" s="161">
        <v>0</v>
      </c>
      <c r="W422" s="161">
        <f t="shared" si="37"/>
        <v>4152.2700000000004</v>
      </c>
      <c r="X422" s="161">
        <f t="shared" si="38"/>
        <v>4152.2700000000004</v>
      </c>
      <c r="Y422" s="161">
        <f t="shared" si="39"/>
        <v>0</v>
      </c>
      <c r="Z422" s="161">
        <v>0</v>
      </c>
      <c r="AA422" s="161">
        <f t="shared" si="40"/>
        <v>0</v>
      </c>
      <c r="AB422" s="161">
        <f t="shared" si="41"/>
        <v>2561</v>
      </c>
      <c r="AC422" s="158" t="s">
        <v>978</v>
      </c>
      <c r="AD422" s="158"/>
    </row>
    <row r="423" spans="1:30" ht="12.75" customHeight="1" x14ac:dyDescent="0.3">
      <c r="A423" s="147">
        <v>24</v>
      </c>
      <c r="B423" s="158" t="s">
        <v>874</v>
      </c>
      <c r="C423" s="158" t="s">
        <v>195</v>
      </c>
      <c r="D423" s="158" t="s">
        <v>964</v>
      </c>
      <c r="E423" s="160" t="s">
        <v>871</v>
      </c>
      <c r="F423" s="158" t="s">
        <v>39</v>
      </c>
      <c r="G423" s="160" t="s">
        <v>866</v>
      </c>
      <c r="H423" s="161">
        <v>0</v>
      </c>
      <c r="I423" s="161">
        <v>0</v>
      </c>
      <c r="J423" s="161">
        <v>0</v>
      </c>
      <c r="K423" s="161">
        <v>0</v>
      </c>
      <c r="L423" s="161">
        <v>0</v>
      </c>
      <c r="M423" s="161">
        <v>0</v>
      </c>
      <c r="N423" s="161">
        <v>0</v>
      </c>
      <c r="O423" s="162">
        <f t="shared" si="36"/>
        <v>0</v>
      </c>
      <c r="P423" s="161">
        <v>-2500</v>
      </c>
      <c r="Q423" s="161">
        <v>0</v>
      </c>
      <c r="R423" s="161">
        <v>0</v>
      </c>
      <c r="S423" s="161">
        <v>0</v>
      </c>
      <c r="T423" s="161">
        <v>0</v>
      </c>
      <c r="U423" s="161">
        <v>0</v>
      </c>
      <c r="V423" s="161">
        <v>0</v>
      </c>
      <c r="W423" s="161">
        <f t="shared" si="37"/>
        <v>-2500</v>
      </c>
      <c r="X423" s="161">
        <f t="shared" si="38"/>
        <v>0</v>
      </c>
      <c r="Y423" s="161">
        <f t="shared" si="39"/>
        <v>-2500</v>
      </c>
      <c r="Z423" s="161">
        <v>2500</v>
      </c>
      <c r="AA423" s="161">
        <f t="shared" si="40"/>
        <v>0</v>
      </c>
      <c r="AB423" s="161">
        <f t="shared" si="41"/>
        <v>2500</v>
      </c>
      <c r="AC423" s="158" t="s">
        <v>975</v>
      </c>
      <c r="AD423" s="158"/>
    </row>
    <row r="424" spans="1:30" ht="12.75" customHeight="1" x14ac:dyDescent="0.3">
      <c r="A424" s="147">
        <v>24</v>
      </c>
      <c r="B424" s="158" t="s">
        <v>918</v>
      </c>
      <c r="C424" s="158" t="s">
        <v>120</v>
      </c>
      <c r="D424" s="158" t="s">
        <v>950</v>
      </c>
      <c r="E424" s="158" t="s">
        <v>25</v>
      </c>
      <c r="F424" s="158" t="s">
        <v>25</v>
      </c>
      <c r="G424" s="160" t="s">
        <v>866</v>
      </c>
      <c r="H424" s="161">
        <v>9502.31</v>
      </c>
      <c r="I424" s="161">
        <v>-80.8</v>
      </c>
      <c r="J424" s="161">
        <v>-13.11</v>
      </c>
      <c r="K424" s="161">
        <v>0</v>
      </c>
      <c r="L424" s="161">
        <v>-2450.94</v>
      </c>
      <c r="M424" s="161">
        <v>-35</v>
      </c>
      <c r="N424" s="161">
        <v>0</v>
      </c>
      <c r="O424" s="162">
        <f t="shared" si="36"/>
        <v>6922.4599999999991</v>
      </c>
      <c r="P424" s="161">
        <v>-2500</v>
      </c>
      <c r="Q424" s="161">
        <v>0</v>
      </c>
      <c r="R424" s="161">
        <v>0</v>
      </c>
      <c r="S424" s="161">
        <v>0</v>
      </c>
      <c r="T424" s="161">
        <v>0</v>
      </c>
      <c r="U424" s="161">
        <v>0</v>
      </c>
      <c r="V424" s="161">
        <v>0</v>
      </c>
      <c r="W424" s="161">
        <f t="shared" si="37"/>
        <v>4422.4599999999991</v>
      </c>
      <c r="X424" s="161">
        <f t="shared" si="38"/>
        <v>4422.4599999999991</v>
      </c>
      <c r="Y424" s="161">
        <f t="shared" si="39"/>
        <v>0</v>
      </c>
      <c r="Z424" s="161">
        <v>0</v>
      </c>
      <c r="AA424" s="161">
        <f t="shared" si="40"/>
        <v>0</v>
      </c>
      <c r="AB424" s="161">
        <f t="shared" si="41"/>
        <v>2500</v>
      </c>
      <c r="AC424" s="158"/>
      <c r="AD424" s="158"/>
    </row>
    <row r="425" spans="1:30" ht="12.75" customHeight="1" x14ac:dyDescent="0.3">
      <c r="A425" s="147">
        <v>24</v>
      </c>
      <c r="B425" s="158" t="s">
        <v>955</v>
      </c>
      <c r="C425" s="158" t="s">
        <v>59</v>
      </c>
      <c r="D425" s="158" t="s">
        <v>20</v>
      </c>
      <c r="E425" s="177" t="s">
        <v>25</v>
      </c>
      <c r="F425" s="179" t="s">
        <v>25</v>
      </c>
      <c r="G425" s="160" t="s">
        <v>866</v>
      </c>
      <c r="H425" s="161">
        <v>3461.27</v>
      </c>
      <c r="I425" s="161">
        <v>0</v>
      </c>
      <c r="J425" s="161">
        <v>0</v>
      </c>
      <c r="K425" s="161">
        <v>0</v>
      </c>
      <c r="L425" s="161">
        <v>-2249.0700000000002</v>
      </c>
      <c r="M425" s="161">
        <v>-35</v>
      </c>
      <c r="N425" s="161">
        <v>0</v>
      </c>
      <c r="O425" s="162">
        <f t="shared" si="36"/>
        <v>1177.1999999999998</v>
      </c>
      <c r="P425" s="161">
        <v>-2500</v>
      </c>
      <c r="Q425" s="161">
        <v>829</v>
      </c>
      <c r="R425" s="161">
        <v>-500</v>
      </c>
      <c r="S425" s="161">
        <v>0</v>
      </c>
      <c r="T425" s="161">
        <v>-500</v>
      </c>
      <c r="U425" s="161">
        <v>0</v>
      </c>
      <c r="V425" s="161">
        <v>0</v>
      </c>
      <c r="W425" s="161">
        <f t="shared" si="37"/>
        <v>-1493.8000000000002</v>
      </c>
      <c r="X425" s="161">
        <f t="shared" si="38"/>
        <v>0</v>
      </c>
      <c r="Y425" s="161">
        <f t="shared" si="39"/>
        <v>-1493.8000000000002</v>
      </c>
      <c r="Z425" s="161">
        <v>1495</v>
      </c>
      <c r="AA425" s="161">
        <f t="shared" si="40"/>
        <v>1.1999999999998181</v>
      </c>
      <c r="AB425" s="161">
        <f t="shared" si="41"/>
        <v>2673.3999999999996</v>
      </c>
      <c r="AC425" s="158" t="s">
        <v>975</v>
      </c>
      <c r="AD425" s="158"/>
    </row>
    <row r="426" spans="1:30" ht="12.75" customHeight="1" x14ac:dyDescent="0.3">
      <c r="A426" s="147">
        <v>24</v>
      </c>
      <c r="B426" s="158" t="s">
        <v>876</v>
      </c>
      <c r="C426" s="158" t="s">
        <v>150</v>
      </c>
      <c r="D426" s="160" t="s">
        <v>877</v>
      </c>
      <c r="E426" s="160" t="s">
        <v>25</v>
      </c>
      <c r="F426" s="158" t="s">
        <v>25</v>
      </c>
      <c r="G426" s="160" t="s">
        <v>866</v>
      </c>
      <c r="H426" s="161">
        <v>2481.38</v>
      </c>
      <c r="I426" s="161">
        <v>0</v>
      </c>
      <c r="J426" s="161">
        <v>0</v>
      </c>
      <c r="K426" s="161">
        <v>0</v>
      </c>
      <c r="L426" s="161">
        <v>-174.47</v>
      </c>
      <c r="M426" s="161">
        <v>-28</v>
      </c>
      <c r="N426" s="161">
        <v>0</v>
      </c>
      <c r="O426" s="162">
        <f t="shared" si="36"/>
        <v>2278.9100000000003</v>
      </c>
      <c r="P426" s="161">
        <v>-2500</v>
      </c>
      <c r="Q426" s="161">
        <v>-18</v>
      </c>
      <c r="R426" s="161">
        <v>0</v>
      </c>
      <c r="S426" s="161">
        <v>0</v>
      </c>
      <c r="T426" s="161">
        <v>0</v>
      </c>
      <c r="U426" s="161">
        <v>0</v>
      </c>
      <c r="V426" s="161">
        <v>0</v>
      </c>
      <c r="W426" s="161">
        <f t="shared" si="37"/>
        <v>-239.08999999999969</v>
      </c>
      <c r="X426" s="161">
        <f t="shared" si="38"/>
        <v>0</v>
      </c>
      <c r="Y426" s="161">
        <f t="shared" si="39"/>
        <v>-239.08999999999969</v>
      </c>
      <c r="Z426" s="161">
        <v>239</v>
      </c>
      <c r="AA426" s="161">
        <f t="shared" si="40"/>
        <v>-8.9999999999690772E-2</v>
      </c>
      <c r="AB426" s="161">
        <f t="shared" si="41"/>
        <v>2517.8200000000006</v>
      </c>
      <c r="AC426" s="158" t="s">
        <v>975</v>
      </c>
      <c r="AD426" s="158"/>
    </row>
    <row r="427" spans="1:30" ht="12.75" customHeight="1" x14ac:dyDescent="0.3">
      <c r="A427" s="147">
        <v>24</v>
      </c>
      <c r="B427" s="158" t="s">
        <v>484</v>
      </c>
      <c r="C427" s="158" t="s">
        <v>426</v>
      </c>
      <c r="D427" s="158" t="s">
        <v>20</v>
      </c>
      <c r="E427" s="160" t="s">
        <v>25</v>
      </c>
      <c r="F427" s="158" t="s">
        <v>25</v>
      </c>
      <c r="G427" s="160" t="s">
        <v>866</v>
      </c>
      <c r="H427" s="161">
        <v>8553.7900000000009</v>
      </c>
      <c r="I427" s="161">
        <v>-65.599999999999994</v>
      </c>
      <c r="J427" s="161">
        <v>0</v>
      </c>
      <c r="K427" s="161">
        <v>0</v>
      </c>
      <c r="L427" s="161">
        <v>-3894.07</v>
      </c>
      <c r="M427" s="161">
        <v>-28</v>
      </c>
      <c r="N427" s="161">
        <v>0</v>
      </c>
      <c r="O427" s="162">
        <f t="shared" si="36"/>
        <v>4566.1200000000008</v>
      </c>
      <c r="P427" s="161">
        <v>-2500</v>
      </c>
      <c r="Q427" s="161">
        <v>-15</v>
      </c>
      <c r="R427" s="161">
        <v>0</v>
      </c>
      <c r="S427" s="161">
        <v>0</v>
      </c>
      <c r="T427" s="161">
        <v>0</v>
      </c>
      <c r="U427" s="161">
        <v>0</v>
      </c>
      <c r="V427" s="161">
        <v>0</v>
      </c>
      <c r="W427" s="161">
        <f t="shared" si="37"/>
        <v>2051.1200000000008</v>
      </c>
      <c r="X427" s="161">
        <f t="shared" si="38"/>
        <v>2051.1200000000008</v>
      </c>
      <c r="Y427" s="161">
        <f t="shared" si="39"/>
        <v>0</v>
      </c>
      <c r="Z427" s="161">
        <v>0</v>
      </c>
      <c r="AA427" s="161">
        <f t="shared" si="40"/>
        <v>0</v>
      </c>
      <c r="AB427" s="161">
        <f t="shared" si="41"/>
        <v>2515</v>
      </c>
      <c r="AC427" s="158" t="s">
        <v>979</v>
      </c>
      <c r="AD427" s="158"/>
    </row>
    <row r="428" spans="1:30" ht="12.75" customHeight="1" x14ac:dyDescent="0.3">
      <c r="A428" s="147">
        <v>24</v>
      </c>
      <c r="B428" s="158" t="s">
        <v>408</v>
      </c>
      <c r="C428" s="158" t="s">
        <v>878</v>
      </c>
      <c r="D428" s="158" t="s">
        <v>20</v>
      </c>
      <c r="E428" s="160" t="s">
        <v>25</v>
      </c>
      <c r="F428" s="158" t="s">
        <v>39</v>
      </c>
      <c r="G428" s="160" t="s">
        <v>866</v>
      </c>
      <c r="H428" s="161">
        <v>2728.85</v>
      </c>
      <c r="I428" s="161">
        <v>0</v>
      </c>
      <c r="J428" s="161">
        <v>0</v>
      </c>
      <c r="K428" s="161">
        <v>0</v>
      </c>
      <c r="L428" s="161">
        <v>-836.06</v>
      </c>
      <c r="M428" s="162">
        <v>-35</v>
      </c>
      <c r="N428" s="161">
        <v>0</v>
      </c>
      <c r="O428" s="162">
        <f t="shared" si="36"/>
        <v>1857.79</v>
      </c>
      <c r="P428" s="161">
        <v>-2500</v>
      </c>
      <c r="Q428" s="161">
        <v>32</v>
      </c>
      <c r="R428" s="161">
        <v>0</v>
      </c>
      <c r="S428" s="161">
        <v>0</v>
      </c>
      <c r="T428" s="161">
        <v>0</v>
      </c>
      <c r="U428" s="161">
        <v>0</v>
      </c>
      <c r="V428" s="161">
        <v>0</v>
      </c>
      <c r="W428" s="161">
        <f t="shared" si="37"/>
        <v>-610.21</v>
      </c>
      <c r="X428" s="161">
        <f t="shared" si="38"/>
        <v>0</v>
      </c>
      <c r="Y428" s="161">
        <f t="shared" si="39"/>
        <v>-610.21</v>
      </c>
      <c r="Z428" s="161">
        <v>610</v>
      </c>
      <c r="AA428" s="161">
        <f t="shared" si="40"/>
        <v>-0.21000000000003638</v>
      </c>
      <c r="AB428" s="161">
        <f t="shared" si="41"/>
        <v>2467.58</v>
      </c>
      <c r="AC428" s="158" t="s">
        <v>975</v>
      </c>
      <c r="AD428" s="158"/>
    </row>
    <row r="429" spans="1:30" ht="12.75" customHeight="1" x14ac:dyDescent="0.3">
      <c r="A429" s="147">
        <v>24</v>
      </c>
      <c r="B429" s="158" t="s">
        <v>962</v>
      </c>
      <c r="C429" s="158" t="s">
        <v>123</v>
      </c>
      <c r="D429" s="158" t="s">
        <v>20</v>
      </c>
      <c r="E429" s="160" t="s">
        <v>871</v>
      </c>
      <c r="F429" s="158" t="s">
        <v>39</v>
      </c>
      <c r="G429" s="160" t="s">
        <v>866</v>
      </c>
      <c r="H429" s="161">
        <v>3055.74</v>
      </c>
      <c r="I429" s="161">
        <v>0</v>
      </c>
      <c r="J429" s="161">
        <v>0</v>
      </c>
      <c r="K429" s="161">
        <v>0</v>
      </c>
      <c r="L429" s="161">
        <v>-1178.8499999999999</v>
      </c>
      <c r="M429" s="162">
        <v>-30</v>
      </c>
      <c r="N429" s="161">
        <v>0</v>
      </c>
      <c r="O429" s="162">
        <f t="shared" si="36"/>
        <v>1846.8899999999999</v>
      </c>
      <c r="P429" s="161">
        <v>-2500</v>
      </c>
      <c r="Q429" s="161">
        <v>-878</v>
      </c>
      <c r="R429" s="161">
        <v>-500</v>
      </c>
      <c r="S429" s="161">
        <v>0</v>
      </c>
      <c r="T429" s="161">
        <v>0</v>
      </c>
      <c r="U429" s="161">
        <v>0</v>
      </c>
      <c r="V429" s="161">
        <v>0</v>
      </c>
      <c r="W429" s="161">
        <f t="shared" si="37"/>
        <v>-2031.1100000000001</v>
      </c>
      <c r="X429" s="161">
        <f t="shared" si="38"/>
        <v>0</v>
      </c>
      <c r="Y429" s="161">
        <f t="shared" si="39"/>
        <v>-2031.1100000000001</v>
      </c>
      <c r="Z429" s="161">
        <v>2000</v>
      </c>
      <c r="AA429" s="161">
        <f t="shared" si="40"/>
        <v>-31.110000000000127</v>
      </c>
      <c r="AB429" s="161">
        <f t="shared" si="41"/>
        <v>3815.7799999999997</v>
      </c>
      <c r="AC429" s="158" t="s">
        <v>975</v>
      </c>
      <c r="AD429" s="158"/>
    </row>
    <row r="430" spans="1:30" ht="12.75" customHeight="1" x14ac:dyDescent="0.3">
      <c r="A430" s="147">
        <v>24</v>
      </c>
      <c r="B430" s="158" t="s">
        <v>923</v>
      </c>
      <c r="C430" s="158" t="s">
        <v>46</v>
      </c>
      <c r="D430" s="158" t="s">
        <v>915</v>
      </c>
      <c r="E430" s="160" t="s">
        <v>25</v>
      </c>
      <c r="F430" s="158" t="s">
        <v>20</v>
      </c>
      <c r="G430" s="160" t="s">
        <v>866</v>
      </c>
      <c r="H430" s="161">
        <v>0</v>
      </c>
      <c r="I430" s="161">
        <v>0</v>
      </c>
      <c r="J430" s="161">
        <v>0</v>
      </c>
      <c r="K430" s="161">
        <v>0</v>
      </c>
      <c r="L430" s="161">
        <v>0</v>
      </c>
      <c r="M430" s="162">
        <v>0</v>
      </c>
      <c r="N430" s="161">
        <v>-620</v>
      </c>
      <c r="O430" s="162">
        <f t="shared" si="36"/>
        <v>-620</v>
      </c>
      <c r="P430" s="161">
        <v>0</v>
      </c>
      <c r="Q430" s="161">
        <v>-1532</v>
      </c>
      <c r="R430" s="161">
        <v>0</v>
      </c>
      <c r="S430" s="161">
        <v>0</v>
      </c>
      <c r="T430" s="161">
        <v>0</v>
      </c>
      <c r="U430" s="161">
        <v>0</v>
      </c>
      <c r="V430" s="161">
        <v>0</v>
      </c>
      <c r="W430" s="161">
        <f t="shared" si="37"/>
        <v>-2152</v>
      </c>
      <c r="X430" s="161">
        <f t="shared" si="38"/>
        <v>0</v>
      </c>
      <c r="Y430" s="161">
        <f t="shared" si="39"/>
        <v>-2152</v>
      </c>
      <c r="Z430" s="161">
        <v>0</v>
      </c>
      <c r="AA430" s="161">
        <f t="shared" si="40"/>
        <v>-2152</v>
      </c>
      <c r="AB430" s="161">
        <f t="shared" si="41"/>
        <v>-2772</v>
      </c>
      <c r="AC430" s="158" t="s">
        <v>855</v>
      </c>
      <c r="AD430" s="158"/>
    </row>
    <row r="431" spans="1:30" ht="12.75" customHeight="1" x14ac:dyDescent="0.3">
      <c r="A431" s="147">
        <v>24</v>
      </c>
      <c r="B431" s="158" t="s">
        <v>952</v>
      </c>
      <c r="C431" s="158" t="s">
        <v>409</v>
      </c>
      <c r="D431" s="158" t="s">
        <v>20</v>
      </c>
      <c r="E431" s="160" t="s">
        <v>25</v>
      </c>
      <c r="F431" s="158" t="s">
        <v>25</v>
      </c>
      <c r="G431" s="160" t="s">
        <v>866</v>
      </c>
      <c r="H431" s="161">
        <v>2900.37</v>
      </c>
      <c r="I431" s="161">
        <v>0</v>
      </c>
      <c r="J431" s="161">
        <v>0</v>
      </c>
      <c r="K431" s="161">
        <v>0</v>
      </c>
      <c r="L431" s="161">
        <v>-153.77000000000001</v>
      </c>
      <c r="M431" s="161">
        <v>-30</v>
      </c>
      <c r="N431" s="161">
        <v>0</v>
      </c>
      <c r="O431" s="162">
        <f t="shared" si="36"/>
        <v>2716.6</v>
      </c>
      <c r="P431" s="161">
        <v>-2500</v>
      </c>
      <c r="Q431" s="161">
        <v>0.15000000000009095</v>
      </c>
      <c r="R431" s="161">
        <v>-500</v>
      </c>
      <c r="S431" s="161">
        <v>0</v>
      </c>
      <c r="T431" s="161">
        <v>0</v>
      </c>
      <c r="U431" s="161">
        <v>20</v>
      </c>
      <c r="V431" s="161">
        <v>0</v>
      </c>
      <c r="W431" s="161">
        <f t="shared" si="37"/>
        <v>-263.25</v>
      </c>
      <c r="X431" s="161">
        <f t="shared" si="38"/>
        <v>0</v>
      </c>
      <c r="Y431" s="161">
        <f t="shared" si="39"/>
        <v>-263.25</v>
      </c>
      <c r="Z431" s="161">
        <v>0</v>
      </c>
      <c r="AA431" s="161">
        <f t="shared" si="40"/>
        <v>-263.25</v>
      </c>
      <c r="AB431" s="161">
        <f t="shared" si="41"/>
        <v>2453.35</v>
      </c>
      <c r="AC431" s="158"/>
      <c r="AD431" s="158"/>
    </row>
    <row r="432" spans="1:30" ht="12.75" customHeight="1" x14ac:dyDescent="0.3">
      <c r="A432" s="147">
        <v>24</v>
      </c>
      <c r="B432" s="158" t="s">
        <v>880</v>
      </c>
      <c r="C432" s="158" t="s">
        <v>57</v>
      </c>
      <c r="D432" s="158" t="s">
        <v>881</v>
      </c>
      <c r="E432" s="160" t="s">
        <v>25</v>
      </c>
      <c r="F432" s="158" t="s">
        <v>25</v>
      </c>
      <c r="G432" s="160" t="s">
        <v>866</v>
      </c>
      <c r="H432" s="161">
        <v>4078.43</v>
      </c>
      <c r="I432" s="161">
        <v>0</v>
      </c>
      <c r="J432" s="161">
        <v>0</v>
      </c>
      <c r="K432" s="161">
        <v>0</v>
      </c>
      <c r="L432" s="161">
        <v>-1799.82</v>
      </c>
      <c r="M432" s="161">
        <v>-25</v>
      </c>
      <c r="N432" s="161">
        <v>0</v>
      </c>
      <c r="O432" s="162">
        <f t="shared" si="36"/>
        <v>2253.6099999999997</v>
      </c>
      <c r="P432" s="161">
        <v>-2300</v>
      </c>
      <c r="Q432" s="161">
        <v>0</v>
      </c>
      <c r="R432" s="161">
        <v>0</v>
      </c>
      <c r="S432" s="161">
        <v>0</v>
      </c>
      <c r="T432" s="161">
        <v>0</v>
      </c>
      <c r="U432" s="161">
        <v>0</v>
      </c>
      <c r="V432" s="161">
        <v>0</v>
      </c>
      <c r="W432" s="161">
        <f t="shared" si="37"/>
        <v>-46.390000000000327</v>
      </c>
      <c r="X432" s="161">
        <f t="shared" si="38"/>
        <v>0</v>
      </c>
      <c r="Y432" s="161">
        <f t="shared" si="39"/>
        <v>-46.390000000000327</v>
      </c>
      <c r="Z432" s="161">
        <v>47</v>
      </c>
      <c r="AA432" s="161">
        <f t="shared" si="40"/>
        <v>0.60999999999967258</v>
      </c>
      <c r="AB432" s="161">
        <f t="shared" si="41"/>
        <v>2301.2199999999993</v>
      </c>
      <c r="AC432" s="158" t="s">
        <v>975</v>
      </c>
      <c r="AD432" s="158"/>
    </row>
    <row r="433" spans="1:30" ht="12.75" customHeight="1" x14ac:dyDescent="0.3">
      <c r="A433" s="147">
        <v>24</v>
      </c>
      <c r="B433" s="158" t="s">
        <v>922</v>
      </c>
      <c r="C433" s="158" t="s">
        <v>347</v>
      </c>
      <c r="D433" s="158" t="s">
        <v>20</v>
      </c>
      <c r="E433" s="160" t="s">
        <v>25</v>
      </c>
      <c r="F433" s="158" t="s">
        <v>25</v>
      </c>
      <c r="G433" s="160" t="s">
        <v>866</v>
      </c>
      <c r="H433" s="161">
        <v>7530.61</v>
      </c>
      <c r="I433" s="161">
        <v>-76.8</v>
      </c>
      <c r="J433" s="161">
        <v>0</v>
      </c>
      <c r="K433" s="161">
        <v>0</v>
      </c>
      <c r="L433" s="161">
        <v>-2292.89</v>
      </c>
      <c r="M433" s="161">
        <v>-35</v>
      </c>
      <c r="N433" s="161">
        <v>0</v>
      </c>
      <c r="O433" s="162">
        <f t="shared" si="36"/>
        <v>5125.92</v>
      </c>
      <c r="P433" s="161">
        <v>-2500</v>
      </c>
      <c r="Q433" s="161">
        <v>-500</v>
      </c>
      <c r="R433" s="161">
        <v>0</v>
      </c>
      <c r="S433" s="161">
        <v>0</v>
      </c>
      <c r="T433" s="161">
        <v>0</v>
      </c>
      <c r="U433" s="161">
        <v>0</v>
      </c>
      <c r="V433" s="161">
        <v>0</v>
      </c>
      <c r="W433" s="161">
        <f t="shared" si="37"/>
        <v>2125.92</v>
      </c>
      <c r="X433" s="161">
        <f t="shared" si="38"/>
        <v>2125.92</v>
      </c>
      <c r="Y433" s="161">
        <f t="shared" si="39"/>
        <v>0</v>
      </c>
      <c r="Z433" s="161">
        <v>0</v>
      </c>
      <c r="AA433" s="161">
        <f t="shared" si="40"/>
        <v>0</v>
      </c>
      <c r="AB433" s="161">
        <f t="shared" si="41"/>
        <v>3000</v>
      </c>
      <c r="AC433" s="158"/>
      <c r="AD433" s="158"/>
    </row>
    <row r="434" spans="1:30" ht="12.75" customHeight="1" x14ac:dyDescent="0.3">
      <c r="A434" s="147">
        <v>24</v>
      </c>
      <c r="B434" s="158" t="s">
        <v>924</v>
      </c>
      <c r="C434" s="158" t="s">
        <v>100</v>
      </c>
      <c r="D434" s="158" t="s">
        <v>953</v>
      </c>
      <c r="E434" s="160" t="s">
        <v>25</v>
      </c>
      <c r="F434" s="158" t="s">
        <v>25</v>
      </c>
      <c r="G434" s="160" t="s">
        <v>866</v>
      </c>
      <c r="H434" s="161">
        <v>510.37</v>
      </c>
      <c r="I434" s="161">
        <v>0</v>
      </c>
      <c r="J434" s="161">
        <v>0</v>
      </c>
      <c r="K434" s="161">
        <v>0</v>
      </c>
      <c r="L434" s="161">
        <v>-351.39</v>
      </c>
      <c r="M434" s="161">
        <v>-28</v>
      </c>
      <c r="N434" s="161">
        <v>-1319</v>
      </c>
      <c r="O434" s="162">
        <f t="shared" si="36"/>
        <v>-1188.02</v>
      </c>
      <c r="P434" s="161">
        <v>-2500</v>
      </c>
      <c r="Q434" s="161">
        <v>-1546</v>
      </c>
      <c r="R434" s="161">
        <v>0</v>
      </c>
      <c r="S434" s="161">
        <v>0</v>
      </c>
      <c r="T434" s="161">
        <v>0</v>
      </c>
      <c r="U434" s="161">
        <v>0</v>
      </c>
      <c r="V434" s="161">
        <v>0</v>
      </c>
      <c r="W434" s="161">
        <f t="shared" si="37"/>
        <v>-5234.0200000000004</v>
      </c>
      <c r="X434" s="161">
        <f t="shared" si="38"/>
        <v>0</v>
      </c>
      <c r="Y434" s="161">
        <f t="shared" si="39"/>
        <v>-5234.0200000000004</v>
      </c>
      <c r="Z434" s="161">
        <v>2500</v>
      </c>
      <c r="AA434" s="161">
        <f t="shared" si="40"/>
        <v>-2734.0200000000004</v>
      </c>
      <c r="AB434" s="161">
        <f t="shared" si="41"/>
        <v>-1422.0400000000004</v>
      </c>
      <c r="AC434" s="158" t="s">
        <v>975</v>
      </c>
      <c r="AD434" s="158"/>
    </row>
    <row r="435" spans="1:30" ht="12.75" customHeight="1" x14ac:dyDescent="0.3">
      <c r="A435" s="147">
        <v>25</v>
      </c>
      <c r="B435" s="158" t="s">
        <v>585</v>
      </c>
      <c r="C435" s="158" t="s">
        <v>64</v>
      </c>
      <c r="D435" s="158" t="s">
        <v>949</v>
      </c>
      <c r="E435" s="160" t="s">
        <v>25</v>
      </c>
      <c r="F435" s="158" t="s">
        <v>25</v>
      </c>
      <c r="G435" s="160" t="s">
        <v>866</v>
      </c>
      <c r="H435" s="161">
        <v>157.41</v>
      </c>
      <c r="I435" s="161">
        <v>0</v>
      </c>
      <c r="J435" s="161">
        <v>0</v>
      </c>
      <c r="K435" s="161">
        <v>0</v>
      </c>
      <c r="L435" s="161">
        <v>0</v>
      </c>
      <c r="M435" s="162">
        <v>-28</v>
      </c>
      <c r="N435" s="161">
        <v>0</v>
      </c>
      <c r="O435" s="162">
        <f t="shared" si="36"/>
        <v>129.41</v>
      </c>
      <c r="P435" s="161">
        <v>-2500</v>
      </c>
      <c r="Q435" s="161">
        <v>0</v>
      </c>
      <c r="R435" s="161">
        <v>0</v>
      </c>
      <c r="S435" s="161">
        <v>0</v>
      </c>
      <c r="T435" s="161">
        <v>-500</v>
      </c>
      <c r="U435" s="161">
        <v>0</v>
      </c>
      <c r="V435" s="161">
        <v>0</v>
      </c>
      <c r="W435" s="161">
        <f t="shared" si="37"/>
        <v>-2870.59</v>
      </c>
      <c r="X435" s="161">
        <f t="shared" si="38"/>
        <v>0</v>
      </c>
      <c r="Y435" s="161">
        <f t="shared" si="39"/>
        <v>-2870.59</v>
      </c>
      <c r="Z435" s="161">
        <v>2871</v>
      </c>
      <c r="AA435" s="161">
        <f t="shared" si="40"/>
        <v>0.40999999999985448</v>
      </c>
      <c r="AB435" s="161">
        <f t="shared" si="41"/>
        <v>3000.8199999999997</v>
      </c>
      <c r="AC435" s="158" t="s">
        <v>927</v>
      </c>
      <c r="AD435" s="158"/>
    </row>
    <row r="436" spans="1:30" ht="12.75" customHeight="1" x14ac:dyDescent="0.3">
      <c r="A436" s="147">
        <v>25</v>
      </c>
      <c r="B436" s="158" t="s">
        <v>976</v>
      </c>
      <c r="C436" s="158" t="s">
        <v>863</v>
      </c>
      <c r="D436" s="158" t="s">
        <v>864</v>
      </c>
      <c r="E436" s="160" t="s">
        <v>25</v>
      </c>
      <c r="F436" s="158" t="s">
        <v>25</v>
      </c>
      <c r="G436" s="160" t="s">
        <v>866</v>
      </c>
      <c r="H436" s="161">
        <v>1472.64</v>
      </c>
      <c r="I436" s="161">
        <v>0</v>
      </c>
      <c r="J436" s="161">
        <v>0</v>
      </c>
      <c r="K436" s="161">
        <v>0</v>
      </c>
      <c r="L436" s="161">
        <v>-50.51</v>
      </c>
      <c r="M436" s="162">
        <v>-30</v>
      </c>
      <c r="N436" s="161">
        <v>0</v>
      </c>
      <c r="O436" s="162">
        <f t="shared" si="36"/>
        <v>1392.13</v>
      </c>
      <c r="P436" s="161">
        <v>-714</v>
      </c>
      <c r="Q436" s="161">
        <v>0</v>
      </c>
      <c r="R436" s="161">
        <v>-142</v>
      </c>
      <c r="S436" s="161">
        <v>0</v>
      </c>
      <c r="T436" s="161">
        <v>0</v>
      </c>
      <c r="U436" s="161">
        <v>-400</v>
      </c>
      <c r="V436" s="161">
        <v>0</v>
      </c>
      <c r="W436" s="161">
        <f t="shared" si="37"/>
        <v>136.13000000000011</v>
      </c>
      <c r="X436" s="161">
        <f t="shared" si="38"/>
        <v>136.13000000000011</v>
      </c>
      <c r="Y436" s="161">
        <f t="shared" si="39"/>
        <v>0</v>
      </c>
      <c r="Z436" s="161">
        <v>0</v>
      </c>
      <c r="AA436" s="161">
        <f t="shared" si="40"/>
        <v>0</v>
      </c>
      <c r="AB436" s="161">
        <f t="shared" si="41"/>
        <v>1256</v>
      </c>
      <c r="AC436" s="158"/>
      <c r="AD436" s="158"/>
    </row>
    <row r="437" spans="1:30" ht="12.75" customHeight="1" x14ac:dyDescent="0.3">
      <c r="A437" s="147">
        <v>25</v>
      </c>
      <c r="B437" s="158" t="s">
        <v>954</v>
      </c>
      <c r="C437" s="158" t="s">
        <v>68</v>
      </c>
      <c r="D437" s="158" t="s">
        <v>869</v>
      </c>
      <c r="E437" s="160" t="s">
        <v>25</v>
      </c>
      <c r="F437" s="158" t="s">
        <v>25</v>
      </c>
      <c r="G437" s="160" t="s">
        <v>866</v>
      </c>
      <c r="H437" s="161">
        <v>3164.71</v>
      </c>
      <c r="I437" s="161">
        <v>-21.42</v>
      </c>
      <c r="J437" s="161">
        <v>0</v>
      </c>
      <c r="K437" s="161">
        <v>0</v>
      </c>
      <c r="L437" s="161">
        <v>0</v>
      </c>
      <c r="M437" s="162">
        <v>-35</v>
      </c>
      <c r="N437" s="161">
        <v>0</v>
      </c>
      <c r="O437" s="162">
        <f t="shared" si="36"/>
        <v>3108.29</v>
      </c>
      <c r="P437" s="161">
        <v>-2500</v>
      </c>
      <c r="Q437" s="161">
        <v>0</v>
      </c>
      <c r="R437" s="161">
        <v>-500</v>
      </c>
      <c r="S437" s="161">
        <v>0</v>
      </c>
      <c r="T437" s="161">
        <v>0</v>
      </c>
      <c r="U437" s="161">
        <v>0</v>
      </c>
      <c r="V437" s="161">
        <v>0</v>
      </c>
      <c r="W437" s="161">
        <f t="shared" si="37"/>
        <v>108.28999999999996</v>
      </c>
      <c r="X437" s="161">
        <f t="shared" si="38"/>
        <v>108.28999999999996</v>
      </c>
      <c r="Y437" s="161">
        <f t="shared" si="39"/>
        <v>0</v>
      </c>
      <c r="Z437" s="161">
        <v>0</v>
      </c>
      <c r="AA437" s="161">
        <f t="shared" si="40"/>
        <v>0</v>
      </c>
      <c r="AB437" s="161">
        <f t="shared" si="41"/>
        <v>3000</v>
      </c>
      <c r="AC437" s="158"/>
      <c r="AD437" s="158"/>
    </row>
    <row r="438" spans="1:30" ht="12.75" customHeight="1" x14ac:dyDescent="0.3">
      <c r="A438" s="147">
        <v>25</v>
      </c>
      <c r="B438" s="158" t="s">
        <v>944</v>
      </c>
      <c r="C438" s="158" t="s">
        <v>372</v>
      </c>
      <c r="D438" s="158" t="s">
        <v>945</v>
      </c>
      <c r="E438" s="158" t="s">
        <v>39</v>
      </c>
      <c r="F438" s="158" t="s">
        <v>39</v>
      </c>
      <c r="G438" s="160" t="s">
        <v>866</v>
      </c>
      <c r="H438" s="161">
        <v>5627.4</v>
      </c>
      <c r="I438" s="161">
        <v>-43.15</v>
      </c>
      <c r="J438" s="161">
        <v>0</v>
      </c>
      <c r="K438" s="161">
        <v>0</v>
      </c>
      <c r="L438" s="161">
        <v>-1692.5</v>
      </c>
      <c r="M438" s="162">
        <v>-32</v>
      </c>
      <c r="N438" s="161">
        <v>0</v>
      </c>
      <c r="O438" s="162">
        <f t="shared" si="36"/>
        <v>3859.75</v>
      </c>
      <c r="P438" s="161">
        <v>-1964</v>
      </c>
      <c r="Q438" s="161">
        <v>-886</v>
      </c>
      <c r="R438" s="161">
        <v>-500</v>
      </c>
      <c r="S438" s="161">
        <v>0</v>
      </c>
      <c r="T438" s="161">
        <v>0</v>
      </c>
      <c r="U438" s="161">
        <v>0</v>
      </c>
      <c r="V438" s="161">
        <v>0</v>
      </c>
      <c r="W438" s="161">
        <f t="shared" si="37"/>
        <v>509.75</v>
      </c>
      <c r="X438" s="161">
        <f t="shared" si="38"/>
        <v>509.75</v>
      </c>
      <c r="Y438" s="161">
        <f t="shared" si="39"/>
        <v>0</v>
      </c>
      <c r="Z438" s="161">
        <v>0</v>
      </c>
      <c r="AA438" s="161">
        <f t="shared" si="40"/>
        <v>0</v>
      </c>
      <c r="AB438" s="161">
        <f t="shared" si="41"/>
        <v>3350</v>
      </c>
      <c r="AC438" s="158"/>
      <c r="AD438" s="158"/>
    </row>
    <row r="439" spans="1:30" ht="12.75" customHeight="1" x14ac:dyDescent="0.3">
      <c r="A439" s="147">
        <v>25</v>
      </c>
      <c r="B439" s="158" t="s">
        <v>913</v>
      </c>
      <c r="C439" s="158" t="s">
        <v>46</v>
      </c>
      <c r="D439" s="158" t="s">
        <v>915</v>
      </c>
      <c r="E439" s="160" t="s">
        <v>25</v>
      </c>
      <c r="F439" s="158" t="s">
        <v>25</v>
      </c>
      <c r="G439" s="160" t="s">
        <v>866</v>
      </c>
      <c r="H439" s="161">
        <v>6540.32</v>
      </c>
      <c r="I439" s="161">
        <v>-27.2</v>
      </c>
      <c r="J439" s="161">
        <v>0</v>
      </c>
      <c r="K439" s="161">
        <v>0</v>
      </c>
      <c r="L439" s="161">
        <v>-3489.16</v>
      </c>
      <c r="M439" s="162">
        <v>-25</v>
      </c>
      <c r="N439" s="161">
        <v>0</v>
      </c>
      <c r="O439" s="162">
        <f t="shared" si="36"/>
        <v>2998.96</v>
      </c>
      <c r="P439" s="161">
        <v>-2500</v>
      </c>
      <c r="Q439" s="161">
        <v>0</v>
      </c>
      <c r="R439" s="161">
        <v>-500</v>
      </c>
      <c r="S439" s="161">
        <v>0</v>
      </c>
      <c r="T439" s="161">
        <v>0</v>
      </c>
      <c r="U439" s="161">
        <v>85</v>
      </c>
      <c r="V439" s="161">
        <v>0</v>
      </c>
      <c r="W439" s="161">
        <f t="shared" si="37"/>
        <v>83.960000000000036</v>
      </c>
      <c r="X439" s="161">
        <f t="shared" si="38"/>
        <v>83.960000000000036</v>
      </c>
      <c r="Y439" s="161">
        <f t="shared" si="39"/>
        <v>0</v>
      </c>
      <c r="Z439" s="161">
        <v>0</v>
      </c>
      <c r="AA439" s="161">
        <f t="shared" si="40"/>
        <v>0</v>
      </c>
      <c r="AB439" s="161">
        <f t="shared" si="41"/>
        <v>2915</v>
      </c>
      <c r="AC439" s="158"/>
      <c r="AD439" s="158"/>
    </row>
    <row r="440" spans="1:30" ht="12.75" customHeight="1" x14ac:dyDescent="0.3">
      <c r="A440" s="147">
        <v>25</v>
      </c>
      <c r="B440" s="158" t="s">
        <v>929</v>
      </c>
      <c r="C440" s="158" t="s">
        <v>169</v>
      </c>
      <c r="D440" s="158" t="s">
        <v>20</v>
      </c>
      <c r="E440" s="160" t="s">
        <v>871</v>
      </c>
      <c r="F440" s="158" t="s">
        <v>20</v>
      </c>
      <c r="G440" s="160" t="s">
        <v>866</v>
      </c>
      <c r="H440" s="161">
        <v>0</v>
      </c>
      <c r="I440" s="161">
        <v>0</v>
      </c>
      <c r="J440" s="161">
        <v>0</v>
      </c>
      <c r="K440" s="161">
        <v>0</v>
      </c>
      <c r="L440" s="161">
        <v>0</v>
      </c>
      <c r="M440" s="162">
        <v>0</v>
      </c>
      <c r="N440" s="161">
        <v>0</v>
      </c>
      <c r="O440" s="162">
        <f t="shared" si="36"/>
        <v>0</v>
      </c>
      <c r="P440" s="161">
        <v>0</v>
      </c>
      <c r="Q440" s="161">
        <v>0</v>
      </c>
      <c r="R440" s="161">
        <v>0</v>
      </c>
      <c r="S440" s="161">
        <v>0</v>
      </c>
      <c r="T440" s="161">
        <v>0</v>
      </c>
      <c r="U440" s="161">
        <v>0</v>
      </c>
      <c r="V440" s="161">
        <v>0</v>
      </c>
      <c r="W440" s="161">
        <f t="shared" si="37"/>
        <v>0</v>
      </c>
      <c r="X440" s="161">
        <f t="shared" si="38"/>
        <v>0</v>
      </c>
      <c r="Y440" s="161">
        <f t="shared" si="39"/>
        <v>0</v>
      </c>
      <c r="Z440" s="161">
        <v>0</v>
      </c>
      <c r="AA440" s="161">
        <f t="shared" si="40"/>
        <v>0</v>
      </c>
      <c r="AB440" s="161">
        <f t="shared" si="41"/>
        <v>0</v>
      </c>
      <c r="AC440" s="158" t="s">
        <v>861</v>
      </c>
      <c r="AD440" s="158"/>
    </row>
    <row r="441" spans="1:30" ht="12.75" customHeight="1" x14ac:dyDescent="0.3">
      <c r="A441" s="147">
        <v>25</v>
      </c>
      <c r="B441" s="158" t="s">
        <v>457</v>
      </c>
      <c r="C441" s="158" t="s">
        <v>183</v>
      </c>
      <c r="D441" s="158" t="s">
        <v>887</v>
      </c>
      <c r="E441" s="160" t="s">
        <v>25</v>
      </c>
      <c r="F441" s="158" t="s">
        <v>25</v>
      </c>
      <c r="G441" s="160" t="s">
        <v>866</v>
      </c>
      <c r="H441" s="161">
        <v>4207.7299999999996</v>
      </c>
      <c r="I441" s="161">
        <v>0</v>
      </c>
      <c r="J441" s="161">
        <v>0</v>
      </c>
      <c r="K441" s="161">
        <v>0</v>
      </c>
      <c r="L441" s="161">
        <v>-1228.05</v>
      </c>
      <c r="M441" s="162">
        <v>-25</v>
      </c>
      <c r="N441" s="161">
        <v>-82</v>
      </c>
      <c r="O441" s="162">
        <f t="shared" si="36"/>
        <v>2872.6799999999994</v>
      </c>
      <c r="P441" s="161">
        <v>-2500</v>
      </c>
      <c r="Q441" s="161">
        <v>-541</v>
      </c>
      <c r="R441" s="161">
        <v>-500</v>
      </c>
      <c r="S441" s="161">
        <v>0</v>
      </c>
      <c r="T441" s="161">
        <v>0</v>
      </c>
      <c r="U441" s="161">
        <v>-325</v>
      </c>
      <c r="V441" s="161">
        <v>0</v>
      </c>
      <c r="W441" s="161">
        <f t="shared" si="37"/>
        <v>-993.32000000000062</v>
      </c>
      <c r="X441" s="161">
        <f t="shared" si="38"/>
        <v>0</v>
      </c>
      <c r="Y441" s="161">
        <f t="shared" si="39"/>
        <v>-993.32000000000062</v>
      </c>
      <c r="Z441" s="161">
        <v>127</v>
      </c>
      <c r="AA441" s="161">
        <f t="shared" si="40"/>
        <v>-866.32000000000062</v>
      </c>
      <c r="AB441" s="161">
        <f t="shared" si="41"/>
        <v>2133.3599999999988</v>
      </c>
      <c r="AC441" s="158" t="s">
        <v>966</v>
      </c>
      <c r="AD441" s="158"/>
    </row>
    <row r="442" spans="1:30" ht="12.75" customHeight="1" x14ac:dyDescent="0.3">
      <c r="A442" s="147">
        <v>25</v>
      </c>
      <c r="B442" s="158" t="s">
        <v>890</v>
      </c>
      <c r="C442" s="158" t="s">
        <v>42</v>
      </c>
      <c r="D442" s="158" t="s">
        <v>948</v>
      </c>
      <c r="E442" s="160" t="s">
        <v>25</v>
      </c>
      <c r="F442" s="158" t="s">
        <v>25</v>
      </c>
      <c r="G442" s="160" t="s">
        <v>866</v>
      </c>
      <c r="H442" s="161">
        <v>4718.33</v>
      </c>
      <c r="I442" s="161">
        <v>0</v>
      </c>
      <c r="J442" s="161">
        <v>0</v>
      </c>
      <c r="K442" s="161">
        <v>0</v>
      </c>
      <c r="L442" s="161">
        <v>-767.94</v>
      </c>
      <c r="M442" s="162">
        <v>-25</v>
      </c>
      <c r="N442" s="161">
        <v>0</v>
      </c>
      <c r="O442" s="162">
        <f t="shared" si="36"/>
        <v>3925.39</v>
      </c>
      <c r="P442" s="161">
        <v>-2500</v>
      </c>
      <c r="Q442" s="161">
        <v>0</v>
      </c>
      <c r="R442" s="161">
        <v>0</v>
      </c>
      <c r="S442" s="161">
        <v>-500</v>
      </c>
      <c r="T442" s="161">
        <v>0</v>
      </c>
      <c r="U442" s="161">
        <v>0</v>
      </c>
      <c r="V442" s="161">
        <v>0</v>
      </c>
      <c r="W442" s="161">
        <f t="shared" si="37"/>
        <v>925.38999999999987</v>
      </c>
      <c r="X442" s="161">
        <f t="shared" si="38"/>
        <v>925.38999999999987</v>
      </c>
      <c r="Y442" s="161">
        <f t="shared" si="39"/>
        <v>0</v>
      </c>
      <c r="Z442" s="161">
        <v>0</v>
      </c>
      <c r="AA442" s="161">
        <f t="shared" si="40"/>
        <v>0</v>
      </c>
      <c r="AB442" s="161">
        <f t="shared" si="41"/>
        <v>3000</v>
      </c>
      <c r="AC442" s="158"/>
      <c r="AD442" s="158"/>
    </row>
    <row r="443" spans="1:30" ht="12.75" customHeight="1" x14ac:dyDescent="0.3">
      <c r="A443" s="147">
        <v>25</v>
      </c>
      <c r="B443" s="158" t="s">
        <v>872</v>
      </c>
      <c r="C443" s="158" t="s">
        <v>256</v>
      </c>
      <c r="D443" s="158" t="s">
        <v>20</v>
      </c>
      <c r="E443" s="160" t="s">
        <v>871</v>
      </c>
      <c r="F443" s="158" t="s">
        <v>39</v>
      </c>
      <c r="G443" s="160" t="s">
        <v>866</v>
      </c>
      <c r="H443" s="161">
        <v>5398.1</v>
      </c>
      <c r="I443" s="161">
        <v>-48</v>
      </c>
      <c r="J443" s="161">
        <v>0</v>
      </c>
      <c r="K443" s="161">
        <v>-43.77</v>
      </c>
      <c r="L443" s="161">
        <v>-1653.45</v>
      </c>
      <c r="M443" s="162">
        <v>-25</v>
      </c>
      <c r="N443" s="161">
        <v>0</v>
      </c>
      <c r="O443" s="162">
        <f t="shared" si="36"/>
        <v>3627.88</v>
      </c>
      <c r="P443" s="161">
        <v>-2500</v>
      </c>
      <c r="Q443" s="161">
        <v>0</v>
      </c>
      <c r="R443" s="161">
        <v>0</v>
      </c>
      <c r="S443" s="161">
        <v>0</v>
      </c>
      <c r="T443" s="161">
        <v>-650</v>
      </c>
      <c r="U443" s="161">
        <v>-800</v>
      </c>
      <c r="V443" s="161">
        <v>0</v>
      </c>
      <c r="W443" s="161">
        <f t="shared" si="37"/>
        <v>-322.11999999999989</v>
      </c>
      <c r="X443" s="161">
        <f t="shared" si="38"/>
        <v>0</v>
      </c>
      <c r="Y443" s="161">
        <f t="shared" si="39"/>
        <v>-322.11999999999989</v>
      </c>
      <c r="Z443" s="161">
        <v>0</v>
      </c>
      <c r="AA443" s="161">
        <f t="shared" si="40"/>
        <v>-322.11999999999989</v>
      </c>
      <c r="AB443" s="161">
        <f t="shared" si="41"/>
        <v>3305.76</v>
      </c>
      <c r="AC443" s="158" t="s">
        <v>980</v>
      </c>
      <c r="AD443" s="158"/>
    </row>
    <row r="444" spans="1:30" ht="12.75" customHeight="1" x14ac:dyDescent="0.3">
      <c r="A444" s="147">
        <v>25</v>
      </c>
      <c r="B444" s="158" t="s">
        <v>921</v>
      </c>
      <c r="C444" s="158" t="s">
        <v>257</v>
      </c>
      <c r="D444" s="158" t="s">
        <v>943</v>
      </c>
      <c r="E444" s="160" t="s">
        <v>25</v>
      </c>
      <c r="F444" s="158" t="s">
        <v>25</v>
      </c>
      <c r="G444" s="160" t="s">
        <v>866</v>
      </c>
      <c r="H444" s="161">
        <v>7853.11</v>
      </c>
      <c r="I444" s="161">
        <v>0</v>
      </c>
      <c r="J444" s="161">
        <v>0</v>
      </c>
      <c r="K444" s="161">
        <v>0</v>
      </c>
      <c r="L444" s="161">
        <v>-2851.01</v>
      </c>
      <c r="M444" s="162">
        <v>-43.62</v>
      </c>
      <c r="N444" s="161">
        <v>-54</v>
      </c>
      <c r="O444" s="162">
        <f t="shared" si="36"/>
        <v>4904.4799999999996</v>
      </c>
      <c r="P444" s="161">
        <v>-2500</v>
      </c>
      <c r="Q444" s="161">
        <v>0</v>
      </c>
      <c r="R444" s="161">
        <v>0</v>
      </c>
      <c r="S444" s="161">
        <v>0</v>
      </c>
      <c r="T444" s="161">
        <v>0</v>
      </c>
      <c r="U444" s="161">
        <v>0</v>
      </c>
      <c r="V444" s="161">
        <v>0</v>
      </c>
      <c r="W444" s="161">
        <f t="shared" si="37"/>
        <v>2404.4799999999996</v>
      </c>
      <c r="X444" s="161">
        <f t="shared" si="38"/>
        <v>2404.4799999999996</v>
      </c>
      <c r="Y444" s="161">
        <f t="shared" si="39"/>
        <v>0</v>
      </c>
      <c r="Z444" s="161">
        <v>0</v>
      </c>
      <c r="AA444" s="161">
        <f t="shared" si="40"/>
        <v>0</v>
      </c>
      <c r="AB444" s="161">
        <f t="shared" si="41"/>
        <v>2500</v>
      </c>
      <c r="AC444" s="158"/>
      <c r="AD444" s="158"/>
    </row>
    <row r="445" spans="1:30" ht="12.75" customHeight="1" x14ac:dyDescent="0.3">
      <c r="A445" s="147">
        <v>25</v>
      </c>
      <c r="B445" s="158" t="s">
        <v>874</v>
      </c>
      <c r="C445" s="158" t="s">
        <v>195</v>
      </c>
      <c r="D445" s="158" t="s">
        <v>964</v>
      </c>
      <c r="E445" s="160" t="s">
        <v>871</v>
      </c>
      <c r="F445" s="158" t="s">
        <v>39</v>
      </c>
      <c r="G445" s="160" t="s">
        <v>866</v>
      </c>
      <c r="H445" s="161">
        <v>0</v>
      </c>
      <c r="I445" s="161">
        <v>0</v>
      </c>
      <c r="J445" s="161">
        <v>0</v>
      </c>
      <c r="K445" s="161">
        <v>0</v>
      </c>
      <c r="L445" s="161">
        <v>0</v>
      </c>
      <c r="M445" s="162">
        <v>0</v>
      </c>
      <c r="N445" s="161">
        <v>0</v>
      </c>
      <c r="O445" s="162">
        <f t="shared" si="36"/>
        <v>0</v>
      </c>
      <c r="P445" s="161">
        <v>-2500</v>
      </c>
      <c r="Q445" s="161">
        <v>0</v>
      </c>
      <c r="R445" s="161">
        <v>0</v>
      </c>
      <c r="S445" s="161">
        <v>0</v>
      </c>
      <c r="T445" s="161">
        <v>0</v>
      </c>
      <c r="U445" s="161">
        <v>0</v>
      </c>
      <c r="V445" s="161">
        <v>0</v>
      </c>
      <c r="W445" s="161">
        <f t="shared" si="37"/>
        <v>-2500</v>
      </c>
      <c r="X445" s="161">
        <f t="shared" si="38"/>
        <v>0</v>
      </c>
      <c r="Y445" s="161">
        <f t="shared" si="39"/>
        <v>-2500</v>
      </c>
      <c r="Z445" s="161">
        <v>0</v>
      </c>
      <c r="AA445" s="161">
        <f t="shared" si="40"/>
        <v>-2500</v>
      </c>
      <c r="AB445" s="161">
        <f t="shared" si="41"/>
        <v>-2500</v>
      </c>
      <c r="AC445" s="158" t="s">
        <v>981</v>
      </c>
      <c r="AD445" s="158"/>
    </row>
    <row r="446" spans="1:30" ht="12.75" customHeight="1" x14ac:dyDescent="0.3">
      <c r="A446" s="147">
        <v>25</v>
      </c>
      <c r="B446" s="158" t="s">
        <v>918</v>
      </c>
      <c r="C446" s="158" t="s">
        <v>120</v>
      </c>
      <c r="D446" s="158" t="s">
        <v>950</v>
      </c>
      <c r="E446" s="158" t="s">
        <v>25</v>
      </c>
      <c r="F446" s="158" t="s">
        <v>25</v>
      </c>
      <c r="G446" s="160" t="s">
        <v>866</v>
      </c>
      <c r="H446" s="161">
        <v>6698.22</v>
      </c>
      <c r="I446" s="161">
        <v>-68.72</v>
      </c>
      <c r="J446" s="161">
        <v>0</v>
      </c>
      <c r="K446" s="161">
        <v>0</v>
      </c>
      <c r="L446" s="161">
        <v>-1495.29</v>
      </c>
      <c r="M446" s="162">
        <v>-28</v>
      </c>
      <c r="N446" s="161">
        <v>-106</v>
      </c>
      <c r="O446" s="162">
        <f t="shared" si="36"/>
        <v>5000.21</v>
      </c>
      <c r="P446" s="161">
        <v>-2500</v>
      </c>
      <c r="Q446" s="161">
        <v>0</v>
      </c>
      <c r="R446" s="161">
        <v>0</v>
      </c>
      <c r="S446" s="161">
        <v>0</v>
      </c>
      <c r="T446" s="161">
        <v>0</v>
      </c>
      <c r="U446" s="161">
        <v>0</v>
      </c>
      <c r="V446" s="161">
        <v>0</v>
      </c>
      <c r="W446" s="161">
        <f t="shared" si="37"/>
        <v>2500.21</v>
      </c>
      <c r="X446" s="161">
        <f t="shared" si="38"/>
        <v>2500.21</v>
      </c>
      <c r="Y446" s="161">
        <f t="shared" si="39"/>
        <v>0</v>
      </c>
      <c r="Z446" s="161">
        <v>0</v>
      </c>
      <c r="AA446" s="161">
        <f t="shared" si="40"/>
        <v>0</v>
      </c>
      <c r="AB446" s="161">
        <f t="shared" si="41"/>
        <v>2500</v>
      </c>
      <c r="AC446" s="158"/>
      <c r="AD446" s="158"/>
    </row>
    <row r="447" spans="1:30" ht="12.75" customHeight="1" x14ac:dyDescent="0.3">
      <c r="A447" s="147">
        <v>25</v>
      </c>
      <c r="B447" s="158" t="s">
        <v>955</v>
      </c>
      <c r="C447" s="158" t="s">
        <v>59</v>
      </c>
      <c r="D447" s="158" t="s">
        <v>895</v>
      </c>
      <c r="E447" s="177" t="s">
        <v>25</v>
      </c>
      <c r="F447" s="179" t="s">
        <v>25</v>
      </c>
      <c r="G447" s="160" t="s">
        <v>866</v>
      </c>
      <c r="H447" s="161">
        <v>4706.92</v>
      </c>
      <c r="I447" s="161">
        <v>0</v>
      </c>
      <c r="J447" s="161">
        <v>0</v>
      </c>
      <c r="K447" s="161">
        <v>0</v>
      </c>
      <c r="L447" s="161">
        <v>-3069.73</v>
      </c>
      <c r="M447" s="162">
        <v>-30</v>
      </c>
      <c r="N447" s="161">
        <v>-109</v>
      </c>
      <c r="O447" s="162">
        <f t="shared" si="36"/>
        <v>1498.19</v>
      </c>
      <c r="P447" s="161">
        <v>-2500</v>
      </c>
      <c r="Q447" s="161">
        <v>0</v>
      </c>
      <c r="R447" s="161">
        <v>0</v>
      </c>
      <c r="S447" s="161">
        <v>0</v>
      </c>
      <c r="T447" s="161">
        <v>0</v>
      </c>
      <c r="U447" s="161">
        <v>0</v>
      </c>
      <c r="V447" s="161">
        <v>0</v>
      </c>
      <c r="W447" s="161">
        <f t="shared" si="37"/>
        <v>-1001.81</v>
      </c>
      <c r="X447" s="161">
        <f t="shared" si="38"/>
        <v>0</v>
      </c>
      <c r="Y447" s="161">
        <f t="shared" si="39"/>
        <v>-1001.81</v>
      </c>
      <c r="Z447" s="161">
        <v>1000</v>
      </c>
      <c r="AA447" s="161">
        <f t="shared" si="40"/>
        <v>-1.8099999999999454</v>
      </c>
      <c r="AB447" s="161">
        <f t="shared" si="41"/>
        <v>2496.38</v>
      </c>
      <c r="AC447" s="158" t="s">
        <v>982</v>
      </c>
      <c r="AD447" s="158"/>
    </row>
    <row r="448" spans="1:30" ht="12.75" customHeight="1" x14ac:dyDescent="0.3">
      <c r="A448" s="147">
        <v>25</v>
      </c>
      <c r="B448" s="158" t="s">
        <v>876</v>
      </c>
      <c r="C448" s="158" t="s">
        <v>150</v>
      </c>
      <c r="D448" s="160" t="s">
        <v>877</v>
      </c>
      <c r="E448" s="160" t="s">
        <v>25</v>
      </c>
      <c r="F448" s="158" t="s">
        <v>25</v>
      </c>
      <c r="G448" s="160" t="s">
        <v>866</v>
      </c>
      <c r="H448" s="161">
        <v>2886.81</v>
      </c>
      <c r="I448" s="161">
        <v>0</v>
      </c>
      <c r="J448" s="161">
        <v>0</v>
      </c>
      <c r="K448" s="161">
        <v>0</v>
      </c>
      <c r="L448" s="161">
        <v>-878.01</v>
      </c>
      <c r="M448" s="162">
        <v>-28</v>
      </c>
      <c r="N448" s="161">
        <v>-95</v>
      </c>
      <c r="O448" s="162">
        <f t="shared" si="36"/>
        <v>1885.8</v>
      </c>
      <c r="P448" s="161">
        <v>-2500</v>
      </c>
      <c r="Q448" s="161">
        <v>0</v>
      </c>
      <c r="R448" s="161">
        <v>0</v>
      </c>
      <c r="S448" s="161">
        <v>0</v>
      </c>
      <c r="T448" s="161">
        <v>0</v>
      </c>
      <c r="U448" s="161">
        <v>0</v>
      </c>
      <c r="V448" s="161">
        <v>0</v>
      </c>
      <c r="W448" s="161">
        <f t="shared" si="37"/>
        <v>-614.20000000000005</v>
      </c>
      <c r="X448" s="161">
        <f t="shared" si="38"/>
        <v>0</v>
      </c>
      <c r="Y448" s="161">
        <f t="shared" si="39"/>
        <v>-614.20000000000005</v>
      </c>
      <c r="Z448" s="161">
        <v>0</v>
      </c>
      <c r="AA448" s="161">
        <f t="shared" si="40"/>
        <v>-614.20000000000005</v>
      </c>
      <c r="AB448" s="161">
        <f t="shared" si="41"/>
        <v>1271.5999999999999</v>
      </c>
      <c r="AC448" s="158" t="s">
        <v>983</v>
      </c>
      <c r="AD448" s="158"/>
    </row>
    <row r="449" spans="1:30" ht="12.75" customHeight="1" x14ac:dyDescent="0.3">
      <c r="A449" s="147">
        <v>25</v>
      </c>
      <c r="B449" s="158" t="s">
        <v>484</v>
      </c>
      <c r="C449" s="158" t="s">
        <v>426</v>
      </c>
      <c r="D449" s="158" t="s">
        <v>903</v>
      </c>
      <c r="E449" s="160" t="s">
        <v>25</v>
      </c>
      <c r="F449" s="158" t="s">
        <v>25</v>
      </c>
      <c r="G449" s="160" t="s">
        <v>866</v>
      </c>
      <c r="H449" s="161">
        <v>8001.7</v>
      </c>
      <c r="I449" s="161">
        <v>-103.2</v>
      </c>
      <c r="J449" s="161">
        <v>0</v>
      </c>
      <c r="K449" s="161">
        <v>0</v>
      </c>
      <c r="L449" s="161">
        <v>-3884.6</v>
      </c>
      <c r="M449" s="162">
        <v>-28</v>
      </c>
      <c r="N449" s="161">
        <v>0</v>
      </c>
      <c r="O449" s="162">
        <f t="shared" si="36"/>
        <v>3985.9</v>
      </c>
      <c r="P449" s="161">
        <v>-2500</v>
      </c>
      <c r="Q449" s="161">
        <v>-49</v>
      </c>
      <c r="R449" s="161">
        <v>0</v>
      </c>
      <c r="S449" s="161">
        <v>0</v>
      </c>
      <c r="T449" s="161">
        <v>0</v>
      </c>
      <c r="U449" s="161">
        <v>0</v>
      </c>
      <c r="V449" s="161">
        <v>0</v>
      </c>
      <c r="W449" s="161">
        <f t="shared" si="37"/>
        <v>1436.9</v>
      </c>
      <c r="X449" s="161">
        <f t="shared" si="38"/>
        <v>1436.9</v>
      </c>
      <c r="Y449" s="161">
        <f t="shared" si="39"/>
        <v>0</v>
      </c>
      <c r="Z449" s="161">
        <v>0</v>
      </c>
      <c r="AA449" s="161">
        <f t="shared" si="40"/>
        <v>0</v>
      </c>
      <c r="AB449" s="161">
        <f t="shared" si="41"/>
        <v>2549</v>
      </c>
      <c r="AC449" s="158" t="s">
        <v>984</v>
      </c>
      <c r="AD449" s="158"/>
    </row>
    <row r="450" spans="1:30" ht="12.75" customHeight="1" x14ac:dyDescent="0.3">
      <c r="A450" s="147">
        <v>25</v>
      </c>
      <c r="B450" s="158" t="s">
        <v>408</v>
      </c>
      <c r="C450" s="158" t="s">
        <v>878</v>
      </c>
      <c r="D450" s="158" t="s">
        <v>972</v>
      </c>
      <c r="E450" s="160" t="s">
        <v>25</v>
      </c>
      <c r="F450" s="158" t="s">
        <v>39</v>
      </c>
      <c r="G450" s="160" t="s">
        <v>866</v>
      </c>
      <c r="H450" s="161">
        <v>964.94</v>
      </c>
      <c r="I450" s="161">
        <v>-4.13</v>
      </c>
      <c r="J450" s="161">
        <v>0</v>
      </c>
      <c r="K450" s="161">
        <v>0</v>
      </c>
      <c r="L450" s="161">
        <v>-229.92</v>
      </c>
      <c r="M450" s="162">
        <v>-38</v>
      </c>
      <c r="N450" s="161">
        <v>-71</v>
      </c>
      <c r="O450" s="162">
        <f t="shared" ref="O450:O513" si="42">SUM(H450:N450)</f>
        <v>621.8900000000001</v>
      </c>
      <c r="P450" s="161">
        <v>-2500</v>
      </c>
      <c r="Q450" s="161">
        <v>0</v>
      </c>
      <c r="R450" s="161">
        <v>0</v>
      </c>
      <c r="S450" s="161">
        <v>0</v>
      </c>
      <c r="T450" s="161">
        <v>0</v>
      </c>
      <c r="U450" s="161">
        <v>0</v>
      </c>
      <c r="V450" s="161">
        <v>0</v>
      </c>
      <c r="W450" s="161">
        <f t="shared" ref="W450:W513" si="43">+O450+SUM(P450:V450)</f>
        <v>-1878.11</v>
      </c>
      <c r="X450" s="161">
        <f t="shared" ref="X450:X513" si="44">IF(W450&gt;=0,W450,0)</f>
        <v>0</v>
      </c>
      <c r="Y450" s="161">
        <f t="shared" ref="Y450:Y513" si="45">IF(W450&lt;=0,W450,0)</f>
        <v>-1878.11</v>
      </c>
      <c r="Z450" s="161">
        <v>1800</v>
      </c>
      <c r="AA450" s="161">
        <f t="shared" ref="AA450:AA513" si="46">+Y450+Z450</f>
        <v>-78.1099999999999</v>
      </c>
      <c r="AB450" s="161">
        <f t="shared" ref="AB450:AB513" si="47">+O450-X450+Z450+AA450</f>
        <v>2343.7800000000007</v>
      </c>
      <c r="AC450" s="158" t="s">
        <v>982</v>
      </c>
      <c r="AD450" s="158"/>
    </row>
    <row r="451" spans="1:30" ht="12.75" customHeight="1" x14ac:dyDescent="0.3">
      <c r="A451" s="147">
        <v>25</v>
      </c>
      <c r="B451" s="158" t="s">
        <v>962</v>
      </c>
      <c r="C451" s="158" t="s">
        <v>123</v>
      </c>
      <c r="D451" s="158" t="s">
        <v>20</v>
      </c>
      <c r="E451" s="160" t="s">
        <v>871</v>
      </c>
      <c r="F451" s="158" t="s">
        <v>39</v>
      </c>
      <c r="G451" s="160" t="s">
        <v>866</v>
      </c>
      <c r="H451" s="161">
        <v>2799</v>
      </c>
      <c r="I451" s="161">
        <v>0</v>
      </c>
      <c r="J451" s="161">
        <v>0</v>
      </c>
      <c r="K451" s="161">
        <v>0</v>
      </c>
      <c r="L451" s="161">
        <v>-703.8</v>
      </c>
      <c r="M451" s="162">
        <v>-28</v>
      </c>
      <c r="N451" s="161">
        <v>0</v>
      </c>
      <c r="O451" s="162">
        <f t="shared" si="42"/>
        <v>2067.1999999999998</v>
      </c>
      <c r="P451" s="161">
        <v>-2500</v>
      </c>
      <c r="Q451" s="161">
        <v>-31</v>
      </c>
      <c r="R451" s="161">
        <v>-500</v>
      </c>
      <c r="S451" s="161">
        <v>0</v>
      </c>
      <c r="T451" s="161">
        <v>0</v>
      </c>
      <c r="U451" s="161">
        <v>0</v>
      </c>
      <c r="V451" s="161">
        <v>0</v>
      </c>
      <c r="W451" s="161">
        <f t="shared" si="43"/>
        <v>-963.80000000000018</v>
      </c>
      <c r="X451" s="161">
        <f t="shared" si="44"/>
        <v>0</v>
      </c>
      <c r="Y451" s="161">
        <f t="shared" si="45"/>
        <v>-963.80000000000018</v>
      </c>
      <c r="Z451" s="161">
        <v>0</v>
      </c>
      <c r="AA451" s="161">
        <f t="shared" si="46"/>
        <v>-963.80000000000018</v>
      </c>
      <c r="AB451" s="161">
        <f t="shared" si="47"/>
        <v>1103.3999999999996</v>
      </c>
      <c r="AC451" s="158"/>
      <c r="AD451" s="158"/>
    </row>
    <row r="452" spans="1:30" ht="12.75" customHeight="1" x14ac:dyDescent="0.3">
      <c r="A452" s="147">
        <v>25</v>
      </c>
      <c r="B452" s="158" t="s">
        <v>923</v>
      </c>
      <c r="C452" s="158" t="s">
        <v>46</v>
      </c>
      <c r="D452" s="158" t="s">
        <v>915</v>
      </c>
      <c r="E452" s="160" t="s">
        <v>25</v>
      </c>
      <c r="F452" s="158" t="s">
        <v>20</v>
      </c>
      <c r="G452" s="160" t="s">
        <v>866</v>
      </c>
      <c r="H452" s="161">
        <v>0</v>
      </c>
      <c r="I452" s="161">
        <v>0</v>
      </c>
      <c r="J452" s="161">
        <v>0</v>
      </c>
      <c r="K452" s="161">
        <v>0</v>
      </c>
      <c r="L452" s="161">
        <v>0</v>
      </c>
      <c r="M452" s="162">
        <v>0</v>
      </c>
      <c r="N452" s="161">
        <v>0</v>
      </c>
      <c r="O452" s="162">
        <f t="shared" si="42"/>
        <v>0</v>
      </c>
      <c r="P452" s="161">
        <v>0</v>
      </c>
      <c r="Q452" s="161">
        <v>-2152</v>
      </c>
      <c r="R452" s="161">
        <v>2152</v>
      </c>
      <c r="S452" s="161">
        <v>0</v>
      </c>
      <c r="T452" s="161">
        <v>0</v>
      </c>
      <c r="U452" s="161">
        <v>0</v>
      </c>
      <c r="V452" s="161">
        <v>0</v>
      </c>
      <c r="W452" s="161">
        <f t="shared" si="43"/>
        <v>0</v>
      </c>
      <c r="X452" s="161">
        <f t="shared" si="44"/>
        <v>0</v>
      </c>
      <c r="Y452" s="161">
        <f t="shared" si="45"/>
        <v>0</v>
      </c>
      <c r="Z452" s="161">
        <v>0</v>
      </c>
      <c r="AA452" s="161">
        <f t="shared" si="46"/>
        <v>0</v>
      </c>
      <c r="AB452" s="161">
        <f t="shared" si="47"/>
        <v>0</v>
      </c>
      <c r="AC452" s="158" t="s">
        <v>985</v>
      </c>
      <c r="AD452" s="158"/>
    </row>
    <row r="453" spans="1:30" ht="12.75" customHeight="1" x14ac:dyDescent="0.3">
      <c r="A453" s="147">
        <v>25</v>
      </c>
      <c r="B453" s="158" t="s">
        <v>952</v>
      </c>
      <c r="C453" s="158" t="s">
        <v>409</v>
      </c>
      <c r="D453" s="158" t="s">
        <v>946</v>
      </c>
      <c r="E453" s="160" t="s">
        <v>25</v>
      </c>
      <c r="F453" s="158" t="s">
        <v>25</v>
      </c>
      <c r="G453" s="160" t="s">
        <v>866</v>
      </c>
      <c r="H453" s="161">
        <v>1004.62</v>
      </c>
      <c r="I453" s="161">
        <v>0</v>
      </c>
      <c r="J453" s="161">
        <v>0</v>
      </c>
      <c r="K453" s="161">
        <v>0</v>
      </c>
      <c r="L453" s="161">
        <v>0</v>
      </c>
      <c r="M453" s="162">
        <v>0</v>
      </c>
      <c r="N453" s="161">
        <v>0</v>
      </c>
      <c r="O453" s="162">
        <f t="shared" si="42"/>
        <v>1004.62</v>
      </c>
      <c r="P453" s="161">
        <v>0</v>
      </c>
      <c r="Q453" s="161">
        <v>-263</v>
      </c>
      <c r="R453" s="161">
        <v>0</v>
      </c>
      <c r="S453" s="161">
        <v>0</v>
      </c>
      <c r="T453" s="161">
        <v>0</v>
      </c>
      <c r="U453" s="161">
        <v>0</v>
      </c>
      <c r="V453" s="161">
        <v>0</v>
      </c>
      <c r="W453" s="161">
        <f t="shared" si="43"/>
        <v>741.62</v>
      </c>
      <c r="X453" s="161">
        <f t="shared" si="44"/>
        <v>741.62</v>
      </c>
      <c r="Y453" s="161">
        <f t="shared" si="45"/>
        <v>0</v>
      </c>
      <c r="Z453" s="161">
        <v>0</v>
      </c>
      <c r="AA453" s="161">
        <f t="shared" si="46"/>
        <v>0</v>
      </c>
      <c r="AB453" s="161">
        <f t="shared" si="47"/>
        <v>263</v>
      </c>
      <c r="AC453" s="158" t="s">
        <v>986</v>
      </c>
      <c r="AD453" s="158"/>
    </row>
    <row r="454" spans="1:30" ht="12.75" customHeight="1" x14ac:dyDescent="0.3">
      <c r="A454" s="147">
        <v>25</v>
      </c>
      <c r="B454" s="158" t="s">
        <v>880</v>
      </c>
      <c r="C454" s="158" t="s">
        <v>57</v>
      </c>
      <c r="D454" s="158" t="s">
        <v>881</v>
      </c>
      <c r="E454" s="160" t="s">
        <v>25</v>
      </c>
      <c r="F454" s="158" t="s">
        <v>25</v>
      </c>
      <c r="G454" s="160" t="s">
        <v>866</v>
      </c>
      <c r="H454" s="161">
        <v>1914.8</v>
      </c>
      <c r="I454" s="161">
        <v>-7.7</v>
      </c>
      <c r="J454" s="161">
        <v>0</v>
      </c>
      <c r="K454" s="161">
        <v>0</v>
      </c>
      <c r="L454" s="161">
        <v>-371.68</v>
      </c>
      <c r="M454" s="162">
        <v>-47.89</v>
      </c>
      <c r="N454" s="161">
        <v>0</v>
      </c>
      <c r="O454" s="162">
        <f t="shared" si="42"/>
        <v>1487.5299999999997</v>
      </c>
      <c r="P454" s="161">
        <v>-1971</v>
      </c>
      <c r="Q454" s="161">
        <v>1</v>
      </c>
      <c r="R454" s="161">
        <v>0</v>
      </c>
      <c r="S454" s="161">
        <v>0</v>
      </c>
      <c r="T454" s="161">
        <v>0</v>
      </c>
      <c r="U454" s="161">
        <v>0</v>
      </c>
      <c r="V454" s="161">
        <v>0</v>
      </c>
      <c r="W454" s="161">
        <f t="shared" si="43"/>
        <v>-482.47000000000025</v>
      </c>
      <c r="X454" s="161">
        <f t="shared" si="44"/>
        <v>0</v>
      </c>
      <c r="Y454" s="161">
        <f t="shared" si="45"/>
        <v>-482.47000000000025</v>
      </c>
      <c r="Z454" s="161">
        <v>482</v>
      </c>
      <c r="AA454" s="161">
        <f t="shared" si="46"/>
        <v>-0.47000000000025466</v>
      </c>
      <c r="AB454" s="161">
        <f t="shared" si="47"/>
        <v>1969.0599999999995</v>
      </c>
      <c r="AC454" s="158" t="s">
        <v>927</v>
      </c>
      <c r="AD454" s="158"/>
    </row>
    <row r="455" spans="1:30" ht="12.75" customHeight="1" x14ac:dyDescent="0.3">
      <c r="A455" s="147">
        <v>25</v>
      </c>
      <c r="B455" s="158" t="s">
        <v>987</v>
      </c>
      <c r="C455" s="158" t="s">
        <v>409</v>
      </c>
      <c r="D455" s="158" t="s">
        <v>946</v>
      </c>
      <c r="E455" s="160" t="s">
        <v>25</v>
      </c>
      <c r="F455" s="158" t="s">
        <v>25</v>
      </c>
      <c r="G455" s="160" t="s">
        <v>866</v>
      </c>
      <c r="H455" s="161">
        <v>1482.36</v>
      </c>
      <c r="I455" s="161">
        <v>0</v>
      </c>
      <c r="J455" s="161">
        <v>0</v>
      </c>
      <c r="K455" s="161">
        <v>0</v>
      </c>
      <c r="L455" s="161">
        <v>-954.96</v>
      </c>
      <c r="M455" s="162">
        <v>-25</v>
      </c>
      <c r="N455" s="161">
        <v>0</v>
      </c>
      <c r="O455" s="162">
        <f t="shared" si="42"/>
        <v>502.39999999999986</v>
      </c>
      <c r="P455" s="161">
        <v>-357</v>
      </c>
      <c r="Q455" s="161">
        <v>0</v>
      </c>
      <c r="R455" s="161">
        <v>-72</v>
      </c>
      <c r="S455" s="161">
        <v>0</v>
      </c>
      <c r="T455" s="161">
        <v>0</v>
      </c>
      <c r="U455" s="161">
        <v>0</v>
      </c>
      <c r="V455" s="161">
        <v>0</v>
      </c>
      <c r="W455" s="161">
        <f t="shared" si="43"/>
        <v>73.399999999999864</v>
      </c>
      <c r="X455" s="161">
        <f t="shared" si="44"/>
        <v>73.399999999999864</v>
      </c>
      <c r="Y455" s="161">
        <f t="shared" si="45"/>
        <v>0</v>
      </c>
      <c r="Z455" s="161">
        <v>0</v>
      </c>
      <c r="AA455" s="161">
        <f t="shared" si="46"/>
        <v>0</v>
      </c>
      <c r="AB455" s="161">
        <f t="shared" si="47"/>
        <v>429</v>
      </c>
      <c r="AC455" s="158" t="s">
        <v>988</v>
      </c>
      <c r="AD455" s="158"/>
    </row>
    <row r="456" spans="1:30" ht="12.75" customHeight="1" x14ac:dyDescent="0.3">
      <c r="A456" s="147">
        <v>25</v>
      </c>
      <c r="B456" s="158" t="s">
        <v>922</v>
      </c>
      <c r="C456" s="158" t="s">
        <v>347</v>
      </c>
      <c r="D456" s="158" t="s">
        <v>897</v>
      </c>
      <c r="E456" s="160" t="s">
        <v>25</v>
      </c>
      <c r="F456" s="158" t="s">
        <v>25</v>
      </c>
      <c r="G456" s="160" t="s">
        <v>866</v>
      </c>
      <c r="H456" s="161">
        <v>5748.22</v>
      </c>
      <c r="I456" s="161">
        <v>-19.2</v>
      </c>
      <c r="J456" s="161">
        <v>0</v>
      </c>
      <c r="K456" s="161">
        <v>0</v>
      </c>
      <c r="L456" s="161">
        <v>-2221.37</v>
      </c>
      <c r="M456" s="162">
        <v>-37.619999999999997</v>
      </c>
      <c r="N456" s="161">
        <v>-71</v>
      </c>
      <c r="O456" s="162">
        <f t="shared" si="42"/>
        <v>3399.0300000000007</v>
      </c>
      <c r="P456" s="161">
        <v>-2500</v>
      </c>
      <c r="Q456" s="161">
        <v>0</v>
      </c>
      <c r="R456" s="161">
        <v>0</v>
      </c>
      <c r="S456" s="161">
        <v>0</v>
      </c>
      <c r="T456" s="161">
        <v>0</v>
      </c>
      <c r="U456" s="161">
        <v>-500</v>
      </c>
      <c r="V456" s="161">
        <v>0</v>
      </c>
      <c r="W456" s="161">
        <f t="shared" si="43"/>
        <v>399.03000000000065</v>
      </c>
      <c r="X456" s="161">
        <f t="shared" si="44"/>
        <v>399.03000000000065</v>
      </c>
      <c r="Y456" s="161">
        <f t="shared" si="45"/>
        <v>0</v>
      </c>
      <c r="Z456" s="161">
        <v>0</v>
      </c>
      <c r="AA456" s="161">
        <f t="shared" si="46"/>
        <v>0</v>
      </c>
      <c r="AB456" s="161">
        <f t="shared" si="47"/>
        <v>3000</v>
      </c>
      <c r="AC456" s="158"/>
      <c r="AD456" s="158"/>
    </row>
    <row r="457" spans="1:30" ht="12.75" customHeight="1" x14ac:dyDescent="0.3">
      <c r="A457" s="147">
        <v>25</v>
      </c>
      <c r="B457" s="158" t="s">
        <v>924</v>
      </c>
      <c r="C457" s="158" t="s">
        <v>100</v>
      </c>
      <c r="D457" s="158" t="s">
        <v>953</v>
      </c>
      <c r="E457" s="160" t="s">
        <v>25</v>
      </c>
      <c r="F457" s="158" t="s">
        <v>25</v>
      </c>
      <c r="G457" s="160" t="s">
        <v>866</v>
      </c>
      <c r="H457" s="161">
        <v>1274.31</v>
      </c>
      <c r="I457" s="161">
        <v>0</v>
      </c>
      <c r="J457" s="161">
        <v>0</v>
      </c>
      <c r="K457" s="161">
        <v>0</v>
      </c>
      <c r="L457" s="161">
        <v>-837.25</v>
      </c>
      <c r="M457" s="162">
        <v>-35</v>
      </c>
      <c r="N457" s="161">
        <v>-95</v>
      </c>
      <c r="O457" s="162">
        <f t="shared" si="42"/>
        <v>307.05999999999995</v>
      </c>
      <c r="P457" s="161">
        <v>-2500</v>
      </c>
      <c r="Q457" s="161">
        <v>-2734</v>
      </c>
      <c r="R457" s="161">
        <v>0</v>
      </c>
      <c r="S457" s="161">
        <v>0</v>
      </c>
      <c r="T457" s="161">
        <v>0</v>
      </c>
      <c r="U457" s="161">
        <v>0</v>
      </c>
      <c r="V457" s="161">
        <v>0</v>
      </c>
      <c r="W457" s="161">
        <f t="shared" si="43"/>
        <v>-4926.9400000000005</v>
      </c>
      <c r="X457" s="161">
        <f t="shared" si="44"/>
        <v>0</v>
      </c>
      <c r="Y457" s="161">
        <f t="shared" si="45"/>
        <v>-4926.9400000000005</v>
      </c>
      <c r="Z457" s="161">
        <v>2500</v>
      </c>
      <c r="AA457" s="161">
        <f t="shared" si="46"/>
        <v>-2426.9400000000005</v>
      </c>
      <c r="AB457" s="161">
        <f t="shared" si="47"/>
        <v>380.11999999999944</v>
      </c>
      <c r="AC457" s="158" t="s">
        <v>927</v>
      </c>
      <c r="AD457" s="158"/>
    </row>
    <row r="458" spans="1:30" ht="12.75" customHeight="1" x14ac:dyDescent="0.3">
      <c r="A458" s="147">
        <v>26</v>
      </c>
      <c r="B458" s="158" t="s">
        <v>585</v>
      </c>
      <c r="C458" s="158" t="s">
        <v>64</v>
      </c>
      <c r="D458" s="158" t="s">
        <v>949</v>
      </c>
      <c r="E458" s="160" t="s">
        <v>25</v>
      </c>
      <c r="F458" s="158" t="s">
        <v>25</v>
      </c>
      <c r="G458" s="160" t="s">
        <v>866</v>
      </c>
      <c r="H458" s="161">
        <v>1255.3400000000001</v>
      </c>
      <c r="I458" s="161">
        <v>-16.899999999999999</v>
      </c>
      <c r="J458" s="161">
        <v>0</v>
      </c>
      <c r="K458" s="161">
        <v>0</v>
      </c>
      <c r="L458" s="161">
        <v>-527.34</v>
      </c>
      <c r="M458" s="162">
        <v>-25</v>
      </c>
      <c r="N458" s="161">
        <v>0</v>
      </c>
      <c r="O458" s="162">
        <f t="shared" si="42"/>
        <v>686.1</v>
      </c>
      <c r="P458" s="161">
        <v>-2500</v>
      </c>
      <c r="Q458" s="161">
        <v>-2870.59</v>
      </c>
      <c r="R458" s="161">
        <v>0</v>
      </c>
      <c r="S458" s="161">
        <v>0</v>
      </c>
      <c r="T458" s="161">
        <v>-500</v>
      </c>
      <c r="U458" s="161">
        <v>0</v>
      </c>
      <c r="V458" s="161">
        <v>0</v>
      </c>
      <c r="W458" s="161">
        <f t="shared" si="43"/>
        <v>-5184.49</v>
      </c>
      <c r="X458" s="161">
        <f t="shared" si="44"/>
        <v>0</v>
      </c>
      <c r="Y458" s="161">
        <f t="shared" si="45"/>
        <v>-5184.49</v>
      </c>
      <c r="Z458" s="161">
        <v>2313</v>
      </c>
      <c r="AA458" s="161">
        <f t="shared" si="46"/>
        <v>-2871.49</v>
      </c>
      <c r="AB458" s="161">
        <f t="shared" si="47"/>
        <v>127.61000000000013</v>
      </c>
      <c r="AC458" s="158"/>
      <c r="AD458" s="158"/>
    </row>
    <row r="459" spans="1:30" ht="12.75" customHeight="1" x14ac:dyDescent="0.3">
      <c r="A459" s="147">
        <v>26</v>
      </c>
      <c r="B459" s="158" t="s">
        <v>954</v>
      </c>
      <c r="C459" s="158" t="s">
        <v>68</v>
      </c>
      <c r="D459" s="158" t="s">
        <v>869</v>
      </c>
      <c r="E459" s="160" t="s">
        <v>25</v>
      </c>
      <c r="F459" s="158" t="s">
        <v>25</v>
      </c>
      <c r="G459" s="160" t="s">
        <v>866</v>
      </c>
      <c r="H459" s="161">
        <v>2056.8200000000002</v>
      </c>
      <c r="I459" s="161">
        <v>0</v>
      </c>
      <c r="J459" s="161">
        <v>0</v>
      </c>
      <c r="K459" s="161">
        <v>0</v>
      </c>
      <c r="L459" s="161">
        <v>0</v>
      </c>
      <c r="M459" s="162">
        <v>-48</v>
      </c>
      <c r="N459" s="161">
        <v>0</v>
      </c>
      <c r="O459" s="162">
        <f t="shared" si="42"/>
        <v>2008.8200000000002</v>
      </c>
      <c r="P459" s="161">
        <v>-2500</v>
      </c>
      <c r="Q459" s="161">
        <v>0</v>
      </c>
      <c r="R459" s="161">
        <v>0</v>
      </c>
      <c r="S459" s="161">
        <v>0</v>
      </c>
      <c r="T459" s="161">
        <v>0</v>
      </c>
      <c r="U459" s="161">
        <v>0</v>
      </c>
      <c r="V459" s="161">
        <v>0</v>
      </c>
      <c r="W459" s="161">
        <f t="shared" si="43"/>
        <v>-491.17999999999984</v>
      </c>
      <c r="X459" s="161">
        <f t="shared" si="44"/>
        <v>0</v>
      </c>
      <c r="Y459" s="161">
        <f t="shared" si="45"/>
        <v>-491.17999999999984</v>
      </c>
      <c r="Z459" s="161">
        <v>0</v>
      </c>
      <c r="AA459" s="161">
        <f t="shared" si="46"/>
        <v>-491.17999999999984</v>
      </c>
      <c r="AB459" s="161">
        <f t="shared" si="47"/>
        <v>1517.6400000000003</v>
      </c>
      <c r="AC459" s="158" t="s">
        <v>989</v>
      </c>
      <c r="AD459" s="158"/>
    </row>
    <row r="460" spans="1:30" ht="12.75" customHeight="1" x14ac:dyDescent="0.3">
      <c r="A460" s="147">
        <v>26</v>
      </c>
      <c r="B460" s="158" t="s">
        <v>944</v>
      </c>
      <c r="C460" s="158" t="s">
        <v>863</v>
      </c>
      <c r="D460" s="158" t="s">
        <v>864</v>
      </c>
      <c r="E460" s="160" t="s">
        <v>25</v>
      </c>
      <c r="F460" s="158" t="s">
        <v>25</v>
      </c>
      <c r="G460" s="160" t="s">
        <v>866</v>
      </c>
      <c r="H460" s="161">
        <v>5848.08</v>
      </c>
      <c r="I460" s="161">
        <v>0</v>
      </c>
      <c r="J460" s="161">
        <v>0</v>
      </c>
      <c r="K460" s="161">
        <v>0</v>
      </c>
      <c r="L460" s="161">
        <v>-2146.98</v>
      </c>
      <c r="M460" s="162">
        <v>-35</v>
      </c>
      <c r="N460" s="161">
        <v>0</v>
      </c>
      <c r="O460" s="162">
        <f t="shared" si="42"/>
        <v>3666.1</v>
      </c>
      <c r="P460" s="161">
        <v>-2500</v>
      </c>
      <c r="Q460" s="161">
        <v>0</v>
      </c>
      <c r="R460" s="161">
        <v>-500</v>
      </c>
      <c r="S460" s="161">
        <v>0</v>
      </c>
      <c r="T460" s="161">
        <v>0</v>
      </c>
      <c r="U460" s="161">
        <v>0</v>
      </c>
      <c r="V460" s="161">
        <v>0</v>
      </c>
      <c r="W460" s="161">
        <f t="shared" si="43"/>
        <v>666.09999999999991</v>
      </c>
      <c r="X460" s="161">
        <f t="shared" si="44"/>
        <v>666.09999999999991</v>
      </c>
      <c r="Y460" s="161">
        <f t="shared" si="45"/>
        <v>0</v>
      </c>
      <c r="Z460" s="161">
        <v>0</v>
      </c>
      <c r="AA460" s="161">
        <f t="shared" si="46"/>
        <v>0</v>
      </c>
      <c r="AB460" s="161">
        <f t="shared" si="47"/>
        <v>3000</v>
      </c>
      <c r="AC460" s="158"/>
      <c r="AD460" s="158"/>
    </row>
    <row r="461" spans="1:30" ht="12.75" customHeight="1" x14ac:dyDescent="0.3">
      <c r="A461" s="147">
        <v>26</v>
      </c>
      <c r="B461" s="158" t="s">
        <v>913</v>
      </c>
      <c r="C461" s="158" t="s">
        <v>46</v>
      </c>
      <c r="D461" s="158" t="s">
        <v>915</v>
      </c>
      <c r="E461" s="160" t="s">
        <v>25</v>
      </c>
      <c r="F461" s="158" t="s">
        <v>25</v>
      </c>
      <c r="G461" s="160" t="s">
        <v>866</v>
      </c>
      <c r="H461" s="161">
        <v>7294.1300000000019</v>
      </c>
      <c r="I461" s="161">
        <v>-53.6</v>
      </c>
      <c r="J461" s="161">
        <v>0</v>
      </c>
      <c r="K461" s="161">
        <v>0</v>
      </c>
      <c r="L461" s="161">
        <v>-3722.14</v>
      </c>
      <c r="M461" s="162">
        <v>-35</v>
      </c>
      <c r="N461" s="161">
        <v>-72</v>
      </c>
      <c r="O461" s="162">
        <f t="shared" si="42"/>
        <v>3411.3900000000017</v>
      </c>
      <c r="P461" s="161">
        <v>-2500</v>
      </c>
      <c r="Q461" s="161">
        <v>0</v>
      </c>
      <c r="R461" s="161">
        <v>-500</v>
      </c>
      <c r="S461" s="161">
        <v>0</v>
      </c>
      <c r="T461" s="161">
        <v>0</v>
      </c>
      <c r="U461" s="161">
        <v>0</v>
      </c>
      <c r="V461" s="161">
        <v>0</v>
      </c>
      <c r="W461" s="161">
        <f t="shared" si="43"/>
        <v>411.39000000000169</v>
      </c>
      <c r="X461" s="161">
        <f t="shared" si="44"/>
        <v>411.39000000000169</v>
      </c>
      <c r="Y461" s="161">
        <f t="shared" si="45"/>
        <v>0</v>
      </c>
      <c r="Z461" s="161">
        <v>0</v>
      </c>
      <c r="AA461" s="161">
        <f t="shared" si="46"/>
        <v>0</v>
      </c>
      <c r="AB461" s="161">
        <f t="shared" si="47"/>
        <v>3000</v>
      </c>
      <c r="AC461" s="158"/>
      <c r="AD461" s="158"/>
    </row>
    <row r="462" spans="1:30" ht="12.75" customHeight="1" x14ac:dyDescent="0.3">
      <c r="A462" s="147">
        <v>26</v>
      </c>
      <c r="B462" s="158" t="s">
        <v>457</v>
      </c>
      <c r="C462" s="158" t="s">
        <v>183</v>
      </c>
      <c r="D462" s="158" t="s">
        <v>887</v>
      </c>
      <c r="E462" s="160" t="s">
        <v>25</v>
      </c>
      <c r="F462" s="158" t="s">
        <v>25</v>
      </c>
      <c r="G462" s="160" t="s">
        <v>866</v>
      </c>
      <c r="H462" s="161">
        <v>4866.2699999999986</v>
      </c>
      <c r="I462" s="161">
        <v>0</v>
      </c>
      <c r="J462" s="161">
        <v>0</v>
      </c>
      <c r="K462" s="161">
        <v>0</v>
      </c>
      <c r="L462" s="161">
        <v>-2131.52</v>
      </c>
      <c r="M462" s="162">
        <v>-35</v>
      </c>
      <c r="N462" s="161">
        <v>0</v>
      </c>
      <c r="O462" s="162">
        <f t="shared" si="42"/>
        <v>2699.7499999999986</v>
      </c>
      <c r="P462" s="161">
        <v>-2500</v>
      </c>
      <c r="Q462" s="161">
        <v>0</v>
      </c>
      <c r="R462" s="161">
        <v>-500</v>
      </c>
      <c r="S462" s="161">
        <v>0</v>
      </c>
      <c r="T462" s="161">
        <v>0</v>
      </c>
      <c r="U462" s="161">
        <v>551</v>
      </c>
      <c r="V462" s="161">
        <v>0</v>
      </c>
      <c r="W462" s="161">
        <f t="shared" si="43"/>
        <v>250.74999999999864</v>
      </c>
      <c r="X462" s="161">
        <f t="shared" si="44"/>
        <v>250.74999999999864</v>
      </c>
      <c r="Y462" s="161">
        <f t="shared" si="45"/>
        <v>0</v>
      </c>
      <c r="Z462" s="161">
        <v>200</v>
      </c>
      <c r="AA462" s="161">
        <f t="shared" si="46"/>
        <v>200</v>
      </c>
      <c r="AB462" s="161">
        <f t="shared" si="47"/>
        <v>2849</v>
      </c>
      <c r="AC462" s="158" t="s">
        <v>989</v>
      </c>
      <c r="AD462" s="158"/>
    </row>
    <row r="463" spans="1:30" ht="12.75" customHeight="1" x14ac:dyDescent="0.3">
      <c r="A463" s="147">
        <v>26</v>
      </c>
      <c r="B463" s="158" t="s">
        <v>990</v>
      </c>
      <c r="C463" s="158" t="s">
        <v>863</v>
      </c>
      <c r="D463" s="158" t="s">
        <v>864</v>
      </c>
      <c r="E463" s="160" t="s">
        <v>25</v>
      </c>
      <c r="F463" s="158" t="s">
        <v>25</v>
      </c>
      <c r="G463" s="160" t="s">
        <v>866</v>
      </c>
      <c r="H463" s="161">
        <v>1009.26</v>
      </c>
      <c r="I463" s="161">
        <v>0</v>
      </c>
      <c r="J463" s="161">
        <v>0</v>
      </c>
      <c r="K463" s="161">
        <v>0</v>
      </c>
      <c r="L463" s="161">
        <v>-539.79</v>
      </c>
      <c r="M463" s="162">
        <v>-35</v>
      </c>
      <c r="N463" s="161">
        <v>0</v>
      </c>
      <c r="O463" s="162">
        <f t="shared" si="42"/>
        <v>434.47</v>
      </c>
      <c r="P463" s="161">
        <v>-714.28</v>
      </c>
      <c r="Q463" s="161">
        <v>0</v>
      </c>
      <c r="R463" s="161">
        <v>0</v>
      </c>
      <c r="S463" s="161">
        <v>0</v>
      </c>
      <c r="T463" s="161">
        <v>0</v>
      </c>
      <c r="U463" s="161">
        <v>0</v>
      </c>
      <c r="V463" s="161">
        <v>0</v>
      </c>
      <c r="W463" s="161">
        <f t="shared" si="43"/>
        <v>-279.80999999999995</v>
      </c>
      <c r="X463" s="161">
        <f t="shared" si="44"/>
        <v>0</v>
      </c>
      <c r="Y463" s="161">
        <f t="shared" si="45"/>
        <v>-279.80999999999995</v>
      </c>
      <c r="Z463" s="161">
        <v>280</v>
      </c>
      <c r="AA463" s="161">
        <f t="shared" si="46"/>
        <v>0.19000000000005457</v>
      </c>
      <c r="AB463" s="161">
        <f t="shared" si="47"/>
        <v>714.66000000000008</v>
      </c>
      <c r="AC463" s="158"/>
      <c r="AD463" s="158"/>
    </row>
    <row r="464" spans="1:30" ht="12.75" customHeight="1" x14ac:dyDescent="0.3">
      <c r="A464" s="147">
        <v>26</v>
      </c>
      <c r="B464" s="158" t="s">
        <v>890</v>
      </c>
      <c r="C464" s="158" t="s">
        <v>42</v>
      </c>
      <c r="D464" s="158" t="s">
        <v>948</v>
      </c>
      <c r="E464" s="160" t="s">
        <v>25</v>
      </c>
      <c r="F464" s="158" t="s">
        <v>25</v>
      </c>
      <c r="G464" s="160" t="s">
        <v>866</v>
      </c>
      <c r="H464" s="161">
        <v>4055.2000000000007</v>
      </c>
      <c r="I464" s="161">
        <v>0</v>
      </c>
      <c r="J464" s="161">
        <v>0</v>
      </c>
      <c r="K464" s="161">
        <v>0</v>
      </c>
      <c r="L464" s="161">
        <v>-1279.9000000000001</v>
      </c>
      <c r="M464" s="162">
        <v>-35</v>
      </c>
      <c r="N464" s="161">
        <v>0</v>
      </c>
      <c r="O464" s="162">
        <f t="shared" si="42"/>
        <v>2740.3000000000006</v>
      </c>
      <c r="P464" s="161">
        <v>-2500</v>
      </c>
      <c r="Q464" s="161">
        <v>0</v>
      </c>
      <c r="R464" s="161">
        <v>0</v>
      </c>
      <c r="S464" s="161">
        <v>-300</v>
      </c>
      <c r="T464" s="161">
        <v>0</v>
      </c>
      <c r="U464" s="161">
        <v>0</v>
      </c>
      <c r="V464" s="161">
        <v>0</v>
      </c>
      <c r="W464" s="161">
        <f t="shared" si="43"/>
        <v>-59.699999999999363</v>
      </c>
      <c r="X464" s="161">
        <f t="shared" si="44"/>
        <v>0</v>
      </c>
      <c r="Y464" s="161">
        <f t="shared" si="45"/>
        <v>-59.699999999999363</v>
      </c>
      <c r="Z464" s="161">
        <v>0</v>
      </c>
      <c r="AA464" s="161">
        <f t="shared" si="46"/>
        <v>-59.699999999999363</v>
      </c>
      <c r="AB464" s="161">
        <f t="shared" si="47"/>
        <v>2680.6000000000013</v>
      </c>
      <c r="AC464" s="158" t="s">
        <v>989</v>
      </c>
      <c r="AD464" s="158"/>
    </row>
    <row r="465" spans="1:30" ht="12.75" customHeight="1" x14ac:dyDescent="0.3">
      <c r="A465" s="147">
        <v>26</v>
      </c>
      <c r="B465" s="158" t="s">
        <v>872</v>
      </c>
      <c r="C465" s="158" t="s">
        <v>256</v>
      </c>
      <c r="D465" s="158" t="s">
        <v>912</v>
      </c>
      <c r="E465" s="160" t="s">
        <v>871</v>
      </c>
      <c r="F465" s="158" t="s">
        <v>39</v>
      </c>
      <c r="G465" s="160" t="s">
        <v>866</v>
      </c>
      <c r="H465" s="161">
        <v>9600.1400000000031</v>
      </c>
      <c r="I465" s="161">
        <v>-144</v>
      </c>
      <c r="J465" s="161">
        <v>0</v>
      </c>
      <c r="K465" s="161">
        <v>-77.929999999999993</v>
      </c>
      <c r="L465" s="161">
        <v>-3387.11</v>
      </c>
      <c r="M465" s="162">
        <v>-25</v>
      </c>
      <c r="N465" s="161">
        <v>0</v>
      </c>
      <c r="O465" s="162">
        <f t="shared" si="42"/>
        <v>5966.1000000000022</v>
      </c>
      <c r="P465" s="161">
        <v>-2500</v>
      </c>
      <c r="Q465" s="161">
        <v>-322.11999999999989</v>
      </c>
      <c r="R465" s="161">
        <v>0</v>
      </c>
      <c r="S465" s="161">
        <v>0</v>
      </c>
      <c r="T465" s="161">
        <v>-650</v>
      </c>
      <c r="U465" s="161">
        <v>0</v>
      </c>
      <c r="V465" s="161">
        <v>0</v>
      </c>
      <c r="W465" s="161">
        <f t="shared" si="43"/>
        <v>2493.9800000000023</v>
      </c>
      <c r="X465" s="161">
        <f t="shared" si="44"/>
        <v>2493.9800000000023</v>
      </c>
      <c r="Y465" s="161">
        <f t="shared" si="45"/>
        <v>0</v>
      </c>
      <c r="Z465" s="161">
        <v>0</v>
      </c>
      <c r="AA465" s="161">
        <f t="shared" si="46"/>
        <v>0</v>
      </c>
      <c r="AB465" s="161">
        <f t="shared" si="47"/>
        <v>3472.12</v>
      </c>
      <c r="AC465" s="158"/>
      <c r="AD465" s="158"/>
    </row>
    <row r="466" spans="1:30" ht="12.75" customHeight="1" x14ac:dyDescent="0.3">
      <c r="A466" s="147">
        <v>26</v>
      </c>
      <c r="B466" s="158" t="s">
        <v>921</v>
      </c>
      <c r="C466" s="158" t="s">
        <v>257</v>
      </c>
      <c r="D466" s="158" t="s">
        <v>943</v>
      </c>
      <c r="E466" s="160" t="s">
        <v>25</v>
      </c>
      <c r="F466" s="158" t="s">
        <v>25</v>
      </c>
      <c r="G466" s="160" t="s">
        <v>866</v>
      </c>
      <c r="H466" s="161">
        <v>8431.02</v>
      </c>
      <c r="I466" s="161">
        <v>-53.6</v>
      </c>
      <c r="J466" s="161">
        <v>-31.03</v>
      </c>
      <c r="K466" s="161">
        <v>0</v>
      </c>
      <c r="L466" s="161">
        <v>-2095.8200000000002</v>
      </c>
      <c r="M466" s="162">
        <v>-39.03</v>
      </c>
      <c r="N466" s="161">
        <v>0</v>
      </c>
      <c r="O466" s="162">
        <f t="shared" si="42"/>
        <v>6211.54</v>
      </c>
      <c r="P466" s="161">
        <v>-2500</v>
      </c>
      <c r="Q466" s="161">
        <v>0</v>
      </c>
      <c r="R466" s="161">
        <v>0</v>
      </c>
      <c r="S466" s="161">
        <v>0</v>
      </c>
      <c r="T466" s="161">
        <v>0</v>
      </c>
      <c r="U466" s="161">
        <v>0</v>
      </c>
      <c r="V466" s="161">
        <v>0</v>
      </c>
      <c r="W466" s="161">
        <f t="shared" si="43"/>
        <v>3711.54</v>
      </c>
      <c r="X466" s="161">
        <f t="shared" si="44"/>
        <v>3711.54</v>
      </c>
      <c r="Y466" s="161">
        <f t="shared" si="45"/>
        <v>0</v>
      </c>
      <c r="Z466" s="161">
        <v>0</v>
      </c>
      <c r="AA466" s="161">
        <f t="shared" si="46"/>
        <v>0</v>
      </c>
      <c r="AB466" s="161">
        <f t="shared" si="47"/>
        <v>2500</v>
      </c>
      <c r="AC466" s="158"/>
      <c r="AD466" s="158"/>
    </row>
    <row r="467" spans="1:30" ht="12.75" customHeight="1" x14ac:dyDescent="0.3">
      <c r="A467" s="147">
        <v>26</v>
      </c>
      <c r="B467" s="158" t="s">
        <v>918</v>
      </c>
      <c r="C467" s="158" t="s">
        <v>120</v>
      </c>
      <c r="D467" s="158" t="s">
        <v>950</v>
      </c>
      <c r="E467" s="158" t="s">
        <v>25</v>
      </c>
      <c r="F467" s="158" t="s">
        <v>25</v>
      </c>
      <c r="G467" s="160" t="s">
        <v>866</v>
      </c>
      <c r="H467" s="161">
        <v>6779.7099999999973</v>
      </c>
      <c r="I467" s="161">
        <v>0</v>
      </c>
      <c r="J467" s="161">
        <v>0</v>
      </c>
      <c r="K467" s="161">
        <v>0</v>
      </c>
      <c r="L467" s="161">
        <v>-1708.8200000000002</v>
      </c>
      <c r="M467" s="162">
        <v>-35</v>
      </c>
      <c r="N467" s="161">
        <v>-95</v>
      </c>
      <c r="O467" s="162">
        <f t="shared" si="42"/>
        <v>4940.8899999999976</v>
      </c>
      <c r="P467" s="161">
        <v>-2500</v>
      </c>
      <c r="Q467" s="161">
        <v>0</v>
      </c>
      <c r="R467" s="161">
        <v>0</v>
      </c>
      <c r="S467" s="161">
        <v>0</v>
      </c>
      <c r="T467" s="161">
        <v>0</v>
      </c>
      <c r="U467" s="161">
        <v>0</v>
      </c>
      <c r="V467" s="161">
        <v>0</v>
      </c>
      <c r="W467" s="161">
        <f t="shared" si="43"/>
        <v>2440.8899999999976</v>
      </c>
      <c r="X467" s="161">
        <f t="shared" si="44"/>
        <v>2440.8899999999976</v>
      </c>
      <c r="Y467" s="161">
        <f t="shared" si="45"/>
        <v>0</v>
      </c>
      <c r="Z467" s="161">
        <v>0</v>
      </c>
      <c r="AA467" s="161">
        <f t="shared" si="46"/>
        <v>0</v>
      </c>
      <c r="AB467" s="161">
        <f t="shared" si="47"/>
        <v>2500</v>
      </c>
      <c r="AC467" s="158"/>
      <c r="AD467" s="158"/>
    </row>
    <row r="468" spans="1:30" ht="12.75" customHeight="1" x14ac:dyDescent="0.3">
      <c r="A468" s="147">
        <v>26</v>
      </c>
      <c r="B468" s="158" t="s">
        <v>955</v>
      </c>
      <c r="C468" s="158" t="s">
        <v>59</v>
      </c>
      <c r="D468" s="158" t="s">
        <v>895</v>
      </c>
      <c r="E468" s="177" t="s">
        <v>25</v>
      </c>
      <c r="F468" s="179" t="s">
        <v>25</v>
      </c>
      <c r="G468" s="160" t="s">
        <v>866</v>
      </c>
      <c r="H468" s="161">
        <v>3543.14</v>
      </c>
      <c r="I468" s="161">
        <v>0</v>
      </c>
      <c r="J468" s="161">
        <v>0</v>
      </c>
      <c r="K468" s="161">
        <v>0</v>
      </c>
      <c r="L468" s="161">
        <v>-2601.21</v>
      </c>
      <c r="M468" s="162">
        <v>-30</v>
      </c>
      <c r="N468" s="161">
        <v>0</v>
      </c>
      <c r="O468" s="162">
        <f t="shared" si="42"/>
        <v>911.92999999999984</v>
      </c>
      <c r="P468" s="161">
        <v>-2142</v>
      </c>
      <c r="Q468" s="161">
        <v>0</v>
      </c>
      <c r="R468" s="161">
        <v>0</v>
      </c>
      <c r="S468" s="161">
        <v>0</v>
      </c>
      <c r="T468" s="161">
        <v>0</v>
      </c>
      <c r="U468" s="161">
        <v>0</v>
      </c>
      <c r="V468" s="161">
        <v>0</v>
      </c>
      <c r="W468" s="161">
        <f t="shared" si="43"/>
        <v>-1230.0700000000002</v>
      </c>
      <c r="X468" s="161">
        <f t="shared" si="44"/>
        <v>0</v>
      </c>
      <c r="Y468" s="161">
        <f t="shared" si="45"/>
        <v>-1230.0700000000002</v>
      </c>
      <c r="Z468" s="161">
        <v>0</v>
      </c>
      <c r="AA468" s="161">
        <f t="shared" si="46"/>
        <v>-1230.0700000000002</v>
      </c>
      <c r="AB468" s="161">
        <f t="shared" si="47"/>
        <v>-318.14000000000033</v>
      </c>
      <c r="AC468" s="158" t="s">
        <v>989</v>
      </c>
      <c r="AD468" s="158"/>
    </row>
    <row r="469" spans="1:30" ht="12.75" customHeight="1" x14ac:dyDescent="0.3">
      <c r="A469" s="147">
        <v>26</v>
      </c>
      <c r="B469" s="158" t="s">
        <v>876</v>
      </c>
      <c r="C469" s="158" t="s">
        <v>101</v>
      </c>
      <c r="D469" s="158" t="s">
        <v>945</v>
      </c>
      <c r="E469" s="160" t="s">
        <v>25</v>
      </c>
      <c r="F469" s="158" t="s">
        <v>25</v>
      </c>
      <c r="G469" s="160" t="s">
        <v>866</v>
      </c>
      <c r="H469" s="161">
        <v>3756.7599999999998</v>
      </c>
      <c r="I469" s="161">
        <v>0</v>
      </c>
      <c r="J469" s="161">
        <v>0</v>
      </c>
      <c r="K469" s="161">
        <v>0</v>
      </c>
      <c r="L469" s="161">
        <v>-29.93</v>
      </c>
      <c r="M469" s="162">
        <v>-35</v>
      </c>
      <c r="N469" s="161">
        <v>0</v>
      </c>
      <c r="O469" s="162">
        <f t="shared" si="42"/>
        <v>3691.83</v>
      </c>
      <c r="P469" s="161">
        <v>-2500</v>
      </c>
      <c r="Q469" s="161">
        <v>0</v>
      </c>
      <c r="R469" s="161">
        <v>0</v>
      </c>
      <c r="S469" s="161">
        <v>0</v>
      </c>
      <c r="T469" s="161">
        <v>-660</v>
      </c>
      <c r="U469" s="161">
        <v>0</v>
      </c>
      <c r="V469" s="161">
        <v>0</v>
      </c>
      <c r="W469" s="161">
        <f t="shared" si="43"/>
        <v>531.82999999999993</v>
      </c>
      <c r="X469" s="161">
        <f t="shared" si="44"/>
        <v>531.82999999999993</v>
      </c>
      <c r="Y469" s="161">
        <f t="shared" si="45"/>
        <v>0</v>
      </c>
      <c r="Z469" s="161">
        <v>82</v>
      </c>
      <c r="AA469" s="161">
        <f t="shared" si="46"/>
        <v>82</v>
      </c>
      <c r="AB469" s="161">
        <f t="shared" si="47"/>
        <v>3324</v>
      </c>
      <c r="AC469" s="158"/>
      <c r="AD469" s="158"/>
    </row>
    <row r="470" spans="1:30" ht="12.75" customHeight="1" x14ac:dyDescent="0.3">
      <c r="A470" s="147">
        <v>26</v>
      </c>
      <c r="B470" s="158" t="s">
        <v>484</v>
      </c>
      <c r="C470" s="158" t="s">
        <v>426</v>
      </c>
      <c r="D470" s="158" t="s">
        <v>903</v>
      </c>
      <c r="E470" s="160" t="s">
        <v>25</v>
      </c>
      <c r="F470" s="158" t="s">
        <v>25</v>
      </c>
      <c r="G470" s="160" t="s">
        <v>866</v>
      </c>
      <c r="H470" s="161">
        <v>8514.2700000000023</v>
      </c>
      <c r="I470" s="161">
        <v>-156</v>
      </c>
      <c r="J470" s="161">
        <v>0</v>
      </c>
      <c r="K470" s="161">
        <v>0</v>
      </c>
      <c r="L470" s="161">
        <v>-3687.7999999999993</v>
      </c>
      <c r="M470" s="162">
        <v>-30</v>
      </c>
      <c r="N470" s="161">
        <v>0</v>
      </c>
      <c r="O470" s="162">
        <f t="shared" si="42"/>
        <v>4640.470000000003</v>
      </c>
      <c r="P470" s="161">
        <v>-2500</v>
      </c>
      <c r="Q470" s="161">
        <v>0</v>
      </c>
      <c r="R470" s="161">
        <v>0</v>
      </c>
      <c r="S470" s="161">
        <v>0</v>
      </c>
      <c r="T470" s="161">
        <v>0</v>
      </c>
      <c r="U470" s="161">
        <v>0</v>
      </c>
      <c r="V470" s="161">
        <v>0</v>
      </c>
      <c r="W470" s="161">
        <f t="shared" si="43"/>
        <v>2140.470000000003</v>
      </c>
      <c r="X470" s="161">
        <f t="shared" si="44"/>
        <v>2140.470000000003</v>
      </c>
      <c r="Y470" s="161">
        <f t="shared" si="45"/>
        <v>0</v>
      </c>
      <c r="Z470" s="161">
        <v>0</v>
      </c>
      <c r="AA470" s="161">
        <f t="shared" si="46"/>
        <v>0</v>
      </c>
      <c r="AB470" s="161">
        <f t="shared" si="47"/>
        <v>2500</v>
      </c>
      <c r="AC470" s="158" t="s">
        <v>991</v>
      </c>
      <c r="AD470" s="158"/>
    </row>
    <row r="471" spans="1:30" ht="12.75" customHeight="1" x14ac:dyDescent="0.3">
      <c r="A471" s="147">
        <v>26</v>
      </c>
      <c r="B471" s="158" t="s">
        <v>408</v>
      </c>
      <c r="C471" s="158" t="s">
        <v>878</v>
      </c>
      <c r="D471" s="158" t="s">
        <v>972</v>
      </c>
      <c r="E471" s="160" t="s">
        <v>25</v>
      </c>
      <c r="F471" s="158" t="s">
        <v>39</v>
      </c>
      <c r="G471" s="160" t="s">
        <v>866</v>
      </c>
      <c r="H471" s="161">
        <v>3690.67</v>
      </c>
      <c r="I471" s="161">
        <v>0</v>
      </c>
      <c r="J471" s="161">
        <v>0</v>
      </c>
      <c r="K471" s="161">
        <v>0</v>
      </c>
      <c r="L471" s="161">
        <v>-1015.38</v>
      </c>
      <c r="M471" s="162">
        <v>-35</v>
      </c>
      <c r="N471" s="161">
        <v>0</v>
      </c>
      <c r="O471" s="162">
        <f t="shared" si="42"/>
        <v>2640.29</v>
      </c>
      <c r="P471" s="161">
        <v>-2500</v>
      </c>
      <c r="Q471" s="161">
        <v>-1878.11</v>
      </c>
      <c r="R471" s="161">
        <v>0</v>
      </c>
      <c r="S471" s="161">
        <v>0</v>
      </c>
      <c r="T471" s="161">
        <v>0</v>
      </c>
      <c r="U471" s="161">
        <v>0</v>
      </c>
      <c r="V471" s="161">
        <v>0</v>
      </c>
      <c r="W471" s="161">
        <f t="shared" si="43"/>
        <v>-1737.8199999999997</v>
      </c>
      <c r="X471" s="161">
        <f t="shared" si="44"/>
        <v>0</v>
      </c>
      <c r="Y471" s="161">
        <f t="shared" si="45"/>
        <v>-1737.8199999999997</v>
      </c>
      <c r="Z471" s="161">
        <v>0</v>
      </c>
      <c r="AA471" s="161">
        <f t="shared" si="46"/>
        <v>-1737.8199999999997</v>
      </c>
      <c r="AB471" s="161">
        <f t="shared" si="47"/>
        <v>902.47000000000025</v>
      </c>
      <c r="AC471" s="158"/>
      <c r="AD471" s="158"/>
    </row>
    <row r="472" spans="1:30" ht="12.75" customHeight="1" x14ac:dyDescent="0.3">
      <c r="A472" s="147">
        <v>26</v>
      </c>
      <c r="B472" s="158" t="s">
        <v>992</v>
      </c>
      <c r="C472" s="158" t="s">
        <v>169</v>
      </c>
      <c r="D472" s="158" t="s">
        <v>967</v>
      </c>
      <c r="E472" s="160" t="s">
        <v>871</v>
      </c>
      <c r="F472" s="158" t="s">
        <v>39</v>
      </c>
      <c r="G472" s="160" t="s">
        <v>866</v>
      </c>
      <c r="H472" s="161">
        <v>4226.1499999999978</v>
      </c>
      <c r="I472" s="161">
        <v>-54.4</v>
      </c>
      <c r="J472" s="161">
        <v>0</v>
      </c>
      <c r="K472" s="161">
        <v>0</v>
      </c>
      <c r="L472" s="161">
        <v>-1340.85</v>
      </c>
      <c r="M472" s="162">
        <v>-35</v>
      </c>
      <c r="N472" s="161">
        <v>0</v>
      </c>
      <c r="O472" s="162">
        <f t="shared" si="42"/>
        <v>2795.8999999999983</v>
      </c>
      <c r="P472" s="161">
        <v>-1249.9999999999995</v>
      </c>
      <c r="Q472" s="161">
        <v>0</v>
      </c>
      <c r="R472" s="161">
        <v>0</v>
      </c>
      <c r="S472" s="161">
        <v>0</v>
      </c>
      <c r="T472" s="161">
        <v>0</v>
      </c>
      <c r="U472" s="161">
        <v>0</v>
      </c>
      <c r="V472" s="161">
        <v>0</v>
      </c>
      <c r="W472" s="161">
        <f t="shared" si="43"/>
        <v>1545.8999999999987</v>
      </c>
      <c r="X472" s="161">
        <f t="shared" si="44"/>
        <v>1545.8999999999987</v>
      </c>
      <c r="Y472" s="161">
        <f t="shared" si="45"/>
        <v>0</v>
      </c>
      <c r="Z472" s="161">
        <v>0</v>
      </c>
      <c r="AA472" s="161">
        <f t="shared" si="46"/>
        <v>0</v>
      </c>
      <c r="AB472" s="161">
        <f t="shared" si="47"/>
        <v>1249.9999999999995</v>
      </c>
      <c r="AC472" s="158"/>
      <c r="AD472" s="158"/>
    </row>
    <row r="473" spans="1:30" ht="12.75" customHeight="1" x14ac:dyDescent="0.3">
      <c r="A473" s="147">
        <v>26</v>
      </c>
      <c r="B473" s="158" t="s">
        <v>962</v>
      </c>
      <c r="C473" s="158" t="s">
        <v>123</v>
      </c>
      <c r="D473" s="158" t="s">
        <v>912</v>
      </c>
      <c r="E473" s="160" t="s">
        <v>871</v>
      </c>
      <c r="F473" s="158" t="s">
        <v>39</v>
      </c>
      <c r="G473" s="160" t="s">
        <v>866</v>
      </c>
      <c r="H473" s="161">
        <v>3169.4599999999991</v>
      </c>
      <c r="I473" s="161">
        <v>-4</v>
      </c>
      <c r="J473" s="161">
        <v>0</v>
      </c>
      <c r="K473" s="161">
        <v>0</v>
      </c>
      <c r="L473" s="161">
        <v>0</v>
      </c>
      <c r="M473" s="162">
        <v>-48</v>
      </c>
      <c r="N473" s="161">
        <v>0</v>
      </c>
      <c r="O473" s="162">
        <f t="shared" si="42"/>
        <v>3117.4599999999991</v>
      </c>
      <c r="P473" s="161">
        <v>-2500</v>
      </c>
      <c r="Q473" s="161">
        <v>-963.80000000000018</v>
      </c>
      <c r="R473" s="161">
        <v>-500</v>
      </c>
      <c r="S473" s="161">
        <v>0</v>
      </c>
      <c r="T473" s="161">
        <v>0</v>
      </c>
      <c r="U473" s="161">
        <v>0</v>
      </c>
      <c r="V473" s="161">
        <v>0</v>
      </c>
      <c r="W473" s="161">
        <f t="shared" si="43"/>
        <v>-846.34000000000106</v>
      </c>
      <c r="X473" s="161">
        <f t="shared" si="44"/>
        <v>0</v>
      </c>
      <c r="Y473" s="161">
        <f t="shared" si="45"/>
        <v>-846.34000000000106</v>
      </c>
      <c r="Z473" s="161">
        <v>800</v>
      </c>
      <c r="AA473" s="161">
        <f t="shared" si="46"/>
        <v>-46.340000000001055</v>
      </c>
      <c r="AB473" s="161">
        <f t="shared" si="47"/>
        <v>3871.1199999999981</v>
      </c>
      <c r="AC473" s="158" t="s">
        <v>989</v>
      </c>
      <c r="AD473" s="158"/>
    </row>
    <row r="474" spans="1:30" ht="12.75" customHeight="1" x14ac:dyDescent="0.3">
      <c r="A474" s="147">
        <v>26</v>
      </c>
      <c r="B474" s="158" t="s">
        <v>880</v>
      </c>
      <c r="C474" s="158" t="s">
        <v>57</v>
      </c>
      <c r="D474" s="158" t="s">
        <v>881</v>
      </c>
      <c r="E474" s="160" t="s">
        <v>25</v>
      </c>
      <c r="F474" s="158" t="s">
        <v>25</v>
      </c>
      <c r="G474" s="160" t="s">
        <v>866</v>
      </c>
      <c r="H474" s="161">
        <v>4676.45</v>
      </c>
      <c r="I474" s="161">
        <v>0</v>
      </c>
      <c r="J474" s="161">
        <v>0</v>
      </c>
      <c r="K474" s="161">
        <v>0</v>
      </c>
      <c r="L474" s="161">
        <v>-780.98</v>
      </c>
      <c r="M474" s="162">
        <v>-53.39</v>
      </c>
      <c r="N474" s="161">
        <v>0</v>
      </c>
      <c r="O474" s="162">
        <f t="shared" si="42"/>
        <v>3842.08</v>
      </c>
      <c r="P474" s="161">
        <v>-2300</v>
      </c>
      <c r="Q474" s="161">
        <v>0</v>
      </c>
      <c r="R474" s="161">
        <v>0</v>
      </c>
      <c r="S474" s="161">
        <v>0</v>
      </c>
      <c r="T474" s="161">
        <v>0</v>
      </c>
      <c r="U474" s="161">
        <v>0</v>
      </c>
      <c r="V474" s="161">
        <v>0</v>
      </c>
      <c r="W474" s="161">
        <f t="shared" si="43"/>
        <v>1542.08</v>
      </c>
      <c r="X474" s="161">
        <f t="shared" si="44"/>
        <v>1542.08</v>
      </c>
      <c r="Y474" s="161">
        <f t="shared" si="45"/>
        <v>0</v>
      </c>
      <c r="Z474" s="161">
        <v>0</v>
      </c>
      <c r="AA474" s="161">
        <f t="shared" si="46"/>
        <v>0</v>
      </c>
      <c r="AB474" s="161">
        <f t="shared" si="47"/>
        <v>2300</v>
      </c>
      <c r="AC474" s="158"/>
      <c r="AD474" s="158"/>
    </row>
    <row r="475" spans="1:30" ht="12.75" customHeight="1" x14ac:dyDescent="0.3">
      <c r="A475" s="147">
        <v>26</v>
      </c>
      <c r="B475" s="158" t="s">
        <v>987</v>
      </c>
      <c r="C475" s="158" t="s">
        <v>347</v>
      </c>
      <c r="D475" s="158" t="s">
        <v>897</v>
      </c>
      <c r="E475" s="160" t="s">
        <v>25</v>
      </c>
      <c r="F475" s="158" t="s">
        <v>25</v>
      </c>
      <c r="G475" s="160" t="s">
        <v>866</v>
      </c>
      <c r="H475" s="161">
        <v>3299.3500000000008</v>
      </c>
      <c r="I475" s="161">
        <v>0</v>
      </c>
      <c r="J475" s="161">
        <v>0</v>
      </c>
      <c r="K475" s="161">
        <v>0</v>
      </c>
      <c r="L475" s="161">
        <v>-2320.0700000000002</v>
      </c>
      <c r="M475" s="162">
        <v>-35</v>
      </c>
      <c r="N475" s="161">
        <v>0</v>
      </c>
      <c r="O475" s="162">
        <f t="shared" si="42"/>
        <v>944.28000000000065</v>
      </c>
      <c r="P475" s="161">
        <v>-2500</v>
      </c>
      <c r="Q475" s="161">
        <v>0</v>
      </c>
      <c r="R475" s="161">
        <v>-500</v>
      </c>
      <c r="S475" s="161">
        <v>0</v>
      </c>
      <c r="T475" s="161">
        <v>0</v>
      </c>
      <c r="U475" s="161">
        <v>0</v>
      </c>
      <c r="V475" s="161">
        <v>0</v>
      </c>
      <c r="W475" s="161">
        <f t="shared" si="43"/>
        <v>-2055.7199999999993</v>
      </c>
      <c r="X475" s="161">
        <f t="shared" si="44"/>
        <v>0</v>
      </c>
      <c r="Y475" s="161">
        <f t="shared" si="45"/>
        <v>-2055.7199999999993</v>
      </c>
      <c r="Z475" s="161">
        <v>0</v>
      </c>
      <c r="AA475" s="161">
        <f t="shared" si="46"/>
        <v>-2055.7199999999993</v>
      </c>
      <c r="AB475" s="161">
        <f t="shared" si="47"/>
        <v>-1111.4399999999987</v>
      </c>
      <c r="AC475" s="158" t="s">
        <v>989</v>
      </c>
      <c r="AD475" s="158"/>
    </row>
    <row r="476" spans="1:30" ht="12.75" customHeight="1" x14ac:dyDescent="0.3">
      <c r="A476" s="147">
        <v>26</v>
      </c>
      <c r="B476" s="158" t="s">
        <v>922</v>
      </c>
      <c r="C476" s="158" t="s">
        <v>36</v>
      </c>
      <c r="D476" s="158" t="s">
        <v>904</v>
      </c>
      <c r="E476" s="160" t="s">
        <v>25</v>
      </c>
      <c r="F476" s="158" t="s">
        <v>25</v>
      </c>
      <c r="G476" s="160" t="s">
        <v>866</v>
      </c>
      <c r="H476" s="161">
        <v>3654.5099999999984</v>
      </c>
      <c r="I476" s="161">
        <v>-26.15</v>
      </c>
      <c r="J476" s="161">
        <v>-36.21</v>
      </c>
      <c r="K476" s="161">
        <v>0</v>
      </c>
      <c r="L476" s="161">
        <v>-649.63</v>
      </c>
      <c r="M476" s="162">
        <v>-35</v>
      </c>
      <c r="N476" s="161">
        <v>0</v>
      </c>
      <c r="O476" s="162">
        <f t="shared" si="42"/>
        <v>2907.5199999999982</v>
      </c>
      <c r="P476" s="161">
        <v>-2500</v>
      </c>
      <c r="Q476" s="161">
        <v>0</v>
      </c>
      <c r="R476" s="161">
        <v>0</v>
      </c>
      <c r="S476" s="161">
        <v>0</v>
      </c>
      <c r="T476" s="161">
        <v>0</v>
      </c>
      <c r="U476" s="161">
        <v>0</v>
      </c>
      <c r="V476" s="161">
        <v>0</v>
      </c>
      <c r="W476" s="161">
        <f t="shared" si="43"/>
        <v>407.51999999999816</v>
      </c>
      <c r="X476" s="161">
        <f t="shared" si="44"/>
        <v>407.51999999999816</v>
      </c>
      <c r="Y476" s="161">
        <f t="shared" si="45"/>
        <v>0</v>
      </c>
      <c r="Z476" s="161">
        <v>0</v>
      </c>
      <c r="AA476" s="161">
        <f t="shared" si="46"/>
        <v>0</v>
      </c>
      <c r="AB476" s="161">
        <f t="shared" si="47"/>
        <v>2500</v>
      </c>
      <c r="AC476" s="158"/>
      <c r="AD476" s="158"/>
    </row>
    <row r="477" spans="1:30" ht="12.75" customHeight="1" x14ac:dyDescent="0.3">
      <c r="A477" s="147">
        <v>26</v>
      </c>
      <c r="B477" s="158" t="s">
        <v>993</v>
      </c>
      <c r="C477" s="158" t="s">
        <v>347</v>
      </c>
      <c r="D477" s="158" t="s">
        <v>897</v>
      </c>
      <c r="E477" s="160" t="s">
        <v>25</v>
      </c>
      <c r="F477" s="158" t="s">
        <v>25</v>
      </c>
      <c r="G477" s="160" t="s">
        <v>866</v>
      </c>
      <c r="H477" s="161">
        <v>1837.91</v>
      </c>
      <c r="I477" s="161">
        <v>0</v>
      </c>
      <c r="J477" s="161">
        <v>0</v>
      </c>
      <c r="K477" s="161">
        <v>0</v>
      </c>
      <c r="L477" s="161">
        <v>-1377.18</v>
      </c>
      <c r="M477" s="162">
        <v>-35</v>
      </c>
      <c r="N477" s="161">
        <v>0</v>
      </c>
      <c r="O477" s="162">
        <f t="shared" si="42"/>
        <v>425.73</v>
      </c>
      <c r="P477" s="161">
        <v>-1249.9999999999995</v>
      </c>
      <c r="Q477" s="161">
        <v>0</v>
      </c>
      <c r="R477" s="161">
        <v>-500</v>
      </c>
      <c r="S477" s="161">
        <v>0</v>
      </c>
      <c r="T477" s="161">
        <v>0</v>
      </c>
      <c r="U477" s="161">
        <v>0</v>
      </c>
      <c r="V477" s="161">
        <v>0</v>
      </c>
      <c r="W477" s="161">
        <f t="shared" si="43"/>
        <v>-1324.2699999999995</v>
      </c>
      <c r="X477" s="161">
        <f t="shared" si="44"/>
        <v>0</v>
      </c>
      <c r="Y477" s="161">
        <f t="shared" si="45"/>
        <v>-1324.2699999999995</v>
      </c>
      <c r="Z477" s="161">
        <v>1324</v>
      </c>
      <c r="AA477" s="161">
        <f t="shared" si="46"/>
        <v>-0.26999999999952706</v>
      </c>
      <c r="AB477" s="161">
        <f t="shared" si="47"/>
        <v>1749.4600000000005</v>
      </c>
      <c r="AC477" s="158"/>
      <c r="AD477" s="158"/>
    </row>
    <row r="478" spans="1:30" ht="12.75" customHeight="1" x14ac:dyDescent="0.3">
      <c r="A478" s="147">
        <v>26</v>
      </c>
      <c r="B478" s="158" t="s">
        <v>994</v>
      </c>
      <c r="C478" s="158" t="s">
        <v>80</v>
      </c>
      <c r="D478" s="158" t="s">
        <v>20</v>
      </c>
      <c r="E478" s="160" t="s">
        <v>18</v>
      </c>
      <c r="F478" s="160" t="s">
        <v>18</v>
      </c>
      <c r="G478" s="160" t="s">
        <v>866</v>
      </c>
      <c r="H478" s="161">
        <v>3387.1300000000006</v>
      </c>
      <c r="I478" s="161">
        <v>-31.59</v>
      </c>
      <c r="J478" s="161">
        <v>0</v>
      </c>
      <c r="K478" s="161">
        <v>0</v>
      </c>
      <c r="L478" s="161">
        <v>0</v>
      </c>
      <c r="M478" s="162">
        <v>0</v>
      </c>
      <c r="N478" s="161">
        <v>0</v>
      </c>
      <c r="O478" s="162">
        <f t="shared" si="42"/>
        <v>3355.5400000000004</v>
      </c>
      <c r="P478" s="161">
        <v>-1607.1428571428564</v>
      </c>
      <c r="Q478" s="161">
        <v>0</v>
      </c>
      <c r="R478" s="161">
        <v>-321.42857142857133</v>
      </c>
      <c r="S478" s="161">
        <v>0</v>
      </c>
      <c r="T478" s="161">
        <v>0</v>
      </c>
      <c r="U478" s="161">
        <v>0</v>
      </c>
      <c r="V478" s="161">
        <v>0</v>
      </c>
      <c r="W478" s="161">
        <f t="shared" si="43"/>
        <v>1426.9685714285727</v>
      </c>
      <c r="X478" s="161">
        <f t="shared" si="44"/>
        <v>1426.9685714285727</v>
      </c>
      <c r="Y478" s="161">
        <f t="shared" si="45"/>
        <v>0</v>
      </c>
      <c r="Z478" s="161">
        <v>0</v>
      </c>
      <c r="AA478" s="161">
        <f t="shared" si="46"/>
        <v>0</v>
      </c>
      <c r="AB478" s="161">
        <f t="shared" si="47"/>
        <v>1928.5714285714278</v>
      </c>
      <c r="AC478" s="158" t="s">
        <v>189</v>
      </c>
      <c r="AD478" s="158"/>
    </row>
    <row r="479" spans="1:30" ht="12.75" customHeight="1" x14ac:dyDescent="0.3">
      <c r="A479" s="147">
        <v>26</v>
      </c>
      <c r="B479" s="158" t="s">
        <v>924</v>
      </c>
      <c r="C479" s="158" t="s">
        <v>100</v>
      </c>
      <c r="D479" s="158" t="s">
        <v>953</v>
      </c>
      <c r="E479" s="160" t="s">
        <v>25</v>
      </c>
      <c r="F479" s="158" t="s">
        <v>25</v>
      </c>
      <c r="G479" s="160" t="s">
        <v>866</v>
      </c>
      <c r="H479" s="161">
        <v>680.11</v>
      </c>
      <c r="I479" s="161">
        <v>0</v>
      </c>
      <c r="J479" s="161">
        <v>0</v>
      </c>
      <c r="K479" s="161">
        <v>0</v>
      </c>
      <c r="L479" s="161">
        <v>0</v>
      </c>
      <c r="M479" s="162">
        <v>-48</v>
      </c>
      <c r="N479" s="161">
        <v>-69</v>
      </c>
      <c r="O479" s="162">
        <f t="shared" si="42"/>
        <v>563.11</v>
      </c>
      <c r="P479" s="161">
        <v>-2500</v>
      </c>
      <c r="Q479" s="161">
        <v>-1927</v>
      </c>
      <c r="R479" s="161">
        <v>0</v>
      </c>
      <c r="S479" s="161">
        <v>0</v>
      </c>
      <c r="T479" s="161">
        <v>0</v>
      </c>
      <c r="U479" s="161">
        <v>0</v>
      </c>
      <c r="V479" s="161">
        <v>0</v>
      </c>
      <c r="W479" s="161">
        <f t="shared" si="43"/>
        <v>-3863.89</v>
      </c>
      <c r="X479" s="161">
        <f t="shared" si="44"/>
        <v>0</v>
      </c>
      <c r="Y479" s="161">
        <f t="shared" si="45"/>
        <v>-3863.89</v>
      </c>
      <c r="Z479" s="161">
        <v>2364</v>
      </c>
      <c r="AA479" s="161">
        <f t="shared" si="46"/>
        <v>-1499.8899999999999</v>
      </c>
      <c r="AB479" s="161">
        <f t="shared" si="47"/>
        <v>1427.2200000000003</v>
      </c>
      <c r="AC479" s="158" t="s">
        <v>989</v>
      </c>
      <c r="AD479" s="158"/>
    </row>
    <row r="480" spans="1:30" ht="12.75" customHeight="1" x14ac:dyDescent="0.3">
      <c r="A480" s="147">
        <v>27</v>
      </c>
      <c r="B480" s="158" t="s">
        <v>585</v>
      </c>
      <c r="C480" s="158" t="s">
        <v>183</v>
      </c>
      <c r="D480" s="158" t="s">
        <v>887</v>
      </c>
      <c r="E480" s="160" t="s">
        <v>25</v>
      </c>
      <c r="F480" s="158" t="s">
        <v>25</v>
      </c>
      <c r="G480" s="160" t="s">
        <v>866</v>
      </c>
      <c r="H480" s="161">
        <v>336.77</v>
      </c>
      <c r="I480" s="161">
        <v>0</v>
      </c>
      <c r="J480" s="161">
        <v>0</v>
      </c>
      <c r="K480" s="161">
        <v>0</v>
      </c>
      <c r="L480" s="161">
        <v>-200</v>
      </c>
      <c r="M480" s="162">
        <v>-28</v>
      </c>
      <c r="N480" s="161">
        <v>0</v>
      </c>
      <c r="O480" s="162">
        <f t="shared" si="42"/>
        <v>108.76999999999998</v>
      </c>
      <c r="P480" s="161">
        <v>-2500</v>
      </c>
      <c r="Q480" s="161">
        <v>0</v>
      </c>
      <c r="R480" s="161">
        <v>0</v>
      </c>
      <c r="S480" s="161">
        <v>0</v>
      </c>
      <c r="T480" s="161">
        <v>-500</v>
      </c>
      <c r="U480" s="161">
        <v>0</v>
      </c>
      <c r="V480" s="161">
        <v>0</v>
      </c>
      <c r="W480" s="161">
        <f t="shared" si="43"/>
        <v>-2891.23</v>
      </c>
      <c r="X480" s="161">
        <f t="shared" si="44"/>
        <v>0</v>
      </c>
      <c r="Y480" s="161">
        <f t="shared" si="45"/>
        <v>-2891.23</v>
      </c>
      <c r="Z480" s="161">
        <v>2891</v>
      </c>
      <c r="AA480" s="161">
        <f t="shared" si="46"/>
        <v>-0.23000000000001819</v>
      </c>
      <c r="AB480" s="161">
        <f t="shared" si="47"/>
        <v>2999.54</v>
      </c>
      <c r="AC480" s="158"/>
      <c r="AD480" s="158"/>
    </row>
    <row r="481" spans="1:30" ht="12.75" customHeight="1" x14ac:dyDescent="0.3">
      <c r="A481" s="147">
        <v>27</v>
      </c>
      <c r="B481" s="158" t="s">
        <v>954</v>
      </c>
      <c r="C481" s="158" t="s">
        <v>68</v>
      </c>
      <c r="D481" s="158" t="s">
        <v>869</v>
      </c>
      <c r="E481" s="160" t="s">
        <v>25</v>
      </c>
      <c r="F481" s="158" t="s">
        <v>25</v>
      </c>
      <c r="G481" s="160" t="s">
        <v>866</v>
      </c>
      <c r="H481" s="161">
        <v>2954.91</v>
      </c>
      <c r="I481" s="161">
        <v>0</v>
      </c>
      <c r="J481" s="161">
        <v>0</v>
      </c>
      <c r="K481" s="161">
        <v>0</v>
      </c>
      <c r="L481" s="161">
        <v>0</v>
      </c>
      <c r="M481" s="162">
        <v>-35</v>
      </c>
      <c r="N481" s="161">
        <v>0</v>
      </c>
      <c r="O481" s="162">
        <f t="shared" si="42"/>
        <v>2919.91</v>
      </c>
      <c r="P481" s="161">
        <v>-2500</v>
      </c>
      <c r="Q481" s="161">
        <v>-549.91999999999996</v>
      </c>
      <c r="R481" s="161">
        <v>0</v>
      </c>
      <c r="S481" s="161">
        <v>0</v>
      </c>
      <c r="T481" s="161">
        <v>0</v>
      </c>
      <c r="U481" s="161">
        <v>0</v>
      </c>
      <c r="V481" s="161">
        <v>0</v>
      </c>
      <c r="W481" s="161">
        <f t="shared" si="43"/>
        <v>-130.01000000000022</v>
      </c>
      <c r="X481" s="161">
        <f t="shared" si="44"/>
        <v>0</v>
      </c>
      <c r="Y481" s="161">
        <f t="shared" si="45"/>
        <v>-130.01000000000022</v>
      </c>
      <c r="Z481" s="161">
        <v>0</v>
      </c>
      <c r="AA481" s="161">
        <f t="shared" si="46"/>
        <v>-130.01000000000022</v>
      </c>
      <c r="AB481" s="161">
        <f t="shared" si="47"/>
        <v>2789.8999999999996</v>
      </c>
      <c r="AC481" s="158" t="s">
        <v>995</v>
      </c>
      <c r="AD481" s="158"/>
    </row>
    <row r="482" spans="1:30" ht="12.75" customHeight="1" x14ac:dyDescent="0.3">
      <c r="A482" s="147">
        <v>27</v>
      </c>
      <c r="B482" s="158" t="s">
        <v>944</v>
      </c>
      <c r="C482" s="158" t="s">
        <v>372</v>
      </c>
      <c r="D482" s="158" t="s">
        <v>945</v>
      </c>
      <c r="E482" s="158" t="s">
        <v>39</v>
      </c>
      <c r="F482" s="158" t="s">
        <v>39</v>
      </c>
      <c r="G482" s="160" t="s">
        <v>866</v>
      </c>
      <c r="H482" s="161">
        <v>5582.02</v>
      </c>
      <c r="I482" s="161">
        <v>0</v>
      </c>
      <c r="J482" s="161">
        <v>0</v>
      </c>
      <c r="K482" s="161">
        <v>0</v>
      </c>
      <c r="L482" s="161">
        <v>-1808.15</v>
      </c>
      <c r="M482" s="162">
        <v>-28</v>
      </c>
      <c r="N482" s="161">
        <v>-11</v>
      </c>
      <c r="O482" s="162">
        <f t="shared" si="42"/>
        <v>3734.8700000000003</v>
      </c>
      <c r="P482" s="161">
        <v>-2500</v>
      </c>
      <c r="Q482" s="161">
        <v>0</v>
      </c>
      <c r="R482" s="161">
        <v>-500</v>
      </c>
      <c r="S482" s="161">
        <v>0</v>
      </c>
      <c r="T482" s="161">
        <v>0</v>
      </c>
      <c r="U482" s="161">
        <v>0</v>
      </c>
      <c r="V482" s="161">
        <v>0</v>
      </c>
      <c r="W482" s="161">
        <f t="shared" si="43"/>
        <v>734.87000000000035</v>
      </c>
      <c r="X482" s="161">
        <f t="shared" si="44"/>
        <v>734.87000000000035</v>
      </c>
      <c r="Y482" s="161">
        <f t="shared" si="45"/>
        <v>0</v>
      </c>
      <c r="Z482" s="161">
        <v>0</v>
      </c>
      <c r="AA482" s="161">
        <f t="shared" si="46"/>
        <v>0</v>
      </c>
      <c r="AB482" s="161">
        <f t="shared" si="47"/>
        <v>3000</v>
      </c>
      <c r="AC482" s="158"/>
      <c r="AD482" s="158"/>
    </row>
    <row r="483" spans="1:30" ht="12.75" customHeight="1" x14ac:dyDescent="0.3">
      <c r="A483" s="147">
        <v>27</v>
      </c>
      <c r="B483" s="158" t="s">
        <v>868</v>
      </c>
      <c r="C483" s="158" t="s">
        <v>110</v>
      </c>
      <c r="D483" s="158" t="s">
        <v>996</v>
      </c>
      <c r="E483" s="158" t="s">
        <v>18</v>
      </c>
      <c r="F483" s="160" t="s">
        <v>18</v>
      </c>
      <c r="G483" s="160" t="s">
        <v>866</v>
      </c>
      <c r="H483" s="161">
        <v>77.11</v>
      </c>
      <c r="I483" s="161">
        <v>0</v>
      </c>
      <c r="J483" s="161">
        <v>0</v>
      </c>
      <c r="K483" s="161">
        <v>0</v>
      </c>
      <c r="L483" s="161">
        <v>0</v>
      </c>
      <c r="M483" s="162">
        <v>-25</v>
      </c>
      <c r="N483" s="161">
        <v>0</v>
      </c>
      <c r="O483" s="162">
        <f t="shared" si="42"/>
        <v>52.11</v>
      </c>
      <c r="P483" s="161">
        <v>-356</v>
      </c>
      <c r="Q483" s="161">
        <v>0</v>
      </c>
      <c r="R483" s="161">
        <v>0</v>
      </c>
      <c r="S483" s="161">
        <v>0</v>
      </c>
      <c r="T483" s="161">
        <v>0</v>
      </c>
      <c r="U483" s="161">
        <v>0</v>
      </c>
      <c r="V483" s="161">
        <v>0</v>
      </c>
      <c r="W483" s="161">
        <f t="shared" si="43"/>
        <v>-303.89</v>
      </c>
      <c r="X483" s="161">
        <f t="shared" si="44"/>
        <v>0</v>
      </c>
      <c r="Y483" s="161">
        <f t="shared" si="45"/>
        <v>-303.89</v>
      </c>
      <c r="Z483" s="161">
        <v>0</v>
      </c>
      <c r="AA483" s="161">
        <f t="shared" si="46"/>
        <v>-303.89</v>
      </c>
      <c r="AB483" s="161">
        <f t="shared" si="47"/>
        <v>-251.77999999999997</v>
      </c>
      <c r="AC483" s="158"/>
      <c r="AD483" s="158"/>
    </row>
    <row r="484" spans="1:30" ht="12.75" customHeight="1" x14ac:dyDescent="0.3">
      <c r="A484" s="147">
        <v>27</v>
      </c>
      <c r="B484" s="158" t="s">
        <v>913</v>
      </c>
      <c r="C484" s="158" t="s">
        <v>46</v>
      </c>
      <c r="D484" s="158" t="s">
        <v>915</v>
      </c>
      <c r="E484" s="160" t="s">
        <v>25</v>
      </c>
      <c r="F484" s="158" t="s">
        <v>25</v>
      </c>
      <c r="G484" s="160" t="s">
        <v>866</v>
      </c>
      <c r="H484" s="161">
        <v>4907.4799999999996</v>
      </c>
      <c r="I484" s="161">
        <v>0</v>
      </c>
      <c r="J484" s="161">
        <v>0</v>
      </c>
      <c r="K484" s="161">
        <v>0</v>
      </c>
      <c r="L484" s="161">
        <v>-4114.22</v>
      </c>
      <c r="M484" s="162">
        <v>-25</v>
      </c>
      <c r="N484" s="161">
        <v>0</v>
      </c>
      <c r="O484" s="162">
        <f t="shared" si="42"/>
        <v>768.25999999999931</v>
      </c>
      <c r="P484" s="161">
        <v>-2500</v>
      </c>
      <c r="Q484" s="161">
        <v>0</v>
      </c>
      <c r="R484" s="161">
        <v>-500</v>
      </c>
      <c r="S484" s="161">
        <v>0</v>
      </c>
      <c r="T484" s="161">
        <v>0</v>
      </c>
      <c r="U484" s="161">
        <v>0</v>
      </c>
      <c r="V484" s="161">
        <v>0</v>
      </c>
      <c r="W484" s="161">
        <f t="shared" si="43"/>
        <v>-2231.7400000000007</v>
      </c>
      <c r="X484" s="161">
        <f t="shared" si="44"/>
        <v>0</v>
      </c>
      <c r="Y484" s="161">
        <f t="shared" si="45"/>
        <v>-2231.7400000000007</v>
      </c>
      <c r="Z484" s="161">
        <f>1750+482</f>
        <v>2232</v>
      </c>
      <c r="AA484" s="161">
        <f t="shared" si="46"/>
        <v>0.25999999999930878</v>
      </c>
      <c r="AB484" s="161">
        <f t="shared" si="47"/>
        <v>3000.5199999999986</v>
      </c>
      <c r="AC484" s="158"/>
      <c r="AD484" s="158"/>
    </row>
    <row r="485" spans="1:30" ht="12.75" customHeight="1" x14ac:dyDescent="0.3">
      <c r="A485" s="147">
        <v>27</v>
      </c>
      <c r="B485" s="158" t="s">
        <v>886</v>
      </c>
      <c r="C485" s="158" t="s">
        <v>101</v>
      </c>
      <c r="D485" s="158" t="s">
        <v>945</v>
      </c>
      <c r="E485" s="160" t="s">
        <v>25</v>
      </c>
      <c r="F485" s="158" t="s">
        <v>25</v>
      </c>
      <c r="G485" s="160" t="s">
        <v>866</v>
      </c>
      <c r="H485" s="161">
        <v>2433.4299999999998</v>
      </c>
      <c r="I485" s="161">
        <v>-30.02</v>
      </c>
      <c r="J485" s="161">
        <v>0</v>
      </c>
      <c r="K485" s="161">
        <v>0</v>
      </c>
      <c r="L485" s="161">
        <v>-798.36</v>
      </c>
      <c r="M485" s="162">
        <v>-25</v>
      </c>
      <c r="N485" s="161">
        <v>0</v>
      </c>
      <c r="O485" s="162">
        <f t="shared" si="42"/>
        <v>1580.0499999999997</v>
      </c>
      <c r="P485" s="161">
        <v>-1067</v>
      </c>
      <c r="Q485" s="161">
        <v>0</v>
      </c>
      <c r="R485" s="161">
        <v>-321</v>
      </c>
      <c r="S485" s="161">
        <v>0</v>
      </c>
      <c r="T485" s="161">
        <v>0</v>
      </c>
      <c r="U485" s="161">
        <v>0</v>
      </c>
      <c r="V485" s="161">
        <v>0</v>
      </c>
      <c r="W485" s="161">
        <f t="shared" si="43"/>
        <v>192.04999999999973</v>
      </c>
      <c r="X485" s="161">
        <f t="shared" si="44"/>
        <v>192.04999999999973</v>
      </c>
      <c r="Y485" s="161">
        <f t="shared" si="45"/>
        <v>0</v>
      </c>
      <c r="Z485" s="161">
        <v>0</v>
      </c>
      <c r="AA485" s="161">
        <f t="shared" si="46"/>
        <v>0</v>
      </c>
      <c r="AB485" s="161">
        <f t="shared" si="47"/>
        <v>1388</v>
      </c>
      <c r="AC485" s="158"/>
      <c r="AD485" s="158"/>
    </row>
    <row r="486" spans="1:30" ht="12.75" customHeight="1" x14ac:dyDescent="0.3">
      <c r="A486" s="147">
        <v>27</v>
      </c>
      <c r="B486" s="158" t="s">
        <v>457</v>
      </c>
      <c r="C486" s="158" t="s">
        <v>571</v>
      </c>
      <c r="D486" s="158" t="s">
        <v>974</v>
      </c>
      <c r="E486" s="160" t="s">
        <v>25</v>
      </c>
      <c r="F486" s="158" t="s">
        <v>25</v>
      </c>
      <c r="G486" s="160" t="s">
        <v>866</v>
      </c>
      <c r="H486" s="161">
        <v>5605.84</v>
      </c>
      <c r="I486" s="161">
        <v>0</v>
      </c>
      <c r="J486" s="161">
        <v>0</v>
      </c>
      <c r="K486" s="161">
        <v>0</v>
      </c>
      <c r="L486" s="161">
        <v>-2119.08</v>
      </c>
      <c r="M486" s="162">
        <v>-25</v>
      </c>
      <c r="N486" s="161">
        <v>0</v>
      </c>
      <c r="O486" s="162">
        <f t="shared" si="42"/>
        <v>3461.76</v>
      </c>
      <c r="P486" s="161">
        <v>-2500</v>
      </c>
      <c r="Q486" s="161">
        <v>-465.9</v>
      </c>
      <c r="R486" s="161">
        <v>0</v>
      </c>
      <c r="S486" s="161">
        <v>0</v>
      </c>
      <c r="T486" s="161">
        <v>0</v>
      </c>
      <c r="U486" s="161">
        <v>150</v>
      </c>
      <c r="V486" s="161">
        <v>0</v>
      </c>
      <c r="W486" s="161">
        <f t="shared" si="43"/>
        <v>645.86000000000013</v>
      </c>
      <c r="X486" s="161">
        <f t="shared" si="44"/>
        <v>645.86000000000013</v>
      </c>
      <c r="Y486" s="161">
        <f t="shared" si="45"/>
        <v>0</v>
      </c>
      <c r="Z486" s="161">
        <v>0</v>
      </c>
      <c r="AA486" s="161">
        <f t="shared" si="46"/>
        <v>0</v>
      </c>
      <c r="AB486" s="161">
        <f t="shared" si="47"/>
        <v>2815.9</v>
      </c>
      <c r="AC486" s="158"/>
      <c r="AD486" s="158"/>
    </row>
    <row r="487" spans="1:30" ht="12.75" customHeight="1" x14ac:dyDescent="0.3">
      <c r="A487" s="147">
        <v>27</v>
      </c>
      <c r="B487" s="158" t="s">
        <v>990</v>
      </c>
      <c r="C487" s="158" t="s">
        <v>863</v>
      </c>
      <c r="D487" s="158" t="s">
        <v>864</v>
      </c>
      <c r="E487" s="160" t="s">
        <v>25</v>
      </c>
      <c r="F487" s="158" t="s">
        <v>25</v>
      </c>
      <c r="G487" s="160" t="s">
        <v>866</v>
      </c>
      <c r="H487" s="161">
        <v>2784.51</v>
      </c>
      <c r="I487" s="161">
        <v>0</v>
      </c>
      <c r="J487" s="161">
        <v>0</v>
      </c>
      <c r="K487" s="161">
        <v>0</v>
      </c>
      <c r="L487" s="161">
        <v>-481.33</v>
      </c>
      <c r="M487" s="162">
        <v>-28</v>
      </c>
      <c r="N487" s="161">
        <v>0</v>
      </c>
      <c r="O487" s="162">
        <f t="shared" si="42"/>
        <v>2275.1800000000003</v>
      </c>
      <c r="P487" s="161">
        <v>-2500</v>
      </c>
      <c r="Q487" s="161">
        <v>0</v>
      </c>
      <c r="R487" s="161">
        <v>-500</v>
      </c>
      <c r="S487" s="161">
        <v>0</v>
      </c>
      <c r="T487" s="161">
        <v>0</v>
      </c>
      <c r="U487" s="161">
        <v>0</v>
      </c>
      <c r="V487" s="161">
        <v>0</v>
      </c>
      <c r="W487" s="161">
        <f t="shared" si="43"/>
        <v>-724.81999999999971</v>
      </c>
      <c r="X487" s="161">
        <f t="shared" si="44"/>
        <v>0</v>
      </c>
      <c r="Y487" s="161">
        <f t="shared" si="45"/>
        <v>-724.81999999999971</v>
      </c>
      <c r="Z487" s="161">
        <v>0</v>
      </c>
      <c r="AA487" s="161">
        <f t="shared" si="46"/>
        <v>-724.81999999999971</v>
      </c>
      <c r="AB487" s="161">
        <f t="shared" si="47"/>
        <v>1550.3600000000006</v>
      </c>
      <c r="AC487" s="158" t="s">
        <v>995</v>
      </c>
      <c r="AD487" s="158"/>
    </row>
    <row r="488" spans="1:30" ht="12.75" customHeight="1" x14ac:dyDescent="0.3">
      <c r="A488" s="147">
        <v>27</v>
      </c>
      <c r="B488" s="158" t="s">
        <v>890</v>
      </c>
      <c r="C488" s="158" t="s">
        <v>42</v>
      </c>
      <c r="D488" s="158" t="s">
        <v>948</v>
      </c>
      <c r="E488" s="160" t="s">
        <v>25</v>
      </c>
      <c r="F488" s="158" t="s">
        <v>25</v>
      </c>
      <c r="G488" s="160" t="s">
        <v>866</v>
      </c>
      <c r="H488" s="161">
        <v>2895.36</v>
      </c>
      <c r="I488" s="161">
        <v>0</v>
      </c>
      <c r="J488" s="161">
        <v>0</v>
      </c>
      <c r="K488" s="161">
        <v>0</v>
      </c>
      <c r="L488" s="161">
        <v>-1374.17</v>
      </c>
      <c r="M488" s="162">
        <v>-28</v>
      </c>
      <c r="N488" s="161">
        <v>0</v>
      </c>
      <c r="O488" s="162">
        <f t="shared" si="42"/>
        <v>1493.19</v>
      </c>
      <c r="P488" s="161">
        <v>-1786</v>
      </c>
      <c r="Q488" s="161">
        <v>-67.2</v>
      </c>
      <c r="R488" s="161">
        <v>0</v>
      </c>
      <c r="S488" s="161">
        <v>0</v>
      </c>
      <c r="T488" s="161">
        <v>0</v>
      </c>
      <c r="U488" s="161">
        <v>0</v>
      </c>
      <c r="V488" s="161">
        <v>0</v>
      </c>
      <c r="W488" s="161">
        <f t="shared" si="43"/>
        <v>-360.01</v>
      </c>
      <c r="X488" s="161">
        <f t="shared" si="44"/>
        <v>0</v>
      </c>
      <c r="Y488" s="161">
        <f t="shared" si="45"/>
        <v>-360.01</v>
      </c>
      <c r="Z488" s="161">
        <v>0</v>
      </c>
      <c r="AA488" s="161">
        <f t="shared" si="46"/>
        <v>-360.01</v>
      </c>
      <c r="AB488" s="161">
        <f t="shared" si="47"/>
        <v>1133.18</v>
      </c>
      <c r="AC488" s="158"/>
      <c r="AD488" s="158"/>
    </row>
    <row r="489" spans="1:30" ht="12.75" customHeight="1" x14ac:dyDescent="0.3">
      <c r="A489" s="147">
        <v>27</v>
      </c>
      <c r="B489" s="158" t="s">
        <v>872</v>
      </c>
      <c r="C489" s="158" t="s">
        <v>256</v>
      </c>
      <c r="D489" s="158" t="s">
        <v>997</v>
      </c>
      <c r="E489" s="160" t="s">
        <v>871</v>
      </c>
      <c r="F489" s="158" t="s">
        <v>39</v>
      </c>
      <c r="G489" s="160" t="s">
        <v>866</v>
      </c>
      <c r="H489" s="161">
        <v>9111.2199999999993</v>
      </c>
      <c r="I489" s="161">
        <v>-50</v>
      </c>
      <c r="J489" s="161">
        <v>0</v>
      </c>
      <c r="K489" s="161">
        <v>-86</v>
      </c>
      <c r="L489" s="161">
        <v>-3988.32</v>
      </c>
      <c r="M489" s="162">
        <v>-25</v>
      </c>
      <c r="N489" s="161">
        <v>0</v>
      </c>
      <c r="O489" s="162">
        <f t="shared" si="42"/>
        <v>4961.8999999999996</v>
      </c>
      <c r="P489" s="161">
        <v>-2500</v>
      </c>
      <c r="Q489" s="161">
        <v>0</v>
      </c>
      <c r="R489" s="161">
        <v>0</v>
      </c>
      <c r="S489" s="161">
        <v>0</v>
      </c>
      <c r="T489" s="161">
        <v>-650</v>
      </c>
      <c r="U489" s="161">
        <v>-500</v>
      </c>
      <c r="V489" s="161">
        <v>0</v>
      </c>
      <c r="W489" s="161">
        <f t="shared" si="43"/>
        <v>1311.8999999999996</v>
      </c>
      <c r="X489" s="161">
        <f t="shared" si="44"/>
        <v>1311.8999999999996</v>
      </c>
      <c r="Y489" s="161">
        <f t="shared" si="45"/>
        <v>0</v>
      </c>
      <c r="Z489" s="161">
        <v>0</v>
      </c>
      <c r="AA489" s="161">
        <f t="shared" si="46"/>
        <v>0</v>
      </c>
      <c r="AB489" s="161">
        <f t="shared" si="47"/>
        <v>3650</v>
      </c>
      <c r="AC489" s="158"/>
      <c r="AD489" s="158"/>
    </row>
    <row r="490" spans="1:30" ht="12.75" customHeight="1" x14ac:dyDescent="0.3">
      <c r="A490" s="147">
        <v>27</v>
      </c>
      <c r="B490" s="158" t="s">
        <v>921</v>
      </c>
      <c r="C490" s="158" t="s">
        <v>257</v>
      </c>
      <c r="D490" s="158" t="s">
        <v>943</v>
      </c>
      <c r="E490" s="160" t="s">
        <v>25</v>
      </c>
      <c r="F490" s="158" t="s">
        <v>25</v>
      </c>
      <c r="G490" s="160" t="s">
        <v>866</v>
      </c>
      <c r="H490" s="161">
        <v>7947.6</v>
      </c>
      <c r="I490" s="161">
        <v>0</v>
      </c>
      <c r="J490" s="161">
        <v>0</v>
      </c>
      <c r="K490" s="161">
        <v>0</v>
      </c>
      <c r="L490" s="161">
        <v>-3077.8</v>
      </c>
      <c r="M490" s="162">
        <v>-94.57</v>
      </c>
      <c r="N490" s="161">
        <v>-55</v>
      </c>
      <c r="O490" s="162">
        <f t="shared" si="42"/>
        <v>4720.2300000000005</v>
      </c>
      <c r="P490" s="161">
        <v>-2500</v>
      </c>
      <c r="Q490" s="161">
        <v>0</v>
      </c>
      <c r="R490" s="161">
        <v>0</v>
      </c>
      <c r="S490" s="161">
        <v>0</v>
      </c>
      <c r="T490" s="161">
        <v>0</v>
      </c>
      <c r="U490" s="161">
        <v>0</v>
      </c>
      <c r="V490" s="161">
        <v>0</v>
      </c>
      <c r="W490" s="161">
        <f t="shared" si="43"/>
        <v>2220.2300000000005</v>
      </c>
      <c r="X490" s="161">
        <f t="shared" si="44"/>
        <v>2220.2300000000005</v>
      </c>
      <c r="Y490" s="161">
        <f t="shared" si="45"/>
        <v>0</v>
      </c>
      <c r="Z490" s="161">
        <v>0</v>
      </c>
      <c r="AA490" s="161">
        <f t="shared" si="46"/>
        <v>0</v>
      </c>
      <c r="AB490" s="161">
        <f t="shared" si="47"/>
        <v>2500</v>
      </c>
      <c r="AC490" s="158"/>
      <c r="AD490" s="158"/>
    </row>
    <row r="491" spans="1:30" ht="12.75" customHeight="1" x14ac:dyDescent="0.3">
      <c r="A491" s="147">
        <v>27</v>
      </c>
      <c r="B491" s="158" t="s">
        <v>918</v>
      </c>
      <c r="C491" s="158" t="s">
        <v>120</v>
      </c>
      <c r="D491" s="158" t="s">
        <v>950</v>
      </c>
      <c r="E491" s="158" t="s">
        <v>25</v>
      </c>
      <c r="F491" s="158" t="s">
        <v>25</v>
      </c>
      <c r="G491" s="160" t="s">
        <v>866</v>
      </c>
      <c r="H491" s="161">
        <v>6992.57</v>
      </c>
      <c r="I491" s="161">
        <v>0</v>
      </c>
      <c r="J491" s="161">
        <v>0</v>
      </c>
      <c r="K491" s="161">
        <v>0</v>
      </c>
      <c r="L491" s="161">
        <v>-1653.46</v>
      </c>
      <c r="M491" s="162">
        <v>-25</v>
      </c>
      <c r="N491" s="161">
        <v>-85</v>
      </c>
      <c r="O491" s="162">
        <f t="shared" si="42"/>
        <v>5229.1099999999997</v>
      </c>
      <c r="P491" s="161">
        <v>-2500</v>
      </c>
      <c r="Q491" s="161">
        <v>0</v>
      </c>
      <c r="R491" s="161">
        <v>0</v>
      </c>
      <c r="S491" s="161">
        <v>0</v>
      </c>
      <c r="T491" s="161">
        <v>0</v>
      </c>
      <c r="U491" s="161">
        <v>0</v>
      </c>
      <c r="V491" s="161">
        <v>0</v>
      </c>
      <c r="W491" s="161">
        <f t="shared" si="43"/>
        <v>2729.1099999999997</v>
      </c>
      <c r="X491" s="161">
        <f t="shared" si="44"/>
        <v>2729.1099999999997</v>
      </c>
      <c r="Y491" s="161">
        <f t="shared" si="45"/>
        <v>0</v>
      </c>
      <c r="Z491" s="161">
        <v>0</v>
      </c>
      <c r="AA491" s="161">
        <f t="shared" si="46"/>
        <v>0</v>
      </c>
      <c r="AB491" s="161">
        <f t="shared" si="47"/>
        <v>2500</v>
      </c>
      <c r="AC491" s="158"/>
      <c r="AD491" s="158"/>
    </row>
    <row r="492" spans="1:30" ht="12.75" customHeight="1" x14ac:dyDescent="0.3">
      <c r="A492" s="147">
        <v>27</v>
      </c>
      <c r="B492" s="158" t="s">
        <v>955</v>
      </c>
      <c r="C492" s="158" t="s">
        <v>59</v>
      </c>
      <c r="D492" s="158" t="s">
        <v>895</v>
      </c>
      <c r="E492" s="177" t="s">
        <v>25</v>
      </c>
      <c r="F492" s="179" t="s">
        <v>25</v>
      </c>
      <c r="G492" s="160" t="s">
        <v>866</v>
      </c>
      <c r="H492" s="161">
        <v>1329.39</v>
      </c>
      <c r="I492" s="161">
        <v>0</v>
      </c>
      <c r="J492" s="161">
        <v>0</v>
      </c>
      <c r="K492" s="161">
        <v>0</v>
      </c>
      <c r="L492" s="161">
        <v>-784.7</v>
      </c>
      <c r="M492" s="162">
        <v>-35</v>
      </c>
      <c r="N492" s="161">
        <v>-50</v>
      </c>
      <c r="O492" s="162">
        <f t="shared" si="42"/>
        <v>459.69000000000005</v>
      </c>
      <c r="P492" s="161">
        <v>-1786</v>
      </c>
      <c r="Q492" s="161">
        <v>-2732</v>
      </c>
      <c r="R492" s="161">
        <v>0</v>
      </c>
      <c r="S492" s="161">
        <v>0</v>
      </c>
      <c r="T492" s="161">
        <v>0</v>
      </c>
      <c r="U492" s="158">
        <v>0</v>
      </c>
      <c r="V492" s="161">
        <v>0</v>
      </c>
      <c r="W492" s="161">
        <f t="shared" si="43"/>
        <v>-4058.31</v>
      </c>
      <c r="X492" s="161">
        <f t="shared" si="44"/>
        <v>0</v>
      </c>
      <c r="Y492" s="161">
        <f t="shared" si="45"/>
        <v>-4058.31</v>
      </c>
      <c r="Z492" s="161">
        <v>0</v>
      </c>
      <c r="AA492" s="161">
        <f t="shared" si="46"/>
        <v>-4058.31</v>
      </c>
      <c r="AB492" s="161">
        <f t="shared" si="47"/>
        <v>-3598.62</v>
      </c>
      <c r="AC492" s="158"/>
      <c r="AD492" s="158"/>
    </row>
    <row r="493" spans="1:30" ht="12.75" customHeight="1" x14ac:dyDescent="0.3">
      <c r="A493" s="147">
        <v>27</v>
      </c>
      <c r="B493" s="158" t="s">
        <v>876</v>
      </c>
      <c r="C493" s="158" t="s">
        <v>150</v>
      </c>
      <c r="D493" s="160" t="s">
        <v>877</v>
      </c>
      <c r="E493" s="160" t="s">
        <v>25</v>
      </c>
      <c r="F493" s="158" t="s">
        <v>25</v>
      </c>
      <c r="G493" s="160" t="s">
        <v>866</v>
      </c>
      <c r="H493" s="161">
        <v>2200.39</v>
      </c>
      <c r="I493" s="161">
        <v>0</v>
      </c>
      <c r="J493" s="161">
        <v>0</v>
      </c>
      <c r="K493" s="161">
        <v>0</v>
      </c>
      <c r="L493" s="161">
        <v>-650.6</v>
      </c>
      <c r="M493" s="162">
        <v>-28</v>
      </c>
      <c r="N493" s="161">
        <v>0</v>
      </c>
      <c r="O493" s="162">
        <f t="shared" si="42"/>
        <v>1521.79</v>
      </c>
      <c r="P493" s="161">
        <v>-2321</v>
      </c>
      <c r="Q493" s="161">
        <v>0</v>
      </c>
      <c r="R493" s="161">
        <v>0</v>
      </c>
      <c r="S493" s="161">
        <v>0</v>
      </c>
      <c r="T493" s="161">
        <v>-660</v>
      </c>
      <c r="U493" s="161">
        <v>525</v>
      </c>
      <c r="V493" s="161">
        <v>0</v>
      </c>
      <c r="W493" s="161">
        <f t="shared" si="43"/>
        <v>-934.21</v>
      </c>
      <c r="X493" s="161">
        <f t="shared" si="44"/>
        <v>0</v>
      </c>
      <c r="Y493" s="161">
        <f t="shared" si="45"/>
        <v>-934.21</v>
      </c>
      <c r="Z493" s="161">
        <v>0</v>
      </c>
      <c r="AA493" s="161">
        <f t="shared" si="46"/>
        <v>-934.21</v>
      </c>
      <c r="AB493" s="161">
        <f t="shared" si="47"/>
        <v>587.57999999999993</v>
      </c>
      <c r="AC493" s="158" t="s">
        <v>995</v>
      </c>
      <c r="AD493" s="158"/>
    </row>
    <row r="494" spans="1:30" ht="12.75" customHeight="1" x14ac:dyDescent="0.3">
      <c r="A494" s="147">
        <v>27</v>
      </c>
      <c r="B494" s="158" t="s">
        <v>484</v>
      </c>
      <c r="C494" s="158" t="s">
        <v>426</v>
      </c>
      <c r="D494" s="158" t="s">
        <v>903</v>
      </c>
      <c r="E494" s="160" t="s">
        <v>25</v>
      </c>
      <c r="F494" s="158" t="s">
        <v>25</v>
      </c>
      <c r="G494" s="160" t="s">
        <v>866</v>
      </c>
      <c r="H494" s="161">
        <v>8432.94</v>
      </c>
      <c r="I494" s="161">
        <v>-111.2</v>
      </c>
      <c r="J494" s="161">
        <v>0</v>
      </c>
      <c r="K494" s="161">
        <v>0</v>
      </c>
      <c r="L494" s="161">
        <v>-3758.67</v>
      </c>
      <c r="M494" s="162">
        <v>-25</v>
      </c>
      <c r="N494" s="161">
        <v>0</v>
      </c>
      <c r="O494" s="162">
        <f t="shared" si="42"/>
        <v>4538.07</v>
      </c>
      <c r="P494" s="161">
        <v>-2500</v>
      </c>
      <c r="Q494" s="161">
        <v>0</v>
      </c>
      <c r="R494" s="161">
        <v>0</v>
      </c>
      <c r="S494" s="161">
        <v>0</v>
      </c>
      <c r="T494" s="161">
        <v>0</v>
      </c>
      <c r="U494" s="161">
        <v>40</v>
      </c>
      <c r="V494" s="161">
        <v>0</v>
      </c>
      <c r="W494" s="161">
        <f t="shared" si="43"/>
        <v>2078.0699999999997</v>
      </c>
      <c r="X494" s="161">
        <f t="shared" si="44"/>
        <v>2078.0699999999997</v>
      </c>
      <c r="Y494" s="161">
        <f t="shared" si="45"/>
        <v>0</v>
      </c>
      <c r="Z494" s="161">
        <v>0</v>
      </c>
      <c r="AA494" s="161">
        <f t="shared" si="46"/>
        <v>0</v>
      </c>
      <c r="AB494" s="161">
        <f t="shared" si="47"/>
        <v>2460</v>
      </c>
      <c r="AC494" s="158" t="s">
        <v>998</v>
      </c>
      <c r="AD494" s="158"/>
    </row>
    <row r="495" spans="1:30" ht="12.75" customHeight="1" x14ac:dyDescent="0.3">
      <c r="A495" s="147">
        <v>27</v>
      </c>
      <c r="B495" s="158" t="s">
        <v>408</v>
      </c>
      <c r="C495" s="158" t="s">
        <v>878</v>
      </c>
      <c r="D495" s="158" t="s">
        <v>972</v>
      </c>
      <c r="E495" s="160" t="s">
        <v>25</v>
      </c>
      <c r="F495" s="158" t="s">
        <v>39</v>
      </c>
      <c r="G495" s="160" t="s">
        <v>866</v>
      </c>
      <c r="H495" s="161">
        <v>2859.85</v>
      </c>
      <c r="I495" s="161">
        <v>-22</v>
      </c>
      <c r="J495" s="161">
        <v>0</v>
      </c>
      <c r="K495" s="161">
        <v>0</v>
      </c>
      <c r="L495" s="161">
        <v>0</v>
      </c>
      <c r="M495" s="162">
        <v>-30</v>
      </c>
      <c r="N495" s="161">
        <v>0</v>
      </c>
      <c r="O495" s="162">
        <f t="shared" si="42"/>
        <v>2807.85</v>
      </c>
      <c r="P495" s="161">
        <v>-2500</v>
      </c>
      <c r="Q495" s="161">
        <v>0</v>
      </c>
      <c r="R495" s="161">
        <v>0</v>
      </c>
      <c r="S495" s="161">
        <v>0</v>
      </c>
      <c r="T495" s="161">
        <v>0</v>
      </c>
      <c r="U495" s="161">
        <v>0</v>
      </c>
      <c r="V495" s="161">
        <v>0</v>
      </c>
      <c r="W495" s="161">
        <f t="shared" si="43"/>
        <v>307.84999999999991</v>
      </c>
      <c r="X495" s="161">
        <f t="shared" si="44"/>
        <v>307.84999999999991</v>
      </c>
      <c r="Y495" s="161">
        <f t="shared" si="45"/>
        <v>0</v>
      </c>
      <c r="Z495" s="161">
        <v>0</v>
      </c>
      <c r="AA495" s="161">
        <f t="shared" si="46"/>
        <v>0</v>
      </c>
      <c r="AB495" s="161">
        <f t="shared" si="47"/>
        <v>2500</v>
      </c>
      <c r="AC495" s="158"/>
      <c r="AD495" s="158"/>
    </row>
    <row r="496" spans="1:30" ht="12.75" customHeight="1" x14ac:dyDescent="0.3">
      <c r="A496" s="147">
        <v>27</v>
      </c>
      <c r="B496" s="158" t="s">
        <v>992</v>
      </c>
      <c r="C496" s="158" t="s">
        <v>169</v>
      </c>
      <c r="D496" s="158" t="s">
        <v>967</v>
      </c>
      <c r="E496" s="160" t="s">
        <v>871</v>
      </c>
      <c r="F496" s="158" t="s">
        <v>39</v>
      </c>
      <c r="G496" s="160" t="s">
        <v>866</v>
      </c>
      <c r="H496" s="161">
        <v>7062.8</v>
      </c>
      <c r="I496" s="161">
        <v>-180</v>
      </c>
      <c r="J496" s="161">
        <v>0</v>
      </c>
      <c r="K496" s="161">
        <v>0</v>
      </c>
      <c r="L496" s="161">
        <v>-1654</v>
      </c>
      <c r="M496" s="162">
        <v>-28</v>
      </c>
      <c r="N496" s="161">
        <v>0</v>
      </c>
      <c r="O496" s="162">
        <f t="shared" si="42"/>
        <v>5200.8</v>
      </c>
      <c r="P496" s="161">
        <v>-2500</v>
      </c>
      <c r="Q496" s="161">
        <v>0</v>
      </c>
      <c r="R496" s="161">
        <v>-500</v>
      </c>
      <c r="S496" s="161">
        <v>0</v>
      </c>
      <c r="T496" s="161">
        <v>0</v>
      </c>
      <c r="U496" s="161">
        <v>0</v>
      </c>
      <c r="V496" s="161">
        <v>0</v>
      </c>
      <c r="W496" s="161">
        <f t="shared" si="43"/>
        <v>2200.8000000000002</v>
      </c>
      <c r="X496" s="161">
        <f t="shared" si="44"/>
        <v>2200.8000000000002</v>
      </c>
      <c r="Y496" s="161">
        <f t="shared" si="45"/>
        <v>0</v>
      </c>
      <c r="Z496" s="161">
        <v>0</v>
      </c>
      <c r="AA496" s="161">
        <f t="shared" si="46"/>
        <v>0</v>
      </c>
      <c r="AB496" s="161">
        <f t="shared" si="47"/>
        <v>3000</v>
      </c>
      <c r="AC496" s="158"/>
      <c r="AD496" s="158"/>
    </row>
    <row r="497" spans="1:30" ht="12.75" customHeight="1" x14ac:dyDescent="0.3">
      <c r="A497" s="147">
        <v>27</v>
      </c>
      <c r="B497" s="158" t="s">
        <v>962</v>
      </c>
      <c r="C497" s="158" t="s">
        <v>123</v>
      </c>
      <c r="D497" s="158" t="s">
        <v>999</v>
      </c>
      <c r="E497" s="160" t="s">
        <v>871</v>
      </c>
      <c r="F497" s="158" t="s">
        <v>39</v>
      </c>
      <c r="G497" s="160" t="s">
        <v>866</v>
      </c>
      <c r="H497" s="161">
        <v>2632.91</v>
      </c>
      <c r="I497" s="161">
        <v>0</v>
      </c>
      <c r="J497" s="161">
        <v>0</v>
      </c>
      <c r="K497" s="161">
        <v>0</v>
      </c>
      <c r="L497" s="161">
        <v>0</v>
      </c>
      <c r="M497" s="162">
        <v>-28</v>
      </c>
      <c r="N497" s="161">
        <v>-11</v>
      </c>
      <c r="O497" s="162">
        <f t="shared" si="42"/>
        <v>2593.91</v>
      </c>
      <c r="P497" s="161">
        <v>-2500</v>
      </c>
      <c r="Q497" s="161">
        <v>-51.52</v>
      </c>
      <c r="R497" s="161">
        <v>-500</v>
      </c>
      <c r="S497" s="161">
        <v>0</v>
      </c>
      <c r="T497" s="161">
        <v>0</v>
      </c>
      <c r="U497" s="161">
        <v>0</v>
      </c>
      <c r="V497" s="161">
        <v>0</v>
      </c>
      <c r="W497" s="161">
        <f t="shared" si="43"/>
        <v>-457.61000000000013</v>
      </c>
      <c r="X497" s="161">
        <f t="shared" si="44"/>
        <v>0</v>
      </c>
      <c r="Y497" s="161">
        <f t="shared" si="45"/>
        <v>-457.61000000000013</v>
      </c>
      <c r="Z497" s="161">
        <v>400</v>
      </c>
      <c r="AA497" s="161">
        <f t="shared" si="46"/>
        <v>-57.610000000000127</v>
      </c>
      <c r="AB497" s="161">
        <f t="shared" si="47"/>
        <v>2936.2999999999997</v>
      </c>
      <c r="AC497" s="158" t="s">
        <v>1000</v>
      </c>
      <c r="AD497" s="158"/>
    </row>
    <row r="498" spans="1:30" ht="12.75" customHeight="1" x14ac:dyDescent="0.3">
      <c r="A498" s="147">
        <v>27</v>
      </c>
      <c r="B498" s="158" t="s">
        <v>1001</v>
      </c>
      <c r="C498" s="158" t="s">
        <v>195</v>
      </c>
      <c r="D498" s="158" t="s">
        <v>964</v>
      </c>
      <c r="E498" s="160" t="s">
        <v>871</v>
      </c>
      <c r="F498" s="158" t="s">
        <v>25</v>
      </c>
      <c r="G498" s="160" t="s">
        <v>866</v>
      </c>
      <c r="H498" s="161">
        <v>2255.7199999999998</v>
      </c>
      <c r="I498" s="161">
        <v>0</v>
      </c>
      <c r="J498" s="161">
        <v>0</v>
      </c>
      <c r="K498" s="161">
        <v>0</v>
      </c>
      <c r="L498" s="161">
        <v>-1073.5899999999999</v>
      </c>
      <c r="M498" s="162">
        <v>-25</v>
      </c>
      <c r="N498" s="161">
        <v>0</v>
      </c>
      <c r="O498" s="162">
        <f t="shared" si="42"/>
        <v>1157.1299999999999</v>
      </c>
      <c r="P498" s="161">
        <v>-1071</v>
      </c>
      <c r="Q498" s="161">
        <v>0</v>
      </c>
      <c r="R498" s="161">
        <v>0</v>
      </c>
      <c r="S498" s="161">
        <v>0</v>
      </c>
      <c r="T498" s="161">
        <v>0</v>
      </c>
      <c r="U498" s="161">
        <v>0</v>
      </c>
      <c r="V498" s="161">
        <v>0</v>
      </c>
      <c r="W498" s="161">
        <f t="shared" si="43"/>
        <v>86.129999999999882</v>
      </c>
      <c r="X498" s="161">
        <f t="shared" si="44"/>
        <v>86.129999999999882</v>
      </c>
      <c r="Y498" s="161">
        <f t="shared" si="45"/>
        <v>0</v>
      </c>
      <c r="Z498" s="161">
        <v>0</v>
      </c>
      <c r="AA498" s="161">
        <f t="shared" si="46"/>
        <v>0</v>
      </c>
      <c r="AB498" s="161">
        <f t="shared" si="47"/>
        <v>1071</v>
      </c>
      <c r="AC498" s="158"/>
      <c r="AD498" s="158"/>
    </row>
    <row r="499" spans="1:30" ht="12.75" customHeight="1" x14ac:dyDescent="0.3">
      <c r="A499" s="147">
        <v>27</v>
      </c>
      <c r="B499" s="158" t="s">
        <v>880</v>
      </c>
      <c r="C499" s="158" t="s">
        <v>57</v>
      </c>
      <c r="D499" s="158" t="s">
        <v>881</v>
      </c>
      <c r="E499" s="160" t="s">
        <v>25</v>
      </c>
      <c r="F499" s="158" t="s">
        <v>25</v>
      </c>
      <c r="G499" s="160" t="s">
        <v>866</v>
      </c>
      <c r="H499" s="161">
        <v>2329.1</v>
      </c>
      <c r="I499" s="161">
        <v>0</v>
      </c>
      <c r="J499" s="161">
        <v>0</v>
      </c>
      <c r="K499" s="161">
        <v>0</v>
      </c>
      <c r="L499" s="161">
        <v>-902.97</v>
      </c>
      <c r="M499" s="162">
        <v>-38.1</v>
      </c>
      <c r="N499" s="161">
        <v>0</v>
      </c>
      <c r="O499" s="162">
        <f t="shared" si="42"/>
        <v>1388.03</v>
      </c>
      <c r="P499" s="161">
        <v>-2300</v>
      </c>
      <c r="Q499" s="161">
        <v>0</v>
      </c>
      <c r="R499" s="161">
        <v>0</v>
      </c>
      <c r="S499" s="161">
        <v>0</v>
      </c>
      <c r="T499" s="161">
        <v>0</v>
      </c>
      <c r="U499" s="161">
        <v>0</v>
      </c>
      <c r="V499" s="161">
        <v>0</v>
      </c>
      <c r="W499" s="161">
        <f t="shared" si="43"/>
        <v>-911.97</v>
      </c>
      <c r="X499" s="161">
        <f t="shared" si="44"/>
        <v>0</v>
      </c>
      <c r="Y499" s="161">
        <f t="shared" si="45"/>
        <v>-911.97</v>
      </c>
      <c r="Z499" s="161">
        <v>912</v>
      </c>
      <c r="AA499" s="161">
        <f t="shared" si="46"/>
        <v>2.9999999999972715E-2</v>
      </c>
      <c r="AB499" s="161">
        <f t="shared" si="47"/>
        <v>2300.0599999999995</v>
      </c>
      <c r="AC499" s="158"/>
      <c r="AD499" s="158"/>
    </row>
    <row r="500" spans="1:30" ht="12.75" customHeight="1" x14ac:dyDescent="0.3">
      <c r="A500" s="147">
        <v>27</v>
      </c>
      <c r="B500" s="158" t="s">
        <v>987</v>
      </c>
      <c r="C500" s="158" t="s">
        <v>409</v>
      </c>
      <c r="D500" s="158" t="s">
        <v>946</v>
      </c>
      <c r="E500" s="160" t="s">
        <v>25</v>
      </c>
      <c r="F500" s="158" t="s">
        <v>25</v>
      </c>
      <c r="G500" s="160" t="s">
        <v>866</v>
      </c>
      <c r="H500" s="161">
        <v>2599.2800000000002</v>
      </c>
      <c r="I500" s="161">
        <v>0</v>
      </c>
      <c r="J500" s="161">
        <v>0</v>
      </c>
      <c r="K500" s="161">
        <v>0</v>
      </c>
      <c r="L500" s="161">
        <v>-1440.8</v>
      </c>
      <c r="M500" s="162">
        <v>-35</v>
      </c>
      <c r="N500" s="161">
        <v>0</v>
      </c>
      <c r="O500" s="162">
        <f t="shared" si="42"/>
        <v>1123.4800000000002</v>
      </c>
      <c r="P500" s="161">
        <v>-2500</v>
      </c>
      <c r="Q500" s="161">
        <v>-2302.7199999999998</v>
      </c>
      <c r="R500" s="161">
        <v>-500</v>
      </c>
      <c r="S500" s="161">
        <v>0</v>
      </c>
      <c r="T500" s="161">
        <v>0</v>
      </c>
      <c r="U500" s="161">
        <v>0</v>
      </c>
      <c r="V500" s="161">
        <v>0</v>
      </c>
      <c r="W500" s="161">
        <f t="shared" si="43"/>
        <v>-4179.2399999999989</v>
      </c>
      <c r="X500" s="161">
        <f t="shared" si="44"/>
        <v>0</v>
      </c>
      <c r="Y500" s="161">
        <f t="shared" si="45"/>
        <v>-4179.2399999999989</v>
      </c>
      <c r="Z500" s="161">
        <v>0</v>
      </c>
      <c r="AA500" s="161">
        <f t="shared" si="46"/>
        <v>-4179.2399999999989</v>
      </c>
      <c r="AB500" s="161">
        <f t="shared" si="47"/>
        <v>-3055.7599999999984</v>
      </c>
      <c r="AC500" s="158"/>
      <c r="AD500" s="158"/>
    </row>
    <row r="501" spans="1:30" ht="12.75" customHeight="1" x14ac:dyDescent="0.3">
      <c r="A501" s="147">
        <v>27</v>
      </c>
      <c r="B501" s="158" t="s">
        <v>922</v>
      </c>
      <c r="C501" s="158" t="s">
        <v>36</v>
      </c>
      <c r="D501" s="158" t="s">
        <v>904</v>
      </c>
      <c r="E501" s="160" t="s">
        <v>25</v>
      </c>
      <c r="F501" s="158" t="s">
        <v>25</v>
      </c>
      <c r="G501" s="160" t="s">
        <v>866</v>
      </c>
      <c r="H501" s="161">
        <v>3120.19</v>
      </c>
      <c r="I501" s="161">
        <v>0</v>
      </c>
      <c r="J501" s="161">
        <v>0</v>
      </c>
      <c r="K501" s="161">
        <v>0</v>
      </c>
      <c r="L501" s="161">
        <v>-938.45</v>
      </c>
      <c r="M501" s="162">
        <v>-34.9</v>
      </c>
      <c r="N501" s="161">
        <v>0</v>
      </c>
      <c r="O501" s="162">
        <f t="shared" si="42"/>
        <v>2146.8399999999997</v>
      </c>
      <c r="P501" s="161">
        <v>-2500</v>
      </c>
      <c r="Q501" s="161">
        <v>0</v>
      </c>
      <c r="R501" s="161">
        <v>0</v>
      </c>
      <c r="S501" s="161">
        <v>0</v>
      </c>
      <c r="T501" s="161">
        <v>0</v>
      </c>
      <c r="U501" s="161">
        <v>0</v>
      </c>
      <c r="V501" s="161">
        <v>0</v>
      </c>
      <c r="W501" s="161">
        <f t="shared" si="43"/>
        <v>-353.16000000000031</v>
      </c>
      <c r="X501" s="161">
        <f t="shared" si="44"/>
        <v>0</v>
      </c>
      <c r="Y501" s="161">
        <f t="shared" si="45"/>
        <v>-353.16000000000031</v>
      </c>
      <c r="Z501" s="161">
        <v>0</v>
      </c>
      <c r="AA501" s="161">
        <f t="shared" si="46"/>
        <v>-353.16000000000031</v>
      </c>
      <c r="AB501" s="161">
        <f t="shared" si="47"/>
        <v>1793.6799999999994</v>
      </c>
      <c r="AC501" s="158" t="s">
        <v>995</v>
      </c>
      <c r="AD501" s="158"/>
    </row>
    <row r="502" spans="1:30" ht="12.75" customHeight="1" x14ac:dyDescent="0.3">
      <c r="A502" s="147">
        <v>27</v>
      </c>
      <c r="B502" s="158" t="s">
        <v>993</v>
      </c>
      <c r="C502" s="158" t="s">
        <v>347</v>
      </c>
      <c r="D502" s="158" t="s">
        <v>897</v>
      </c>
      <c r="E502" s="160" t="s">
        <v>25</v>
      </c>
      <c r="F502" s="158" t="s">
        <v>25</v>
      </c>
      <c r="G502" s="160" t="s">
        <v>866</v>
      </c>
      <c r="H502" s="161">
        <v>2360</v>
      </c>
      <c r="I502" s="161">
        <v>0</v>
      </c>
      <c r="J502" s="161">
        <v>0</v>
      </c>
      <c r="K502" s="161">
        <v>0</v>
      </c>
      <c r="L502" s="161">
        <v>-992</v>
      </c>
      <c r="M502" s="162">
        <v>-35</v>
      </c>
      <c r="N502" s="161">
        <v>0</v>
      </c>
      <c r="O502" s="162">
        <f t="shared" si="42"/>
        <v>1333</v>
      </c>
      <c r="P502" s="161">
        <v>-2500</v>
      </c>
      <c r="Q502" s="161">
        <v>0</v>
      </c>
      <c r="R502" s="161">
        <v>-500</v>
      </c>
      <c r="S502" s="161">
        <v>0</v>
      </c>
      <c r="T502" s="161">
        <v>0</v>
      </c>
      <c r="U502" s="161">
        <v>0</v>
      </c>
      <c r="V502" s="161">
        <v>0</v>
      </c>
      <c r="W502" s="161">
        <f t="shared" si="43"/>
        <v>-1667</v>
      </c>
      <c r="X502" s="161">
        <f t="shared" si="44"/>
        <v>0</v>
      </c>
      <c r="Y502" s="161">
        <f t="shared" si="45"/>
        <v>-1667</v>
      </c>
      <c r="Z502" s="161">
        <v>1667</v>
      </c>
      <c r="AA502" s="161">
        <f t="shared" si="46"/>
        <v>0</v>
      </c>
      <c r="AB502" s="161">
        <f t="shared" si="47"/>
        <v>3000</v>
      </c>
      <c r="AC502" s="158"/>
      <c r="AD502" s="158"/>
    </row>
    <row r="503" spans="1:30" ht="12.75" customHeight="1" x14ac:dyDescent="0.3">
      <c r="A503" s="147">
        <v>27</v>
      </c>
      <c r="B503" s="158" t="s">
        <v>994</v>
      </c>
      <c r="C503" s="158" t="s">
        <v>80</v>
      </c>
      <c r="D503" s="158" t="s">
        <v>20</v>
      </c>
      <c r="E503" s="160" t="s">
        <v>18</v>
      </c>
      <c r="F503" s="160" t="s">
        <v>18</v>
      </c>
      <c r="G503" s="160" t="s">
        <v>866</v>
      </c>
      <c r="H503" s="161">
        <v>6240.32</v>
      </c>
      <c r="I503" s="161">
        <v>-88.57</v>
      </c>
      <c r="J503" s="161">
        <v>0</v>
      </c>
      <c r="K503" s="161">
        <v>0</v>
      </c>
      <c r="L503" s="161">
        <v>0</v>
      </c>
      <c r="M503" s="162">
        <v>-35</v>
      </c>
      <c r="N503" s="161">
        <v>0</v>
      </c>
      <c r="O503" s="162">
        <f t="shared" si="42"/>
        <v>6116.75</v>
      </c>
      <c r="P503" s="161">
        <v>-2500</v>
      </c>
      <c r="Q503" s="161">
        <v>0</v>
      </c>
      <c r="R503" s="161">
        <v>-500</v>
      </c>
      <c r="S503" s="161">
        <v>0</v>
      </c>
      <c r="T503" s="161">
        <v>0</v>
      </c>
      <c r="U503" s="161">
        <v>0</v>
      </c>
      <c r="V503" s="161">
        <v>0</v>
      </c>
      <c r="W503" s="161">
        <f t="shared" si="43"/>
        <v>3116.75</v>
      </c>
      <c r="X503" s="161">
        <f t="shared" si="44"/>
        <v>3116.75</v>
      </c>
      <c r="Y503" s="161">
        <f t="shared" si="45"/>
        <v>0</v>
      </c>
      <c r="Z503" s="161">
        <v>0</v>
      </c>
      <c r="AA503" s="161">
        <f t="shared" si="46"/>
        <v>0</v>
      </c>
      <c r="AB503" s="161">
        <f t="shared" si="47"/>
        <v>3000</v>
      </c>
      <c r="AC503" s="158" t="s">
        <v>1002</v>
      </c>
      <c r="AD503" s="158"/>
    </row>
    <row r="504" spans="1:30" ht="12.75" customHeight="1" x14ac:dyDescent="0.3">
      <c r="A504" s="147">
        <v>27</v>
      </c>
      <c r="B504" s="158" t="s">
        <v>924</v>
      </c>
      <c r="C504" s="158" t="s">
        <v>100</v>
      </c>
      <c r="D504" s="158" t="s">
        <v>953</v>
      </c>
      <c r="E504" s="160" t="s">
        <v>25</v>
      </c>
      <c r="F504" s="158" t="s">
        <v>25</v>
      </c>
      <c r="G504" s="160" t="s">
        <v>866</v>
      </c>
      <c r="H504" s="161">
        <v>0</v>
      </c>
      <c r="I504" s="161">
        <v>0</v>
      </c>
      <c r="J504" s="161">
        <v>0</v>
      </c>
      <c r="K504" s="161">
        <v>0</v>
      </c>
      <c r="L504" s="161">
        <v>0</v>
      </c>
      <c r="M504" s="162">
        <v>-35</v>
      </c>
      <c r="N504" s="161">
        <v>-302.89</v>
      </c>
      <c r="O504" s="162">
        <f t="shared" si="42"/>
        <v>-337.89</v>
      </c>
      <c r="P504" s="161">
        <v>-2500</v>
      </c>
      <c r="Q504" s="161">
        <v>-1680</v>
      </c>
      <c r="R504" s="161">
        <v>0</v>
      </c>
      <c r="S504" s="161">
        <v>0</v>
      </c>
      <c r="T504" s="161">
        <v>0</v>
      </c>
      <c r="U504" s="161">
        <v>0</v>
      </c>
      <c r="V504" s="161">
        <v>0</v>
      </c>
      <c r="W504" s="161">
        <f t="shared" si="43"/>
        <v>-4517.8900000000003</v>
      </c>
      <c r="X504" s="161">
        <f t="shared" si="44"/>
        <v>0</v>
      </c>
      <c r="Y504" s="161">
        <f t="shared" si="45"/>
        <v>-4517.8900000000003</v>
      </c>
      <c r="Z504" s="161">
        <v>0</v>
      </c>
      <c r="AA504" s="161">
        <f t="shared" si="46"/>
        <v>-4517.8900000000003</v>
      </c>
      <c r="AB504" s="161">
        <f t="shared" si="47"/>
        <v>-4855.7800000000007</v>
      </c>
      <c r="AC504" s="158"/>
      <c r="AD504" s="158"/>
    </row>
    <row r="505" spans="1:30" ht="12.75" customHeight="1" x14ac:dyDescent="0.3">
      <c r="A505" s="147">
        <v>27</v>
      </c>
      <c r="B505" s="158" t="s">
        <v>1003</v>
      </c>
      <c r="C505" s="158" t="s">
        <v>59</v>
      </c>
      <c r="D505" s="158" t="s">
        <v>895</v>
      </c>
      <c r="E505" s="160" t="s">
        <v>25</v>
      </c>
      <c r="F505" s="158" t="s">
        <v>25</v>
      </c>
      <c r="G505" s="160" t="s">
        <v>866</v>
      </c>
      <c r="H505" s="161">
        <v>1236.8</v>
      </c>
      <c r="I505" s="161">
        <v>0</v>
      </c>
      <c r="J505" s="161">
        <v>0</v>
      </c>
      <c r="K505" s="161">
        <v>0</v>
      </c>
      <c r="L505" s="161">
        <v>0</v>
      </c>
      <c r="M505" s="162">
        <v>-25</v>
      </c>
      <c r="N505" s="161">
        <v>0</v>
      </c>
      <c r="O505" s="162">
        <f t="shared" si="42"/>
        <v>1211.8</v>
      </c>
      <c r="P505" s="161">
        <v>-536</v>
      </c>
      <c r="Q505" s="161">
        <v>0</v>
      </c>
      <c r="R505" s="161">
        <v>-107</v>
      </c>
      <c r="S505" s="161">
        <v>0</v>
      </c>
      <c r="T505" s="161">
        <v>0</v>
      </c>
      <c r="U505" s="161">
        <v>0</v>
      </c>
      <c r="V505" s="161">
        <v>0</v>
      </c>
      <c r="W505" s="161">
        <f t="shared" si="43"/>
        <v>568.79999999999995</v>
      </c>
      <c r="X505" s="161">
        <f t="shared" si="44"/>
        <v>568.79999999999995</v>
      </c>
      <c r="Y505" s="161">
        <f t="shared" si="45"/>
        <v>0</v>
      </c>
      <c r="Z505" s="161">
        <v>0</v>
      </c>
      <c r="AA505" s="161">
        <f t="shared" si="46"/>
        <v>0</v>
      </c>
      <c r="AB505" s="161">
        <f t="shared" si="47"/>
        <v>643</v>
      </c>
      <c r="AC505" s="158"/>
      <c r="AD505" s="158"/>
    </row>
    <row r="506" spans="1:30" ht="12.75" customHeight="1" x14ac:dyDescent="0.3">
      <c r="A506" s="147">
        <v>28</v>
      </c>
      <c r="B506" s="158" t="s">
        <v>585</v>
      </c>
      <c r="C506" s="158" t="s">
        <v>64</v>
      </c>
      <c r="D506" s="158" t="s">
        <v>949</v>
      </c>
      <c r="E506" s="160" t="s">
        <v>25</v>
      </c>
      <c r="F506" s="158" t="s">
        <v>25</v>
      </c>
      <c r="G506" s="160" t="s">
        <v>866</v>
      </c>
      <c r="H506" s="161">
        <v>715.8</v>
      </c>
      <c r="I506" s="161">
        <v>0</v>
      </c>
      <c r="J506" s="161">
        <v>0</v>
      </c>
      <c r="K506" s="161">
        <v>0</v>
      </c>
      <c r="L506" s="161">
        <v>-402.96</v>
      </c>
      <c r="M506" s="162">
        <v>-32</v>
      </c>
      <c r="N506" s="162">
        <v>0</v>
      </c>
      <c r="O506" s="162">
        <f t="shared" si="42"/>
        <v>280.83999999999997</v>
      </c>
      <c r="P506" s="162">
        <v>-2500</v>
      </c>
      <c r="Q506" s="162">
        <v>0</v>
      </c>
      <c r="R506" s="162">
        <v>0</v>
      </c>
      <c r="S506" s="162">
        <v>0</v>
      </c>
      <c r="T506" s="162">
        <v>-500</v>
      </c>
      <c r="U506" s="162">
        <v>500</v>
      </c>
      <c r="V506" s="161">
        <v>0</v>
      </c>
      <c r="W506" s="161">
        <f t="shared" si="43"/>
        <v>-2219.16</v>
      </c>
      <c r="X506" s="161">
        <f t="shared" si="44"/>
        <v>0</v>
      </c>
      <c r="Y506" s="161">
        <f t="shared" si="45"/>
        <v>-2219.16</v>
      </c>
      <c r="Z506" s="162">
        <v>2219</v>
      </c>
      <c r="AA506" s="161">
        <f t="shared" si="46"/>
        <v>-0.15999999999985448</v>
      </c>
      <c r="AB506" s="161">
        <f t="shared" si="47"/>
        <v>2499.6800000000003</v>
      </c>
      <c r="AC506" s="158"/>
      <c r="AD506" s="158"/>
    </row>
    <row r="507" spans="1:30" ht="12.75" customHeight="1" x14ac:dyDescent="0.3">
      <c r="A507" s="147">
        <v>28</v>
      </c>
      <c r="B507" s="158" t="s">
        <v>954</v>
      </c>
      <c r="C507" s="158" t="s">
        <v>68</v>
      </c>
      <c r="D507" s="158" t="s">
        <v>869</v>
      </c>
      <c r="E507" s="160" t="s">
        <v>25</v>
      </c>
      <c r="F507" s="158" t="s">
        <v>25</v>
      </c>
      <c r="G507" s="160" t="s">
        <v>866</v>
      </c>
      <c r="H507" s="161">
        <v>921.72</v>
      </c>
      <c r="I507" s="161">
        <v>-2.92</v>
      </c>
      <c r="J507" s="161">
        <v>0</v>
      </c>
      <c r="K507" s="161">
        <v>0</v>
      </c>
      <c r="L507" s="161">
        <v>0</v>
      </c>
      <c r="M507" s="162">
        <v>-38</v>
      </c>
      <c r="N507" s="162">
        <v>0</v>
      </c>
      <c r="O507" s="162">
        <f t="shared" si="42"/>
        <v>880.80000000000007</v>
      </c>
      <c r="P507" s="162">
        <v>-2500</v>
      </c>
      <c r="Q507" s="162">
        <v>-146</v>
      </c>
      <c r="R507" s="162">
        <v>0</v>
      </c>
      <c r="S507" s="162">
        <v>0</v>
      </c>
      <c r="T507" s="162">
        <v>0</v>
      </c>
      <c r="U507" s="162">
        <v>0</v>
      </c>
      <c r="V507" s="161">
        <v>0</v>
      </c>
      <c r="W507" s="161">
        <f t="shared" si="43"/>
        <v>-1765.1999999999998</v>
      </c>
      <c r="X507" s="161">
        <f t="shared" si="44"/>
        <v>0</v>
      </c>
      <c r="Y507" s="161">
        <f t="shared" si="45"/>
        <v>-1765.1999999999998</v>
      </c>
      <c r="Z507" s="162">
        <v>850</v>
      </c>
      <c r="AA507" s="161">
        <f t="shared" si="46"/>
        <v>-915.19999999999982</v>
      </c>
      <c r="AB507" s="161">
        <f t="shared" si="47"/>
        <v>815.60000000000036</v>
      </c>
      <c r="AC507" s="158"/>
      <c r="AD507" s="158"/>
    </row>
    <row r="508" spans="1:30" ht="12.75" customHeight="1" x14ac:dyDescent="0.3">
      <c r="A508" s="147">
        <v>28</v>
      </c>
      <c r="B508" s="158" t="s">
        <v>944</v>
      </c>
      <c r="C508" s="158" t="s">
        <v>372</v>
      </c>
      <c r="D508" s="158" t="s">
        <v>1004</v>
      </c>
      <c r="E508" s="158" t="s">
        <v>39</v>
      </c>
      <c r="F508" s="158" t="s">
        <v>39</v>
      </c>
      <c r="G508" s="160" t="s">
        <v>866</v>
      </c>
      <c r="H508" s="161">
        <v>5258.85</v>
      </c>
      <c r="I508" s="161">
        <v>-13.33</v>
      </c>
      <c r="J508" s="161">
        <v>0</v>
      </c>
      <c r="K508" s="161">
        <v>0</v>
      </c>
      <c r="L508" s="161">
        <v>-494.46</v>
      </c>
      <c r="M508" s="162">
        <v>-38</v>
      </c>
      <c r="N508" s="162">
        <v>0</v>
      </c>
      <c r="O508" s="162">
        <f t="shared" si="42"/>
        <v>4713.0600000000004</v>
      </c>
      <c r="P508" s="162">
        <v>-2500</v>
      </c>
      <c r="Q508" s="162">
        <v>0</v>
      </c>
      <c r="R508" s="162">
        <v>-500</v>
      </c>
      <c r="S508" s="162">
        <v>0</v>
      </c>
      <c r="T508" s="162">
        <v>0</v>
      </c>
      <c r="U508" s="162">
        <v>-600</v>
      </c>
      <c r="V508" s="161">
        <v>0</v>
      </c>
      <c r="W508" s="161">
        <f t="shared" si="43"/>
        <v>1113.0600000000004</v>
      </c>
      <c r="X508" s="161">
        <f t="shared" si="44"/>
        <v>1113.0600000000004</v>
      </c>
      <c r="Y508" s="161">
        <f t="shared" si="45"/>
        <v>0</v>
      </c>
      <c r="Z508" s="162">
        <v>0</v>
      </c>
      <c r="AA508" s="161">
        <f t="shared" si="46"/>
        <v>0</v>
      </c>
      <c r="AB508" s="161">
        <f t="shared" si="47"/>
        <v>3600</v>
      </c>
      <c r="AC508" s="158"/>
      <c r="AD508" s="158"/>
    </row>
    <row r="509" spans="1:30" ht="12.75" customHeight="1" x14ac:dyDescent="0.3">
      <c r="A509" s="147">
        <v>28</v>
      </c>
      <c r="B509" s="158" t="s">
        <v>913</v>
      </c>
      <c r="C509" s="158" t="s">
        <v>46</v>
      </c>
      <c r="D509" s="158" t="s">
        <v>915</v>
      </c>
      <c r="E509" s="160" t="s">
        <v>25</v>
      </c>
      <c r="F509" s="158" t="s">
        <v>25</v>
      </c>
      <c r="G509" s="160" t="s">
        <v>866</v>
      </c>
      <c r="H509" s="161">
        <v>6477.94</v>
      </c>
      <c r="I509" s="161">
        <v>-32.799999999999997</v>
      </c>
      <c r="J509" s="161">
        <v>0</v>
      </c>
      <c r="K509" s="161">
        <v>0</v>
      </c>
      <c r="L509" s="161">
        <v>-2759.52</v>
      </c>
      <c r="M509" s="162">
        <v>-35</v>
      </c>
      <c r="N509" s="162">
        <v>-556</v>
      </c>
      <c r="O509" s="162">
        <f t="shared" si="42"/>
        <v>3094.6199999999994</v>
      </c>
      <c r="P509" s="162">
        <v>-2500</v>
      </c>
      <c r="Q509" s="162">
        <v>0</v>
      </c>
      <c r="R509" s="162">
        <v>-500</v>
      </c>
      <c r="S509" s="162">
        <v>0</v>
      </c>
      <c r="T509" s="162">
        <v>0</v>
      </c>
      <c r="U509" s="162">
        <v>0</v>
      </c>
      <c r="V509" s="161">
        <v>0</v>
      </c>
      <c r="W509" s="161">
        <f t="shared" si="43"/>
        <v>94.619999999999436</v>
      </c>
      <c r="X509" s="161">
        <f t="shared" si="44"/>
        <v>94.619999999999436</v>
      </c>
      <c r="Y509" s="161">
        <f t="shared" si="45"/>
        <v>0</v>
      </c>
      <c r="Z509" s="162">
        <v>0</v>
      </c>
      <c r="AA509" s="161">
        <f t="shared" si="46"/>
        <v>0</v>
      </c>
      <c r="AB509" s="161">
        <f t="shared" si="47"/>
        <v>3000</v>
      </c>
      <c r="AC509" s="158"/>
      <c r="AD509" s="158"/>
    </row>
    <row r="510" spans="1:30" ht="12.75" customHeight="1" x14ac:dyDescent="0.3">
      <c r="A510" s="147">
        <v>28</v>
      </c>
      <c r="B510" s="158" t="s">
        <v>886</v>
      </c>
      <c r="C510" s="158" t="s">
        <v>101</v>
      </c>
      <c r="D510" s="158" t="s">
        <v>945</v>
      </c>
      <c r="E510" s="160" t="s">
        <v>25</v>
      </c>
      <c r="F510" s="158" t="s">
        <v>25</v>
      </c>
      <c r="G510" s="160" t="s">
        <v>866</v>
      </c>
      <c r="H510" s="161">
        <v>2342.9499999999998</v>
      </c>
      <c r="I510" s="161">
        <v>-0.94</v>
      </c>
      <c r="J510" s="161">
        <v>0</v>
      </c>
      <c r="K510" s="161">
        <v>-29.51</v>
      </c>
      <c r="L510" s="161">
        <v>-110.05</v>
      </c>
      <c r="M510" s="162">
        <v>-38</v>
      </c>
      <c r="N510" s="162">
        <v>-370</v>
      </c>
      <c r="O510" s="162">
        <f t="shared" si="42"/>
        <v>1794.4499999999994</v>
      </c>
      <c r="P510" s="162">
        <v>-2500</v>
      </c>
      <c r="Q510" s="162">
        <v>0</v>
      </c>
      <c r="R510" s="162">
        <v>0</v>
      </c>
      <c r="S510" s="162">
        <v>0</v>
      </c>
      <c r="T510" s="162">
        <v>0</v>
      </c>
      <c r="U510" s="162">
        <v>0</v>
      </c>
      <c r="V510" s="161">
        <v>0</v>
      </c>
      <c r="W510" s="161">
        <f t="shared" si="43"/>
        <v>-705.55000000000064</v>
      </c>
      <c r="X510" s="161">
        <f t="shared" si="44"/>
        <v>0</v>
      </c>
      <c r="Y510" s="161">
        <f t="shared" si="45"/>
        <v>-705.55000000000064</v>
      </c>
      <c r="Z510" s="162">
        <v>0</v>
      </c>
      <c r="AA510" s="161">
        <f t="shared" si="46"/>
        <v>-705.55000000000064</v>
      </c>
      <c r="AB510" s="161">
        <f t="shared" si="47"/>
        <v>1088.8999999999987</v>
      </c>
      <c r="AC510" s="158"/>
      <c r="AD510" s="158"/>
    </row>
    <row r="511" spans="1:30" ht="12.75" customHeight="1" x14ac:dyDescent="0.3">
      <c r="A511" s="147">
        <v>28</v>
      </c>
      <c r="B511" s="158" t="s">
        <v>457</v>
      </c>
      <c r="C511" s="158" t="s">
        <v>571</v>
      </c>
      <c r="D511" s="158" t="s">
        <v>974</v>
      </c>
      <c r="E511" s="160" t="s">
        <v>25</v>
      </c>
      <c r="F511" s="158" t="s">
        <v>25</v>
      </c>
      <c r="G511" s="160" t="s">
        <v>866</v>
      </c>
      <c r="H511" s="161">
        <v>1993.62</v>
      </c>
      <c r="I511" s="161">
        <v>-5.82</v>
      </c>
      <c r="J511" s="161">
        <v>0</v>
      </c>
      <c r="K511" s="161">
        <v>0</v>
      </c>
      <c r="L511" s="161">
        <v>-501.57</v>
      </c>
      <c r="M511" s="162">
        <v>-32</v>
      </c>
      <c r="N511" s="162">
        <v>0</v>
      </c>
      <c r="O511" s="162">
        <f t="shared" si="42"/>
        <v>1454.23</v>
      </c>
      <c r="P511" s="162">
        <v>-2500</v>
      </c>
      <c r="Q511" s="162">
        <v>0</v>
      </c>
      <c r="R511" s="162">
        <v>0</v>
      </c>
      <c r="S511" s="162">
        <v>0</v>
      </c>
      <c r="T511" s="162">
        <v>0</v>
      </c>
      <c r="U511" s="162">
        <v>-598</v>
      </c>
      <c r="V511" s="161">
        <v>0</v>
      </c>
      <c r="W511" s="161">
        <f t="shared" si="43"/>
        <v>-1643.77</v>
      </c>
      <c r="X511" s="161">
        <f t="shared" si="44"/>
        <v>0</v>
      </c>
      <c r="Y511" s="161">
        <f t="shared" si="45"/>
        <v>-1643.77</v>
      </c>
      <c r="Z511" s="162">
        <v>1644</v>
      </c>
      <c r="AA511" s="161">
        <f t="shared" si="46"/>
        <v>0.23000000000001819</v>
      </c>
      <c r="AB511" s="161">
        <f t="shared" si="47"/>
        <v>3098.46</v>
      </c>
      <c r="AC511" s="158"/>
      <c r="AD511" s="158"/>
    </row>
    <row r="512" spans="1:30" ht="12.75" customHeight="1" x14ac:dyDescent="0.3">
      <c r="A512" s="147">
        <v>28</v>
      </c>
      <c r="B512" s="158" t="s">
        <v>990</v>
      </c>
      <c r="C512" s="158" t="s">
        <v>863</v>
      </c>
      <c r="D512" s="158" t="s">
        <v>864</v>
      </c>
      <c r="E512" s="160" t="s">
        <v>25</v>
      </c>
      <c r="F512" s="158" t="s">
        <v>25</v>
      </c>
      <c r="G512" s="160" t="s">
        <v>866</v>
      </c>
      <c r="H512" s="161">
        <v>2542.31</v>
      </c>
      <c r="I512" s="161">
        <v>0</v>
      </c>
      <c r="J512" s="161">
        <v>0</v>
      </c>
      <c r="K512" s="161">
        <v>0</v>
      </c>
      <c r="L512" s="161">
        <v>-504.44</v>
      </c>
      <c r="M512" s="162">
        <v>-35</v>
      </c>
      <c r="N512" s="162">
        <v>-240</v>
      </c>
      <c r="O512" s="162">
        <f t="shared" si="42"/>
        <v>1762.87</v>
      </c>
      <c r="P512" s="162">
        <v>-2500</v>
      </c>
      <c r="Q512" s="162">
        <v>-812</v>
      </c>
      <c r="R512" s="162">
        <v>-500</v>
      </c>
      <c r="S512" s="162">
        <v>0</v>
      </c>
      <c r="T512" s="162">
        <v>0</v>
      </c>
      <c r="U512" s="162">
        <v>0</v>
      </c>
      <c r="V512" s="161">
        <v>0</v>
      </c>
      <c r="W512" s="161">
        <f t="shared" si="43"/>
        <v>-2049.13</v>
      </c>
      <c r="X512" s="161">
        <f t="shared" si="44"/>
        <v>0</v>
      </c>
      <c r="Y512" s="161">
        <f t="shared" si="45"/>
        <v>-2049.13</v>
      </c>
      <c r="Z512" s="162">
        <v>2049</v>
      </c>
      <c r="AA512" s="161">
        <f t="shared" si="46"/>
        <v>-0.13000000000010914</v>
      </c>
      <c r="AB512" s="161">
        <f t="shared" si="47"/>
        <v>3811.74</v>
      </c>
      <c r="AC512" s="158"/>
      <c r="AD512" s="158"/>
    </row>
    <row r="513" spans="1:30" ht="12.75" customHeight="1" x14ac:dyDescent="0.3">
      <c r="A513" s="147">
        <v>28</v>
      </c>
      <c r="B513" s="158" t="s">
        <v>872</v>
      </c>
      <c r="C513" s="158" t="s">
        <v>256</v>
      </c>
      <c r="D513" s="158" t="s">
        <v>997</v>
      </c>
      <c r="E513" s="160" t="s">
        <v>871</v>
      </c>
      <c r="F513" s="158" t="s">
        <v>39</v>
      </c>
      <c r="G513" s="160" t="s">
        <v>866</v>
      </c>
      <c r="H513" s="161">
        <v>8533.58</v>
      </c>
      <c r="I513" s="161">
        <v>-96.8</v>
      </c>
      <c r="J513" s="161">
        <v>0</v>
      </c>
      <c r="K513" s="161">
        <v>-86.75</v>
      </c>
      <c r="L513" s="161">
        <v>-3508.38</v>
      </c>
      <c r="M513" s="162">
        <v>-32</v>
      </c>
      <c r="N513" s="162">
        <v>0</v>
      </c>
      <c r="O513" s="162">
        <f t="shared" si="42"/>
        <v>4809.6500000000005</v>
      </c>
      <c r="P513" s="162">
        <v>-2500</v>
      </c>
      <c r="Q513" s="162">
        <v>0</v>
      </c>
      <c r="R513" s="162">
        <v>0</v>
      </c>
      <c r="S513" s="162">
        <v>0</v>
      </c>
      <c r="T513" s="162">
        <v>0</v>
      </c>
      <c r="U513" s="162">
        <v>0</v>
      </c>
      <c r="V513" s="161">
        <v>0</v>
      </c>
      <c r="W513" s="161">
        <f t="shared" si="43"/>
        <v>2309.6500000000005</v>
      </c>
      <c r="X513" s="161">
        <f t="shared" si="44"/>
        <v>2309.6500000000005</v>
      </c>
      <c r="Y513" s="161">
        <f t="shared" si="45"/>
        <v>0</v>
      </c>
      <c r="Z513" s="162">
        <v>0</v>
      </c>
      <c r="AA513" s="161">
        <f t="shared" si="46"/>
        <v>0</v>
      </c>
      <c r="AB513" s="161">
        <f t="shared" si="47"/>
        <v>2500</v>
      </c>
      <c r="AC513" s="158"/>
      <c r="AD513" s="158"/>
    </row>
    <row r="514" spans="1:30" ht="12.75" customHeight="1" x14ac:dyDescent="0.3">
      <c r="A514" s="147">
        <v>28</v>
      </c>
      <c r="B514" s="158" t="s">
        <v>921</v>
      </c>
      <c r="C514" s="158" t="s">
        <v>257</v>
      </c>
      <c r="D514" s="158" t="s">
        <v>943</v>
      </c>
      <c r="E514" s="160" t="s">
        <v>25</v>
      </c>
      <c r="F514" s="158" t="s">
        <v>25</v>
      </c>
      <c r="G514" s="160" t="s">
        <v>866</v>
      </c>
      <c r="H514" s="161">
        <v>8050.99</v>
      </c>
      <c r="I514" s="161">
        <v>0</v>
      </c>
      <c r="J514" s="161">
        <v>0</v>
      </c>
      <c r="K514" s="161">
        <v>0</v>
      </c>
      <c r="L514" s="161">
        <v>-3275.95</v>
      </c>
      <c r="M514" s="162">
        <v>-81.34</v>
      </c>
      <c r="N514" s="162">
        <v>0</v>
      </c>
      <c r="O514" s="162">
        <f t="shared" ref="O514:O577" si="48">SUM(H514:N514)</f>
        <v>4693.7</v>
      </c>
      <c r="P514" s="162">
        <v>-2500</v>
      </c>
      <c r="Q514" s="162">
        <v>0</v>
      </c>
      <c r="R514" s="162">
        <v>0</v>
      </c>
      <c r="S514" s="162">
        <v>0</v>
      </c>
      <c r="T514" s="162">
        <v>0</v>
      </c>
      <c r="U514" s="162">
        <v>0</v>
      </c>
      <c r="V514" s="161">
        <v>0</v>
      </c>
      <c r="W514" s="161">
        <f t="shared" ref="W514:W577" si="49">+O514+SUM(P514:V514)</f>
        <v>2193.6999999999998</v>
      </c>
      <c r="X514" s="161">
        <f t="shared" ref="X514:X577" si="50">IF(W514&gt;=0,W514,0)</f>
        <v>2193.6999999999998</v>
      </c>
      <c r="Y514" s="161">
        <f t="shared" ref="Y514:Y577" si="51">IF(W514&lt;=0,W514,0)</f>
        <v>0</v>
      </c>
      <c r="Z514" s="162">
        <v>0</v>
      </c>
      <c r="AA514" s="161">
        <f t="shared" ref="AA514:AA577" si="52">+Y514+Z514</f>
        <v>0</v>
      </c>
      <c r="AB514" s="161">
        <f t="shared" ref="AB514:AB577" si="53">+O514-X514+Z514+AA514</f>
        <v>2500</v>
      </c>
      <c r="AC514" s="158"/>
      <c r="AD514" s="158"/>
    </row>
    <row r="515" spans="1:30" ht="12.75" customHeight="1" x14ac:dyDescent="0.3">
      <c r="A515" s="147">
        <v>28</v>
      </c>
      <c r="B515" s="158" t="s">
        <v>1005</v>
      </c>
      <c r="C515" s="158" t="s">
        <v>409</v>
      </c>
      <c r="D515" s="158" t="s">
        <v>946</v>
      </c>
      <c r="E515" s="160" t="s">
        <v>25</v>
      </c>
      <c r="F515" s="158" t="s">
        <v>25</v>
      </c>
      <c r="G515" s="160" t="s">
        <v>866</v>
      </c>
      <c r="H515" s="161">
        <v>4198.58</v>
      </c>
      <c r="I515" s="161">
        <v>0</v>
      </c>
      <c r="J515" s="161">
        <v>0</v>
      </c>
      <c r="K515" s="161">
        <v>0</v>
      </c>
      <c r="L515" s="161">
        <v>-1353.92</v>
      </c>
      <c r="M515" s="162">
        <v>-32</v>
      </c>
      <c r="N515" s="162">
        <v>-80</v>
      </c>
      <c r="O515" s="162">
        <f t="shared" si="48"/>
        <v>2732.66</v>
      </c>
      <c r="P515" s="162">
        <v>-2143</v>
      </c>
      <c r="Q515" s="162">
        <v>0</v>
      </c>
      <c r="R515" s="162">
        <v>-500</v>
      </c>
      <c r="S515" s="162">
        <v>0</v>
      </c>
      <c r="T515" s="162">
        <v>0</v>
      </c>
      <c r="U515" s="162">
        <v>0</v>
      </c>
      <c r="V515" s="161">
        <v>0</v>
      </c>
      <c r="W515" s="161">
        <f t="shared" si="49"/>
        <v>89.659999999999854</v>
      </c>
      <c r="X515" s="161">
        <f t="shared" si="50"/>
        <v>89.659999999999854</v>
      </c>
      <c r="Y515" s="161">
        <f t="shared" si="51"/>
        <v>0</v>
      </c>
      <c r="Z515" s="162">
        <v>0</v>
      </c>
      <c r="AA515" s="161">
        <f t="shared" si="52"/>
        <v>0</v>
      </c>
      <c r="AB515" s="161">
        <f t="shared" si="53"/>
        <v>2643</v>
      </c>
      <c r="AC515" s="158"/>
      <c r="AD515" s="158"/>
    </row>
    <row r="516" spans="1:30" ht="12.75" customHeight="1" x14ac:dyDescent="0.3">
      <c r="A516" s="147">
        <v>28</v>
      </c>
      <c r="B516" s="158" t="s">
        <v>918</v>
      </c>
      <c r="C516" s="158" t="s">
        <v>120</v>
      </c>
      <c r="D516" s="158" t="s">
        <v>950</v>
      </c>
      <c r="E516" s="158" t="s">
        <v>25</v>
      </c>
      <c r="F516" s="158" t="s">
        <v>25</v>
      </c>
      <c r="G516" s="160" t="s">
        <v>866</v>
      </c>
      <c r="H516" s="161">
        <v>6248.49</v>
      </c>
      <c r="I516" s="161">
        <v>0</v>
      </c>
      <c r="J516" s="161">
        <v>0</v>
      </c>
      <c r="K516" s="161">
        <v>0</v>
      </c>
      <c r="L516" s="161">
        <v>-2484.5100000000002</v>
      </c>
      <c r="M516" s="162">
        <v>-32</v>
      </c>
      <c r="N516" s="162">
        <v>0</v>
      </c>
      <c r="O516" s="162">
        <f t="shared" si="48"/>
        <v>3731.9799999999996</v>
      </c>
      <c r="P516" s="162">
        <v>-2500</v>
      </c>
      <c r="Q516" s="162">
        <v>0</v>
      </c>
      <c r="R516" s="162">
        <v>0</v>
      </c>
      <c r="S516" s="162">
        <v>0</v>
      </c>
      <c r="T516" s="162">
        <v>0</v>
      </c>
      <c r="U516" s="162">
        <v>0</v>
      </c>
      <c r="V516" s="161">
        <v>0</v>
      </c>
      <c r="W516" s="161">
        <f t="shared" si="49"/>
        <v>1231.9799999999996</v>
      </c>
      <c r="X516" s="161">
        <f t="shared" si="50"/>
        <v>1231.9799999999996</v>
      </c>
      <c r="Y516" s="161">
        <f t="shared" si="51"/>
        <v>0</v>
      </c>
      <c r="Z516" s="162">
        <v>0</v>
      </c>
      <c r="AA516" s="161">
        <f t="shared" si="52"/>
        <v>0</v>
      </c>
      <c r="AB516" s="161">
        <f t="shared" si="53"/>
        <v>2500</v>
      </c>
      <c r="AC516" s="158"/>
      <c r="AD516" s="158"/>
    </row>
    <row r="517" spans="1:30" ht="12.75" customHeight="1" x14ac:dyDescent="0.3">
      <c r="A517" s="147">
        <v>28</v>
      </c>
      <c r="B517" s="158" t="s">
        <v>876</v>
      </c>
      <c r="C517" s="158" t="s">
        <v>150</v>
      </c>
      <c r="D517" s="160" t="s">
        <v>877</v>
      </c>
      <c r="E517" s="160" t="s">
        <v>25</v>
      </c>
      <c r="F517" s="158" t="s">
        <v>25</v>
      </c>
      <c r="G517" s="160" t="s">
        <v>866</v>
      </c>
      <c r="H517" s="161">
        <v>608.58000000000004</v>
      </c>
      <c r="I517" s="161">
        <v>0</v>
      </c>
      <c r="J517" s="161">
        <v>0</v>
      </c>
      <c r="K517" s="161">
        <v>0</v>
      </c>
      <c r="L517" s="161">
        <v>-433.93</v>
      </c>
      <c r="M517" s="162">
        <v>-28</v>
      </c>
      <c r="N517" s="161">
        <v>0</v>
      </c>
      <c r="O517" s="162">
        <f t="shared" si="48"/>
        <v>146.65000000000003</v>
      </c>
      <c r="P517" s="161">
        <v>-357</v>
      </c>
      <c r="Q517" s="161">
        <v>-1046</v>
      </c>
      <c r="R517" s="161">
        <v>1256</v>
      </c>
      <c r="S517" s="161">
        <v>0</v>
      </c>
      <c r="T517" s="161">
        <v>0</v>
      </c>
      <c r="U517" s="161">
        <v>0</v>
      </c>
      <c r="V517" s="161">
        <v>0</v>
      </c>
      <c r="W517" s="161">
        <f t="shared" si="49"/>
        <v>-0.34999999999996589</v>
      </c>
      <c r="X517" s="161">
        <f t="shared" si="50"/>
        <v>0</v>
      </c>
      <c r="Y517" s="161">
        <f t="shared" si="51"/>
        <v>-0.34999999999996589</v>
      </c>
      <c r="Z517" s="161">
        <v>0</v>
      </c>
      <c r="AA517" s="161">
        <f t="shared" si="52"/>
        <v>-0.34999999999996589</v>
      </c>
      <c r="AB517" s="161">
        <f t="shared" si="53"/>
        <v>146.30000000000007</v>
      </c>
      <c r="AC517" s="158" t="s">
        <v>1006</v>
      </c>
      <c r="AD517" s="158"/>
    </row>
    <row r="518" spans="1:30" ht="12.75" customHeight="1" x14ac:dyDescent="0.3">
      <c r="A518" s="147">
        <v>28</v>
      </c>
      <c r="B518" s="158" t="s">
        <v>484</v>
      </c>
      <c r="C518" s="158" t="s">
        <v>426</v>
      </c>
      <c r="D518" s="158" t="s">
        <v>903</v>
      </c>
      <c r="E518" s="160" t="s">
        <v>25</v>
      </c>
      <c r="F518" s="158" t="s">
        <v>25</v>
      </c>
      <c r="G518" s="160" t="s">
        <v>866</v>
      </c>
      <c r="H518" s="161">
        <v>7697.76</v>
      </c>
      <c r="I518" s="161">
        <v>-108.8</v>
      </c>
      <c r="J518" s="161">
        <v>0</v>
      </c>
      <c r="K518" s="161">
        <v>0</v>
      </c>
      <c r="L518" s="161">
        <v>-3767.76</v>
      </c>
      <c r="M518" s="162">
        <v>-28</v>
      </c>
      <c r="N518" s="162">
        <v>0</v>
      </c>
      <c r="O518" s="162">
        <f t="shared" si="48"/>
        <v>3793.2</v>
      </c>
      <c r="P518" s="162">
        <v>-2500</v>
      </c>
      <c r="Q518" s="162">
        <v>0</v>
      </c>
      <c r="R518" s="162">
        <v>0</v>
      </c>
      <c r="S518" s="162">
        <v>0</v>
      </c>
      <c r="T518" s="162">
        <v>0</v>
      </c>
      <c r="U518" s="162">
        <v>-22</v>
      </c>
      <c r="V518" s="161">
        <v>0</v>
      </c>
      <c r="W518" s="161">
        <f t="shared" si="49"/>
        <v>1271.1999999999998</v>
      </c>
      <c r="X518" s="161">
        <f t="shared" si="50"/>
        <v>1271.1999999999998</v>
      </c>
      <c r="Y518" s="161">
        <f t="shared" si="51"/>
        <v>0</v>
      </c>
      <c r="Z518" s="162">
        <v>0</v>
      </c>
      <c r="AA518" s="161">
        <f t="shared" si="52"/>
        <v>0</v>
      </c>
      <c r="AB518" s="161">
        <f t="shared" si="53"/>
        <v>2522</v>
      </c>
      <c r="AC518" s="158" t="s">
        <v>1007</v>
      </c>
      <c r="AD518" s="158"/>
    </row>
    <row r="519" spans="1:30" ht="12.75" customHeight="1" x14ac:dyDescent="0.3">
      <c r="A519" s="147">
        <v>28</v>
      </c>
      <c r="B519" s="158" t="s">
        <v>408</v>
      </c>
      <c r="C519" s="158" t="s">
        <v>878</v>
      </c>
      <c r="D519" s="158" t="s">
        <v>972</v>
      </c>
      <c r="E519" s="160" t="s">
        <v>25</v>
      </c>
      <c r="F519" s="158" t="s">
        <v>39</v>
      </c>
      <c r="G519" s="160" t="s">
        <v>866</v>
      </c>
      <c r="H519" s="161">
        <v>2900</v>
      </c>
      <c r="I519" s="161">
        <v>0</v>
      </c>
      <c r="J519" s="161">
        <v>0</v>
      </c>
      <c r="K519" s="161">
        <v>0</v>
      </c>
      <c r="L519" s="161">
        <v>-178.4</v>
      </c>
      <c r="M519" s="162">
        <v>-38</v>
      </c>
      <c r="N519" s="162">
        <v>0</v>
      </c>
      <c r="O519" s="162">
        <f t="shared" si="48"/>
        <v>2683.6</v>
      </c>
      <c r="P519" s="162">
        <v>-2500</v>
      </c>
      <c r="Q519" s="162">
        <v>0</v>
      </c>
      <c r="R519" s="162">
        <v>0</v>
      </c>
      <c r="S519" s="162">
        <v>0</v>
      </c>
      <c r="T519" s="162">
        <v>0</v>
      </c>
      <c r="U519" s="162">
        <v>0</v>
      </c>
      <c r="V519" s="161">
        <v>0</v>
      </c>
      <c r="W519" s="161">
        <f t="shared" si="49"/>
        <v>183.59999999999991</v>
      </c>
      <c r="X519" s="161">
        <f t="shared" si="50"/>
        <v>183.59999999999991</v>
      </c>
      <c r="Y519" s="161">
        <f t="shared" si="51"/>
        <v>0</v>
      </c>
      <c r="Z519" s="162">
        <v>0</v>
      </c>
      <c r="AA519" s="161">
        <f t="shared" si="52"/>
        <v>0</v>
      </c>
      <c r="AB519" s="161">
        <f t="shared" si="53"/>
        <v>2500</v>
      </c>
      <c r="AC519" s="158"/>
      <c r="AD519" s="158"/>
    </row>
    <row r="520" spans="1:30" ht="12.75" customHeight="1" x14ac:dyDescent="0.3">
      <c r="A520" s="147">
        <v>28</v>
      </c>
      <c r="B520" s="158" t="s">
        <v>992</v>
      </c>
      <c r="C520" s="158" t="s">
        <v>169</v>
      </c>
      <c r="D520" s="158" t="s">
        <v>967</v>
      </c>
      <c r="E520" s="160" t="s">
        <v>871</v>
      </c>
      <c r="F520" s="158" t="s">
        <v>39</v>
      </c>
      <c r="G520" s="160" t="s">
        <v>866</v>
      </c>
      <c r="H520" s="161">
        <v>4090.47</v>
      </c>
      <c r="I520" s="161">
        <v>-21.43</v>
      </c>
      <c r="J520" s="161">
        <v>0</v>
      </c>
      <c r="K520" s="161">
        <v>0</v>
      </c>
      <c r="L520" s="161">
        <v>-1331.67</v>
      </c>
      <c r="M520" s="162">
        <v>-32</v>
      </c>
      <c r="N520" s="162">
        <v>-50</v>
      </c>
      <c r="O520" s="162">
        <f t="shared" si="48"/>
        <v>2655.37</v>
      </c>
      <c r="P520" s="162">
        <v>-1428.5</v>
      </c>
      <c r="Q520" s="162">
        <v>0</v>
      </c>
      <c r="R520" s="162">
        <v>-500</v>
      </c>
      <c r="S520" s="162">
        <v>0</v>
      </c>
      <c r="T520" s="162">
        <v>0</v>
      </c>
      <c r="U520" s="162">
        <v>0</v>
      </c>
      <c r="V520" s="161">
        <v>0</v>
      </c>
      <c r="W520" s="161">
        <f t="shared" si="49"/>
        <v>726.86999999999989</v>
      </c>
      <c r="X520" s="161">
        <f t="shared" si="50"/>
        <v>726.86999999999989</v>
      </c>
      <c r="Y520" s="161">
        <f t="shared" si="51"/>
        <v>0</v>
      </c>
      <c r="Z520" s="162">
        <v>0</v>
      </c>
      <c r="AA520" s="161">
        <f t="shared" si="52"/>
        <v>0</v>
      </c>
      <c r="AB520" s="161">
        <f t="shared" si="53"/>
        <v>1928.5</v>
      </c>
      <c r="AC520" s="158"/>
      <c r="AD520" s="158"/>
    </row>
    <row r="521" spans="1:30" ht="12.75" customHeight="1" x14ac:dyDescent="0.3">
      <c r="A521" s="147">
        <v>28</v>
      </c>
      <c r="B521" s="158" t="s">
        <v>962</v>
      </c>
      <c r="C521" s="158" t="s">
        <v>183</v>
      </c>
      <c r="D521" s="158" t="s">
        <v>887</v>
      </c>
      <c r="E521" s="160" t="s">
        <v>25</v>
      </c>
      <c r="F521" s="158" t="s">
        <v>39</v>
      </c>
      <c r="G521" s="160" t="s">
        <v>866</v>
      </c>
      <c r="H521" s="161">
        <v>0</v>
      </c>
      <c r="I521" s="161">
        <v>0</v>
      </c>
      <c r="J521" s="161">
        <v>0</v>
      </c>
      <c r="K521" s="161">
        <v>0</v>
      </c>
      <c r="L521" s="161">
        <v>0</v>
      </c>
      <c r="M521" s="162">
        <v>-38</v>
      </c>
      <c r="N521" s="162">
        <v>0</v>
      </c>
      <c r="O521" s="162">
        <f t="shared" si="48"/>
        <v>-38</v>
      </c>
      <c r="P521" s="162">
        <v>-2500</v>
      </c>
      <c r="Q521" s="162">
        <v>-65</v>
      </c>
      <c r="R521" s="162">
        <v>-100</v>
      </c>
      <c r="S521" s="162">
        <v>0</v>
      </c>
      <c r="T521" s="162">
        <v>0</v>
      </c>
      <c r="U521" s="162">
        <v>150</v>
      </c>
      <c r="V521" s="161">
        <v>0</v>
      </c>
      <c r="W521" s="161">
        <f t="shared" si="49"/>
        <v>-2553</v>
      </c>
      <c r="X521" s="161">
        <f t="shared" si="50"/>
        <v>0</v>
      </c>
      <c r="Y521" s="161">
        <f t="shared" si="51"/>
        <v>-2553</v>
      </c>
      <c r="Z521" s="162">
        <v>2350</v>
      </c>
      <c r="AA521" s="161">
        <f t="shared" si="52"/>
        <v>-203</v>
      </c>
      <c r="AB521" s="161">
        <f t="shared" si="53"/>
        <v>2109</v>
      </c>
      <c r="AC521" s="158" t="s">
        <v>1008</v>
      </c>
      <c r="AD521" s="158"/>
    </row>
    <row r="522" spans="1:30" ht="12.75" customHeight="1" x14ac:dyDescent="0.3">
      <c r="A522" s="147">
        <v>28</v>
      </c>
      <c r="B522" s="158" t="s">
        <v>1001</v>
      </c>
      <c r="C522" s="158" t="s">
        <v>195</v>
      </c>
      <c r="D522" s="158" t="s">
        <v>964</v>
      </c>
      <c r="E522" s="160" t="s">
        <v>871</v>
      </c>
      <c r="F522" s="158" t="s">
        <v>39</v>
      </c>
      <c r="G522" s="160" t="s">
        <v>866</v>
      </c>
      <c r="H522" s="161">
        <v>741.26</v>
      </c>
      <c r="I522" s="161">
        <v>0</v>
      </c>
      <c r="J522" s="161">
        <v>0</v>
      </c>
      <c r="K522" s="161">
        <v>0</v>
      </c>
      <c r="L522" s="161">
        <v>-504.16</v>
      </c>
      <c r="M522" s="162">
        <v>-38</v>
      </c>
      <c r="N522" s="162">
        <v>-1139</v>
      </c>
      <c r="O522" s="162">
        <f t="shared" si="48"/>
        <v>-939.90000000000009</v>
      </c>
      <c r="P522" s="162">
        <v>-2500</v>
      </c>
      <c r="Q522" s="162">
        <v>89</v>
      </c>
      <c r="R522" s="162">
        <v>0</v>
      </c>
      <c r="S522" s="162">
        <v>0</v>
      </c>
      <c r="T522" s="162">
        <v>0</v>
      </c>
      <c r="U522" s="162">
        <v>0</v>
      </c>
      <c r="V522" s="161">
        <v>0</v>
      </c>
      <c r="W522" s="161">
        <f t="shared" si="49"/>
        <v>-3350.9</v>
      </c>
      <c r="X522" s="161">
        <f t="shared" si="50"/>
        <v>0</v>
      </c>
      <c r="Y522" s="161">
        <f t="shared" si="51"/>
        <v>-3350.9</v>
      </c>
      <c r="Z522" s="162">
        <v>3000</v>
      </c>
      <c r="AA522" s="161">
        <f t="shared" si="52"/>
        <v>-350.90000000000009</v>
      </c>
      <c r="AB522" s="161">
        <f t="shared" si="53"/>
        <v>1709.1999999999998</v>
      </c>
      <c r="AC522" s="158"/>
      <c r="AD522" s="158"/>
    </row>
    <row r="523" spans="1:30" ht="12.75" customHeight="1" x14ac:dyDescent="0.3">
      <c r="A523" s="147">
        <v>28</v>
      </c>
      <c r="B523" s="158" t="s">
        <v>880</v>
      </c>
      <c r="C523" s="158" t="s">
        <v>57</v>
      </c>
      <c r="D523" s="158" t="s">
        <v>881</v>
      </c>
      <c r="E523" s="160" t="s">
        <v>25</v>
      </c>
      <c r="F523" s="158" t="s">
        <v>25</v>
      </c>
      <c r="G523" s="160" t="s">
        <v>866</v>
      </c>
      <c r="H523" s="161">
        <v>2261.11</v>
      </c>
      <c r="I523" s="161">
        <v>0</v>
      </c>
      <c r="J523" s="161">
        <v>0</v>
      </c>
      <c r="K523" s="161">
        <v>0</v>
      </c>
      <c r="L523" s="161">
        <v>-1395.61</v>
      </c>
      <c r="M523" s="162">
        <v>-32</v>
      </c>
      <c r="N523" s="162">
        <v>0</v>
      </c>
      <c r="O523" s="162">
        <f t="shared" si="48"/>
        <v>833.50000000000023</v>
      </c>
      <c r="P523" s="162">
        <v>-2300</v>
      </c>
      <c r="Q523" s="162">
        <v>0</v>
      </c>
      <c r="R523" s="162">
        <v>0</v>
      </c>
      <c r="S523" s="162">
        <v>0</v>
      </c>
      <c r="T523" s="162">
        <v>0</v>
      </c>
      <c r="U523" s="162">
        <v>0</v>
      </c>
      <c r="V523" s="161">
        <v>0</v>
      </c>
      <c r="W523" s="161">
        <f t="shared" si="49"/>
        <v>-1466.4999999999998</v>
      </c>
      <c r="X523" s="161">
        <f t="shared" si="50"/>
        <v>0</v>
      </c>
      <c r="Y523" s="161">
        <f t="shared" si="51"/>
        <v>-1466.4999999999998</v>
      </c>
      <c r="Z523" s="162">
        <v>1467</v>
      </c>
      <c r="AA523" s="161">
        <f t="shared" si="52"/>
        <v>0.50000000000022737</v>
      </c>
      <c r="AB523" s="161">
        <f t="shared" si="53"/>
        <v>2301</v>
      </c>
      <c r="AC523" s="158"/>
      <c r="AD523" s="158"/>
    </row>
    <row r="524" spans="1:30" ht="12.75" customHeight="1" x14ac:dyDescent="0.3">
      <c r="A524" s="147">
        <v>28</v>
      </c>
      <c r="B524" s="158" t="s">
        <v>922</v>
      </c>
      <c r="C524" s="158" t="s">
        <v>36</v>
      </c>
      <c r="D524" s="158" t="s">
        <v>904</v>
      </c>
      <c r="E524" s="160" t="s">
        <v>25</v>
      </c>
      <c r="F524" s="158" t="s">
        <v>25</v>
      </c>
      <c r="G524" s="160" t="s">
        <v>866</v>
      </c>
      <c r="H524" s="161">
        <v>3414.1</v>
      </c>
      <c r="I524" s="161">
        <v>0</v>
      </c>
      <c r="J524" s="161">
        <v>0</v>
      </c>
      <c r="K524" s="161">
        <v>0</v>
      </c>
      <c r="L524" s="161">
        <v>-845.62</v>
      </c>
      <c r="M524" s="162">
        <v>-37.61</v>
      </c>
      <c r="N524" s="162">
        <v>-250</v>
      </c>
      <c r="O524" s="162">
        <f t="shared" si="48"/>
        <v>2280.87</v>
      </c>
      <c r="P524" s="162">
        <v>-2500</v>
      </c>
      <c r="Q524" s="162">
        <v>-395</v>
      </c>
      <c r="R524" s="162">
        <v>0</v>
      </c>
      <c r="S524" s="162">
        <v>0</v>
      </c>
      <c r="T524" s="162">
        <v>0</v>
      </c>
      <c r="U524" s="162">
        <v>0</v>
      </c>
      <c r="V524" s="161">
        <v>0</v>
      </c>
      <c r="W524" s="161">
        <f t="shared" si="49"/>
        <v>-614.13000000000011</v>
      </c>
      <c r="X524" s="161">
        <f t="shared" si="50"/>
        <v>0</v>
      </c>
      <c r="Y524" s="161">
        <f t="shared" si="51"/>
        <v>-614.13000000000011</v>
      </c>
      <c r="Z524" s="162">
        <v>300</v>
      </c>
      <c r="AA524" s="161">
        <f t="shared" si="52"/>
        <v>-314.13000000000011</v>
      </c>
      <c r="AB524" s="161">
        <f t="shared" si="53"/>
        <v>2266.7399999999998</v>
      </c>
      <c r="AC524" s="158"/>
      <c r="AD524" s="158"/>
    </row>
    <row r="525" spans="1:30" ht="12.75" customHeight="1" x14ac:dyDescent="0.3">
      <c r="A525" s="147">
        <v>28</v>
      </c>
      <c r="B525" s="158" t="s">
        <v>993</v>
      </c>
      <c r="C525" s="158" t="s">
        <v>347</v>
      </c>
      <c r="D525" s="158" t="s">
        <v>897</v>
      </c>
      <c r="E525" s="160" t="s">
        <v>25</v>
      </c>
      <c r="F525" s="158" t="s">
        <v>25</v>
      </c>
      <c r="G525" s="160" t="s">
        <v>866</v>
      </c>
      <c r="H525" s="161">
        <v>3563.94</v>
      </c>
      <c r="I525" s="161">
        <v>0</v>
      </c>
      <c r="J525" s="161">
        <v>0</v>
      </c>
      <c r="K525" s="161">
        <v>0</v>
      </c>
      <c r="L525" s="161">
        <v>-2357.46</v>
      </c>
      <c r="M525" s="162">
        <v>-38</v>
      </c>
      <c r="N525" s="162">
        <v>0</v>
      </c>
      <c r="O525" s="162">
        <f t="shared" si="48"/>
        <v>1168.48</v>
      </c>
      <c r="P525" s="162">
        <v>-2500</v>
      </c>
      <c r="Q525" s="162">
        <v>0</v>
      </c>
      <c r="R525" s="162">
        <v>-500</v>
      </c>
      <c r="S525" s="162">
        <v>0</v>
      </c>
      <c r="T525" s="162">
        <v>0</v>
      </c>
      <c r="U525" s="162">
        <v>0</v>
      </c>
      <c r="V525" s="161">
        <v>0</v>
      </c>
      <c r="W525" s="161">
        <f t="shared" si="49"/>
        <v>-1831.52</v>
      </c>
      <c r="X525" s="161">
        <f t="shared" si="50"/>
        <v>0</v>
      </c>
      <c r="Y525" s="161">
        <f t="shared" si="51"/>
        <v>-1831.52</v>
      </c>
      <c r="Z525" s="162">
        <v>1831</v>
      </c>
      <c r="AA525" s="161">
        <f t="shared" si="52"/>
        <v>-0.51999999999998181</v>
      </c>
      <c r="AB525" s="161">
        <f t="shared" si="53"/>
        <v>2998.96</v>
      </c>
      <c r="AC525" s="158"/>
      <c r="AD525" s="158"/>
    </row>
    <row r="526" spans="1:30" ht="12.75" customHeight="1" x14ac:dyDescent="0.3">
      <c r="A526" s="147">
        <v>28</v>
      </c>
      <c r="B526" s="158" t="s">
        <v>994</v>
      </c>
      <c r="C526" s="158" t="s">
        <v>80</v>
      </c>
      <c r="D526" s="158" t="s">
        <v>20</v>
      </c>
      <c r="E526" s="160" t="s">
        <v>18</v>
      </c>
      <c r="F526" s="160" t="s">
        <v>18</v>
      </c>
      <c r="G526" s="160" t="s">
        <v>866</v>
      </c>
      <c r="H526" s="161">
        <v>5118.2</v>
      </c>
      <c r="I526" s="161">
        <v>-61.6</v>
      </c>
      <c r="J526" s="161">
        <v>0</v>
      </c>
      <c r="K526" s="161">
        <v>0</v>
      </c>
      <c r="L526" s="161">
        <v>0</v>
      </c>
      <c r="M526" s="162">
        <v>0</v>
      </c>
      <c r="N526" s="161">
        <v>0</v>
      </c>
      <c r="O526" s="162">
        <f t="shared" si="48"/>
        <v>5056.5999999999995</v>
      </c>
      <c r="P526" s="161">
        <v>-2500</v>
      </c>
      <c r="Q526" s="161">
        <v>0</v>
      </c>
      <c r="R526" s="161">
        <v>-500</v>
      </c>
      <c r="S526" s="161">
        <v>0</v>
      </c>
      <c r="T526" s="161">
        <v>0</v>
      </c>
      <c r="U526" s="161">
        <v>0</v>
      </c>
      <c r="V526" s="161">
        <v>0</v>
      </c>
      <c r="W526" s="161">
        <f t="shared" si="49"/>
        <v>2056.5999999999995</v>
      </c>
      <c r="X526" s="161">
        <f t="shared" si="50"/>
        <v>2056.5999999999995</v>
      </c>
      <c r="Y526" s="161">
        <f t="shared" si="51"/>
        <v>0</v>
      </c>
      <c r="Z526" s="161">
        <v>0</v>
      </c>
      <c r="AA526" s="161">
        <f t="shared" si="52"/>
        <v>0</v>
      </c>
      <c r="AB526" s="161">
        <f t="shared" si="53"/>
        <v>3000</v>
      </c>
      <c r="AC526" s="158" t="s">
        <v>1009</v>
      </c>
      <c r="AD526" s="158"/>
    </row>
    <row r="527" spans="1:30" ht="12.75" customHeight="1" x14ac:dyDescent="0.3">
      <c r="A527" s="147">
        <v>28</v>
      </c>
      <c r="B527" s="158" t="s">
        <v>1010</v>
      </c>
      <c r="C527" s="158" t="s">
        <v>110</v>
      </c>
      <c r="D527" s="158" t="s">
        <v>996</v>
      </c>
      <c r="E527" s="158" t="s">
        <v>18</v>
      </c>
      <c r="F527" s="160" t="s">
        <v>18</v>
      </c>
      <c r="G527" s="160" t="s">
        <v>866</v>
      </c>
      <c r="H527" s="161">
        <v>2337.7399999999998</v>
      </c>
      <c r="I527" s="161">
        <v>0</v>
      </c>
      <c r="J527" s="161">
        <v>0</v>
      </c>
      <c r="K527" s="161">
        <v>-29.94</v>
      </c>
      <c r="L527" s="161">
        <v>-1417.3</v>
      </c>
      <c r="M527" s="162">
        <v>0</v>
      </c>
      <c r="N527" s="161">
        <v>0</v>
      </c>
      <c r="O527" s="162">
        <f t="shared" si="48"/>
        <v>890.49999999999977</v>
      </c>
      <c r="P527" s="161">
        <v>-1250</v>
      </c>
      <c r="Q527" s="161">
        <v>0</v>
      </c>
      <c r="R527" s="161">
        <v>-321</v>
      </c>
      <c r="S527" s="161">
        <v>0</v>
      </c>
      <c r="T527" s="161">
        <v>0</v>
      </c>
      <c r="U527" s="161">
        <v>200</v>
      </c>
      <c r="V527" s="161">
        <v>0</v>
      </c>
      <c r="W527" s="161">
        <f t="shared" si="49"/>
        <v>-480.50000000000023</v>
      </c>
      <c r="X527" s="161">
        <f t="shared" si="50"/>
        <v>0</v>
      </c>
      <c r="Y527" s="161">
        <f t="shared" si="51"/>
        <v>-480.50000000000023</v>
      </c>
      <c r="Z527" s="161">
        <v>480</v>
      </c>
      <c r="AA527" s="161">
        <f t="shared" si="52"/>
        <v>-0.50000000000022737</v>
      </c>
      <c r="AB527" s="161">
        <f t="shared" si="53"/>
        <v>1369.9999999999995</v>
      </c>
      <c r="AC527" s="158" t="s">
        <v>1011</v>
      </c>
      <c r="AD527" s="158"/>
    </row>
    <row r="528" spans="1:30" ht="12.75" customHeight="1" x14ac:dyDescent="0.3">
      <c r="A528" s="147">
        <v>28</v>
      </c>
      <c r="B528" s="158" t="s">
        <v>1003</v>
      </c>
      <c r="C528" s="158" t="s">
        <v>59</v>
      </c>
      <c r="D528" s="158" t="s">
        <v>895</v>
      </c>
      <c r="E528" s="160" t="s">
        <v>25</v>
      </c>
      <c r="F528" s="158" t="s">
        <v>25</v>
      </c>
      <c r="G528" s="160" t="s">
        <v>866</v>
      </c>
      <c r="H528" s="161">
        <v>5935.5</v>
      </c>
      <c r="I528" s="161">
        <v>0</v>
      </c>
      <c r="J528" s="161">
        <v>0</v>
      </c>
      <c r="K528" s="161">
        <v>0</v>
      </c>
      <c r="L528" s="161">
        <v>0</v>
      </c>
      <c r="M528" s="162">
        <v>-38</v>
      </c>
      <c r="N528" s="162">
        <v>0</v>
      </c>
      <c r="O528" s="162">
        <f t="shared" si="48"/>
        <v>5897.5</v>
      </c>
      <c r="P528" s="162">
        <v>-2500</v>
      </c>
      <c r="Q528" s="162">
        <v>0</v>
      </c>
      <c r="R528" s="162">
        <v>-500</v>
      </c>
      <c r="S528" s="162">
        <v>0</v>
      </c>
      <c r="T528" s="162">
        <v>0</v>
      </c>
      <c r="U528" s="162">
        <v>0</v>
      </c>
      <c r="V528" s="161">
        <v>0</v>
      </c>
      <c r="W528" s="161">
        <f t="shared" si="49"/>
        <v>2897.5</v>
      </c>
      <c r="X528" s="161">
        <f t="shared" si="50"/>
        <v>2897.5</v>
      </c>
      <c r="Y528" s="161">
        <f t="shared" si="51"/>
        <v>0</v>
      </c>
      <c r="Z528" s="162">
        <v>0</v>
      </c>
      <c r="AA528" s="161">
        <f t="shared" si="52"/>
        <v>0</v>
      </c>
      <c r="AB528" s="161">
        <f t="shared" si="53"/>
        <v>3000</v>
      </c>
      <c r="AC528" s="158"/>
      <c r="AD528" s="158"/>
    </row>
    <row r="529" spans="1:30" ht="12.75" customHeight="1" x14ac:dyDescent="0.3">
      <c r="A529" s="147">
        <v>29</v>
      </c>
      <c r="B529" s="158" t="s">
        <v>585</v>
      </c>
      <c r="C529" s="158" t="s">
        <v>64</v>
      </c>
      <c r="D529" s="158" t="s">
        <v>949</v>
      </c>
      <c r="E529" s="160" t="s">
        <v>25</v>
      </c>
      <c r="F529" s="158" t="s">
        <v>25</v>
      </c>
      <c r="G529" s="160" t="s">
        <v>866</v>
      </c>
      <c r="H529" s="161">
        <v>1613.4</v>
      </c>
      <c r="I529" s="161">
        <v>0</v>
      </c>
      <c r="J529" s="161">
        <v>0</v>
      </c>
      <c r="K529" s="161">
        <v>0</v>
      </c>
      <c r="L529" s="161">
        <v>-582.61</v>
      </c>
      <c r="M529" s="162">
        <v>-21</v>
      </c>
      <c r="N529" s="162">
        <v>0</v>
      </c>
      <c r="O529" s="162">
        <f t="shared" si="48"/>
        <v>1009.79</v>
      </c>
      <c r="P529" s="162">
        <v>-2500</v>
      </c>
      <c r="Q529" s="162">
        <v>0</v>
      </c>
      <c r="R529" s="162">
        <v>0</v>
      </c>
      <c r="S529" s="162">
        <v>0</v>
      </c>
      <c r="T529" s="162">
        <v>-500</v>
      </c>
      <c r="U529" s="162">
        <v>0</v>
      </c>
      <c r="V529" s="162">
        <v>0</v>
      </c>
      <c r="W529" s="161">
        <f t="shared" si="49"/>
        <v>-1990.21</v>
      </c>
      <c r="X529" s="161">
        <f t="shared" si="50"/>
        <v>0</v>
      </c>
      <c r="Y529" s="161">
        <f t="shared" si="51"/>
        <v>-1990.21</v>
      </c>
      <c r="Z529" s="162">
        <v>1990</v>
      </c>
      <c r="AA529" s="161">
        <f t="shared" si="52"/>
        <v>-0.21000000000003638</v>
      </c>
      <c r="AB529" s="161">
        <f t="shared" si="53"/>
        <v>2999.58</v>
      </c>
      <c r="AC529" s="158"/>
      <c r="AD529" s="158"/>
    </row>
    <row r="530" spans="1:30" ht="12.75" customHeight="1" x14ac:dyDescent="0.3">
      <c r="A530" s="147">
        <v>29</v>
      </c>
      <c r="B530" s="158" t="s">
        <v>954</v>
      </c>
      <c r="C530" s="158" t="s">
        <v>68</v>
      </c>
      <c r="D530" s="158" t="s">
        <v>869</v>
      </c>
      <c r="E530" s="160" t="s">
        <v>25</v>
      </c>
      <c r="F530" s="158" t="s">
        <v>25</v>
      </c>
      <c r="G530" s="160" t="s">
        <v>866</v>
      </c>
      <c r="H530" s="161">
        <v>0</v>
      </c>
      <c r="I530" s="161">
        <v>0</v>
      </c>
      <c r="J530" s="161">
        <v>0</v>
      </c>
      <c r="K530" s="161">
        <v>0</v>
      </c>
      <c r="L530" s="161">
        <v>0</v>
      </c>
      <c r="M530" s="162">
        <v>0</v>
      </c>
      <c r="N530" s="162">
        <v>0</v>
      </c>
      <c r="O530" s="162">
        <f t="shared" si="48"/>
        <v>0</v>
      </c>
      <c r="P530" s="162">
        <v>-2500</v>
      </c>
      <c r="Q530" s="162">
        <v>-1024.8</v>
      </c>
      <c r="R530" s="162">
        <v>3525</v>
      </c>
      <c r="S530" s="162">
        <v>0</v>
      </c>
      <c r="T530" s="162">
        <v>0</v>
      </c>
      <c r="U530" s="162">
        <v>0</v>
      </c>
      <c r="V530" s="162">
        <v>0</v>
      </c>
      <c r="W530" s="161">
        <f t="shared" si="49"/>
        <v>0.1999999999998181</v>
      </c>
      <c r="X530" s="161">
        <f t="shared" si="50"/>
        <v>0.1999999999998181</v>
      </c>
      <c r="Y530" s="161">
        <f t="shared" si="51"/>
        <v>0</v>
      </c>
      <c r="Z530" s="162">
        <v>0</v>
      </c>
      <c r="AA530" s="161">
        <f t="shared" si="52"/>
        <v>0</v>
      </c>
      <c r="AB530" s="161">
        <f t="shared" si="53"/>
        <v>-0.1999999999998181</v>
      </c>
      <c r="AC530" s="158" t="s">
        <v>1012</v>
      </c>
      <c r="AD530" s="158"/>
    </row>
    <row r="531" spans="1:30" ht="12.75" customHeight="1" x14ac:dyDescent="0.3">
      <c r="A531" s="147">
        <v>29</v>
      </c>
      <c r="B531" s="158" t="s">
        <v>944</v>
      </c>
      <c r="C531" s="158" t="s">
        <v>372</v>
      </c>
      <c r="D531" s="158" t="s">
        <v>1004</v>
      </c>
      <c r="E531" s="158" t="s">
        <v>39</v>
      </c>
      <c r="F531" s="158" t="s">
        <v>39</v>
      </c>
      <c r="G531" s="160" t="s">
        <v>866</v>
      </c>
      <c r="H531" s="161">
        <v>5654.39</v>
      </c>
      <c r="I531" s="161">
        <v>-18.399999999999999</v>
      </c>
      <c r="J531" s="161">
        <v>0</v>
      </c>
      <c r="K531" s="161">
        <v>0</v>
      </c>
      <c r="L531" s="161">
        <v>-2401.8000000000002</v>
      </c>
      <c r="M531" s="162">
        <v>-75</v>
      </c>
      <c r="N531" s="162">
        <v>0</v>
      </c>
      <c r="O531" s="162">
        <f t="shared" si="48"/>
        <v>3159.1900000000005</v>
      </c>
      <c r="P531" s="162">
        <v>-2500</v>
      </c>
      <c r="Q531" s="162">
        <v>0</v>
      </c>
      <c r="R531" s="162">
        <v>0</v>
      </c>
      <c r="S531" s="162">
        <v>0</v>
      </c>
      <c r="T531" s="162">
        <v>-500</v>
      </c>
      <c r="U531" s="162">
        <v>0</v>
      </c>
      <c r="V531" s="162">
        <v>0</v>
      </c>
      <c r="W531" s="161">
        <f t="shared" si="49"/>
        <v>159.19000000000051</v>
      </c>
      <c r="X531" s="161">
        <f t="shared" si="50"/>
        <v>159.19000000000051</v>
      </c>
      <c r="Y531" s="161">
        <f t="shared" si="51"/>
        <v>0</v>
      </c>
      <c r="Z531" s="162">
        <v>0</v>
      </c>
      <c r="AA531" s="161">
        <f t="shared" si="52"/>
        <v>0</v>
      </c>
      <c r="AB531" s="161">
        <f t="shared" si="53"/>
        <v>3000</v>
      </c>
      <c r="AC531" s="158"/>
      <c r="AD531" s="158"/>
    </row>
    <row r="532" spans="1:30" ht="12.75" customHeight="1" x14ac:dyDescent="0.3">
      <c r="A532" s="147">
        <v>29</v>
      </c>
      <c r="B532" s="158" t="s">
        <v>913</v>
      </c>
      <c r="C532" s="158" t="s">
        <v>100</v>
      </c>
      <c r="D532" s="158" t="s">
        <v>953</v>
      </c>
      <c r="E532" s="160" t="s">
        <v>25</v>
      </c>
      <c r="F532" s="158" t="s">
        <v>25</v>
      </c>
      <c r="G532" s="160" t="s">
        <v>866</v>
      </c>
      <c r="H532" s="161">
        <v>6163.15</v>
      </c>
      <c r="I532" s="161">
        <v>-66.400000000000006</v>
      </c>
      <c r="J532" s="161">
        <v>0</v>
      </c>
      <c r="K532" s="161">
        <v>0</v>
      </c>
      <c r="L532" s="161">
        <v>-3473.68</v>
      </c>
      <c r="M532" s="162">
        <v>-56</v>
      </c>
      <c r="N532" s="162">
        <v>0</v>
      </c>
      <c r="O532" s="162">
        <f t="shared" si="48"/>
        <v>2567.0700000000002</v>
      </c>
      <c r="P532" s="162">
        <v>-2500</v>
      </c>
      <c r="Q532" s="162">
        <v>0</v>
      </c>
      <c r="R532" s="162">
        <v>0</v>
      </c>
      <c r="S532" s="162">
        <v>0</v>
      </c>
      <c r="T532" s="162">
        <v>0</v>
      </c>
      <c r="U532" s="162">
        <v>-250</v>
      </c>
      <c r="V532" s="162">
        <v>0</v>
      </c>
      <c r="W532" s="161">
        <f t="shared" si="49"/>
        <v>-182.92999999999984</v>
      </c>
      <c r="X532" s="161">
        <f t="shared" si="50"/>
        <v>0</v>
      </c>
      <c r="Y532" s="161">
        <f t="shared" si="51"/>
        <v>-182.92999999999984</v>
      </c>
      <c r="Z532" s="162">
        <v>183</v>
      </c>
      <c r="AA532" s="161">
        <f t="shared" si="52"/>
        <v>7.0000000000163709E-2</v>
      </c>
      <c r="AB532" s="161">
        <f t="shared" si="53"/>
        <v>2750.1400000000003</v>
      </c>
      <c r="AC532" s="158"/>
      <c r="AD532" s="158"/>
    </row>
    <row r="533" spans="1:30" ht="12.75" customHeight="1" x14ac:dyDescent="0.3">
      <c r="A533" s="147">
        <v>29</v>
      </c>
      <c r="B533" s="158" t="s">
        <v>886</v>
      </c>
      <c r="C533" s="158" t="s">
        <v>101</v>
      </c>
      <c r="D533" s="158" t="s">
        <v>945</v>
      </c>
      <c r="E533" s="160" t="s">
        <v>25</v>
      </c>
      <c r="F533" s="158" t="s">
        <v>25</v>
      </c>
      <c r="G533" s="160" t="s">
        <v>866</v>
      </c>
      <c r="H533" s="161">
        <v>930.8</v>
      </c>
      <c r="I533" s="161">
        <v>0</v>
      </c>
      <c r="J533" s="161">
        <v>0</v>
      </c>
      <c r="K533" s="161">
        <v>-13.16</v>
      </c>
      <c r="L533" s="161">
        <v>0</v>
      </c>
      <c r="M533" s="162">
        <v>0</v>
      </c>
      <c r="N533" s="162">
        <v>-222</v>
      </c>
      <c r="O533" s="162">
        <f t="shared" si="48"/>
        <v>695.64</v>
      </c>
      <c r="P533" s="162">
        <v>-1786</v>
      </c>
      <c r="Q533" s="162">
        <v>-790.72</v>
      </c>
      <c r="R533" s="162">
        <v>321</v>
      </c>
      <c r="S533" s="162">
        <v>0</v>
      </c>
      <c r="T533" s="162">
        <v>0</v>
      </c>
      <c r="U533" s="162">
        <v>0</v>
      </c>
      <c r="V533" s="162">
        <v>0</v>
      </c>
      <c r="W533" s="161">
        <f t="shared" si="49"/>
        <v>-1560.0800000000004</v>
      </c>
      <c r="X533" s="161">
        <f t="shared" si="50"/>
        <v>0</v>
      </c>
      <c r="Y533" s="161">
        <f t="shared" si="51"/>
        <v>-1560.0800000000004</v>
      </c>
      <c r="Z533" s="162">
        <v>0</v>
      </c>
      <c r="AA533" s="161">
        <f t="shared" si="52"/>
        <v>-1560.0800000000004</v>
      </c>
      <c r="AB533" s="161">
        <f t="shared" si="53"/>
        <v>-864.4400000000004</v>
      </c>
      <c r="AC533" s="158"/>
      <c r="AD533" s="158"/>
    </row>
    <row r="534" spans="1:30" ht="12.75" customHeight="1" x14ac:dyDescent="0.3">
      <c r="A534" s="147">
        <v>29</v>
      </c>
      <c r="B534" s="158" t="s">
        <v>457</v>
      </c>
      <c r="C534" s="158" t="s">
        <v>571</v>
      </c>
      <c r="D534" s="158" t="s">
        <v>974</v>
      </c>
      <c r="E534" s="160" t="s">
        <v>25</v>
      </c>
      <c r="F534" s="158" t="s">
        <v>25</v>
      </c>
      <c r="G534" s="160" t="s">
        <v>866</v>
      </c>
      <c r="H534" s="161">
        <v>3217.36</v>
      </c>
      <c r="I534" s="161">
        <v>-0.83</v>
      </c>
      <c r="J534" s="161">
        <v>0</v>
      </c>
      <c r="K534" s="161">
        <v>0</v>
      </c>
      <c r="L534" s="161">
        <v>-1562.17</v>
      </c>
      <c r="M534" s="162">
        <v>-34</v>
      </c>
      <c r="N534" s="162">
        <v>0</v>
      </c>
      <c r="O534" s="162">
        <f t="shared" si="48"/>
        <v>1620.3600000000001</v>
      </c>
      <c r="P534" s="162">
        <v>-2500</v>
      </c>
      <c r="Q534" s="162">
        <v>0</v>
      </c>
      <c r="R534" s="162">
        <v>0</v>
      </c>
      <c r="S534" s="162">
        <v>0</v>
      </c>
      <c r="T534" s="162">
        <v>0</v>
      </c>
      <c r="U534" s="162">
        <v>0</v>
      </c>
      <c r="V534" s="162">
        <v>0</v>
      </c>
      <c r="W534" s="161">
        <f t="shared" si="49"/>
        <v>-879.63999999999987</v>
      </c>
      <c r="X534" s="161">
        <f t="shared" si="50"/>
        <v>0</v>
      </c>
      <c r="Y534" s="161">
        <f t="shared" si="51"/>
        <v>-879.63999999999987</v>
      </c>
      <c r="Z534" s="162">
        <v>0</v>
      </c>
      <c r="AA534" s="161">
        <f t="shared" si="52"/>
        <v>-879.63999999999987</v>
      </c>
      <c r="AB534" s="161">
        <f t="shared" si="53"/>
        <v>740.72000000000025</v>
      </c>
      <c r="AC534" s="158"/>
      <c r="AD534" s="158"/>
    </row>
    <row r="535" spans="1:30" ht="12.75" customHeight="1" x14ac:dyDescent="0.3">
      <c r="A535" s="147">
        <v>29</v>
      </c>
      <c r="B535" s="158" t="s">
        <v>990</v>
      </c>
      <c r="C535" s="158" t="s">
        <v>863</v>
      </c>
      <c r="D535" s="158" t="s">
        <v>864</v>
      </c>
      <c r="E535" s="160" t="s">
        <v>25</v>
      </c>
      <c r="F535" s="158" t="s">
        <v>25</v>
      </c>
      <c r="G535" s="160" t="s">
        <v>866</v>
      </c>
      <c r="H535" s="161">
        <v>1483.24</v>
      </c>
      <c r="I535" s="161">
        <v>0</v>
      </c>
      <c r="J535" s="161">
        <v>0</v>
      </c>
      <c r="K535" s="161">
        <v>0</v>
      </c>
      <c r="L535" s="161">
        <v>0</v>
      </c>
      <c r="M535" s="162">
        <v>-45</v>
      </c>
      <c r="N535" s="162">
        <v>0</v>
      </c>
      <c r="O535" s="162">
        <f t="shared" si="48"/>
        <v>1438.24</v>
      </c>
      <c r="P535" s="162">
        <v>-2500</v>
      </c>
      <c r="Q535" s="162">
        <v>0</v>
      </c>
      <c r="R535" s="162">
        <v>-500</v>
      </c>
      <c r="S535" s="162">
        <v>0</v>
      </c>
      <c r="T535" s="162">
        <v>0</v>
      </c>
      <c r="U535" s="162">
        <v>0</v>
      </c>
      <c r="V535" s="162">
        <v>0</v>
      </c>
      <c r="W535" s="161">
        <f t="shared" si="49"/>
        <v>-1561.76</v>
      </c>
      <c r="X535" s="161">
        <f t="shared" si="50"/>
        <v>0</v>
      </c>
      <c r="Y535" s="161">
        <f t="shared" si="51"/>
        <v>-1561.76</v>
      </c>
      <c r="Z535" s="162">
        <v>1562</v>
      </c>
      <c r="AA535" s="161">
        <f t="shared" si="52"/>
        <v>0.24000000000000909</v>
      </c>
      <c r="AB535" s="161">
        <f t="shared" si="53"/>
        <v>3000.4799999999996</v>
      </c>
      <c r="AC535" s="158"/>
      <c r="AD535" s="158"/>
    </row>
    <row r="536" spans="1:30" ht="12.75" customHeight="1" x14ac:dyDescent="0.3">
      <c r="A536" s="147">
        <v>29</v>
      </c>
      <c r="B536" s="158" t="s">
        <v>872</v>
      </c>
      <c r="C536" s="158" t="s">
        <v>256</v>
      </c>
      <c r="D536" s="158" t="s">
        <v>997</v>
      </c>
      <c r="E536" s="160" t="s">
        <v>871</v>
      </c>
      <c r="F536" s="158" t="s">
        <v>39</v>
      </c>
      <c r="G536" s="160" t="s">
        <v>866</v>
      </c>
      <c r="H536" s="161">
        <v>8282.23</v>
      </c>
      <c r="I536" s="161">
        <v>-40</v>
      </c>
      <c r="J536" s="161">
        <v>0</v>
      </c>
      <c r="K536" s="161">
        <v>-88.64</v>
      </c>
      <c r="L536" s="161">
        <v>-4758.1899999999996</v>
      </c>
      <c r="M536" s="162">
        <v>-35</v>
      </c>
      <c r="N536" s="162">
        <v>-554</v>
      </c>
      <c r="O536" s="162">
        <f t="shared" si="48"/>
        <v>2806.3999999999996</v>
      </c>
      <c r="P536" s="162">
        <v>-2500</v>
      </c>
      <c r="Q536" s="162">
        <v>0</v>
      </c>
      <c r="R536" s="162">
        <v>0</v>
      </c>
      <c r="S536" s="162">
        <v>0</v>
      </c>
      <c r="T536" s="162">
        <v>-2900</v>
      </c>
      <c r="U536" s="162">
        <v>0</v>
      </c>
      <c r="V536" s="162">
        <v>0</v>
      </c>
      <c r="W536" s="161">
        <f t="shared" si="49"/>
        <v>-2593.6000000000004</v>
      </c>
      <c r="X536" s="161">
        <f t="shared" si="50"/>
        <v>0</v>
      </c>
      <c r="Y536" s="161">
        <f t="shared" si="51"/>
        <v>-2593.6000000000004</v>
      </c>
      <c r="Z536" s="162">
        <v>0</v>
      </c>
      <c r="AA536" s="161">
        <f t="shared" si="52"/>
        <v>-2593.6000000000004</v>
      </c>
      <c r="AB536" s="161">
        <f t="shared" si="53"/>
        <v>212.79999999999927</v>
      </c>
      <c r="AC536" s="158"/>
      <c r="AD536" s="158"/>
    </row>
    <row r="537" spans="1:30" ht="12.75" customHeight="1" x14ac:dyDescent="0.3">
      <c r="A537" s="147">
        <v>29</v>
      </c>
      <c r="B537" s="158" t="s">
        <v>921</v>
      </c>
      <c r="C537" s="158" t="s">
        <v>257</v>
      </c>
      <c r="D537" s="158" t="s">
        <v>943</v>
      </c>
      <c r="E537" s="160" t="s">
        <v>25</v>
      </c>
      <c r="F537" s="158" t="s">
        <v>25</v>
      </c>
      <c r="G537" s="160" t="s">
        <v>866</v>
      </c>
      <c r="H537" s="161">
        <v>7888.76</v>
      </c>
      <c r="I537" s="161">
        <v>0</v>
      </c>
      <c r="J537" s="161">
        <v>0</v>
      </c>
      <c r="K537" s="161">
        <v>0</v>
      </c>
      <c r="L537" s="161">
        <v>-2241.9899999999998</v>
      </c>
      <c r="M537" s="162">
        <v>-65</v>
      </c>
      <c r="N537" s="162">
        <v>0</v>
      </c>
      <c r="O537" s="162">
        <f t="shared" si="48"/>
        <v>5581.77</v>
      </c>
      <c r="P537" s="162">
        <v>-2500</v>
      </c>
      <c r="Q537" s="162">
        <v>0</v>
      </c>
      <c r="R537" s="162">
        <v>0</v>
      </c>
      <c r="S537" s="162">
        <v>0</v>
      </c>
      <c r="T537" s="162">
        <v>0</v>
      </c>
      <c r="U537" s="162">
        <v>630</v>
      </c>
      <c r="V537" s="162">
        <v>-1000</v>
      </c>
      <c r="W537" s="161">
        <f t="shared" si="49"/>
        <v>2711.7700000000004</v>
      </c>
      <c r="X537" s="161">
        <f t="shared" si="50"/>
        <v>2711.7700000000004</v>
      </c>
      <c r="Y537" s="161">
        <f t="shared" si="51"/>
        <v>0</v>
      </c>
      <c r="Z537" s="162">
        <v>0</v>
      </c>
      <c r="AA537" s="161">
        <f t="shared" si="52"/>
        <v>0</v>
      </c>
      <c r="AB537" s="161">
        <f t="shared" si="53"/>
        <v>2870</v>
      </c>
      <c r="AC537" s="158"/>
      <c r="AD537" s="158"/>
    </row>
    <row r="538" spans="1:30" ht="12.75" customHeight="1" x14ac:dyDescent="0.3">
      <c r="A538" s="147">
        <v>29</v>
      </c>
      <c r="B538" s="158" t="s">
        <v>1005</v>
      </c>
      <c r="C538" s="158" t="s">
        <v>409</v>
      </c>
      <c r="D538" s="158" t="s">
        <v>946</v>
      </c>
      <c r="E538" s="160" t="s">
        <v>25</v>
      </c>
      <c r="F538" s="158" t="s">
        <v>25</v>
      </c>
      <c r="G538" s="160" t="s">
        <v>866</v>
      </c>
      <c r="H538" s="161">
        <v>5701.54</v>
      </c>
      <c r="I538" s="161">
        <v>-208</v>
      </c>
      <c r="J538" s="161">
        <v>0</v>
      </c>
      <c r="K538" s="161">
        <v>0</v>
      </c>
      <c r="L538" s="161">
        <v>-764.99</v>
      </c>
      <c r="M538" s="162">
        <v>-62</v>
      </c>
      <c r="N538" s="162">
        <v>0</v>
      </c>
      <c r="O538" s="162">
        <f t="shared" si="48"/>
        <v>4666.55</v>
      </c>
      <c r="P538" s="162">
        <v>-2500</v>
      </c>
      <c r="Q538" s="162">
        <v>0</v>
      </c>
      <c r="R538" s="162">
        <v>-500</v>
      </c>
      <c r="S538" s="162">
        <v>0</v>
      </c>
      <c r="T538" s="162">
        <v>0</v>
      </c>
      <c r="U538" s="162">
        <v>0</v>
      </c>
      <c r="V538" s="162">
        <v>0</v>
      </c>
      <c r="W538" s="161">
        <f t="shared" si="49"/>
        <v>1666.5500000000002</v>
      </c>
      <c r="X538" s="161">
        <f t="shared" si="50"/>
        <v>1666.5500000000002</v>
      </c>
      <c r="Y538" s="161">
        <f t="shared" si="51"/>
        <v>0</v>
      </c>
      <c r="Z538" s="162">
        <v>0</v>
      </c>
      <c r="AA538" s="161">
        <f t="shared" si="52"/>
        <v>0</v>
      </c>
      <c r="AB538" s="161">
        <f t="shared" si="53"/>
        <v>3000</v>
      </c>
      <c r="AC538" s="158"/>
      <c r="AD538" s="158"/>
    </row>
    <row r="539" spans="1:30" ht="12.75" customHeight="1" x14ac:dyDescent="0.3">
      <c r="A539" s="147">
        <v>29</v>
      </c>
      <c r="B539" s="158" t="s">
        <v>1013</v>
      </c>
      <c r="C539" s="158" t="s">
        <v>101</v>
      </c>
      <c r="D539" s="158" t="s">
        <v>945</v>
      </c>
      <c r="E539" s="158" t="s">
        <v>25</v>
      </c>
      <c r="F539" s="158" t="s">
        <v>25</v>
      </c>
      <c r="G539" s="160" t="s">
        <v>866</v>
      </c>
      <c r="H539" s="161">
        <v>2820.52</v>
      </c>
      <c r="I539" s="161">
        <v>0</v>
      </c>
      <c r="J539" s="161">
        <v>0</v>
      </c>
      <c r="K539" s="161">
        <v>0</v>
      </c>
      <c r="L539" s="161">
        <v>-1527.94</v>
      </c>
      <c r="M539" s="162">
        <v>-26</v>
      </c>
      <c r="N539" s="161">
        <v>0</v>
      </c>
      <c r="O539" s="162">
        <f t="shared" si="48"/>
        <v>1266.58</v>
      </c>
      <c r="P539" s="161">
        <v>-535.70000000000005</v>
      </c>
      <c r="Q539" s="161">
        <v>0</v>
      </c>
      <c r="R539" s="161">
        <v>-107</v>
      </c>
      <c r="S539" s="161">
        <v>0</v>
      </c>
      <c r="T539" s="161">
        <v>0</v>
      </c>
      <c r="U539" s="161">
        <v>0</v>
      </c>
      <c r="V539" s="161">
        <v>0</v>
      </c>
      <c r="W539" s="161">
        <f t="shared" si="49"/>
        <v>623.87999999999988</v>
      </c>
      <c r="X539" s="161">
        <f t="shared" si="50"/>
        <v>623.87999999999988</v>
      </c>
      <c r="Y539" s="161">
        <f t="shared" si="51"/>
        <v>0</v>
      </c>
      <c r="Z539" s="161">
        <v>0</v>
      </c>
      <c r="AA539" s="161">
        <f t="shared" si="52"/>
        <v>0</v>
      </c>
      <c r="AB539" s="161">
        <f t="shared" si="53"/>
        <v>642.70000000000005</v>
      </c>
      <c r="AC539" s="158"/>
      <c r="AD539" s="158"/>
    </row>
    <row r="540" spans="1:30" ht="12.75" customHeight="1" x14ac:dyDescent="0.3">
      <c r="A540" s="147">
        <v>29</v>
      </c>
      <c r="B540" s="158" t="s">
        <v>918</v>
      </c>
      <c r="C540" s="158" t="s">
        <v>120</v>
      </c>
      <c r="D540" s="158" t="s">
        <v>950</v>
      </c>
      <c r="E540" s="158" t="s">
        <v>25</v>
      </c>
      <c r="F540" s="158" t="s">
        <v>25</v>
      </c>
      <c r="G540" s="160" t="s">
        <v>866</v>
      </c>
      <c r="H540" s="161">
        <v>8430</v>
      </c>
      <c r="I540" s="161">
        <v>-24</v>
      </c>
      <c r="J540" s="161">
        <v>0</v>
      </c>
      <c r="K540" s="161">
        <v>0</v>
      </c>
      <c r="L540" s="161">
        <v>-2915</v>
      </c>
      <c r="M540" s="162">
        <v>-65</v>
      </c>
      <c r="N540" s="162">
        <v>0</v>
      </c>
      <c r="O540" s="162">
        <f t="shared" si="48"/>
        <v>5426</v>
      </c>
      <c r="P540" s="162">
        <v>-2500</v>
      </c>
      <c r="Q540" s="162">
        <v>0</v>
      </c>
      <c r="R540" s="162">
        <v>0</v>
      </c>
      <c r="S540" s="162">
        <v>0</v>
      </c>
      <c r="T540" s="162">
        <v>0</v>
      </c>
      <c r="U540" s="162">
        <v>-500</v>
      </c>
      <c r="V540" s="162">
        <v>0</v>
      </c>
      <c r="W540" s="161">
        <f t="shared" si="49"/>
        <v>2426</v>
      </c>
      <c r="X540" s="161">
        <f t="shared" si="50"/>
        <v>2426</v>
      </c>
      <c r="Y540" s="161">
        <f t="shared" si="51"/>
        <v>0</v>
      </c>
      <c r="Z540" s="162">
        <v>0</v>
      </c>
      <c r="AA540" s="161">
        <f t="shared" si="52"/>
        <v>0</v>
      </c>
      <c r="AB540" s="161">
        <f t="shared" si="53"/>
        <v>3000</v>
      </c>
      <c r="AC540" s="158"/>
      <c r="AD540" s="158"/>
    </row>
    <row r="541" spans="1:30" ht="12.75" customHeight="1" x14ac:dyDescent="0.3">
      <c r="A541" s="147">
        <v>29</v>
      </c>
      <c r="B541" s="158" t="s">
        <v>484</v>
      </c>
      <c r="C541" s="158" t="s">
        <v>426</v>
      </c>
      <c r="D541" s="158" t="s">
        <v>903</v>
      </c>
      <c r="E541" s="160" t="s">
        <v>25</v>
      </c>
      <c r="F541" s="158" t="s">
        <v>25</v>
      </c>
      <c r="G541" s="160" t="s">
        <v>866</v>
      </c>
      <c r="H541" s="161">
        <v>7772.23</v>
      </c>
      <c r="I541" s="161">
        <v>-113.6</v>
      </c>
      <c r="J541" s="161">
        <v>0</v>
      </c>
      <c r="K541" s="161">
        <v>0</v>
      </c>
      <c r="L541" s="161">
        <v>-4314.76</v>
      </c>
      <c r="M541" s="162">
        <v>-67</v>
      </c>
      <c r="N541" s="162">
        <v>0</v>
      </c>
      <c r="O541" s="162">
        <f t="shared" si="48"/>
        <v>3276.869999999999</v>
      </c>
      <c r="P541" s="162">
        <v>-2500</v>
      </c>
      <c r="Q541" s="162">
        <v>0</v>
      </c>
      <c r="R541" s="162">
        <v>0</v>
      </c>
      <c r="S541" s="162">
        <v>0</v>
      </c>
      <c r="T541" s="162">
        <v>0</v>
      </c>
      <c r="U541" s="162">
        <v>-29</v>
      </c>
      <c r="V541" s="162">
        <v>0</v>
      </c>
      <c r="W541" s="161">
        <f t="shared" si="49"/>
        <v>747.86999999999898</v>
      </c>
      <c r="X541" s="161">
        <f t="shared" si="50"/>
        <v>747.86999999999898</v>
      </c>
      <c r="Y541" s="161">
        <f t="shared" si="51"/>
        <v>0</v>
      </c>
      <c r="Z541" s="162">
        <v>0</v>
      </c>
      <c r="AA541" s="161">
        <f t="shared" si="52"/>
        <v>0</v>
      </c>
      <c r="AB541" s="161">
        <f t="shared" si="53"/>
        <v>2529</v>
      </c>
      <c r="AC541" s="158" t="s">
        <v>1014</v>
      </c>
      <c r="AD541" s="158"/>
    </row>
    <row r="542" spans="1:30" ht="12.75" customHeight="1" x14ac:dyDescent="0.3">
      <c r="A542" s="147">
        <v>29</v>
      </c>
      <c r="B542" s="158" t="s">
        <v>408</v>
      </c>
      <c r="C542" s="158" t="s">
        <v>123</v>
      </c>
      <c r="D542" s="158" t="s">
        <v>999</v>
      </c>
      <c r="E542" s="160" t="s">
        <v>871</v>
      </c>
      <c r="F542" s="158" t="s">
        <v>39</v>
      </c>
      <c r="G542" s="160" t="s">
        <v>866</v>
      </c>
      <c r="H542" s="161">
        <v>4079.78</v>
      </c>
      <c r="I542" s="161">
        <v>-0.32</v>
      </c>
      <c r="J542" s="161">
        <v>0</v>
      </c>
      <c r="K542" s="161">
        <v>0</v>
      </c>
      <c r="L542" s="161">
        <v>-1009.89</v>
      </c>
      <c r="M542" s="162">
        <v>-38</v>
      </c>
      <c r="N542" s="162">
        <v>0</v>
      </c>
      <c r="O542" s="162">
        <f t="shared" si="48"/>
        <v>3031.57</v>
      </c>
      <c r="P542" s="162">
        <v>-2500</v>
      </c>
      <c r="Q542" s="162">
        <v>0</v>
      </c>
      <c r="R542" s="162">
        <v>0</v>
      </c>
      <c r="S542" s="162">
        <v>0</v>
      </c>
      <c r="T542" s="162">
        <v>0</v>
      </c>
      <c r="U542" s="162">
        <v>0</v>
      </c>
      <c r="V542" s="162">
        <v>0</v>
      </c>
      <c r="W542" s="161">
        <f t="shared" si="49"/>
        <v>531.57000000000016</v>
      </c>
      <c r="X542" s="161">
        <f t="shared" si="50"/>
        <v>531.57000000000016</v>
      </c>
      <c r="Y542" s="161">
        <f t="shared" si="51"/>
        <v>0</v>
      </c>
      <c r="Z542" s="162">
        <v>0</v>
      </c>
      <c r="AA542" s="161">
        <f t="shared" si="52"/>
        <v>0</v>
      </c>
      <c r="AB542" s="161">
        <f t="shared" si="53"/>
        <v>2500</v>
      </c>
      <c r="AC542" s="158"/>
      <c r="AD542" s="158"/>
    </row>
    <row r="543" spans="1:30" ht="12.75" customHeight="1" x14ac:dyDescent="0.3">
      <c r="A543" s="147">
        <v>29</v>
      </c>
      <c r="B543" s="158" t="s">
        <v>992</v>
      </c>
      <c r="C543" s="158" t="s">
        <v>169</v>
      </c>
      <c r="D543" s="158" t="s">
        <v>967</v>
      </c>
      <c r="E543" s="160" t="s">
        <v>871</v>
      </c>
      <c r="F543" s="158" t="s">
        <v>39</v>
      </c>
      <c r="G543" s="160" t="s">
        <v>866</v>
      </c>
      <c r="H543" s="161">
        <v>2102.11</v>
      </c>
      <c r="I543" s="161">
        <v>0</v>
      </c>
      <c r="J543" s="161">
        <v>0</v>
      </c>
      <c r="K543" s="161">
        <v>0</v>
      </c>
      <c r="L543" s="161">
        <v>-1215.19</v>
      </c>
      <c r="M543" s="162">
        <v>-32</v>
      </c>
      <c r="N543" s="162">
        <v>0</v>
      </c>
      <c r="O543" s="162">
        <f t="shared" si="48"/>
        <v>854.92000000000007</v>
      </c>
      <c r="P543" s="162">
        <v>-714</v>
      </c>
      <c r="Q543" s="162">
        <v>0</v>
      </c>
      <c r="R543" s="162">
        <v>-500</v>
      </c>
      <c r="S543" s="162">
        <v>0</v>
      </c>
      <c r="T543" s="162">
        <v>0</v>
      </c>
      <c r="U543" s="162">
        <v>0</v>
      </c>
      <c r="V543" s="162">
        <v>0</v>
      </c>
      <c r="W543" s="161">
        <f t="shared" si="49"/>
        <v>-359.07999999999993</v>
      </c>
      <c r="X543" s="161">
        <f t="shared" si="50"/>
        <v>0</v>
      </c>
      <c r="Y543" s="161">
        <f t="shared" si="51"/>
        <v>-359.07999999999993</v>
      </c>
      <c r="Z543" s="162">
        <v>359</v>
      </c>
      <c r="AA543" s="161">
        <f t="shared" si="52"/>
        <v>-7.999999999992724E-2</v>
      </c>
      <c r="AB543" s="161">
        <f t="shared" si="53"/>
        <v>1213.8400000000001</v>
      </c>
      <c r="AC543" s="158"/>
      <c r="AD543" s="158"/>
    </row>
    <row r="544" spans="1:30" ht="12.75" customHeight="1" x14ac:dyDescent="0.3">
      <c r="A544" s="147">
        <v>29</v>
      </c>
      <c r="B544" s="158" t="s">
        <v>962</v>
      </c>
      <c r="C544" s="158" t="s">
        <v>183</v>
      </c>
      <c r="D544" s="158" t="s">
        <v>887</v>
      </c>
      <c r="E544" s="160" t="s">
        <v>25</v>
      </c>
      <c r="F544" s="158" t="s">
        <v>25</v>
      </c>
      <c r="G544" s="160" t="s">
        <v>866</v>
      </c>
      <c r="H544" s="161">
        <v>2890.88</v>
      </c>
      <c r="I544" s="161">
        <v>0</v>
      </c>
      <c r="J544" s="161">
        <v>0</v>
      </c>
      <c r="K544" s="161">
        <v>0</v>
      </c>
      <c r="L544" s="161">
        <v>-680.13</v>
      </c>
      <c r="M544" s="162">
        <v>-52</v>
      </c>
      <c r="N544" s="162">
        <v>-70.8</v>
      </c>
      <c r="O544" s="162">
        <f t="shared" si="48"/>
        <v>2087.9499999999998</v>
      </c>
      <c r="P544" s="162">
        <v>-2500</v>
      </c>
      <c r="Q544" s="162">
        <v>-227</v>
      </c>
      <c r="R544" s="162">
        <v>0</v>
      </c>
      <c r="S544" s="162">
        <v>0</v>
      </c>
      <c r="T544" s="162">
        <v>0</v>
      </c>
      <c r="U544" s="162">
        <v>-500</v>
      </c>
      <c r="V544" s="162">
        <v>0</v>
      </c>
      <c r="W544" s="161">
        <f t="shared" si="49"/>
        <v>-1139.0500000000002</v>
      </c>
      <c r="X544" s="161">
        <f t="shared" si="50"/>
        <v>0</v>
      </c>
      <c r="Y544" s="161">
        <f t="shared" si="51"/>
        <v>-1139.0500000000002</v>
      </c>
      <c r="Z544" s="162">
        <v>700</v>
      </c>
      <c r="AA544" s="161">
        <f t="shared" si="52"/>
        <v>-439.05000000000018</v>
      </c>
      <c r="AB544" s="161">
        <f t="shared" si="53"/>
        <v>2348.8999999999996</v>
      </c>
      <c r="AC544" s="158"/>
      <c r="AD544" s="158"/>
    </row>
    <row r="545" spans="1:30" ht="12.75" customHeight="1" x14ac:dyDescent="0.3">
      <c r="A545" s="147">
        <v>29</v>
      </c>
      <c r="B545" s="158" t="s">
        <v>1001</v>
      </c>
      <c r="C545" s="158" t="s">
        <v>150</v>
      </c>
      <c r="D545" s="160" t="s">
        <v>877</v>
      </c>
      <c r="E545" s="160" t="s">
        <v>25</v>
      </c>
      <c r="F545" s="158" t="s">
        <v>25</v>
      </c>
      <c r="G545" s="160" t="s">
        <v>866</v>
      </c>
      <c r="H545" s="161">
        <v>3254.53</v>
      </c>
      <c r="I545" s="161">
        <v>-2.72</v>
      </c>
      <c r="J545" s="161">
        <v>0</v>
      </c>
      <c r="K545" s="161">
        <v>0</v>
      </c>
      <c r="L545" s="161">
        <v>-1273.8499999999999</v>
      </c>
      <c r="M545" s="162">
        <v>-40</v>
      </c>
      <c r="N545" s="162">
        <v>-125</v>
      </c>
      <c r="O545" s="162">
        <f t="shared" si="48"/>
        <v>1812.9600000000005</v>
      </c>
      <c r="P545" s="162">
        <v>-2500</v>
      </c>
      <c r="Q545" s="162">
        <v>-351</v>
      </c>
      <c r="R545" s="162">
        <v>0</v>
      </c>
      <c r="S545" s="162">
        <v>0</v>
      </c>
      <c r="T545" s="162">
        <v>0</v>
      </c>
      <c r="U545" s="162">
        <v>0</v>
      </c>
      <c r="V545" s="162">
        <v>0</v>
      </c>
      <c r="W545" s="161">
        <f t="shared" si="49"/>
        <v>-1038.0399999999995</v>
      </c>
      <c r="X545" s="161">
        <f t="shared" si="50"/>
        <v>0</v>
      </c>
      <c r="Y545" s="161">
        <f t="shared" si="51"/>
        <v>-1038.0399999999995</v>
      </c>
      <c r="Z545" s="162">
        <v>0</v>
      </c>
      <c r="AA545" s="161">
        <f t="shared" si="52"/>
        <v>-1038.0399999999995</v>
      </c>
      <c r="AB545" s="161">
        <f t="shared" si="53"/>
        <v>774.92000000000098</v>
      </c>
      <c r="AC545" s="158"/>
      <c r="AD545" s="158"/>
    </row>
    <row r="546" spans="1:30" ht="12.75" customHeight="1" x14ac:dyDescent="0.3">
      <c r="A546" s="147">
        <v>29</v>
      </c>
      <c r="B546" s="158" t="s">
        <v>880</v>
      </c>
      <c r="C546" s="158" t="s">
        <v>57</v>
      </c>
      <c r="D546" s="158" t="s">
        <v>881</v>
      </c>
      <c r="E546" s="160" t="s">
        <v>25</v>
      </c>
      <c r="F546" s="158" t="s">
        <v>25</v>
      </c>
      <c r="G546" s="160" t="s">
        <v>866</v>
      </c>
      <c r="H546" s="161">
        <v>3454.91</v>
      </c>
      <c r="I546" s="161">
        <v>-16</v>
      </c>
      <c r="J546" s="161">
        <v>0</v>
      </c>
      <c r="K546" s="161">
        <v>0</v>
      </c>
      <c r="L546" s="161">
        <v>-955.87</v>
      </c>
      <c r="M546" s="162">
        <v>-51</v>
      </c>
      <c r="N546" s="162">
        <v>0</v>
      </c>
      <c r="O546" s="162">
        <f t="shared" si="48"/>
        <v>2432.04</v>
      </c>
      <c r="P546" s="162">
        <v>-2300</v>
      </c>
      <c r="Q546" s="162">
        <v>0</v>
      </c>
      <c r="R546" s="162">
        <v>0</v>
      </c>
      <c r="S546" s="162">
        <v>0</v>
      </c>
      <c r="T546" s="162">
        <v>0</v>
      </c>
      <c r="U546" s="162">
        <v>0</v>
      </c>
      <c r="V546" s="162">
        <v>0</v>
      </c>
      <c r="W546" s="161">
        <f t="shared" si="49"/>
        <v>132.03999999999996</v>
      </c>
      <c r="X546" s="161">
        <f t="shared" si="50"/>
        <v>132.03999999999996</v>
      </c>
      <c r="Y546" s="161">
        <f t="shared" si="51"/>
        <v>0</v>
      </c>
      <c r="Z546" s="162">
        <v>0</v>
      </c>
      <c r="AA546" s="161">
        <f t="shared" si="52"/>
        <v>0</v>
      </c>
      <c r="AB546" s="161">
        <f t="shared" si="53"/>
        <v>2300</v>
      </c>
      <c r="AC546" s="158"/>
      <c r="AD546" s="158"/>
    </row>
    <row r="547" spans="1:30" ht="12.75" customHeight="1" x14ac:dyDescent="0.3">
      <c r="A547" s="147">
        <v>29</v>
      </c>
      <c r="B547" s="158" t="s">
        <v>922</v>
      </c>
      <c r="C547" s="158" t="s">
        <v>36</v>
      </c>
      <c r="D547" s="158" t="s">
        <v>904</v>
      </c>
      <c r="E547" s="160" t="s">
        <v>25</v>
      </c>
      <c r="F547" s="158" t="s">
        <v>25</v>
      </c>
      <c r="G547" s="160" t="s">
        <v>866</v>
      </c>
      <c r="H547" s="161">
        <v>2319.27</v>
      </c>
      <c r="I547" s="161">
        <v>0</v>
      </c>
      <c r="J547" s="161">
        <v>0</v>
      </c>
      <c r="K547" s="161">
        <v>0</v>
      </c>
      <c r="L547" s="161">
        <v>-824.83</v>
      </c>
      <c r="M547" s="162">
        <v>-30</v>
      </c>
      <c r="N547" s="162">
        <v>0</v>
      </c>
      <c r="O547" s="162">
        <f t="shared" si="48"/>
        <v>1464.44</v>
      </c>
      <c r="P547" s="162">
        <v>-2500</v>
      </c>
      <c r="Q547" s="162">
        <v>-351.68</v>
      </c>
      <c r="R547" s="162">
        <v>0</v>
      </c>
      <c r="S547" s="162">
        <v>0</v>
      </c>
      <c r="T547" s="162">
        <v>0</v>
      </c>
      <c r="U547" s="162">
        <v>290</v>
      </c>
      <c r="V547" s="162">
        <v>0</v>
      </c>
      <c r="W547" s="161">
        <f t="shared" si="49"/>
        <v>-1097.2399999999998</v>
      </c>
      <c r="X547" s="161">
        <f t="shared" si="50"/>
        <v>0</v>
      </c>
      <c r="Y547" s="161">
        <f t="shared" si="51"/>
        <v>-1097.2399999999998</v>
      </c>
      <c r="Z547" s="162">
        <v>300</v>
      </c>
      <c r="AA547" s="161">
        <f t="shared" si="52"/>
        <v>-797.23999999999978</v>
      </c>
      <c r="AB547" s="161">
        <f t="shared" si="53"/>
        <v>967.20000000000027</v>
      </c>
      <c r="AC547" s="158"/>
      <c r="AD547" s="158"/>
    </row>
    <row r="548" spans="1:30" ht="12.75" customHeight="1" x14ac:dyDescent="0.3">
      <c r="A548" s="147">
        <v>29</v>
      </c>
      <c r="B548" s="158" t="s">
        <v>993</v>
      </c>
      <c r="C548" s="158" t="s">
        <v>347</v>
      </c>
      <c r="D548" s="158" t="s">
        <v>897</v>
      </c>
      <c r="E548" s="160" t="s">
        <v>25</v>
      </c>
      <c r="F548" s="158" t="s">
        <v>25</v>
      </c>
      <c r="G548" s="160" t="s">
        <v>866</v>
      </c>
      <c r="H548" s="161">
        <v>2102.6</v>
      </c>
      <c r="I548" s="161">
        <v>0</v>
      </c>
      <c r="J548" s="161">
        <v>0</v>
      </c>
      <c r="K548" s="161">
        <v>0</v>
      </c>
      <c r="L548" s="161">
        <v>0</v>
      </c>
      <c r="M548" s="162">
        <v>-43</v>
      </c>
      <c r="N548" s="162">
        <v>0</v>
      </c>
      <c r="O548" s="162">
        <f t="shared" si="48"/>
        <v>2059.6</v>
      </c>
      <c r="P548" s="162">
        <v>-2500</v>
      </c>
      <c r="Q548" s="162">
        <v>0</v>
      </c>
      <c r="R548" s="162">
        <v>-500</v>
      </c>
      <c r="S548" s="162">
        <v>0</v>
      </c>
      <c r="T548" s="162">
        <v>0</v>
      </c>
      <c r="U548" s="162">
        <v>0</v>
      </c>
      <c r="V548" s="162">
        <v>0</v>
      </c>
      <c r="W548" s="161">
        <f t="shared" si="49"/>
        <v>-940.40000000000009</v>
      </c>
      <c r="X548" s="161">
        <f t="shared" si="50"/>
        <v>0</v>
      </c>
      <c r="Y548" s="161">
        <f t="shared" si="51"/>
        <v>-940.40000000000009</v>
      </c>
      <c r="Z548" s="162">
        <v>940</v>
      </c>
      <c r="AA548" s="161">
        <f t="shared" si="52"/>
        <v>-0.40000000000009095</v>
      </c>
      <c r="AB548" s="161">
        <f t="shared" si="53"/>
        <v>2999.2</v>
      </c>
      <c r="AC548" s="158"/>
      <c r="AD548" s="158"/>
    </row>
    <row r="549" spans="1:30" ht="12.75" customHeight="1" x14ac:dyDescent="0.3">
      <c r="A549" s="147">
        <v>29</v>
      </c>
      <c r="B549" s="158" t="s">
        <v>994</v>
      </c>
      <c r="C549" s="158" t="s">
        <v>80</v>
      </c>
      <c r="D549" s="158" t="s">
        <v>20</v>
      </c>
      <c r="E549" s="160" t="s">
        <v>18</v>
      </c>
      <c r="F549" s="160" t="s">
        <v>18</v>
      </c>
      <c r="G549" s="160" t="s">
        <v>866</v>
      </c>
      <c r="H549" s="161">
        <v>3792.82</v>
      </c>
      <c r="I549" s="161">
        <v>-49.02</v>
      </c>
      <c r="J549" s="161">
        <v>0</v>
      </c>
      <c r="K549" s="161">
        <v>0</v>
      </c>
      <c r="L549" s="161">
        <v>0</v>
      </c>
      <c r="M549" s="162">
        <v>0</v>
      </c>
      <c r="N549" s="161">
        <v>0</v>
      </c>
      <c r="O549" s="162">
        <f t="shared" si="48"/>
        <v>3743.8</v>
      </c>
      <c r="P549" s="161">
        <v>-1964</v>
      </c>
      <c r="Q549" s="161">
        <v>-5</v>
      </c>
      <c r="R549" s="161">
        <v>0</v>
      </c>
      <c r="S549" s="161">
        <v>0</v>
      </c>
      <c r="T549" s="161">
        <v>0</v>
      </c>
      <c r="U549" s="161">
        <v>0</v>
      </c>
      <c r="V549" s="161">
        <v>0</v>
      </c>
      <c r="W549" s="161">
        <f t="shared" si="49"/>
        <v>1774.8000000000002</v>
      </c>
      <c r="X549" s="161">
        <f t="shared" si="50"/>
        <v>1774.8000000000002</v>
      </c>
      <c r="Y549" s="161">
        <f t="shared" si="51"/>
        <v>0</v>
      </c>
      <c r="Z549" s="162">
        <v>0</v>
      </c>
      <c r="AA549" s="161">
        <f t="shared" si="52"/>
        <v>0</v>
      </c>
      <c r="AB549" s="161">
        <f t="shared" si="53"/>
        <v>1969</v>
      </c>
      <c r="AC549" s="158"/>
      <c r="AD549" s="158"/>
    </row>
    <row r="550" spans="1:30" ht="12.75" customHeight="1" x14ac:dyDescent="0.3">
      <c r="A550" s="147">
        <v>29</v>
      </c>
      <c r="B550" s="158" t="s">
        <v>1010</v>
      </c>
      <c r="C550" s="158" t="s">
        <v>110</v>
      </c>
      <c r="D550" s="158" t="s">
        <v>996</v>
      </c>
      <c r="E550" s="158" t="s">
        <v>18</v>
      </c>
      <c r="F550" s="160" t="s">
        <v>18</v>
      </c>
      <c r="G550" s="160" t="s">
        <v>866</v>
      </c>
      <c r="H550" s="161">
        <v>2514.67</v>
      </c>
      <c r="I550" s="161">
        <v>0</v>
      </c>
      <c r="J550" s="161">
        <v>0</v>
      </c>
      <c r="K550" s="161">
        <v>-31.91</v>
      </c>
      <c r="L550" s="161">
        <v>-791.49</v>
      </c>
      <c r="M550" s="162">
        <v>0</v>
      </c>
      <c r="N550" s="161">
        <v>0</v>
      </c>
      <c r="O550" s="162">
        <f t="shared" si="48"/>
        <v>1691.2700000000002</v>
      </c>
      <c r="P550" s="161">
        <v>-2500</v>
      </c>
      <c r="Q550" s="161">
        <v>0</v>
      </c>
      <c r="R550" s="161">
        <v>-500</v>
      </c>
      <c r="S550" s="161">
        <v>0</v>
      </c>
      <c r="T550" s="161">
        <v>0</v>
      </c>
      <c r="U550" s="161">
        <v>0</v>
      </c>
      <c r="V550" s="161">
        <v>0</v>
      </c>
      <c r="W550" s="161">
        <f t="shared" si="49"/>
        <v>-1308.7299999999998</v>
      </c>
      <c r="X550" s="161">
        <f t="shared" si="50"/>
        <v>0</v>
      </c>
      <c r="Y550" s="161">
        <f t="shared" si="51"/>
        <v>-1308.7299999999998</v>
      </c>
      <c r="Z550" s="162">
        <v>1309</v>
      </c>
      <c r="AA550" s="161">
        <f t="shared" si="52"/>
        <v>0.27000000000020918</v>
      </c>
      <c r="AB550" s="161">
        <f t="shared" si="53"/>
        <v>3000.5400000000009</v>
      </c>
      <c r="AC550" s="158" t="s">
        <v>1015</v>
      </c>
      <c r="AD550" s="158"/>
    </row>
    <row r="551" spans="1:30" ht="12.75" customHeight="1" x14ac:dyDescent="0.3">
      <c r="A551" s="147">
        <v>29</v>
      </c>
      <c r="B551" s="158" t="s">
        <v>1003</v>
      </c>
      <c r="C551" s="158" t="s">
        <v>59</v>
      </c>
      <c r="D551" s="158" t="s">
        <v>895</v>
      </c>
      <c r="E551" s="160" t="s">
        <v>25</v>
      </c>
      <c r="F551" s="158" t="s">
        <v>25</v>
      </c>
      <c r="G551" s="160" t="s">
        <v>866</v>
      </c>
      <c r="H551" s="161">
        <v>6819.59</v>
      </c>
      <c r="I551" s="161">
        <v>-208.83</v>
      </c>
      <c r="J551" s="161">
        <v>0</v>
      </c>
      <c r="K551" s="161">
        <v>0</v>
      </c>
      <c r="L551" s="161">
        <v>0</v>
      </c>
      <c r="M551" s="162">
        <v>-66</v>
      </c>
      <c r="N551" s="162">
        <v>0</v>
      </c>
      <c r="O551" s="162">
        <f t="shared" si="48"/>
        <v>6544.76</v>
      </c>
      <c r="P551" s="162">
        <v>-2500</v>
      </c>
      <c r="Q551" s="162">
        <v>0</v>
      </c>
      <c r="R551" s="162">
        <v>-500</v>
      </c>
      <c r="S551" s="162">
        <v>0</v>
      </c>
      <c r="T551" s="162">
        <v>0</v>
      </c>
      <c r="U551" s="162">
        <v>0</v>
      </c>
      <c r="V551" s="162">
        <v>0</v>
      </c>
      <c r="W551" s="161">
        <f t="shared" si="49"/>
        <v>3544.76</v>
      </c>
      <c r="X551" s="161">
        <f t="shared" si="50"/>
        <v>3544.76</v>
      </c>
      <c r="Y551" s="161">
        <f t="shared" si="51"/>
        <v>0</v>
      </c>
      <c r="Z551" s="162">
        <v>0</v>
      </c>
      <c r="AA551" s="161">
        <f t="shared" si="52"/>
        <v>0</v>
      </c>
      <c r="AB551" s="161">
        <f t="shared" si="53"/>
        <v>3000</v>
      </c>
      <c r="AC551" s="158"/>
      <c r="AD551" s="158"/>
    </row>
    <row r="552" spans="1:30" ht="12.75" customHeight="1" x14ac:dyDescent="0.3">
      <c r="A552" s="147">
        <v>30</v>
      </c>
      <c r="B552" s="158" t="s">
        <v>585</v>
      </c>
      <c r="C552" s="158" t="s">
        <v>42</v>
      </c>
      <c r="D552" s="158" t="s">
        <v>948</v>
      </c>
      <c r="E552" s="160" t="s">
        <v>25</v>
      </c>
      <c r="F552" s="158" t="s">
        <v>25</v>
      </c>
      <c r="G552" s="160" t="s">
        <v>866</v>
      </c>
      <c r="H552" s="161">
        <v>1724.37</v>
      </c>
      <c r="I552" s="161">
        <v>-20.8</v>
      </c>
      <c r="J552" s="161">
        <v>0</v>
      </c>
      <c r="K552" s="161">
        <v>0</v>
      </c>
      <c r="L552" s="161">
        <v>-634.95000000000005</v>
      </c>
      <c r="M552" s="161">
        <v>-65</v>
      </c>
      <c r="N552" s="161">
        <v>0</v>
      </c>
      <c r="O552" s="162">
        <f t="shared" si="48"/>
        <v>1003.6199999999999</v>
      </c>
      <c r="P552" s="162">
        <v>-2500</v>
      </c>
      <c r="Q552" s="162">
        <v>0</v>
      </c>
      <c r="R552" s="162">
        <v>0</v>
      </c>
      <c r="S552" s="162">
        <v>0</v>
      </c>
      <c r="T552" s="162">
        <v>-500</v>
      </c>
      <c r="U552" s="162">
        <v>0</v>
      </c>
      <c r="V552" s="162">
        <v>0</v>
      </c>
      <c r="W552" s="161">
        <f t="shared" si="49"/>
        <v>-1996.38</v>
      </c>
      <c r="X552" s="161">
        <f t="shared" si="50"/>
        <v>0</v>
      </c>
      <c r="Y552" s="161">
        <f t="shared" si="51"/>
        <v>-1996.38</v>
      </c>
      <c r="Z552" s="162">
        <v>1996</v>
      </c>
      <c r="AA552" s="161">
        <f t="shared" si="52"/>
        <v>-0.38000000000010914</v>
      </c>
      <c r="AB552" s="161">
        <f t="shared" si="53"/>
        <v>2999.24</v>
      </c>
      <c r="AC552" s="158" t="s">
        <v>927</v>
      </c>
      <c r="AD552" s="158"/>
    </row>
    <row r="553" spans="1:30" ht="12.75" customHeight="1" x14ac:dyDescent="0.3">
      <c r="A553" s="147">
        <v>30</v>
      </c>
      <c r="B553" s="158" t="s">
        <v>944</v>
      </c>
      <c r="C553" s="158" t="s">
        <v>372</v>
      </c>
      <c r="D553" s="158" t="s">
        <v>1004</v>
      </c>
      <c r="E553" s="158" t="s">
        <v>39</v>
      </c>
      <c r="F553" s="158" t="s">
        <v>39</v>
      </c>
      <c r="G553" s="160" t="s">
        <v>866</v>
      </c>
      <c r="H553" s="161">
        <v>5455.29</v>
      </c>
      <c r="I553" s="161">
        <v>0</v>
      </c>
      <c r="J553" s="161">
        <v>0</v>
      </c>
      <c r="K553" s="161">
        <v>0</v>
      </c>
      <c r="L553" s="161">
        <v>-1276.28</v>
      </c>
      <c r="M553" s="161">
        <v>-75</v>
      </c>
      <c r="N553" s="161">
        <v>0</v>
      </c>
      <c r="O553" s="162">
        <f t="shared" si="48"/>
        <v>4104.01</v>
      </c>
      <c r="P553" s="162">
        <v>-2500</v>
      </c>
      <c r="Q553" s="162">
        <v>0</v>
      </c>
      <c r="R553" s="162">
        <v>0</v>
      </c>
      <c r="S553" s="162">
        <v>0</v>
      </c>
      <c r="T553" s="162">
        <v>-500</v>
      </c>
      <c r="U553" s="162">
        <v>-600</v>
      </c>
      <c r="V553" s="162">
        <v>0</v>
      </c>
      <c r="W553" s="161">
        <f t="shared" si="49"/>
        <v>504.01000000000022</v>
      </c>
      <c r="X553" s="161">
        <f t="shared" si="50"/>
        <v>504.01000000000022</v>
      </c>
      <c r="Y553" s="161">
        <f t="shared" si="51"/>
        <v>0</v>
      </c>
      <c r="Z553" s="162">
        <v>0</v>
      </c>
      <c r="AA553" s="161">
        <f t="shared" si="52"/>
        <v>0</v>
      </c>
      <c r="AB553" s="161">
        <f t="shared" si="53"/>
        <v>3600</v>
      </c>
      <c r="AC553" s="158"/>
      <c r="AD553" s="158"/>
    </row>
    <row r="554" spans="1:30" ht="12.75" customHeight="1" x14ac:dyDescent="0.3">
      <c r="A554" s="147">
        <v>30</v>
      </c>
      <c r="B554" s="158" t="s">
        <v>913</v>
      </c>
      <c r="C554" s="158" t="s">
        <v>100</v>
      </c>
      <c r="D554" s="158" t="s">
        <v>953</v>
      </c>
      <c r="E554" s="160" t="s">
        <v>25</v>
      </c>
      <c r="F554" s="158" t="s">
        <v>25</v>
      </c>
      <c r="G554" s="160" t="s">
        <v>866</v>
      </c>
      <c r="H554" s="161">
        <v>6842.7</v>
      </c>
      <c r="I554" s="161">
        <v>-29.7</v>
      </c>
      <c r="J554" s="161">
        <v>0</v>
      </c>
      <c r="K554" s="161">
        <v>0</v>
      </c>
      <c r="L554" s="161">
        <v>-4221.3100000000004</v>
      </c>
      <c r="M554" s="161">
        <v>-65</v>
      </c>
      <c r="N554" s="161">
        <v>0</v>
      </c>
      <c r="O554" s="162">
        <f t="shared" si="48"/>
        <v>2526.6899999999996</v>
      </c>
      <c r="P554" s="162">
        <v>-2500</v>
      </c>
      <c r="Q554" s="162">
        <v>0</v>
      </c>
      <c r="R554" s="162">
        <v>0</v>
      </c>
      <c r="S554" s="162">
        <v>0</v>
      </c>
      <c r="T554" s="162">
        <v>0</v>
      </c>
      <c r="U554" s="162">
        <v>0</v>
      </c>
      <c r="V554" s="162">
        <v>0</v>
      </c>
      <c r="W554" s="161">
        <f t="shared" si="49"/>
        <v>26.6899999999996</v>
      </c>
      <c r="X554" s="161">
        <f t="shared" si="50"/>
        <v>26.6899999999996</v>
      </c>
      <c r="Y554" s="161">
        <f t="shared" si="51"/>
        <v>0</v>
      </c>
      <c r="Z554" s="162">
        <v>0</v>
      </c>
      <c r="AA554" s="161">
        <f t="shared" si="52"/>
        <v>0</v>
      </c>
      <c r="AB554" s="161">
        <f t="shared" si="53"/>
        <v>2500</v>
      </c>
      <c r="AC554" s="158"/>
      <c r="AD554" s="158"/>
    </row>
    <row r="555" spans="1:30" ht="12.75" customHeight="1" x14ac:dyDescent="0.3">
      <c r="A555" s="147">
        <v>30</v>
      </c>
      <c r="B555" s="158" t="s">
        <v>457</v>
      </c>
      <c r="C555" s="158" t="s">
        <v>571</v>
      </c>
      <c r="D555" s="158" t="s">
        <v>974</v>
      </c>
      <c r="E555" s="160" t="s">
        <v>25</v>
      </c>
      <c r="F555" s="158" t="s">
        <v>25</v>
      </c>
      <c r="G555" s="160" t="s">
        <v>866</v>
      </c>
      <c r="H555" s="161">
        <v>2104.4899999999998</v>
      </c>
      <c r="I555" s="161">
        <v>0</v>
      </c>
      <c r="J555" s="161">
        <v>0</v>
      </c>
      <c r="K555" s="161">
        <v>0</v>
      </c>
      <c r="L555" s="161">
        <v>-554.29</v>
      </c>
      <c r="M555" s="161">
        <v>-65</v>
      </c>
      <c r="N555" s="161">
        <v>0</v>
      </c>
      <c r="O555" s="162">
        <f t="shared" si="48"/>
        <v>1485.1999999999998</v>
      </c>
      <c r="P555" s="162">
        <v>-2500</v>
      </c>
      <c r="Q555" s="162">
        <v>-986</v>
      </c>
      <c r="R555" s="162">
        <v>0</v>
      </c>
      <c r="S555" s="162">
        <v>0</v>
      </c>
      <c r="T555" s="162">
        <v>0</v>
      </c>
      <c r="U555" s="162">
        <v>0</v>
      </c>
      <c r="V555" s="162">
        <v>0</v>
      </c>
      <c r="W555" s="161">
        <f t="shared" si="49"/>
        <v>-2000.8000000000002</v>
      </c>
      <c r="X555" s="161">
        <f t="shared" si="50"/>
        <v>0</v>
      </c>
      <c r="Y555" s="161">
        <f t="shared" si="51"/>
        <v>-2000.8000000000002</v>
      </c>
      <c r="Z555" s="162">
        <v>1500</v>
      </c>
      <c r="AA555" s="161">
        <f t="shared" si="52"/>
        <v>-500.80000000000018</v>
      </c>
      <c r="AB555" s="161">
        <f t="shared" si="53"/>
        <v>2484.3999999999996</v>
      </c>
      <c r="AC555" s="158" t="s">
        <v>1016</v>
      </c>
      <c r="AD555" s="158"/>
    </row>
    <row r="556" spans="1:30" ht="12.75" customHeight="1" x14ac:dyDescent="0.3">
      <c r="A556" s="147">
        <v>30</v>
      </c>
      <c r="B556" s="158" t="s">
        <v>990</v>
      </c>
      <c r="C556" s="158" t="s">
        <v>46</v>
      </c>
      <c r="D556" s="158" t="s">
        <v>915</v>
      </c>
      <c r="E556" s="160" t="s">
        <v>25</v>
      </c>
      <c r="F556" s="158" t="s">
        <v>25</v>
      </c>
      <c r="G556" s="160" t="s">
        <v>866</v>
      </c>
      <c r="H556" s="161">
        <v>1091.93</v>
      </c>
      <c r="I556" s="161">
        <v>0</v>
      </c>
      <c r="J556" s="161">
        <v>0</v>
      </c>
      <c r="K556" s="161">
        <v>0</v>
      </c>
      <c r="L556" s="161">
        <v>0</v>
      </c>
      <c r="M556" s="161">
        <v>-75</v>
      </c>
      <c r="N556" s="161">
        <v>-74</v>
      </c>
      <c r="O556" s="162">
        <f t="shared" si="48"/>
        <v>942.93000000000006</v>
      </c>
      <c r="P556" s="162">
        <v>-2500</v>
      </c>
      <c r="Q556" s="162">
        <v>0</v>
      </c>
      <c r="R556" s="162">
        <v>-500</v>
      </c>
      <c r="S556" s="162">
        <v>0</v>
      </c>
      <c r="T556" s="162">
        <v>0</v>
      </c>
      <c r="U556" s="162">
        <v>0</v>
      </c>
      <c r="V556" s="162">
        <v>0</v>
      </c>
      <c r="W556" s="161">
        <f t="shared" si="49"/>
        <v>-2057.0699999999997</v>
      </c>
      <c r="X556" s="161">
        <f t="shared" si="50"/>
        <v>0</v>
      </c>
      <c r="Y556" s="161">
        <f t="shared" si="51"/>
        <v>-2057.0699999999997</v>
      </c>
      <c r="Z556" s="162">
        <v>1500</v>
      </c>
      <c r="AA556" s="161">
        <f t="shared" si="52"/>
        <v>-557.06999999999971</v>
      </c>
      <c r="AB556" s="161">
        <f t="shared" si="53"/>
        <v>1885.8600000000006</v>
      </c>
      <c r="AC556" s="158" t="s">
        <v>927</v>
      </c>
      <c r="AD556" s="158"/>
    </row>
    <row r="557" spans="1:30" ht="12.75" customHeight="1" x14ac:dyDescent="0.3">
      <c r="A557" s="147">
        <v>30</v>
      </c>
      <c r="B557" s="158" t="s">
        <v>872</v>
      </c>
      <c r="C557" s="158" t="s">
        <v>256</v>
      </c>
      <c r="D557" s="158" t="s">
        <v>997</v>
      </c>
      <c r="E557" s="160" t="s">
        <v>871</v>
      </c>
      <c r="F557" s="158" t="s">
        <v>39</v>
      </c>
      <c r="G557" s="160" t="s">
        <v>866</v>
      </c>
      <c r="H557" s="161">
        <v>5169.1000000000004</v>
      </c>
      <c r="I557" s="161">
        <v>-64.06</v>
      </c>
      <c r="J557" s="161">
        <v>0</v>
      </c>
      <c r="K557" s="161">
        <v>0</v>
      </c>
      <c r="L557" s="161">
        <v>-280.70999999999998</v>
      </c>
      <c r="M557" s="161">
        <v>-65</v>
      </c>
      <c r="N557" s="161">
        <v>-200</v>
      </c>
      <c r="O557" s="162">
        <f t="shared" si="48"/>
        <v>4559.33</v>
      </c>
      <c r="P557" s="162">
        <v>-2500</v>
      </c>
      <c r="Q557" s="162">
        <v>-2594</v>
      </c>
      <c r="R557" s="162">
        <v>0</v>
      </c>
      <c r="S557" s="162">
        <v>0</v>
      </c>
      <c r="T557" s="162">
        <v>0</v>
      </c>
      <c r="U557" s="162">
        <v>-300</v>
      </c>
      <c r="V557" s="162">
        <v>0</v>
      </c>
      <c r="W557" s="161">
        <f t="shared" si="49"/>
        <v>-834.67000000000007</v>
      </c>
      <c r="X557" s="161">
        <f t="shared" si="50"/>
        <v>0</v>
      </c>
      <c r="Y557" s="161">
        <f t="shared" si="51"/>
        <v>-834.67000000000007</v>
      </c>
      <c r="Z557" s="162">
        <v>0</v>
      </c>
      <c r="AA557" s="161">
        <f t="shared" si="52"/>
        <v>-834.67000000000007</v>
      </c>
      <c r="AB557" s="161">
        <f t="shared" si="53"/>
        <v>3724.66</v>
      </c>
      <c r="AC557" s="158" t="s">
        <v>1017</v>
      </c>
      <c r="AD557" s="158"/>
    </row>
    <row r="558" spans="1:30" ht="12.75" customHeight="1" x14ac:dyDescent="0.3">
      <c r="A558" s="147">
        <v>30</v>
      </c>
      <c r="B558" s="158" t="s">
        <v>921</v>
      </c>
      <c r="C558" s="158" t="s">
        <v>257</v>
      </c>
      <c r="D558" s="158" t="s">
        <v>943</v>
      </c>
      <c r="E558" s="160" t="s">
        <v>25</v>
      </c>
      <c r="F558" s="158" t="s">
        <v>25</v>
      </c>
      <c r="G558" s="160" t="s">
        <v>866</v>
      </c>
      <c r="H558" s="161">
        <v>8124.78</v>
      </c>
      <c r="I558" s="161">
        <v>0</v>
      </c>
      <c r="J558" s="161">
        <v>0</v>
      </c>
      <c r="K558" s="161">
        <v>0</v>
      </c>
      <c r="L558" s="161">
        <v>-2451.79</v>
      </c>
      <c r="M558" s="161">
        <v>-65</v>
      </c>
      <c r="N558" s="161">
        <v>0</v>
      </c>
      <c r="O558" s="162">
        <f t="shared" si="48"/>
        <v>5607.99</v>
      </c>
      <c r="P558" s="162">
        <v>-2500</v>
      </c>
      <c r="Q558" s="162">
        <v>0</v>
      </c>
      <c r="R558" s="162">
        <v>0</v>
      </c>
      <c r="S558" s="162">
        <v>0</v>
      </c>
      <c r="T558" s="162">
        <v>0</v>
      </c>
      <c r="U558" s="162">
        <v>0</v>
      </c>
      <c r="V558" s="162">
        <v>-1000</v>
      </c>
      <c r="W558" s="161">
        <f t="shared" si="49"/>
        <v>2107.9899999999998</v>
      </c>
      <c r="X558" s="161">
        <f t="shared" si="50"/>
        <v>2107.9899999999998</v>
      </c>
      <c r="Y558" s="161">
        <f t="shared" si="51"/>
        <v>0</v>
      </c>
      <c r="Z558" s="162">
        <v>0</v>
      </c>
      <c r="AA558" s="161">
        <f t="shared" si="52"/>
        <v>0</v>
      </c>
      <c r="AB558" s="161">
        <f t="shared" si="53"/>
        <v>3500</v>
      </c>
      <c r="AC558" s="158"/>
      <c r="AD558" s="158"/>
    </row>
    <row r="559" spans="1:30" ht="12.75" customHeight="1" x14ac:dyDescent="0.3">
      <c r="A559" s="147">
        <v>30</v>
      </c>
      <c r="B559" s="158" t="s">
        <v>1005</v>
      </c>
      <c r="C559" s="158" t="s">
        <v>409</v>
      </c>
      <c r="D559" s="158" t="s">
        <v>946</v>
      </c>
      <c r="E559" s="160" t="s">
        <v>25</v>
      </c>
      <c r="F559" s="158" t="s">
        <v>25</v>
      </c>
      <c r="G559" s="160" t="s">
        <v>866</v>
      </c>
      <c r="H559" s="161">
        <v>2194.91</v>
      </c>
      <c r="I559" s="161">
        <v>0</v>
      </c>
      <c r="J559" s="161">
        <v>0</v>
      </c>
      <c r="K559" s="161">
        <v>0</v>
      </c>
      <c r="L559" s="161">
        <v>-1169.0999999999999</v>
      </c>
      <c r="M559" s="161">
        <v>-65</v>
      </c>
      <c r="N559" s="161">
        <v>0</v>
      </c>
      <c r="O559" s="162">
        <f t="shared" si="48"/>
        <v>960.81</v>
      </c>
      <c r="P559" s="162">
        <v>-2500</v>
      </c>
      <c r="Q559" s="162">
        <v>0</v>
      </c>
      <c r="R559" s="162">
        <v>-500</v>
      </c>
      <c r="S559" s="162">
        <v>0</v>
      </c>
      <c r="T559" s="162">
        <v>0</v>
      </c>
      <c r="U559" s="162">
        <v>3000</v>
      </c>
      <c r="V559" s="162">
        <v>0</v>
      </c>
      <c r="W559" s="161">
        <f t="shared" si="49"/>
        <v>960.81</v>
      </c>
      <c r="X559" s="161">
        <f t="shared" si="50"/>
        <v>960.81</v>
      </c>
      <c r="Y559" s="161">
        <f t="shared" si="51"/>
        <v>0</v>
      </c>
      <c r="Z559" s="162">
        <v>0</v>
      </c>
      <c r="AA559" s="161">
        <f t="shared" si="52"/>
        <v>0</v>
      </c>
      <c r="AB559" s="161">
        <f t="shared" si="53"/>
        <v>0</v>
      </c>
      <c r="AC559" s="158" t="s">
        <v>1018</v>
      </c>
      <c r="AD559" s="158"/>
    </row>
    <row r="560" spans="1:30" ht="12.75" customHeight="1" x14ac:dyDescent="0.3">
      <c r="A560" s="147">
        <v>30</v>
      </c>
      <c r="B560" s="158" t="s">
        <v>1013</v>
      </c>
      <c r="C560" s="158" t="s">
        <v>101</v>
      </c>
      <c r="D560" s="158" t="s">
        <v>945</v>
      </c>
      <c r="E560" s="158" t="s">
        <v>25</v>
      </c>
      <c r="F560" s="158" t="s">
        <v>25</v>
      </c>
      <c r="G560" s="160" t="s">
        <v>866</v>
      </c>
      <c r="H560" s="161">
        <v>7395.1</v>
      </c>
      <c r="I560" s="161">
        <v>0</v>
      </c>
      <c r="J560" s="161">
        <v>0</v>
      </c>
      <c r="K560" s="161">
        <v>0</v>
      </c>
      <c r="L560" s="161">
        <v>-3302.18</v>
      </c>
      <c r="M560" s="161">
        <v>-66</v>
      </c>
      <c r="N560" s="161">
        <v>-133</v>
      </c>
      <c r="O560" s="162">
        <f t="shared" si="48"/>
        <v>3893.9200000000005</v>
      </c>
      <c r="P560" s="161">
        <v>-2500</v>
      </c>
      <c r="Q560" s="162">
        <v>0</v>
      </c>
      <c r="R560" s="161">
        <v>-500</v>
      </c>
      <c r="S560" s="161">
        <v>0</v>
      </c>
      <c r="T560" s="161">
        <v>0</v>
      </c>
      <c r="U560" s="162">
        <v>0</v>
      </c>
      <c r="V560" s="161">
        <v>0</v>
      </c>
      <c r="W560" s="161">
        <f t="shared" si="49"/>
        <v>893.92000000000053</v>
      </c>
      <c r="X560" s="161">
        <f t="shared" si="50"/>
        <v>893.92000000000053</v>
      </c>
      <c r="Y560" s="161">
        <f t="shared" si="51"/>
        <v>0</v>
      </c>
      <c r="Z560" s="162">
        <v>0</v>
      </c>
      <c r="AA560" s="161">
        <f t="shared" si="52"/>
        <v>0</v>
      </c>
      <c r="AB560" s="161">
        <f t="shared" si="53"/>
        <v>3000</v>
      </c>
      <c r="AC560" s="158"/>
      <c r="AD560" s="158"/>
    </row>
    <row r="561" spans="1:30" ht="12.75" customHeight="1" x14ac:dyDescent="0.3">
      <c r="A561" s="147">
        <v>30</v>
      </c>
      <c r="B561" s="158" t="s">
        <v>918</v>
      </c>
      <c r="C561" s="158" t="s">
        <v>120</v>
      </c>
      <c r="D561" s="158" t="s">
        <v>950</v>
      </c>
      <c r="E561" s="158" t="s">
        <v>25</v>
      </c>
      <c r="F561" s="158" t="s">
        <v>25</v>
      </c>
      <c r="G561" s="160" t="s">
        <v>866</v>
      </c>
      <c r="H561" s="161">
        <v>7037.96</v>
      </c>
      <c r="I561" s="161">
        <v>-37.6</v>
      </c>
      <c r="J561" s="161">
        <v>0</v>
      </c>
      <c r="K561" s="161">
        <v>0</v>
      </c>
      <c r="L561" s="161">
        <v>-1380.17</v>
      </c>
      <c r="M561" s="161">
        <v>-60</v>
      </c>
      <c r="N561" s="161">
        <v>0</v>
      </c>
      <c r="O561" s="162">
        <f t="shared" si="48"/>
        <v>5560.19</v>
      </c>
      <c r="P561" s="162">
        <v>-2500</v>
      </c>
      <c r="Q561" s="162">
        <v>0</v>
      </c>
      <c r="R561" s="162">
        <v>0</v>
      </c>
      <c r="S561" s="162">
        <v>0</v>
      </c>
      <c r="T561" s="162">
        <v>0</v>
      </c>
      <c r="U561" s="162">
        <v>-500</v>
      </c>
      <c r="V561" s="162">
        <v>0</v>
      </c>
      <c r="W561" s="161">
        <f t="shared" si="49"/>
        <v>2560.1899999999996</v>
      </c>
      <c r="X561" s="161">
        <f t="shared" si="50"/>
        <v>2560.1899999999996</v>
      </c>
      <c r="Y561" s="161">
        <f t="shared" si="51"/>
        <v>0</v>
      </c>
      <c r="Z561" s="162">
        <v>0</v>
      </c>
      <c r="AA561" s="161">
        <f t="shared" si="52"/>
        <v>0</v>
      </c>
      <c r="AB561" s="161">
        <f t="shared" si="53"/>
        <v>3000</v>
      </c>
      <c r="AC561" s="158"/>
      <c r="AD561" s="158"/>
    </row>
    <row r="562" spans="1:30" ht="12.75" customHeight="1" x14ac:dyDescent="0.3">
      <c r="A562" s="147">
        <v>30</v>
      </c>
      <c r="B562" s="158" t="s">
        <v>484</v>
      </c>
      <c r="C562" s="158" t="s">
        <v>426</v>
      </c>
      <c r="D562" s="158" t="s">
        <v>903</v>
      </c>
      <c r="E562" s="160" t="s">
        <v>25</v>
      </c>
      <c r="F562" s="158" t="s">
        <v>25</v>
      </c>
      <c r="G562" s="160" t="s">
        <v>866</v>
      </c>
      <c r="H562" s="161">
        <v>6029.43</v>
      </c>
      <c r="I562" s="161">
        <v>-48</v>
      </c>
      <c r="J562" s="161">
        <v>0</v>
      </c>
      <c r="K562" s="161">
        <v>0</v>
      </c>
      <c r="L562" s="161">
        <v>-3543.72</v>
      </c>
      <c r="M562" s="161">
        <v>-65</v>
      </c>
      <c r="N562" s="161">
        <v>0</v>
      </c>
      <c r="O562" s="162">
        <f t="shared" si="48"/>
        <v>2372.7100000000005</v>
      </c>
      <c r="P562" s="162">
        <v>-2143</v>
      </c>
      <c r="Q562" s="162">
        <v>-52</v>
      </c>
      <c r="R562" s="162">
        <v>0</v>
      </c>
      <c r="S562" s="162">
        <v>0</v>
      </c>
      <c r="T562" s="162">
        <v>0</v>
      </c>
      <c r="U562" s="162">
        <v>0</v>
      </c>
      <c r="V562" s="162">
        <v>0</v>
      </c>
      <c r="W562" s="161">
        <f t="shared" si="49"/>
        <v>177.71000000000049</v>
      </c>
      <c r="X562" s="161">
        <f t="shared" si="50"/>
        <v>177.71000000000049</v>
      </c>
      <c r="Y562" s="161">
        <f t="shared" si="51"/>
        <v>0</v>
      </c>
      <c r="Z562" s="162">
        <v>0</v>
      </c>
      <c r="AA562" s="161">
        <f t="shared" si="52"/>
        <v>0</v>
      </c>
      <c r="AB562" s="161">
        <f t="shared" si="53"/>
        <v>2195</v>
      </c>
      <c r="AC562" s="158" t="s">
        <v>1019</v>
      </c>
      <c r="AD562" s="158"/>
    </row>
    <row r="563" spans="1:30" ht="12.75" customHeight="1" x14ac:dyDescent="0.3">
      <c r="A563" s="147">
        <v>30</v>
      </c>
      <c r="B563" s="158" t="s">
        <v>408</v>
      </c>
      <c r="C563" s="158" t="s">
        <v>878</v>
      </c>
      <c r="D563" s="158" t="s">
        <v>972</v>
      </c>
      <c r="E563" s="160" t="s">
        <v>25</v>
      </c>
      <c r="F563" s="158" t="s">
        <v>39</v>
      </c>
      <c r="G563" s="160" t="s">
        <v>866</v>
      </c>
      <c r="H563" s="161">
        <v>3688.1</v>
      </c>
      <c r="I563" s="161">
        <v>0</v>
      </c>
      <c r="J563" s="161">
        <v>0</v>
      </c>
      <c r="K563" s="161">
        <v>0</v>
      </c>
      <c r="L563" s="161">
        <v>-1225.02</v>
      </c>
      <c r="M563" s="161">
        <v>-65</v>
      </c>
      <c r="N563" s="161">
        <v>0</v>
      </c>
      <c r="O563" s="162">
        <f t="shared" si="48"/>
        <v>2398.08</v>
      </c>
      <c r="P563" s="162">
        <v>-2500</v>
      </c>
      <c r="Q563" s="162">
        <v>0</v>
      </c>
      <c r="R563" s="162">
        <v>0</v>
      </c>
      <c r="S563" s="162">
        <v>0</v>
      </c>
      <c r="T563" s="162">
        <v>-500</v>
      </c>
      <c r="U563" s="162">
        <v>0</v>
      </c>
      <c r="V563" s="162">
        <v>0</v>
      </c>
      <c r="W563" s="161">
        <f t="shared" si="49"/>
        <v>-601.92000000000007</v>
      </c>
      <c r="X563" s="161">
        <f t="shared" si="50"/>
        <v>0</v>
      </c>
      <c r="Y563" s="161">
        <f t="shared" si="51"/>
        <v>-601.92000000000007</v>
      </c>
      <c r="Z563" s="162">
        <v>620</v>
      </c>
      <c r="AA563" s="161">
        <f t="shared" si="52"/>
        <v>18.079999999999927</v>
      </c>
      <c r="AB563" s="161">
        <f t="shared" si="53"/>
        <v>3036.16</v>
      </c>
      <c r="AC563" s="158" t="s">
        <v>927</v>
      </c>
      <c r="AD563" s="158"/>
    </row>
    <row r="564" spans="1:30" ht="12.75" customHeight="1" x14ac:dyDescent="0.3">
      <c r="A564" s="147">
        <v>30</v>
      </c>
      <c r="B564" s="158" t="s">
        <v>992</v>
      </c>
      <c r="C564" s="158" t="s">
        <v>169</v>
      </c>
      <c r="D564" s="158" t="s">
        <v>967</v>
      </c>
      <c r="E564" s="160" t="s">
        <v>871</v>
      </c>
      <c r="F564" s="158" t="s">
        <v>39</v>
      </c>
      <c r="G564" s="160" t="s">
        <v>866</v>
      </c>
      <c r="H564" s="161">
        <v>5111.74</v>
      </c>
      <c r="I564" s="161">
        <v>-105.6</v>
      </c>
      <c r="J564" s="161">
        <v>0</v>
      </c>
      <c r="K564" s="161">
        <v>0</v>
      </c>
      <c r="L564" s="161">
        <v>-688.44</v>
      </c>
      <c r="M564" s="161">
        <v>-65</v>
      </c>
      <c r="N564" s="161">
        <v>0</v>
      </c>
      <c r="O564" s="162">
        <f t="shared" si="48"/>
        <v>4252.6999999999989</v>
      </c>
      <c r="P564" s="162">
        <v>-2500</v>
      </c>
      <c r="Q564" s="162">
        <v>0</v>
      </c>
      <c r="R564" s="162">
        <v>-500</v>
      </c>
      <c r="S564" s="162">
        <v>0</v>
      </c>
      <c r="T564" s="162">
        <v>0</v>
      </c>
      <c r="U564" s="162">
        <v>0</v>
      </c>
      <c r="V564" s="162">
        <v>0</v>
      </c>
      <c r="W564" s="161">
        <f t="shared" si="49"/>
        <v>1252.6999999999989</v>
      </c>
      <c r="X564" s="161">
        <f t="shared" si="50"/>
        <v>1252.6999999999989</v>
      </c>
      <c r="Y564" s="161">
        <f t="shared" si="51"/>
        <v>0</v>
      </c>
      <c r="Z564" s="162">
        <v>0</v>
      </c>
      <c r="AA564" s="161">
        <f t="shared" si="52"/>
        <v>0</v>
      </c>
      <c r="AB564" s="161">
        <f t="shared" si="53"/>
        <v>3000</v>
      </c>
      <c r="AC564" s="158"/>
      <c r="AD564" s="158"/>
    </row>
    <row r="565" spans="1:30" ht="12.75" customHeight="1" x14ac:dyDescent="0.3">
      <c r="A565" s="147">
        <v>30</v>
      </c>
      <c r="B565" s="158" t="s">
        <v>1020</v>
      </c>
      <c r="C565" s="158" t="s">
        <v>123</v>
      </c>
      <c r="D565" s="158" t="s">
        <v>999</v>
      </c>
      <c r="E565" s="160" t="s">
        <v>871</v>
      </c>
      <c r="F565" s="158" t="s">
        <v>39</v>
      </c>
      <c r="G565" s="160" t="s">
        <v>866</v>
      </c>
      <c r="H565" s="161">
        <v>388</v>
      </c>
      <c r="I565" s="161">
        <v>0</v>
      </c>
      <c r="J565" s="161">
        <v>0</v>
      </c>
      <c r="K565" s="161">
        <v>0</v>
      </c>
      <c r="L565" s="161">
        <v>0</v>
      </c>
      <c r="M565" s="161">
        <v>-35</v>
      </c>
      <c r="N565" s="161">
        <v>0</v>
      </c>
      <c r="O565" s="162">
        <f t="shared" si="48"/>
        <v>353</v>
      </c>
      <c r="P565" s="161">
        <v>-714</v>
      </c>
      <c r="Q565" s="162">
        <v>0</v>
      </c>
      <c r="R565" s="161">
        <v>-143</v>
      </c>
      <c r="S565" s="161">
        <v>0</v>
      </c>
      <c r="T565" s="161">
        <v>0</v>
      </c>
      <c r="U565" s="162">
        <v>0</v>
      </c>
      <c r="V565" s="161">
        <v>0</v>
      </c>
      <c r="W565" s="161">
        <f t="shared" si="49"/>
        <v>-504</v>
      </c>
      <c r="X565" s="161">
        <f t="shared" si="50"/>
        <v>0</v>
      </c>
      <c r="Y565" s="161">
        <f t="shared" si="51"/>
        <v>-504</v>
      </c>
      <c r="Z565" s="161">
        <f>1500+1000</f>
        <v>2500</v>
      </c>
      <c r="AA565" s="161">
        <f t="shared" si="52"/>
        <v>1996</v>
      </c>
      <c r="AB565" s="161">
        <f t="shared" si="53"/>
        <v>4849</v>
      </c>
      <c r="AC565" s="158" t="s">
        <v>927</v>
      </c>
      <c r="AD565" s="158"/>
    </row>
    <row r="566" spans="1:30" ht="12.75" customHeight="1" x14ac:dyDescent="0.3">
      <c r="A566" s="147">
        <v>30</v>
      </c>
      <c r="B566" s="158" t="s">
        <v>962</v>
      </c>
      <c r="C566" s="158" t="s">
        <v>183</v>
      </c>
      <c r="D566" s="158" t="s">
        <v>887</v>
      </c>
      <c r="E566" s="160" t="s">
        <v>25</v>
      </c>
      <c r="F566" s="158" t="s">
        <v>25</v>
      </c>
      <c r="G566" s="160" t="s">
        <v>866</v>
      </c>
      <c r="H566" s="161">
        <v>1667.5</v>
      </c>
      <c r="I566" s="161">
        <v>0</v>
      </c>
      <c r="J566" s="161">
        <v>0</v>
      </c>
      <c r="K566" s="161">
        <v>0</v>
      </c>
      <c r="L566" s="161">
        <v>0</v>
      </c>
      <c r="M566" s="161">
        <v>-60</v>
      </c>
      <c r="N566" s="161">
        <v>-170</v>
      </c>
      <c r="O566" s="162">
        <f t="shared" si="48"/>
        <v>1437.5</v>
      </c>
      <c r="P566" s="162">
        <v>-2500</v>
      </c>
      <c r="Q566" s="162">
        <v>-492</v>
      </c>
      <c r="R566" s="162">
        <v>0</v>
      </c>
      <c r="S566" s="162">
        <v>0</v>
      </c>
      <c r="T566" s="162">
        <v>0</v>
      </c>
      <c r="U566" s="162">
        <v>0</v>
      </c>
      <c r="V566" s="162">
        <v>0</v>
      </c>
      <c r="W566" s="161">
        <f t="shared" si="49"/>
        <v>-1554.5</v>
      </c>
      <c r="X566" s="161">
        <f t="shared" si="50"/>
        <v>0</v>
      </c>
      <c r="Y566" s="161">
        <f t="shared" si="51"/>
        <v>-1554.5</v>
      </c>
      <c r="Z566" s="162">
        <v>0</v>
      </c>
      <c r="AA566" s="161">
        <f t="shared" si="52"/>
        <v>-1554.5</v>
      </c>
      <c r="AB566" s="161">
        <f t="shared" si="53"/>
        <v>-117</v>
      </c>
      <c r="AC566" s="158"/>
      <c r="AD566" s="158"/>
    </row>
    <row r="567" spans="1:30" ht="12.75" customHeight="1" x14ac:dyDescent="0.3">
      <c r="A567" s="147">
        <v>30</v>
      </c>
      <c r="B567" s="158" t="s">
        <v>1001</v>
      </c>
      <c r="C567" s="158" t="s">
        <v>150</v>
      </c>
      <c r="D567" s="160" t="s">
        <v>877</v>
      </c>
      <c r="E567" s="160" t="s">
        <v>25</v>
      </c>
      <c r="F567" s="158" t="s">
        <v>25</v>
      </c>
      <c r="G567" s="160" t="s">
        <v>866</v>
      </c>
      <c r="H567" s="161">
        <v>643.41999999999996</v>
      </c>
      <c r="I567" s="161">
        <v>0</v>
      </c>
      <c r="J567" s="161">
        <v>0</v>
      </c>
      <c r="K567" s="161">
        <v>0</v>
      </c>
      <c r="L567" s="161">
        <v>-20</v>
      </c>
      <c r="M567" s="161">
        <v>-75</v>
      </c>
      <c r="N567" s="161">
        <v>-164</v>
      </c>
      <c r="O567" s="162">
        <f t="shared" si="48"/>
        <v>384.41999999999996</v>
      </c>
      <c r="P567" s="162">
        <v>-2500</v>
      </c>
      <c r="Q567" s="162">
        <v>-1038</v>
      </c>
      <c r="R567" s="162">
        <v>0</v>
      </c>
      <c r="S567" s="162">
        <v>0</v>
      </c>
      <c r="T567" s="162">
        <v>0</v>
      </c>
      <c r="U567" s="162">
        <v>0</v>
      </c>
      <c r="V567" s="162">
        <v>0</v>
      </c>
      <c r="W567" s="161">
        <f t="shared" si="49"/>
        <v>-3153.58</v>
      </c>
      <c r="X567" s="161">
        <f t="shared" si="50"/>
        <v>0</v>
      </c>
      <c r="Y567" s="161">
        <f t="shared" si="51"/>
        <v>-3153.58</v>
      </c>
      <c r="Z567" s="162">
        <v>0</v>
      </c>
      <c r="AA567" s="161">
        <f t="shared" si="52"/>
        <v>-3153.58</v>
      </c>
      <c r="AB567" s="161">
        <f t="shared" si="53"/>
        <v>-2769.16</v>
      </c>
      <c r="AC567" s="158"/>
      <c r="AD567" s="158"/>
    </row>
    <row r="568" spans="1:30" ht="12.75" customHeight="1" x14ac:dyDescent="0.3">
      <c r="A568" s="147">
        <v>30</v>
      </c>
      <c r="B568" s="158" t="s">
        <v>923</v>
      </c>
      <c r="C568" s="158" t="s">
        <v>46</v>
      </c>
      <c r="D568" s="158" t="s">
        <v>915</v>
      </c>
      <c r="E568" s="160" t="s">
        <v>25</v>
      </c>
      <c r="F568" s="161" t="s">
        <v>25</v>
      </c>
      <c r="G568" s="160" t="s">
        <v>866</v>
      </c>
      <c r="H568" s="161">
        <v>0</v>
      </c>
      <c r="I568" s="161">
        <v>0</v>
      </c>
      <c r="J568" s="161">
        <v>0</v>
      </c>
      <c r="K568" s="161">
        <v>0</v>
      </c>
      <c r="L568" s="161">
        <v>0</v>
      </c>
      <c r="M568" s="161">
        <v>0</v>
      </c>
      <c r="N568" s="161">
        <v>0</v>
      </c>
      <c r="O568" s="162">
        <f t="shared" si="48"/>
        <v>0</v>
      </c>
      <c r="P568" s="161">
        <v>0</v>
      </c>
      <c r="Q568" s="161">
        <v>0</v>
      </c>
      <c r="R568" s="161">
        <v>500</v>
      </c>
      <c r="S568" s="161">
        <v>0</v>
      </c>
      <c r="T568" s="161">
        <v>0</v>
      </c>
      <c r="U568" s="161">
        <v>0</v>
      </c>
      <c r="V568" s="161">
        <v>0</v>
      </c>
      <c r="W568" s="161">
        <f t="shared" si="49"/>
        <v>500</v>
      </c>
      <c r="X568" s="161">
        <f t="shared" si="50"/>
        <v>500</v>
      </c>
      <c r="Y568" s="161">
        <f t="shared" si="51"/>
        <v>0</v>
      </c>
      <c r="Z568" s="161">
        <v>0</v>
      </c>
      <c r="AA568" s="161">
        <f t="shared" si="52"/>
        <v>0</v>
      </c>
      <c r="AB568" s="161">
        <f t="shared" si="53"/>
        <v>-500</v>
      </c>
      <c r="AC568" s="158"/>
      <c r="AD568" s="158"/>
    </row>
    <row r="569" spans="1:30" ht="12.75" customHeight="1" x14ac:dyDescent="0.3">
      <c r="A569" s="147">
        <v>30</v>
      </c>
      <c r="B569" s="158" t="s">
        <v>880</v>
      </c>
      <c r="C569" s="158" t="s">
        <v>57</v>
      </c>
      <c r="D569" s="158" t="s">
        <v>881</v>
      </c>
      <c r="E569" s="160" t="s">
        <v>25</v>
      </c>
      <c r="F569" s="158" t="s">
        <v>25</v>
      </c>
      <c r="G569" s="160" t="s">
        <v>866</v>
      </c>
      <c r="H569" s="161">
        <v>2561.3200000000002</v>
      </c>
      <c r="I569" s="161">
        <v>0</v>
      </c>
      <c r="J569" s="161">
        <v>0</v>
      </c>
      <c r="K569" s="161">
        <v>0</v>
      </c>
      <c r="L569" s="161">
        <v>-817.54</v>
      </c>
      <c r="M569" s="161">
        <v>-54</v>
      </c>
      <c r="N569" s="161">
        <v>0</v>
      </c>
      <c r="O569" s="162">
        <f t="shared" si="48"/>
        <v>1689.7800000000002</v>
      </c>
      <c r="P569" s="162">
        <v>-2300</v>
      </c>
      <c r="Q569" s="162">
        <v>0</v>
      </c>
      <c r="R569" s="162">
        <v>0</v>
      </c>
      <c r="S569" s="162">
        <v>0</v>
      </c>
      <c r="T569" s="162">
        <v>0</v>
      </c>
      <c r="U569" s="162">
        <v>0</v>
      </c>
      <c r="V569" s="162">
        <v>0</v>
      </c>
      <c r="W569" s="161">
        <f t="shared" si="49"/>
        <v>-610.2199999999998</v>
      </c>
      <c r="X569" s="161">
        <f t="shared" si="50"/>
        <v>0</v>
      </c>
      <c r="Y569" s="161">
        <f t="shared" si="51"/>
        <v>-610.2199999999998</v>
      </c>
      <c r="Z569" s="162">
        <v>610</v>
      </c>
      <c r="AA569" s="161">
        <f t="shared" si="52"/>
        <v>-0.21999999999979991</v>
      </c>
      <c r="AB569" s="161">
        <f t="shared" si="53"/>
        <v>2299.5600000000004</v>
      </c>
      <c r="AC569" s="158" t="s">
        <v>927</v>
      </c>
      <c r="AD569" s="158"/>
    </row>
    <row r="570" spans="1:30" ht="12.75" customHeight="1" x14ac:dyDescent="0.3">
      <c r="A570" s="147">
        <v>30</v>
      </c>
      <c r="B570" s="158" t="s">
        <v>922</v>
      </c>
      <c r="C570" s="158" t="s">
        <v>36</v>
      </c>
      <c r="D570" s="158" t="s">
        <v>904</v>
      </c>
      <c r="E570" s="160" t="s">
        <v>25</v>
      </c>
      <c r="F570" s="158" t="s">
        <v>25</v>
      </c>
      <c r="G570" s="160" t="s">
        <v>866</v>
      </c>
      <c r="H570" s="161">
        <v>2670.57</v>
      </c>
      <c r="I570" s="161">
        <v>-19.2</v>
      </c>
      <c r="J570" s="161">
        <v>0</v>
      </c>
      <c r="K570" s="161">
        <v>0</v>
      </c>
      <c r="L570" s="161">
        <v>-89.98</v>
      </c>
      <c r="M570" s="161">
        <v>-65</v>
      </c>
      <c r="N570" s="161">
        <v>0</v>
      </c>
      <c r="O570" s="162">
        <f t="shared" si="48"/>
        <v>2496.3900000000003</v>
      </c>
      <c r="P570" s="162">
        <v>-2500</v>
      </c>
      <c r="Q570" s="162">
        <v>-893</v>
      </c>
      <c r="R570" s="162">
        <v>0</v>
      </c>
      <c r="S570" s="162">
        <v>0</v>
      </c>
      <c r="T570" s="162">
        <v>0</v>
      </c>
      <c r="U570" s="162">
        <v>0</v>
      </c>
      <c r="V570" s="162">
        <v>0</v>
      </c>
      <c r="W570" s="161">
        <f t="shared" si="49"/>
        <v>-896.60999999999967</v>
      </c>
      <c r="X570" s="161">
        <f t="shared" si="50"/>
        <v>0</v>
      </c>
      <c r="Y570" s="161">
        <f t="shared" si="51"/>
        <v>-896.60999999999967</v>
      </c>
      <c r="Z570" s="162">
        <v>400</v>
      </c>
      <c r="AA570" s="161">
        <f t="shared" si="52"/>
        <v>-496.60999999999967</v>
      </c>
      <c r="AB570" s="161">
        <f t="shared" si="53"/>
        <v>2399.7800000000007</v>
      </c>
      <c r="AC570" s="158" t="s">
        <v>927</v>
      </c>
      <c r="AD570" s="158"/>
    </row>
    <row r="571" spans="1:30" ht="12.75" customHeight="1" x14ac:dyDescent="0.3">
      <c r="A571" s="147">
        <v>30</v>
      </c>
      <c r="B571" s="158" t="s">
        <v>993</v>
      </c>
      <c r="C571" s="158" t="s">
        <v>347</v>
      </c>
      <c r="D571" s="158" t="s">
        <v>897</v>
      </c>
      <c r="E571" s="160" t="s">
        <v>25</v>
      </c>
      <c r="F571" s="158" t="s">
        <v>25</v>
      </c>
      <c r="G571" s="160" t="s">
        <v>866</v>
      </c>
      <c r="H571" s="161">
        <v>1740.04</v>
      </c>
      <c r="I571" s="161">
        <v>0</v>
      </c>
      <c r="J571" s="161">
        <v>0</v>
      </c>
      <c r="K571" s="161">
        <v>0</v>
      </c>
      <c r="L571" s="161">
        <v>-380.5</v>
      </c>
      <c r="M571" s="161">
        <v>-65</v>
      </c>
      <c r="N571" s="161">
        <v>0</v>
      </c>
      <c r="O571" s="162">
        <f t="shared" si="48"/>
        <v>1294.54</v>
      </c>
      <c r="P571" s="162">
        <v>-2500</v>
      </c>
      <c r="Q571" s="162">
        <v>0</v>
      </c>
      <c r="R571" s="162">
        <v>-500</v>
      </c>
      <c r="S571" s="162">
        <v>0</v>
      </c>
      <c r="T571" s="162">
        <v>0</v>
      </c>
      <c r="U571" s="162">
        <v>0</v>
      </c>
      <c r="V571" s="162">
        <v>0</v>
      </c>
      <c r="W571" s="161">
        <f t="shared" si="49"/>
        <v>-1705.46</v>
      </c>
      <c r="X571" s="161">
        <f t="shared" si="50"/>
        <v>0</v>
      </c>
      <c r="Y571" s="161">
        <f t="shared" si="51"/>
        <v>-1705.46</v>
      </c>
      <c r="Z571" s="162">
        <f>885+320</f>
        <v>1205</v>
      </c>
      <c r="AA571" s="161">
        <f t="shared" si="52"/>
        <v>-500.46000000000004</v>
      </c>
      <c r="AB571" s="161">
        <f t="shared" si="53"/>
        <v>1999.08</v>
      </c>
      <c r="AC571" s="158" t="s">
        <v>927</v>
      </c>
      <c r="AD571" s="158"/>
    </row>
    <row r="572" spans="1:30" ht="12.75" customHeight="1" x14ac:dyDescent="0.3">
      <c r="A572" s="147">
        <v>30</v>
      </c>
      <c r="B572" s="158" t="s">
        <v>1010</v>
      </c>
      <c r="C572" s="158" t="s">
        <v>110</v>
      </c>
      <c r="D572" s="158" t="s">
        <v>996</v>
      </c>
      <c r="E572" s="158" t="s">
        <v>18</v>
      </c>
      <c r="F572" s="160" t="s">
        <v>18</v>
      </c>
      <c r="G572" s="160" t="s">
        <v>866</v>
      </c>
      <c r="H572" s="161">
        <v>2520</v>
      </c>
      <c r="I572" s="161">
        <v>0</v>
      </c>
      <c r="J572" s="161">
        <v>0</v>
      </c>
      <c r="K572" s="161">
        <v>-25.47</v>
      </c>
      <c r="L572" s="161">
        <v>-1056.54</v>
      </c>
      <c r="M572" s="161">
        <v>0</v>
      </c>
      <c r="N572" s="161">
        <v>0</v>
      </c>
      <c r="O572" s="162">
        <f t="shared" si="48"/>
        <v>1437.9900000000002</v>
      </c>
      <c r="P572" s="161">
        <v>-2500</v>
      </c>
      <c r="Q572" s="162">
        <v>0</v>
      </c>
      <c r="R572" s="161">
        <v>-500</v>
      </c>
      <c r="S572" s="161">
        <v>0</v>
      </c>
      <c r="T572" s="161">
        <v>0</v>
      </c>
      <c r="U572" s="162">
        <v>609</v>
      </c>
      <c r="V572" s="161">
        <v>0</v>
      </c>
      <c r="W572" s="161">
        <f t="shared" si="49"/>
        <v>-953.00999999999976</v>
      </c>
      <c r="X572" s="161">
        <f t="shared" si="50"/>
        <v>0</v>
      </c>
      <c r="Y572" s="161">
        <f t="shared" si="51"/>
        <v>-953.00999999999976</v>
      </c>
      <c r="Z572" s="162">
        <v>0</v>
      </c>
      <c r="AA572" s="161">
        <f t="shared" si="52"/>
        <v>-953.00999999999976</v>
      </c>
      <c r="AB572" s="161">
        <f t="shared" si="53"/>
        <v>484.98000000000047</v>
      </c>
      <c r="AC572" s="158"/>
      <c r="AD572" s="158"/>
    </row>
    <row r="573" spans="1:30" ht="12.75" customHeight="1" x14ac:dyDescent="0.3">
      <c r="A573" s="147">
        <v>30</v>
      </c>
      <c r="B573" s="158" t="s">
        <v>1003</v>
      </c>
      <c r="C573" s="158" t="s">
        <v>59</v>
      </c>
      <c r="D573" s="158" t="s">
        <v>895</v>
      </c>
      <c r="E573" s="160" t="s">
        <v>25</v>
      </c>
      <c r="F573" s="158" t="s">
        <v>25</v>
      </c>
      <c r="G573" s="160" t="s">
        <v>866</v>
      </c>
      <c r="H573" s="161">
        <v>4148.82</v>
      </c>
      <c r="I573" s="161">
        <v>0</v>
      </c>
      <c r="J573" s="161">
        <v>0</v>
      </c>
      <c r="K573" s="161">
        <v>0</v>
      </c>
      <c r="L573" s="161">
        <v>0</v>
      </c>
      <c r="M573" s="161">
        <v>-65</v>
      </c>
      <c r="N573" s="161">
        <v>0</v>
      </c>
      <c r="O573" s="162">
        <f t="shared" si="48"/>
        <v>4083.8199999999997</v>
      </c>
      <c r="P573" s="162">
        <v>-2500</v>
      </c>
      <c r="Q573" s="162">
        <v>0</v>
      </c>
      <c r="R573" s="162">
        <v>-500</v>
      </c>
      <c r="S573" s="162">
        <v>0</v>
      </c>
      <c r="T573" s="162">
        <v>0</v>
      </c>
      <c r="U573" s="162">
        <v>0</v>
      </c>
      <c r="V573" s="162">
        <v>0</v>
      </c>
      <c r="W573" s="161">
        <f t="shared" si="49"/>
        <v>1083.8199999999997</v>
      </c>
      <c r="X573" s="161">
        <f t="shared" si="50"/>
        <v>1083.8199999999997</v>
      </c>
      <c r="Y573" s="161">
        <f t="shared" si="51"/>
        <v>0</v>
      </c>
      <c r="Z573" s="162">
        <v>0</v>
      </c>
      <c r="AA573" s="161">
        <f t="shared" si="52"/>
        <v>0</v>
      </c>
      <c r="AB573" s="161">
        <f t="shared" si="53"/>
        <v>3000</v>
      </c>
      <c r="AC573" s="158" t="s">
        <v>1021</v>
      </c>
      <c r="AD573" s="158"/>
    </row>
    <row r="574" spans="1:30" ht="12.75" customHeight="1" x14ac:dyDescent="0.3">
      <c r="A574" s="147">
        <v>31</v>
      </c>
      <c r="B574" s="158" t="s">
        <v>585</v>
      </c>
      <c r="C574" s="158" t="s">
        <v>42</v>
      </c>
      <c r="D574" s="158" t="s">
        <v>948</v>
      </c>
      <c r="E574" s="160" t="s">
        <v>25</v>
      </c>
      <c r="F574" s="158" t="s">
        <v>25</v>
      </c>
      <c r="G574" s="160" t="s">
        <v>866</v>
      </c>
      <c r="H574" s="161">
        <v>517.02</v>
      </c>
      <c r="I574" s="161">
        <v>0</v>
      </c>
      <c r="J574" s="161">
        <v>0</v>
      </c>
      <c r="K574" s="161">
        <v>0</v>
      </c>
      <c r="L574" s="161">
        <v>-256.83</v>
      </c>
      <c r="M574" s="161">
        <v>-65</v>
      </c>
      <c r="N574" s="161">
        <v>0</v>
      </c>
      <c r="O574" s="162">
        <f t="shared" si="48"/>
        <v>195.19</v>
      </c>
      <c r="P574" s="162">
        <v>-2500</v>
      </c>
      <c r="Q574" s="162">
        <v>0</v>
      </c>
      <c r="R574" s="162">
        <v>0</v>
      </c>
      <c r="S574" s="162">
        <v>0</v>
      </c>
      <c r="T574" s="162">
        <v>-500</v>
      </c>
      <c r="U574" s="162">
        <v>0</v>
      </c>
      <c r="V574" s="162">
        <v>0</v>
      </c>
      <c r="W574" s="161">
        <f t="shared" si="49"/>
        <v>-2804.81</v>
      </c>
      <c r="X574" s="161">
        <f t="shared" si="50"/>
        <v>0</v>
      </c>
      <c r="Y574" s="161">
        <f t="shared" si="51"/>
        <v>-2804.81</v>
      </c>
      <c r="Z574" s="162">
        <v>2805</v>
      </c>
      <c r="AA574" s="161">
        <f t="shared" si="52"/>
        <v>0.19000000000005457</v>
      </c>
      <c r="AB574" s="161">
        <f t="shared" si="53"/>
        <v>3000.38</v>
      </c>
      <c r="AC574" s="158"/>
      <c r="AD574" s="158"/>
    </row>
    <row r="575" spans="1:30" ht="12.75" customHeight="1" x14ac:dyDescent="0.3">
      <c r="A575" s="147">
        <v>31</v>
      </c>
      <c r="B575" s="158" t="s">
        <v>944</v>
      </c>
      <c r="C575" s="158" t="s">
        <v>372</v>
      </c>
      <c r="D575" s="158" t="s">
        <v>1004</v>
      </c>
      <c r="E575" s="158" t="s">
        <v>39</v>
      </c>
      <c r="F575" s="158" t="s">
        <v>39</v>
      </c>
      <c r="G575" s="160" t="s">
        <v>866</v>
      </c>
      <c r="H575" s="161">
        <v>6215.22</v>
      </c>
      <c r="I575" s="161">
        <v>0</v>
      </c>
      <c r="J575" s="161">
        <v>0</v>
      </c>
      <c r="K575" s="161">
        <v>0</v>
      </c>
      <c r="L575" s="161">
        <v>-2114.19</v>
      </c>
      <c r="M575" s="161">
        <v>-75</v>
      </c>
      <c r="N575" s="161">
        <v>0</v>
      </c>
      <c r="O575" s="162">
        <f t="shared" si="48"/>
        <v>4026.0300000000007</v>
      </c>
      <c r="P575" s="162">
        <v>-2500</v>
      </c>
      <c r="Q575" s="162">
        <v>0</v>
      </c>
      <c r="R575" s="162">
        <v>0</v>
      </c>
      <c r="S575" s="162">
        <v>0</v>
      </c>
      <c r="T575" s="162">
        <v>-500</v>
      </c>
      <c r="U575" s="162">
        <v>0</v>
      </c>
      <c r="V575" s="162">
        <v>0</v>
      </c>
      <c r="W575" s="161">
        <f t="shared" si="49"/>
        <v>1026.0300000000007</v>
      </c>
      <c r="X575" s="161">
        <f t="shared" si="50"/>
        <v>1026.0300000000007</v>
      </c>
      <c r="Y575" s="161">
        <f t="shared" si="51"/>
        <v>0</v>
      </c>
      <c r="Z575" s="162">
        <v>0</v>
      </c>
      <c r="AA575" s="161">
        <f t="shared" si="52"/>
        <v>0</v>
      </c>
      <c r="AB575" s="161">
        <f t="shared" si="53"/>
        <v>3000</v>
      </c>
      <c r="AC575" s="158"/>
      <c r="AD575" s="158"/>
    </row>
    <row r="576" spans="1:30" ht="12.75" customHeight="1" x14ac:dyDescent="0.3">
      <c r="A576" s="147">
        <v>31</v>
      </c>
      <c r="B576" s="158" t="s">
        <v>913</v>
      </c>
      <c r="C576" s="158" t="s">
        <v>100</v>
      </c>
      <c r="D576" s="158" t="s">
        <v>953</v>
      </c>
      <c r="E576" s="160" t="s">
        <v>25</v>
      </c>
      <c r="F576" s="158" t="s">
        <v>25</v>
      </c>
      <c r="G576" s="160" t="s">
        <v>866</v>
      </c>
      <c r="H576" s="161">
        <v>8227.48</v>
      </c>
      <c r="I576" s="161">
        <v>-32.799999999999997</v>
      </c>
      <c r="J576" s="161">
        <v>0</v>
      </c>
      <c r="K576" s="161">
        <v>0</v>
      </c>
      <c r="L576" s="161">
        <v>-4971.41</v>
      </c>
      <c r="M576" s="161">
        <v>-84.55</v>
      </c>
      <c r="N576" s="161">
        <v>0</v>
      </c>
      <c r="O576" s="162">
        <f t="shared" si="48"/>
        <v>3138.7200000000003</v>
      </c>
      <c r="P576" s="162">
        <v>-2500</v>
      </c>
      <c r="Q576" s="162">
        <v>0</v>
      </c>
      <c r="R576" s="162">
        <v>0</v>
      </c>
      <c r="S576" s="162">
        <v>0</v>
      </c>
      <c r="T576" s="162">
        <v>0</v>
      </c>
      <c r="U576" s="162">
        <v>0</v>
      </c>
      <c r="V576" s="162">
        <v>0</v>
      </c>
      <c r="W576" s="161">
        <f t="shared" si="49"/>
        <v>638.72000000000025</v>
      </c>
      <c r="X576" s="161">
        <f t="shared" si="50"/>
        <v>638.72000000000025</v>
      </c>
      <c r="Y576" s="161">
        <f t="shared" si="51"/>
        <v>0</v>
      </c>
      <c r="Z576" s="162">
        <v>0</v>
      </c>
      <c r="AA576" s="161">
        <f t="shared" si="52"/>
        <v>0</v>
      </c>
      <c r="AB576" s="161">
        <f t="shared" si="53"/>
        <v>2500</v>
      </c>
      <c r="AC576" s="158"/>
      <c r="AD576" s="158"/>
    </row>
    <row r="577" spans="1:30" ht="12.75" customHeight="1" x14ac:dyDescent="0.3">
      <c r="A577" s="147">
        <v>31</v>
      </c>
      <c r="B577" s="158" t="s">
        <v>457</v>
      </c>
      <c r="C577" s="158" t="s">
        <v>571</v>
      </c>
      <c r="D577" s="158" t="s">
        <v>974</v>
      </c>
      <c r="E577" s="160" t="s">
        <v>25</v>
      </c>
      <c r="F577" s="158" t="s">
        <v>25</v>
      </c>
      <c r="G577" s="160" t="s">
        <v>866</v>
      </c>
      <c r="H577" s="161">
        <v>3727.72</v>
      </c>
      <c r="I577" s="161">
        <v>0</v>
      </c>
      <c r="J577" s="161">
        <v>0</v>
      </c>
      <c r="K577" s="161">
        <v>0</v>
      </c>
      <c r="L577" s="161">
        <v>-1714.41</v>
      </c>
      <c r="M577" s="161">
        <v>-65</v>
      </c>
      <c r="N577" s="161">
        <v>0</v>
      </c>
      <c r="O577" s="162">
        <f t="shared" si="48"/>
        <v>1948.3099999999997</v>
      </c>
      <c r="P577" s="162">
        <v>-2500</v>
      </c>
      <c r="Q577" s="162">
        <v>-561.12</v>
      </c>
      <c r="R577" s="162">
        <v>0</v>
      </c>
      <c r="S577" s="162">
        <v>0</v>
      </c>
      <c r="T577" s="162">
        <v>0</v>
      </c>
      <c r="U577" s="162">
        <v>0</v>
      </c>
      <c r="V577" s="162">
        <v>0</v>
      </c>
      <c r="W577" s="161">
        <f t="shared" si="49"/>
        <v>-1112.8100000000002</v>
      </c>
      <c r="X577" s="161">
        <f t="shared" si="50"/>
        <v>0</v>
      </c>
      <c r="Y577" s="161">
        <f t="shared" si="51"/>
        <v>-1112.8100000000002</v>
      </c>
      <c r="Z577" s="162">
        <v>500</v>
      </c>
      <c r="AA577" s="161">
        <f t="shared" si="52"/>
        <v>-612.81000000000017</v>
      </c>
      <c r="AB577" s="161">
        <f t="shared" si="53"/>
        <v>1835.4999999999993</v>
      </c>
      <c r="AC577" s="158"/>
      <c r="AD577" s="158"/>
    </row>
    <row r="578" spans="1:30" ht="12.75" customHeight="1" x14ac:dyDescent="0.3">
      <c r="A578" s="147">
        <v>31</v>
      </c>
      <c r="B578" s="158" t="s">
        <v>990</v>
      </c>
      <c r="C578" s="158" t="s">
        <v>46</v>
      </c>
      <c r="D578" s="158" t="s">
        <v>915</v>
      </c>
      <c r="E578" s="160" t="s">
        <v>25</v>
      </c>
      <c r="F578" s="158" t="s">
        <v>25</v>
      </c>
      <c r="G578" s="160" t="s">
        <v>866</v>
      </c>
      <c r="H578" s="161">
        <v>1895.78</v>
      </c>
      <c r="I578" s="161">
        <v>-18.399999999999999</v>
      </c>
      <c r="J578" s="161">
        <v>0</v>
      </c>
      <c r="K578" s="161">
        <v>0</v>
      </c>
      <c r="L578" s="161">
        <v>0</v>
      </c>
      <c r="M578" s="161">
        <v>-75</v>
      </c>
      <c r="N578" s="161">
        <v>0</v>
      </c>
      <c r="O578" s="162">
        <f t="shared" ref="O578:O641" si="54">SUM(H578:N578)</f>
        <v>1802.3799999999999</v>
      </c>
      <c r="P578" s="162">
        <v>-2143</v>
      </c>
      <c r="Q578" s="162">
        <v>-623.84</v>
      </c>
      <c r="R578" s="162">
        <v>-500</v>
      </c>
      <c r="S578" s="162">
        <v>0</v>
      </c>
      <c r="T578" s="162">
        <v>0</v>
      </c>
      <c r="U578" s="162">
        <v>0</v>
      </c>
      <c r="V578" s="162">
        <v>0</v>
      </c>
      <c r="W578" s="161">
        <f t="shared" ref="W578:W641" si="55">+O578+SUM(P578:V578)</f>
        <v>-1464.4600000000003</v>
      </c>
      <c r="X578" s="161">
        <f t="shared" ref="X578:X641" si="56">IF(W578&gt;=0,W578,0)</f>
        <v>0</v>
      </c>
      <c r="Y578" s="161">
        <f t="shared" ref="Y578:Y641" si="57">IF(W578&lt;=0,W578,0)</f>
        <v>-1464.4600000000003</v>
      </c>
      <c r="Z578" s="162">
        <f>1064+400</f>
        <v>1464</v>
      </c>
      <c r="AA578" s="161">
        <f t="shared" ref="AA578:AA641" si="58">+Y578+Z578</f>
        <v>-0.46000000000026375</v>
      </c>
      <c r="AB578" s="161">
        <f t="shared" ref="AB578:AB641" si="59">+O578-X578+Z578+AA578</f>
        <v>3265.92</v>
      </c>
      <c r="AC578" s="158"/>
      <c r="AD578" s="158"/>
    </row>
    <row r="579" spans="1:30" ht="12.75" customHeight="1" x14ac:dyDescent="0.3">
      <c r="A579" s="147">
        <v>31</v>
      </c>
      <c r="B579" s="158" t="s">
        <v>872</v>
      </c>
      <c r="C579" s="158" t="s">
        <v>256</v>
      </c>
      <c r="D579" s="158" t="s">
        <v>997</v>
      </c>
      <c r="E579" s="160" t="s">
        <v>871</v>
      </c>
      <c r="F579" s="158" t="s">
        <v>39</v>
      </c>
      <c r="G579" s="160" t="s">
        <v>866</v>
      </c>
      <c r="H579" s="161">
        <v>7518.16</v>
      </c>
      <c r="I579" s="161">
        <v>0</v>
      </c>
      <c r="J579" s="161">
        <v>0</v>
      </c>
      <c r="K579" s="161">
        <v>-80.05</v>
      </c>
      <c r="L579" s="161">
        <v>-3682.56</v>
      </c>
      <c r="M579" s="161">
        <v>-65</v>
      </c>
      <c r="N579" s="161">
        <v>-300.86</v>
      </c>
      <c r="O579" s="162">
        <f t="shared" si="54"/>
        <v>3389.6899999999996</v>
      </c>
      <c r="P579" s="162">
        <v>-2500</v>
      </c>
      <c r="Q579" s="162">
        <v>-418</v>
      </c>
      <c r="R579" s="162">
        <v>0</v>
      </c>
      <c r="S579" s="162">
        <v>0</v>
      </c>
      <c r="T579" s="162">
        <v>0</v>
      </c>
      <c r="U579" s="162">
        <v>-800</v>
      </c>
      <c r="V579" s="162">
        <v>0</v>
      </c>
      <c r="W579" s="161">
        <f t="shared" si="55"/>
        <v>-328.3100000000004</v>
      </c>
      <c r="X579" s="161">
        <f t="shared" si="56"/>
        <v>0</v>
      </c>
      <c r="Y579" s="161">
        <f t="shared" si="57"/>
        <v>-328.3100000000004</v>
      </c>
      <c r="Z579" s="162">
        <f>270+58</f>
        <v>328</v>
      </c>
      <c r="AA579" s="161">
        <f t="shared" si="58"/>
        <v>-0.31000000000040018</v>
      </c>
      <c r="AB579" s="161">
        <f t="shared" si="59"/>
        <v>3717.3799999999992</v>
      </c>
      <c r="AC579" s="158" t="s">
        <v>1022</v>
      </c>
      <c r="AD579" s="158"/>
    </row>
    <row r="580" spans="1:30" ht="12.75" customHeight="1" x14ac:dyDescent="0.3">
      <c r="A580" s="147">
        <v>31</v>
      </c>
      <c r="B580" s="158" t="s">
        <v>921</v>
      </c>
      <c r="C580" s="158" t="s">
        <v>257</v>
      </c>
      <c r="D580" s="158" t="s">
        <v>943</v>
      </c>
      <c r="E580" s="160" t="s">
        <v>25</v>
      </c>
      <c r="F580" s="158" t="s">
        <v>25</v>
      </c>
      <c r="G580" s="160" t="s">
        <v>866</v>
      </c>
      <c r="H580" s="161">
        <v>9006.56</v>
      </c>
      <c r="I580" s="161">
        <v>0</v>
      </c>
      <c r="J580" s="161">
        <v>0</v>
      </c>
      <c r="K580" s="161">
        <v>0</v>
      </c>
      <c r="L580" s="161">
        <v>-2378.9</v>
      </c>
      <c r="M580" s="161">
        <v>-69.760000000000005</v>
      </c>
      <c r="N580" s="161">
        <v>0</v>
      </c>
      <c r="O580" s="162">
        <f t="shared" si="54"/>
        <v>6557.9</v>
      </c>
      <c r="P580" s="162">
        <v>-2500</v>
      </c>
      <c r="Q580" s="162">
        <v>0</v>
      </c>
      <c r="R580" s="162">
        <v>0</v>
      </c>
      <c r="S580" s="162">
        <v>0</v>
      </c>
      <c r="T580" s="162">
        <v>0</v>
      </c>
      <c r="U580" s="162">
        <v>0</v>
      </c>
      <c r="V580" s="162">
        <v>-1000</v>
      </c>
      <c r="W580" s="161">
        <f t="shared" si="55"/>
        <v>3057.8999999999996</v>
      </c>
      <c r="X580" s="161">
        <f t="shared" si="56"/>
        <v>3057.8999999999996</v>
      </c>
      <c r="Y580" s="161">
        <f t="shared" si="57"/>
        <v>0</v>
      </c>
      <c r="Z580" s="162">
        <v>0</v>
      </c>
      <c r="AA580" s="161">
        <f t="shared" si="58"/>
        <v>0</v>
      </c>
      <c r="AB580" s="161">
        <f t="shared" si="59"/>
        <v>3500</v>
      </c>
      <c r="AC580" s="158"/>
      <c r="AD580" s="158"/>
    </row>
    <row r="581" spans="1:30" ht="12.75" customHeight="1" x14ac:dyDescent="0.3">
      <c r="A581" s="147">
        <v>31</v>
      </c>
      <c r="B581" s="158" t="s">
        <v>1005</v>
      </c>
      <c r="C581" s="158" t="s">
        <v>409</v>
      </c>
      <c r="D581" s="158" t="s">
        <v>946</v>
      </c>
      <c r="E581" s="160" t="s">
        <v>25</v>
      </c>
      <c r="F581" s="158" t="s">
        <v>25</v>
      </c>
      <c r="G581" s="160" t="s">
        <v>866</v>
      </c>
      <c r="H581" s="161">
        <v>0</v>
      </c>
      <c r="I581" s="161">
        <v>0</v>
      </c>
      <c r="J581" s="161">
        <v>0</v>
      </c>
      <c r="K581" s="161">
        <v>0</v>
      </c>
      <c r="L581" s="161">
        <v>0</v>
      </c>
      <c r="M581" s="161">
        <v>0</v>
      </c>
      <c r="N581" s="161">
        <v>0</v>
      </c>
      <c r="O581" s="162">
        <f t="shared" si="54"/>
        <v>0</v>
      </c>
      <c r="P581" s="162">
        <v>-2500</v>
      </c>
      <c r="Q581" s="162">
        <v>0</v>
      </c>
      <c r="R581" s="162">
        <v>-500</v>
      </c>
      <c r="S581" s="162">
        <v>0</v>
      </c>
      <c r="T581" s="162">
        <v>0</v>
      </c>
      <c r="U581" s="162">
        <v>0</v>
      </c>
      <c r="V581" s="162">
        <v>0</v>
      </c>
      <c r="W581" s="161">
        <f t="shared" si="55"/>
        <v>-3000</v>
      </c>
      <c r="X581" s="161">
        <f t="shared" si="56"/>
        <v>0</v>
      </c>
      <c r="Y581" s="161">
        <f t="shared" si="57"/>
        <v>-3000</v>
      </c>
      <c r="Z581" s="162">
        <v>3000</v>
      </c>
      <c r="AA581" s="161">
        <f t="shared" si="58"/>
        <v>0</v>
      </c>
      <c r="AB581" s="161">
        <f t="shared" si="59"/>
        <v>3000</v>
      </c>
      <c r="AC581" s="158"/>
      <c r="AD581" s="158"/>
    </row>
    <row r="582" spans="1:30" ht="12.75" customHeight="1" x14ac:dyDescent="0.3">
      <c r="A582" s="147">
        <v>31</v>
      </c>
      <c r="B582" s="158" t="s">
        <v>1013</v>
      </c>
      <c r="C582" s="158" t="s">
        <v>101</v>
      </c>
      <c r="D582" s="158" t="s">
        <v>945</v>
      </c>
      <c r="E582" s="158" t="s">
        <v>25</v>
      </c>
      <c r="F582" s="158" t="s">
        <v>25</v>
      </c>
      <c r="G582" s="160" t="s">
        <v>866</v>
      </c>
      <c r="H582" s="161">
        <v>9007.9</v>
      </c>
      <c r="I582" s="161">
        <v>0</v>
      </c>
      <c r="J582" s="161">
        <v>0</v>
      </c>
      <c r="K582" s="161">
        <v>0</v>
      </c>
      <c r="L582" s="161">
        <v>-2226.63</v>
      </c>
      <c r="M582" s="161">
        <v>-66</v>
      </c>
      <c r="N582" s="161">
        <v>0</v>
      </c>
      <c r="O582" s="162">
        <f t="shared" si="54"/>
        <v>6715.2699999999995</v>
      </c>
      <c r="P582" s="161">
        <v>-2500</v>
      </c>
      <c r="Q582" s="162">
        <v>0</v>
      </c>
      <c r="R582" s="161">
        <v>-500</v>
      </c>
      <c r="S582" s="161">
        <v>0</v>
      </c>
      <c r="T582" s="161">
        <v>0</v>
      </c>
      <c r="U582" s="162">
        <v>0</v>
      </c>
      <c r="V582" s="161">
        <v>0</v>
      </c>
      <c r="W582" s="161">
        <f t="shared" si="55"/>
        <v>3715.2699999999995</v>
      </c>
      <c r="X582" s="161">
        <f t="shared" si="56"/>
        <v>3715.2699999999995</v>
      </c>
      <c r="Y582" s="161">
        <f t="shared" si="57"/>
        <v>0</v>
      </c>
      <c r="Z582" s="162">
        <v>0</v>
      </c>
      <c r="AA582" s="161">
        <f t="shared" si="58"/>
        <v>0</v>
      </c>
      <c r="AB582" s="161">
        <f t="shared" si="59"/>
        <v>3000</v>
      </c>
      <c r="AC582" s="158"/>
      <c r="AD582" s="158"/>
    </row>
    <row r="583" spans="1:30" ht="12.75" customHeight="1" x14ac:dyDescent="0.3">
      <c r="A583" s="147">
        <v>31</v>
      </c>
      <c r="B583" s="158" t="s">
        <v>918</v>
      </c>
      <c r="C583" s="158" t="s">
        <v>120</v>
      </c>
      <c r="D583" s="158" t="s">
        <v>950</v>
      </c>
      <c r="E583" s="158" t="s">
        <v>25</v>
      </c>
      <c r="F583" s="158" t="s">
        <v>25</v>
      </c>
      <c r="G583" s="160" t="s">
        <v>866</v>
      </c>
      <c r="H583" s="161">
        <v>5977.48</v>
      </c>
      <c r="I583" s="161">
        <v>0</v>
      </c>
      <c r="J583" s="161">
        <v>0</v>
      </c>
      <c r="K583" s="161">
        <v>0</v>
      </c>
      <c r="L583" s="161">
        <v>-1371.15</v>
      </c>
      <c r="M583" s="161">
        <v>-60</v>
      </c>
      <c r="N583" s="161">
        <v>-228</v>
      </c>
      <c r="O583" s="162">
        <f t="shared" si="54"/>
        <v>4318.33</v>
      </c>
      <c r="P583" s="162">
        <v>-2500</v>
      </c>
      <c r="Q583" s="162">
        <v>0</v>
      </c>
      <c r="R583" s="162">
        <v>0</v>
      </c>
      <c r="S583" s="162">
        <v>0</v>
      </c>
      <c r="T583" s="162">
        <v>0</v>
      </c>
      <c r="U583" s="162">
        <v>-500</v>
      </c>
      <c r="V583" s="162">
        <v>0</v>
      </c>
      <c r="W583" s="161">
        <f t="shared" si="55"/>
        <v>1318.33</v>
      </c>
      <c r="X583" s="161">
        <f t="shared" si="56"/>
        <v>1318.33</v>
      </c>
      <c r="Y583" s="161">
        <f t="shared" si="57"/>
        <v>0</v>
      </c>
      <c r="Z583" s="162">
        <v>0</v>
      </c>
      <c r="AA583" s="161">
        <f t="shared" si="58"/>
        <v>0</v>
      </c>
      <c r="AB583" s="161">
        <f t="shared" si="59"/>
        <v>3000</v>
      </c>
      <c r="AC583" s="158"/>
      <c r="AD583" s="158"/>
    </row>
    <row r="584" spans="1:30" ht="12.75" customHeight="1" x14ac:dyDescent="0.3">
      <c r="A584" s="147">
        <v>31</v>
      </c>
      <c r="B584" s="158" t="s">
        <v>484</v>
      </c>
      <c r="C584" s="158" t="s">
        <v>426</v>
      </c>
      <c r="D584" s="158" t="s">
        <v>903</v>
      </c>
      <c r="E584" s="160" t="s">
        <v>25</v>
      </c>
      <c r="F584" s="158" t="s">
        <v>25</v>
      </c>
      <c r="G584" s="160" t="s">
        <v>866</v>
      </c>
      <c r="H584" s="161">
        <v>8256.3700000000008</v>
      </c>
      <c r="I584" s="161">
        <v>-150.4</v>
      </c>
      <c r="J584" s="161">
        <v>0</v>
      </c>
      <c r="K584" s="161">
        <v>0</v>
      </c>
      <c r="L584" s="161">
        <v>-4309.72</v>
      </c>
      <c r="M584" s="161">
        <v>-65</v>
      </c>
      <c r="N584" s="161">
        <v>0</v>
      </c>
      <c r="O584" s="162">
        <f t="shared" si="54"/>
        <v>3731.2500000000009</v>
      </c>
      <c r="P584" s="162">
        <v>-2500</v>
      </c>
      <c r="Q584" s="162">
        <v>-22</v>
      </c>
      <c r="R584" s="162">
        <v>0</v>
      </c>
      <c r="S584" s="162">
        <v>0</v>
      </c>
      <c r="T584" s="162">
        <v>0</v>
      </c>
      <c r="U584" s="162">
        <v>-500</v>
      </c>
      <c r="V584" s="162">
        <v>0</v>
      </c>
      <c r="W584" s="161">
        <f t="shared" si="55"/>
        <v>709.25000000000091</v>
      </c>
      <c r="X584" s="161">
        <f t="shared" si="56"/>
        <v>709.25000000000091</v>
      </c>
      <c r="Y584" s="161">
        <f t="shared" si="57"/>
        <v>0</v>
      </c>
      <c r="Z584" s="162">
        <v>0</v>
      </c>
      <c r="AA584" s="161">
        <f t="shared" si="58"/>
        <v>0</v>
      </c>
      <c r="AB584" s="161">
        <f t="shared" si="59"/>
        <v>3022</v>
      </c>
      <c r="AC584" s="158"/>
      <c r="AD584" s="158"/>
    </row>
    <row r="585" spans="1:30" ht="12.75" customHeight="1" x14ac:dyDescent="0.3">
      <c r="A585" s="147">
        <v>31</v>
      </c>
      <c r="B585" s="158" t="s">
        <v>408</v>
      </c>
      <c r="C585" s="158" t="s">
        <v>878</v>
      </c>
      <c r="D585" s="158" t="s">
        <v>972</v>
      </c>
      <c r="E585" s="160" t="s">
        <v>25</v>
      </c>
      <c r="F585" s="158" t="s">
        <v>39</v>
      </c>
      <c r="G585" s="160" t="s">
        <v>866</v>
      </c>
      <c r="H585" s="161">
        <v>3385.22</v>
      </c>
      <c r="I585" s="161">
        <v>0</v>
      </c>
      <c r="J585" s="161">
        <v>0</v>
      </c>
      <c r="K585" s="161">
        <v>0</v>
      </c>
      <c r="L585" s="161">
        <v>-1222.45</v>
      </c>
      <c r="M585" s="161">
        <v>-65</v>
      </c>
      <c r="N585" s="161">
        <v>0</v>
      </c>
      <c r="O585" s="162">
        <f t="shared" si="54"/>
        <v>2097.7699999999995</v>
      </c>
      <c r="P585" s="162">
        <v>-2500</v>
      </c>
      <c r="Q585" s="162">
        <v>0</v>
      </c>
      <c r="R585" s="162">
        <v>0</v>
      </c>
      <c r="S585" s="162">
        <v>0</v>
      </c>
      <c r="T585" s="162">
        <v>-500</v>
      </c>
      <c r="U585" s="162">
        <v>0</v>
      </c>
      <c r="V585" s="162">
        <v>0</v>
      </c>
      <c r="W585" s="161">
        <f t="shared" si="55"/>
        <v>-902.23000000000047</v>
      </c>
      <c r="X585" s="161">
        <f t="shared" si="56"/>
        <v>0</v>
      </c>
      <c r="Y585" s="161">
        <f t="shared" si="57"/>
        <v>-902.23000000000047</v>
      </c>
      <c r="Z585" s="162">
        <v>900</v>
      </c>
      <c r="AA585" s="161">
        <f t="shared" si="58"/>
        <v>-2.2300000000004729</v>
      </c>
      <c r="AB585" s="161">
        <f t="shared" si="59"/>
        <v>2995.5399999999991</v>
      </c>
      <c r="AC585" s="158"/>
      <c r="AD585" s="158"/>
    </row>
    <row r="586" spans="1:30" ht="12.75" customHeight="1" x14ac:dyDescent="0.3">
      <c r="A586" s="147">
        <v>31</v>
      </c>
      <c r="B586" s="158" t="s">
        <v>992</v>
      </c>
      <c r="C586" s="158" t="s">
        <v>169</v>
      </c>
      <c r="D586" s="158" t="s">
        <v>967</v>
      </c>
      <c r="E586" s="160" t="s">
        <v>871</v>
      </c>
      <c r="F586" s="158" t="s">
        <v>39</v>
      </c>
      <c r="G586" s="160" t="s">
        <v>866</v>
      </c>
      <c r="H586" s="161">
        <v>6733.78</v>
      </c>
      <c r="I586" s="161">
        <v>-134.4</v>
      </c>
      <c r="J586" s="161">
        <v>0</v>
      </c>
      <c r="K586" s="161">
        <v>0</v>
      </c>
      <c r="L586" s="161">
        <v>-1008.31</v>
      </c>
      <c r="M586" s="161">
        <v>-65</v>
      </c>
      <c r="N586" s="161">
        <v>0</v>
      </c>
      <c r="O586" s="162">
        <f t="shared" si="54"/>
        <v>5526.07</v>
      </c>
      <c r="P586" s="162">
        <v>-2500</v>
      </c>
      <c r="Q586" s="162">
        <v>0</v>
      </c>
      <c r="R586" s="162">
        <v>-500</v>
      </c>
      <c r="S586" s="162">
        <v>0</v>
      </c>
      <c r="T586" s="162">
        <v>0</v>
      </c>
      <c r="U586" s="162">
        <v>0</v>
      </c>
      <c r="V586" s="162">
        <v>0</v>
      </c>
      <c r="W586" s="161">
        <f t="shared" si="55"/>
        <v>2526.0699999999997</v>
      </c>
      <c r="X586" s="161">
        <f t="shared" si="56"/>
        <v>2526.0699999999997</v>
      </c>
      <c r="Y586" s="161">
        <f t="shared" si="57"/>
        <v>0</v>
      </c>
      <c r="Z586" s="162">
        <v>0</v>
      </c>
      <c r="AA586" s="161">
        <f t="shared" si="58"/>
        <v>0</v>
      </c>
      <c r="AB586" s="161">
        <f t="shared" si="59"/>
        <v>3000</v>
      </c>
      <c r="AC586" s="158"/>
      <c r="AD586" s="158"/>
    </row>
    <row r="587" spans="1:30" ht="12.75" customHeight="1" x14ac:dyDescent="0.3">
      <c r="A587" s="147">
        <v>31</v>
      </c>
      <c r="B587" s="158" t="s">
        <v>1020</v>
      </c>
      <c r="C587" s="158" t="s">
        <v>123</v>
      </c>
      <c r="D587" s="158" t="s">
        <v>999</v>
      </c>
      <c r="E587" s="160" t="s">
        <v>871</v>
      </c>
      <c r="F587" s="158" t="s">
        <v>39</v>
      </c>
      <c r="G587" s="160" t="s">
        <v>866</v>
      </c>
      <c r="H587" s="161">
        <v>808.16</v>
      </c>
      <c r="I587" s="161">
        <v>0</v>
      </c>
      <c r="J587" s="161">
        <v>0</v>
      </c>
      <c r="K587" s="161">
        <v>0</v>
      </c>
      <c r="L587" s="161">
        <v>0</v>
      </c>
      <c r="M587" s="161">
        <v>-65</v>
      </c>
      <c r="N587" s="161">
        <v>0</v>
      </c>
      <c r="O587" s="162">
        <f t="shared" si="54"/>
        <v>743.16</v>
      </c>
      <c r="P587" s="161">
        <v>-2500</v>
      </c>
      <c r="Q587" s="162">
        <v>1996</v>
      </c>
      <c r="R587" s="161">
        <v>-500</v>
      </c>
      <c r="S587" s="161">
        <v>0</v>
      </c>
      <c r="T587" s="161">
        <v>0</v>
      </c>
      <c r="U587" s="162">
        <v>1260</v>
      </c>
      <c r="V587" s="161">
        <v>0</v>
      </c>
      <c r="W587" s="161">
        <f t="shared" si="55"/>
        <v>999.16</v>
      </c>
      <c r="X587" s="161">
        <f t="shared" si="56"/>
        <v>999.16</v>
      </c>
      <c r="Y587" s="161">
        <f t="shared" si="57"/>
        <v>0</v>
      </c>
      <c r="Z587" s="161">
        <v>0</v>
      </c>
      <c r="AA587" s="161">
        <f t="shared" si="58"/>
        <v>0</v>
      </c>
      <c r="AB587" s="161">
        <f t="shared" si="59"/>
        <v>-256</v>
      </c>
      <c r="AC587" s="158" t="s">
        <v>1023</v>
      </c>
      <c r="AD587" s="158"/>
    </row>
    <row r="588" spans="1:30" ht="12.75" customHeight="1" x14ac:dyDescent="0.3">
      <c r="A588" s="147">
        <v>31</v>
      </c>
      <c r="B588" s="158" t="s">
        <v>962</v>
      </c>
      <c r="C588" s="158" t="s">
        <v>183</v>
      </c>
      <c r="D588" s="158" t="s">
        <v>887</v>
      </c>
      <c r="E588" s="160" t="s">
        <v>25</v>
      </c>
      <c r="F588" s="158" t="s">
        <v>25</v>
      </c>
      <c r="G588" s="160" t="s">
        <v>866</v>
      </c>
      <c r="H588" s="161">
        <v>2305.08</v>
      </c>
      <c r="I588" s="161">
        <v>0</v>
      </c>
      <c r="J588" s="161">
        <v>0</v>
      </c>
      <c r="K588" s="161">
        <v>0</v>
      </c>
      <c r="L588" s="161">
        <v>0</v>
      </c>
      <c r="M588" s="161">
        <v>-60</v>
      </c>
      <c r="N588" s="161">
        <v>-377.25</v>
      </c>
      <c r="O588" s="162">
        <f t="shared" si="54"/>
        <v>1867.83</v>
      </c>
      <c r="P588" s="162">
        <v>-2500</v>
      </c>
      <c r="Q588" s="162">
        <v>-1741.6</v>
      </c>
      <c r="R588" s="162">
        <v>0</v>
      </c>
      <c r="S588" s="162">
        <v>0</v>
      </c>
      <c r="T588" s="162">
        <v>0</v>
      </c>
      <c r="U588" s="162">
        <v>0</v>
      </c>
      <c r="V588" s="162">
        <v>0</v>
      </c>
      <c r="W588" s="161">
        <f t="shared" si="55"/>
        <v>-2373.7700000000004</v>
      </c>
      <c r="X588" s="161">
        <f t="shared" si="56"/>
        <v>0</v>
      </c>
      <c r="Y588" s="161">
        <f t="shared" si="57"/>
        <v>-2373.7700000000004</v>
      </c>
      <c r="Z588" s="162">
        <v>0</v>
      </c>
      <c r="AA588" s="161">
        <f t="shared" si="58"/>
        <v>-2373.7700000000004</v>
      </c>
      <c r="AB588" s="161">
        <f t="shared" si="59"/>
        <v>-505.94000000000051</v>
      </c>
      <c r="AC588" s="158"/>
      <c r="AD588" s="158"/>
    </row>
    <row r="589" spans="1:30" ht="12.75" customHeight="1" x14ac:dyDescent="0.3">
      <c r="A589" s="147">
        <v>31</v>
      </c>
      <c r="B589" s="158" t="s">
        <v>1001</v>
      </c>
      <c r="C589" s="158" t="s">
        <v>150</v>
      </c>
      <c r="D589" s="158" t="s">
        <v>877</v>
      </c>
      <c r="E589" s="160" t="s">
        <v>25</v>
      </c>
      <c r="F589" s="158" t="s">
        <v>25</v>
      </c>
      <c r="G589" s="160" t="s">
        <v>866</v>
      </c>
      <c r="H589" s="161">
        <v>0</v>
      </c>
      <c r="I589" s="161">
        <v>0</v>
      </c>
      <c r="J589" s="161">
        <v>0</v>
      </c>
      <c r="K589" s="161">
        <v>0</v>
      </c>
      <c r="L589" s="161">
        <v>0</v>
      </c>
      <c r="M589" s="161">
        <v>0</v>
      </c>
      <c r="N589" s="161">
        <v>-108</v>
      </c>
      <c r="O589" s="162">
        <f t="shared" si="54"/>
        <v>-108</v>
      </c>
      <c r="P589" s="162">
        <v>-1428.5</v>
      </c>
      <c r="Q589" s="162">
        <v>-3154</v>
      </c>
      <c r="R589" s="162">
        <v>1000</v>
      </c>
      <c r="S589" s="162">
        <v>0</v>
      </c>
      <c r="T589" s="162">
        <v>0</v>
      </c>
      <c r="U589" s="162">
        <v>1320</v>
      </c>
      <c r="V589" s="162">
        <v>0</v>
      </c>
      <c r="W589" s="161">
        <f t="shared" si="55"/>
        <v>-2370.5</v>
      </c>
      <c r="X589" s="161">
        <f t="shared" si="56"/>
        <v>0</v>
      </c>
      <c r="Y589" s="161">
        <f t="shared" si="57"/>
        <v>-2370.5</v>
      </c>
      <c r="Z589" s="162">
        <v>0</v>
      </c>
      <c r="AA589" s="161">
        <f t="shared" si="58"/>
        <v>-2370.5</v>
      </c>
      <c r="AB589" s="161">
        <f t="shared" si="59"/>
        <v>-2478.5</v>
      </c>
      <c r="AC589" s="158" t="s">
        <v>937</v>
      </c>
      <c r="AD589" s="158"/>
    </row>
    <row r="590" spans="1:30" ht="12.75" customHeight="1" x14ac:dyDescent="0.3">
      <c r="A590" s="147">
        <v>31</v>
      </c>
      <c r="B590" s="158" t="s">
        <v>923</v>
      </c>
      <c r="C590" s="158" t="s">
        <v>46</v>
      </c>
      <c r="D590" s="158" t="s">
        <v>915</v>
      </c>
      <c r="E590" s="160" t="s">
        <v>25</v>
      </c>
      <c r="F590" s="161" t="s">
        <v>25</v>
      </c>
      <c r="G590" s="160" t="s">
        <v>866</v>
      </c>
      <c r="H590" s="161">
        <v>0</v>
      </c>
      <c r="I590" s="161">
        <v>0</v>
      </c>
      <c r="J590" s="161">
        <v>0</v>
      </c>
      <c r="K590" s="161">
        <v>0</v>
      </c>
      <c r="L590" s="161">
        <v>0</v>
      </c>
      <c r="M590" s="161">
        <v>0</v>
      </c>
      <c r="N590" s="161">
        <v>0</v>
      </c>
      <c r="O590" s="162">
        <f t="shared" si="54"/>
        <v>0</v>
      </c>
      <c r="P590" s="161">
        <v>0</v>
      </c>
      <c r="Q590" s="161">
        <v>0</v>
      </c>
      <c r="R590" s="161">
        <v>500</v>
      </c>
      <c r="S590" s="161">
        <v>0</v>
      </c>
      <c r="T590" s="161">
        <v>0</v>
      </c>
      <c r="U590" s="161">
        <v>0</v>
      </c>
      <c r="V590" s="161">
        <v>0</v>
      </c>
      <c r="W590" s="161">
        <f t="shared" si="55"/>
        <v>500</v>
      </c>
      <c r="X590" s="161">
        <f t="shared" si="56"/>
        <v>500</v>
      </c>
      <c r="Y590" s="161">
        <f t="shared" si="57"/>
        <v>0</v>
      </c>
      <c r="Z590" s="161">
        <v>0</v>
      </c>
      <c r="AA590" s="161">
        <f t="shared" si="58"/>
        <v>0</v>
      </c>
      <c r="AB590" s="161">
        <f t="shared" si="59"/>
        <v>-500</v>
      </c>
      <c r="AC590" s="158"/>
      <c r="AD590" s="158"/>
    </row>
    <row r="591" spans="1:30" ht="12.75" customHeight="1" x14ac:dyDescent="0.3">
      <c r="A591" s="147">
        <v>31</v>
      </c>
      <c r="B591" s="158" t="s">
        <v>880</v>
      </c>
      <c r="C591" s="158" t="s">
        <v>57</v>
      </c>
      <c r="D591" s="158" t="s">
        <v>881</v>
      </c>
      <c r="E591" s="160" t="s">
        <v>25</v>
      </c>
      <c r="F591" s="158" t="s">
        <v>25</v>
      </c>
      <c r="G591" s="160" t="s">
        <v>866</v>
      </c>
      <c r="H591" s="161">
        <v>2489.13</v>
      </c>
      <c r="I591" s="161">
        <v>0</v>
      </c>
      <c r="J591" s="161">
        <v>0</v>
      </c>
      <c r="K591" s="161">
        <v>0</v>
      </c>
      <c r="L591" s="161">
        <v>-353.92</v>
      </c>
      <c r="M591" s="161">
        <v>-54</v>
      </c>
      <c r="N591" s="161">
        <v>0</v>
      </c>
      <c r="O591" s="162">
        <f t="shared" si="54"/>
        <v>2081.21</v>
      </c>
      <c r="P591" s="162">
        <v>-2300</v>
      </c>
      <c r="Q591" s="162">
        <v>0</v>
      </c>
      <c r="R591" s="162">
        <v>0</v>
      </c>
      <c r="S591" s="162">
        <v>0</v>
      </c>
      <c r="T591" s="162">
        <v>0</v>
      </c>
      <c r="U591" s="162">
        <v>0</v>
      </c>
      <c r="V591" s="162">
        <v>0</v>
      </c>
      <c r="W591" s="161">
        <f t="shared" si="55"/>
        <v>-218.78999999999996</v>
      </c>
      <c r="X591" s="161">
        <f t="shared" si="56"/>
        <v>0</v>
      </c>
      <c r="Y591" s="161">
        <f t="shared" si="57"/>
        <v>-218.78999999999996</v>
      </c>
      <c r="Z591" s="162">
        <v>219</v>
      </c>
      <c r="AA591" s="161">
        <f t="shared" si="58"/>
        <v>0.21000000000003638</v>
      </c>
      <c r="AB591" s="161">
        <f t="shared" si="59"/>
        <v>2300.42</v>
      </c>
      <c r="AC591" s="158"/>
      <c r="AD591" s="158"/>
    </row>
    <row r="592" spans="1:30" ht="12.75" customHeight="1" x14ac:dyDescent="0.3">
      <c r="A592" s="147">
        <v>31</v>
      </c>
      <c r="B592" s="158" t="s">
        <v>922</v>
      </c>
      <c r="C592" s="158" t="s">
        <v>36</v>
      </c>
      <c r="D592" s="158" t="s">
        <v>904</v>
      </c>
      <c r="E592" s="160" t="s">
        <v>25</v>
      </c>
      <c r="F592" s="158" t="s">
        <v>25</v>
      </c>
      <c r="G592" s="160" t="s">
        <v>866</v>
      </c>
      <c r="H592" s="161">
        <v>2723.65</v>
      </c>
      <c r="I592" s="161">
        <v>-31.2</v>
      </c>
      <c r="J592" s="161">
        <v>0</v>
      </c>
      <c r="K592" s="161">
        <v>0</v>
      </c>
      <c r="L592" s="161">
        <v>0</v>
      </c>
      <c r="M592" s="161">
        <v>-65</v>
      </c>
      <c r="N592" s="161">
        <v>-88</v>
      </c>
      <c r="O592" s="162">
        <f t="shared" si="54"/>
        <v>2539.4500000000003</v>
      </c>
      <c r="P592" s="162">
        <v>-2500</v>
      </c>
      <c r="Q592" s="162">
        <v>-556.64</v>
      </c>
      <c r="R592" s="162">
        <v>0</v>
      </c>
      <c r="S592" s="162">
        <v>0</v>
      </c>
      <c r="T592" s="162">
        <v>0</v>
      </c>
      <c r="U592" s="162">
        <v>0</v>
      </c>
      <c r="V592" s="162">
        <v>0</v>
      </c>
      <c r="W592" s="161">
        <f t="shared" si="55"/>
        <v>-517.1899999999996</v>
      </c>
      <c r="X592" s="161">
        <f t="shared" si="56"/>
        <v>0</v>
      </c>
      <c r="Y592" s="161">
        <f t="shared" si="57"/>
        <v>-517.1899999999996</v>
      </c>
      <c r="Z592" s="162">
        <v>0</v>
      </c>
      <c r="AA592" s="161">
        <f t="shared" si="58"/>
        <v>-517.1899999999996</v>
      </c>
      <c r="AB592" s="161">
        <f t="shared" si="59"/>
        <v>2022.2600000000007</v>
      </c>
      <c r="AC592" s="158"/>
      <c r="AD592" s="158"/>
    </row>
    <row r="593" spans="1:30" ht="12.75" customHeight="1" x14ac:dyDescent="0.3">
      <c r="A593" s="147">
        <v>31</v>
      </c>
      <c r="B593" s="158" t="s">
        <v>993</v>
      </c>
      <c r="C593" s="158" t="s">
        <v>347</v>
      </c>
      <c r="D593" s="158" t="s">
        <v>897</v>
      </c>
      <c r="E593" s="160" t="s">
        <v>25</v>
      </c>
      <c r="F593" s="158" t="s">
        <v>25</v>
      </c>
      <c r="G593" s="160" t="s">
        <v>866</v>
      </c>
      <c r="H593" s="161">
        <v>2385.73</v>
      </c>
      <c r="I593" s="161">
        <v>0</v>
      </c>
      <c r="J593" s="161">
        <v>0</v>
      </c>
      <c r="K593" s="161">
        <v>0</v>
      </c>
      <c r="L593" s="161">
        <v>-648.05999999999995</v>
      </c>
      <c r="M593" s="161">
        <v>-65</v>
      </c>
      <c r="N593" s="161">
        <v>0</v>
      </c>
      <c r="O593" s="162">
        <f t="shared" si="54"/>
        <v>1672.67</v>
      </c>
      <c r="P593" s="162">
        <v>-2500</v>
      </c>
      <c r="Q593" s="162">
        <v>-560</v>
      </c>
      <c r="R593" s="162">
        <v>-500</v>
      </c>
      <c r="S593" s="162">
        <v>0</v>
      </c>
      <c r="T593" s="162">
        <v>0</v>
      </c>
      <c r="U593" s="162">
        <v>0</v>
      </c>
      <c r="V593" s="162">
        <v>0</v>
      </c>
      <c r="W593" s="161">
        <f t="shared" si="55"/>
        <v>-1887.33</v>
      </c>
      <c r="X593" s="161">
        <f t="shared" si="56"/>
        <v>0</v>
      </c>
      <c r="Y593" s="161">
        <f t="shared" si="57"/>
        <v>-1887.33</v>
      </c>
      <c r="Z593" s="162">
        <f>1444+290+128</f>
        <v>1862</v>
      </c>
      <c r="AA593" s="161">
        <f t="shared" si="58"/>
        <v>-25.329999999999927</v>
      </c>
      <c r="AB593" s="161">
        <f t="shared" si="59"/>
        <v>3509.34</v>
      </c>
      <c r="AC593" s="158"/>
      <c r="AD593" s="158"/>
    </row>
    <row r="594" spans="1:30" ht="12.75" customHeight="1" x14ac:dyDescent="0.3">
      <c r="A594" s="147">
        <v>31</v>
      </c>
      <c r="B594" s="158" t="s">
        <v>994</v>
      </c>
      <c r="C594" s="158" t="s">
        <v>80</v>
      </c>
      <c r="D594" s="158" t="s">
        <v>20</v>
      </c>
      <c r="E594" s="160" t="s">
        <v>18</v>
      </c>
      <c r="F594" s="160" t="s">
        <v>18</v>
      </c>
      <c r="G594" s="160" t="s">
        <v>866</v>
      </c>
      <c r="H594" s="161">
        <v>0</v>
      </c>
      <c r="I594" s="161">
        <v>0</v>
      </c>
      <c r="J594" s="161">
        <v>0</v>
      </c>
      <c r="K594" s="161">
        <v>0</v>
      </c>
      <c r="L594" s="161">
        <v>0</v>
      </c>
      <c r="M594" s="162">
        <v>0</v>
      </c>
      <c r="N594" s="161">
        <v>0</v>
      </c>
      <c r="O594" s="162">
        <f t="shared" si="54"/>
        <v>0</v>
      </c>
      <c r="P594" s="161">
        <v>0</v>
      </c>
      <c r="Q594" s="161">
        <v>0</v>
      </c>
      <c r="R594" s="161">
        <v>500</v>
      </c>
      <c r="S594" s="161">
        <v>0</v>
      </c>
      <c r="T594" s="161">
        <v>0</v>
      </c>
      <c r="U594" s="161">
        <v>0</v>
      </c>
      <c r="V594" s="161">
        <v>0</v>
      </c>
      <c r="W594" s="161">
        <f t="shared" si="55"/>
        <v>500</v>
      </c>
      <c r="X594" s="161">
        <f t="shared" si="56"/>
        <v>500</v>
      </c>
      <c r="Y594" s="161">
        <f t="shared" si="57"/>
        <v>0</v>
      </c>
      <c r="Z594" s="162">
        <v>0</v>
      </c>
      <c r="AA594" s="161">
        <f t="shared" si="58"/>
        <v>0</v>
      </c>
      <c r="AB594" s="161">
        <f t="shared" si="59"/>
        <v>-500</v>
      </c>
      <c r="AC594" s="158" t="s">
        <v>1024</v>
      </c>
      <c r="AD594" s="158"/>
    </row>
    <row r="595" spans="1:30" ht="12.75" customHeight="1" x14ac:dyDescent="0.3">
      <c r="A595" s="147">
        <v>31</v>
      </c>
      <c r="B595" s="158" t="s">
        <v>1025</v>
      </c>
      <c r="C595" s="158" t="s">
        <v>80</v>
      </c>
      <c r="D595" s="158" t="s">
        <v>20</v>
      </c>
      <c r="E595" s="160" t="s">
        <v>18</v>
      </c>
      <c r="F595" s="160" t="s">
        <v>18</v>
      </c>
      <c r="G595" s="160" t="s">
        <v>866</v>
      </c>
      <c r="H595" s="161">
        <v>3350.09</v>
      </c>
      <c r="I595" s="161">
        <v>0</v>
      </c>
      <c r="J595" s="161">
        <v>0</v>
      </c>
      <c r="K595" s="161">
        <v>0</v>
      </c>
      <c r="L595" s="161">
        <v>0</v>
      </c>
      <c r="M595" s="161">
        <v>0</v>
      </c>
      <c r="N595" s="161">
        <v>0</v>
      </c>
      <c r="O595" s="162">
        <f t="shared" si="54"/>
        <v>3350.09</v>
      </c>
      <c r="P595" s="161">
        <v>-2500</v>
      </c>
      <c r="Q595" s="162">
        <v>0</v>
      </c>
      <c r="R595" s="161">
        <v>-500</v>
      </c>
      <c r="S595" s="161">
        <v>0</v>
      </c>
      <c r="T595" s="161">
        <v>0</v>
      </c>
      <c r="U595" s="162">
        <v>0</v>
      </c>
      <c r="V595" s="161">
        <v>0</v>
      </c>
      <c r="W595" s="161">
        <f t="shared" si="55"/>
        <v>350.09000000000015</v>
      </c>
      <c r="X595" s="161">
        <f t="shared" si="56"/>
        <v>350.09000000000015</v>
      </c>
      <c r="Y595" s="161">
        <f t="shared" si="57"/>
        <v>0</v>
      </c>
      <c r="Z595" s="162">
        <v>0</v>
      </c>
      <c r="AA595" s="161">
        <f t="shared" si="58"/>
        <v>0</v>
      </c>
      <c r="AB595" s="161">
        <f t="shared" si="59"/>
        <v>3000</v>
      </c>
      <c r="AC595" s="158" t="s">
        <v>1024</v>
      </c>
      <c r="AD595" s="158"/>
    </row>
    <row r="596" spans="1:30" ht="12.75" customHeight="1" x14ac:dyDescent="0.3">
      <c r="A596" s="147">
        <v>31</v>
      </c>
      <c r="B596" s="158" t="s">
        <v>1010</v>
      </c>
      <c r="C596" s="158" t="s">
        <v>110</v>
      </c>
      <c r="D596" s="158" t="s">
        <v>996</v>
      </c>
      <c r="E596" s="158" t="s">
        <v>18</v>
      </c>
      <c r="F596" s="160" t="s">
        <v>18</v>
      </c>
      <c r="G596" s="160" t="s">
        <v>866</v>
      </c>
      <c r="H596" s="161">
        <v>4497.17</v>
      </c>
      <c r="I596" s="161">
        <v>0</v>
      </c>
      <c r="J596" s="161">
        <v>0</v>
      </c>
      <c r="K596" s="161">
        <v>-49.34</v>
      </c>
      <c r="L596" s="161">
        <v>-2082.2399999999998</v>
      </c>
      <c r="M596" s="161">
        <v>0</v>
      </c>
      <c r="N596" s="161">
        <v>0</v>
      </c>
      <c r="O596" s="162">
        <f t="shared" si="54"/>
        <v>2365.59</v>
      </c>
      <c r="P596" s="161">
        <v>-2500</v>
      </c>
      <c r="Q596" s="162">
        <v>-1067</v>
      </c>
      <c r="R596" s="161">
        <v>-500</v>
      </c>
      <c r="S596" s="161">
        <v>0</v>
      </c>
      <c r="T596" s="161">
        <v>0</v>
      </c>
      <c r="U596" s="162">
        <v>0</v>
      </c>
      <c r="V596" s="161">
        <v>0</v>
      </c>
      <c r="W596" s="161">
        <f t="shared" si="55"/>
        <v>-1701.4099999999999</v>
      </c>
      <c r="X596" s="161">
        <f t="shared" si="56"/>
        <v>0</v>
      </c>
      <c r="Y596" s="161">
        <f t="shared" si="57"/>
        <v>-1701.4099999999999</v>
      </c>
      <c r="Z596" s="162">
        <v>1700</v>
      </c>
      <c r="AA596" s="161">
        <f t="shared" si="58"/>
        <v>-1.4099999999998545</v>
      </c>
      <c r="AB596" s="161">
        <f t="shared" si="59"/>
        <v>4064.1800000000003</v>
      </c>
      <c r="AC596" s="158" t="s">
        <v>1026</v>
      </c>
      <c r="AD596" s="158"/>
    </row>
    <row r="597" spans="1:30" ht="12.75" customHeight="1" x14ac:dyDescent="0.3">
      <c r="A597" s="147">
        <v>31</v>
      </c>
      <c r="B597" s="158" t="s">
        <v>1003</v>
      </c>
      <c r="C597" s="158" t="s">
        <v>59</v>
      </c>
      <c r="D597" s="158" t="s">
        <v>895</v>
      </c>
      <c r="E597" s="160" t="s">
        <v>25</v>
      </c>
      <c r="F597" s="158" t="s">
        <v>25</v>
      </c>
      <c r="G597" s="160" t="s">
        <v>866</v>
      </c>
      <c r="H597" s="161">
        <v>0</v>
      </c>
      <c r="I597" s="161">
        <v>0</v>
      </c>
      <c r="J597" s="161">
        <v>0</v>
      </c>
      <c r="K597" s="161">
        <v>0</v>
      </c>
      <c r="L597" s="161">
        <v>0</v>
      </c>
      <c r="M597" s="161">
        <v>0</v>
      </c>
      <c r="N597" s="161">
        <v>0</v>
      </c>
      <c r="O597" s="162">
        <f t="shared" si="54"/>
        <v>0</v>
      </c>
      <c r="P597" s="162">
        <v>0</v>
      </c>
      <c r="Q597" s="162">
        <v>0</v>
      </c>
      <c r="R597" s="162">
        <v>0</v>
      </c>
      <c r="S597" s="162">
        <v>0</v>
      </c>
      <c r="T597" s="162">
        <v>0</v>
      </c>
      <c r="U597" s="162">
        <v>0</v>
      </c>
      <c r="V597" s="162">
        <v>0</v>
      </c>
      <c r="W597" s="161">
        <f t="shared" si="55"/>
        <v>0</v>
      </c>
      <c r="X597" s="161">
        <f t="shared" si="56"/>
        <v>0</v>
      </c>
      <c r="Y597" s="161">
        <f t="shared" si="57"/>
        <v>0</v>
      </c>
      <c r="Z597" s="162">
        <v>0</v>
      </c>
      <c r="AA597" s="161">
        <f t="shared" si="58"/>
        <v>0</v>
      </c>
      <c r="AB597" s="161">
        <f t="shared" si="59"/>
        <v>0</v>
      </c>
      <c r="AC597" s="158"/>
      <c r="AD597" s="158"/>
    </row>
    <row r="598" spans="1:30" ht="12.75" customHeight="1" x14ac:dyDescent="0.3">
      <c r="A598" s="147">
        <v>32</v>
      </c>
      <c r="B598" s="158" t="s">
        <v>585</v>
      </c>
      <c r="C598" s="158" t="s">
        <v>42</v>
      </c>
      <c r="D598" s="158" t="s">
        <v>948</v>
      </c>
      <c r="E598" s="160" t="s">
        <v>25</v>
      </c>
      <c r="F598" s="158" t="s">
        <v>25</v>
      </c>
      <c r="G598" s="160" t="s">
        <v>866</v>
      </c>
      <c r="H598" s="161">
        <v>830.34</v>
      </c>
      <c r="I598" s="161">
        <v>0</v>
      </c>
      <c r="J598" s="161">
        <v>0</v>
      </c>
      <c r="K598" s="161">
        <v>0</v>
      </c>
      <c r="L598" s="161">
        <v>-30</v>
      </c>
      <c r="M598" s="161">
        <v>-25</v>
      </c>
      <c r="N598" s="161">
        <v>0</v>
      </c>
      <c r="O598" s="162">
        <f t="shared" si="54"/>
        <v>775.34</v>
      </c>
      <c r="P598" s="162">
        <v>-2500</v>
      </c>
      <c r="Q598" s="162">
        <v>0</v>
      </c>
      <c r="R598" s="162">
        <v>0</v>
      </c>
      <c r="S598" s="162">
        <v>0</v>
      </c>
      <c r="T598" s="162">
        <v>-500</v>
      </c>
      <c r="U598" s="162">
        <v>0</v>
      </c>
      <c r="V598" s="162">
        <v>0</v>
      </c>
      <c r="W598" s="161">
        <f t="shared" si="55"/>
        <v>-2224.66</v>
      </c>
      <c r="X598" s="161">
        <f t="shared" si="56"/>
        <v>0</v>
      </c>
      <c r="Y598" s="161">
        <f t="shared" si="57"/>
        <v>-2224.66</v>
      </c>
      <c r="Z598" s="162">
        <v>2225</v>
      </c>
      <c r="AA598" s="161">
        <f t="shared" si="58"/>
        <v>0.34000000000014552</v>
      </c>
      <c r="AB598" s="161">
        <f t="shared" si="59"/>
        <v>3000.6800000000003</v>
      </c>
      <c r="AC598" s="158" t="s">
        <v>1027</v>
      </c>
      <c r="AD598" s="158"/>
    </row>
    <row r="599" spans="1:30" ht="12.75" customHeight="1" x14ac:dyDescent="0.3">
      <c r="A599" s="147">
        <v>32</v>
      </c>
      <c r="B599" s="158" t="s">
        <v>944</v>
      </c>
      <c r="C599" s="158" t="s">
        <v>372</v>
      </c>
      <c r="D599" s="158" t="s">
        <v>1004</v>
      </c>
      <c r="E599" s="158" t="s">
        <v>39</v>
      </c>
      <c r="F599" s="158" t="s">
        <v>39</v>
      </c>
      <c r="G599" s="160" t="s">
        <v>866</v>
      </c>
      <c r="H599" s="161">
        <v>3067.95</v>
      </c>
      <c r="I599" s="161">
        <v>0</v>
      </c>
      <c r="J599" s="161">
        <v>0</v>
      </c>
      <c r="K599" s="161">
        <v>0</v>
      </c>
      <c r="L599" s="161">
        <v>-288.67</v>
      </c>
      <c r="M599" s="161">
        <v>-38</v>
      </c>
      <c r="N599" s="161">
        <v>0</v>
      </c>
      <c r="O599" s="162">
        <f t="shared" si="54"/>
        <v>2741.2799999999997</v>
      </c>
      <c r="P599" s="162">
        <v>-2500</v>
      </c>
      <c r="Q599" s="162">
        <v>0</v>
      </c>
      <c r="R599" s="162">
        <v>0</v>
      </c>
      <c r="S599" s="162">
        <v>0</v>
      </c>
      <c r="T599" s="162">
        <v>-500</v>
      </c>
      <c r="U599" s="162">
        <v>-880</v>
      </c>
      <c r="V599" s="162">
        <v>0</v>
      </c>
      <c r="W599" s="161">
        <f t="shared" si="55"/>
        <v>-1138.7200000000003</v>
      </c>
      <c r="X599" s="161">
        <f t="shared" si="56"/>
        <v>0</v>
      </c>
      <c r="Y599" s="161">
        <f t="shared" si="57"/>
        <v>-1138.7200000000003</v>
      </c>
      <c r="Z599" s="162">
        <v>0</v>
      </c>
      <c r="AA599" s="161">
        <f t="shared" si="58"/>
        <v>-1138.7200000000003</v>
      </c>
      <c r="AB599" s="161">
        <f t="shared" si="59"/>
        <v>1602.5599999999995</v>
      </c>
      <c r="AC599" s="158" t="s">
        <v>1028</v>
      </c>
      <c r="AD599" s="158"/>
    </row>
    <row r="600" spans="1:30" ht="12.75" customHeight="1" x14ac:dyDescent="0.3">
      <c r="A600" s="147">
        <v>32</v>
      </c>
      <c r="B600" s="158" t="s">
        <v>1029</v>
      </c>
      <c r="C600" s="158" t="s">
        <v>64</v>
      </c>
      <c r="D600" s="158" t="s">
        <v>949</v>
      </c>
      <c r="E600" s="160" t="s">
        <v>25</v>
      </c>
      <c r="F600" s="158" t="s">
        <v>25</v>
      </c>
      <c r="G600" s="160" t="s">
        <v>866</v>
      </c>
      <c r="H600" s="161">
        <v>7881.25</v>
      </c>
      <c r="I600" s="161">
        <v>-54.4</v>
      </c>
      <c r="J600" s="161">
        <v>0</v>
      </c>
      <c r="K600" s="161">
        <v>0</v>
      </c>
      <c r="L600" s="161">
        <v>-1951.49</v>
      </c>
      <c r="M600" s="161">
        <v>-28</v>
      </c>
      <c r="N600" s="161">
        <v>0</v>
      </c>
      <c r="O600" s="162">
        <f t="shared" si="54"/>
        <v>5847.3600000000006</v>
      </c>
      <c r="P600" s="161">
        <v>-2500</v>
      </c>
      <c r="Q600" s="161">
        <v>0</v>
      </c>
      <c r="R600" s="161">
        <v>-500</v>
      </c>
      <c r="S600" s="161">
        <v>0</v>
      </c>
      <c r="T600" s="161">
        <v>0</v>
      </c>
      <c r="U600" s="161">
        <v>0</v>
      </c>
      <c r="V600" s="161">
        <v>0</v>
      </c>
      <c r="W600" s="161">
        <f t="shared" si="55"/>
        <v>2847.3600000000006</v>
      </c>
      <c r="X600" s="161">
        <f t="shared" si="56"/>
        <v>2847.3600000000006</v>
      </c>
      <c r="Y600" s="161">
        <f t="shared" si="57"/>
        <v>0</v>
      </c>
      <c r="Z600" s="161">
        <v>0</v>
      </c>
      <c r="AA600" s="161">
        <f t="shared" si="58"/>
        <v>0</v>
      </c>
      <c r="AB600" s="161">
        <f t="shared" si="59"/>
        <v>3000</v>
      </c>
      <c r="AC600" s="158"/>
      <c r="AD600" s="158"/>
    </row>
    <row r="601" spans="1:30" ht="12.75" customHeight="1" x14ac:dyDescent="0.3">
      <c r="A601" s="147">
        <v>32</v>
      </c>
      <c r="B601" s="158" t="s">
        <v>1030</v>
      </c>
      <c r="C601" s="158" t="s">
        <v>195</v>
      </c>
      <c r="D601" s="158" t="s">
        <v>964</v>
      </c>
      <c r="E601" s="160" t="s">
        <v>871</v>
      </c>
      <c r="F601" s="158" t="s">
        <v>39</v>
      </c>
      <c r="G601" s="160" t="s">
        <v>866</v>
      </c>
      <c r="H601" s="161">
        <v>1275.29</v>
      </c>
      <c r="I601" s="161">
        <v>0</v>
      </c>
      <c r="J601" s="161">
        <v>0</v>
      </c>
      <c r="K601" s="161">
        <v>0</v>
      </c>
      <c r="L601" s="161">
        <v>0</v>
      </c>
      <c r="M601" s="161">
        <v>-15</v>
      </c>
      <c r="N601" s="161">
        <v>0</v>
      </c>
      <c r="O601" s="162">
        <f t="shared" si="54"/>
        <v>1260.29</v>
      </c>
      <c r="P601" s="161">
        <v>-536</v>
      </c>
      <c r="Q601" s="161">
        <v>0</v>
      </c>
      <c r="R601" s="161">
        <v>-107</v>
      </c>
      <c r="S601" s="161">
        <v>0</v>
      </c>
      <c r="T601" s="161">
        <v>0</v>
      </c>
      <c r="U601" s="161">
        <v>0</v>
      </c>
      <c r="V601" s="161">
        <v>0</v>
      </c>
      <c r="W601" s="161">
        <f t="shared" si="55"/>
        <v>617.29</v>
      </c>
      <c r="X601" s="161">
        <f t="shared" si="56"/>
        <v>617.29</v>
      </c>
      <c r="Y601" s="161">
        <f t="shared" si="57"/>
        <v>0</v>
      </c>
      <c r="Z601" s="161">
        <v>0</v>
      </c>
      <c r="AA601" s="161">
        <f t="shared" si="58"/>
        <v>0</v>
      </c>
      <c r="AB601" s="161">
        <f t="shared" si="59"/>
        <v>643</v>
      </c>
      <c r="AC601" s="158"/>
      <c r="AD601" s="158"/>
    </row>
    <row r="602" spans="1:30" ht="12.75" customHeight="1" x14ac:dyDescent="0.3">
      <c r="A602" s="147">
        <v>32</v>
      </c>
      <c r="B602" s="158" t="s">
        <v>913</v>
      </c>
      <c r="C602" s="158" t="s">
        <v>100</v>
      </c>
      <c r="D602" s="158" t="s">
        <v>953</v>
      </c>
      <c r="E602" s="160" t="s">
        <v>25</v>
      </c>
      <c r="F602" s="158" t="s">
        <v>25</v>
      </c>
      <c r="G602" s="160" t="s">
        <v>866</v>
      </c>
      <c r="H602" s="161">
        <v>7913.54</v>
      </c>
      <c r="I602" s="161">
        <v>-70.400000000000006</v>
      </c>
      <c r="J602" s="161">
        <v>0</v>
      </c>
      <c r="K602" s="161">
        <v>0</v>
      </c>
      <c r="L602" s="161">
        <v>-5285.96</v>
      </c>
      <c r="M602" s="161">
        <v>-25</v>
      </c>
      <c r="N602" s="161">
        <v>0</v>
      </c>
      <c r="O602" s="162">
        <f t="shared" si="54"/>
        <v>2532.1800000000003</v>
      </c>
      <c r="P602" s="162">
        <v>-2500</v>
      </c>
      <c r="Q602" s="162">
        <v>0</v>
      </c>
      <c r="R602" s="162">
        <v>0</v>
      </c>
      <c r="S602" s="162">
        <v>0</v>
      </c>
      <c r="T602" s="162">
        <v>0</v>
      </c>
      <c r="U602" s="162">
        <v>0</v>
      </c>
      <c r="V602" s="162">
        <v>0</v>
      </c>
      <c r="W602" s="161">
        <f t="shared" si="55"/>
        <v>32.180000000000291</v>
      </c>
      <c r="X602" s="161">
        <f t="shared" si="56"/>
        <v>32.180000000000291</v>
      </c>
      <c r="Y602" s="161">
        <f t="shared" si="57"/>
        <v>0</v>
      </c>
      <c r="Z602" s="162">
        <v>0</v>
      </c>
      <c r="AA602" s="161">
        <f t="shared" si="58"/>
        <v>0</v>
      </c>
      <c r="AB602" s="161">
        <f t="shared" si="59"/>
        <v>2500</v>
      </c>
      <c r="AC602" s="158"/>
      <c r="AD602" s="158"/>
    </row>
    <row r="603" spans="1:30" ht="12.75" customHeight="1" x14ac:dyDescent="0.3">
      <c r="A603" s="147">
        <v>32</v>
      </c>
      <c r="B603" s="158" t="s">
        <v>457</v>
      </c>
      <c r="C603" s="158" t="s">
        <v>571</v>
      </c>
      <c r="D603" s="158" t="s">
        <v>974</v>
      </c>
      <c r="E603" s="160" t="s">
        <v>25</v>
      </c>
      <c r="F603" s="158" t="s">
        <v>25</v>
      </c>
      <c r="G603" s="160" t="s">
        <v>866</v>
      </c>
      <c r="H603" s="161">
        <v>3382.05</v>
      </c>
      <c r="I603" s="161">
        <v>0</v>
      </c>
      <c r="J603" s="161">
        <v>0</v>
      </c>
      <c r="K603" s="161">
        <v>0</v>
      </c>
      <c r="L603" s="161">
        <v>-1369.23</v>
      </c>
      <c r="M603" s="161">
        <v>-25</v>
      </c>
      <c r="N603" s="161">
        <v>0</v>
      </c>
      <c r="O603" s="162">
        <f t="shared" si="54"/>
        <v>1987.8200000000002</v>
      </c>
      <c r="P603" s="162">
        <v>-2500</v>
      </c>
      <c r="Q603" s="162">
        <v>-686.56</v>
      </c>
      <c r="R603" s="162">
        <v>0</v>
      </c>
      <c r="S603" s="162">
        <v>0</v>
      </c>
      <c r="T603" s="162">
        <v>0</v>
      </c>
      <c r="U603" s="162">
        <v>0</v>
      </c>
      <c r="V603" s="162">
        <v>0</v>
      </c>
      <c r="W603" s="161">
        <f t="shared" si="55"/>
        <v>-1198.7399999999998</v>
      </c>
      <c r="X603" s="161">
        <f t="shared" si="56"/>
        <v>0</v>
      </c>
      <c r="Y603" s="161">
        <f t="shared" si="57"/>
        <v>-1198.7399999999998</v>
      </c>
      <c r="Z603" s="162">
        <v>600</v>
      </c>
      <c r="AA603" s="161">
        <f t="shared" si="58"/>
        <v>-598.73999999999978</v>
      </c>
      <c r="AB603" s="161">
        <f t="shared" si="59"/>
        <v>1989.0800000000004</v>
      </c>
      <c r="AC603" s="158" t="s">
        <v>1027</v>
      </c>
      <c r="AD603" s="158"/>
    </row>
    <row r="604" spans="1:30" ht="12.75" customHeight="1" x14ac:dyDescent="0.3">
      <c r="A604" s="147">
        <v>32</v>
      </c>
      <c r="B604" s="158" t="s">
        <v>990</v>
      </c>
      <c r="C604" s="158" t="s">
        <v>46</v>
      </c>
      <c r="D604" s="158" t="s">
        <v>915</v>
      </c>
      <c r="E604" s="160" t="s">
        <v>25</v>
      </c>
      <c r="F604" s="158" t="s">
        <v>25</v>
      </c>
      <c r="G604" s="160" t="s">
        <v>866</v>
      </c>
      <c r="H604" s="161">
        <v>1452.57</v>
      </c>
      <c r="I604" s="161">
        <v>0</v>
      </c>
      <c r="J604" s="161">
        <v>0</v>
      </c>
      <c r="K604" s="161">
        <v>0</v>
      </c>
      <c r="L604" s="161">
        <v>0</v>
      </c>
      <c r="M604" s="161">
        <v>-35</v>
      </c>
      <c r="N604" s="161">
        <v>0</v>
      </c>
      <c r="O604" s="162">
        <f t="shared" si="54"/>
        <v>1417.57</v>
      </c>
      <c r="P604" s="162">
        <v>-2500</v>
      </c>
      <c r="Q604" s="162">
        <v>0</v>
      </c>
      <c r="R604" s="162">
        <v>-500</v>
      </c>
      <c r="S604" s="162">
        <v>0</v>
      </c>
      <c r="T604" s="162">
        <v>0</v>
      </c>
      <c r="U604" s="162">
        <v>0</v>
      </c>
      <c r="V604" s="162">
        <v>0</v>
      </c>
      <c r="W604" s="161">
        <f t="shared" si="55"/>
        <v>-1582.43</v>
      </c>
      <c r="X604" s="161">
        <f t="shared" si="56"/>
        <v>0</v>
      </c>
      <c r="Y604" s="161">
        <f t="shared" si="57"/>
        <v>-1582.43</v>
      </c>
      <c r="Z604" s="162">
        <v>1582</v>
      </c>
      <c r="AA604" s="161">
        <f t="shared" si="58"/>
        <v>-0.43000000000006366</v>
      </c>
      <c r="AB604" s="161">
        <f t="shared" si="59"/>
        <v>2999.1399999999994</v>
      </c>
      <c r="AC604" s="158" t="s">
        <v>1031</v>
      </c>
      <c r="AD604" s="158"/>
    </row>
    <row r="605" spans="1:30" ht="12.75" customHeight="1" x14ac:dyDescent="0.3">
      <c r="A605" s="147">
        <v>32</v>
      </c>
      <c r="B605" s="158" t="s">
        <v>872</v>
      </c>
      <c r="C605" s="158" t="s">
        <v>256</v>
      </c>
      <c r="D605" s="158" t="s">
        <v>997</v>
      </c>
      <c r="E605" s="160" t="s">
        <v>871</v>
      </c>
      <c r="F605" s="158" t="s">
        <v>39</v>
      </c>
      <c r="G605" s="160" t="s">
        <v>866</v>
      </c>
      <c r="H605" s="161">
        <v>8638.0499999999993</v>
      </c>
      <c r="I605" s="161">
        <v>-63.2</v>
      </c>
      <c r="J605" s="161">
        <v>0</v>
      </c>
      <c r="K605" s="161">
        <v>-81.010000000000005</v>
      </c>
      <c r="L605" s="161">
        <v>-4609.8900000000003</v>
      </c>
      <c r="M605" s="161">
        <v>-32</v>
      </c>
      <c r="N605" s="161">
        <v>-672</v>
      </c>
      <c r="O605" s="162">
        <f t="shared" si="54"/>
        <v>3179.949999999998</v>
      </c>
      <c r="P605" s="162">
        <v>-2500</v>
      </c>
      <c r="Q605" s="162">
        <v>-417</v>
      </c>
      <c r="R605" s="162">
        <v>0</v>
      </c>
      <c r="S605" s="162">
        <v>0</v>
      </c>
      <c r="T605" s="162">
        <v>0</v>
      </c>
      <c r="U605" s="162">
        <v>0</v>
      </c>
      <c r="V605" s="162">
        <v>0</v>
      </c>
      <c r="W605" s="161">
        <f t="shared" si="55"/>
        <v>262.949999999998</v>
      </c>
      <c r="X605" s="161">
        <f t="shared" si="56"/>
        <v>262.949999999998</v>
      </c>
      <c r="Y605" s="161">
        <f t="shared" si="57"/>
        <v>0</v>
      </c>
      <c r="Z605" s="162">
        <v>0</v>
      </c>
      <c r="AA605" s="161">
        <f t="shared" si="58"/>
        <v>0</v>
      </c>
      <c r="AB605" s="161">
        <f t="shared" si="59"/>
        <v>2917</v>
      </c>
      <c r="AC605" s="158"/>
      <c r="AD605" s="158"/>
    </row>
    <row r="606" spans="1:30" ht="12.75" customHeight="1" x14ac:dyDescent="0.3">
      <c r="A606" s="147">
        <v>32</v>
      </c>
      <c r="B606" s="158" t="s">
        <v>921</v>
      </c>
      <c r="C606" s="158" t="s">
        <v>257</v>
      </c>
      <c r="D606" s="158" t="s">
        <v>943</v>
      </c>
      <c r="E606" s="160" t="s">
        <v>25</v>
      </c>
      <c r="F606" s="158" t="s">
        <v>25</v>
      </c>
      <c r="G606" s="160" t="s">
        <v>866</v>
      </c>
      <c r="H606" s="161">
        <v>8152.29</v>
      </c>
      <c r="I606" s="161">
        <v>0</v>
      </c>
      <c r="J606" s="161">
        <v>0</v>
      </c>
      <c r="K606" s="161">
        <v>0</v>
      </c>
      <c r="L606" s="161">
        <v>-2222</v>
      </c>
      <c r="M606" s="161">
        <v>-25</v>
      </c>
      <c r="N606" s="161">
        <v>0</v>
      </c>
      <c r="O606" s="162">
        <f t="shared" si="54"/>
        <v>5905.29</v>
      </c>
      <c r="P606" s="162">
        <v>-2500</v>
      </c>
      <c r="Q606" s="162">
        <v>0</v>
      </c>
      <c r="R606" s="162">
        <v>0</v>
      </c>
      <c r="S606" s="162">
        <v>0</v>
      </c>
      <c r="T606" s="162">
        <v>0</v>
      </c>
      <c r="U606" s="162">
        <v>0</v>
      </c>
      <c r="V606" s="162">
        <v>-1000</v>
      </c>
      <c r="W606" s="161">
        <f t="shared" si="55"/>
        <v>2405.29</v>
      </c>
      <c r="X606" s="161">
        <f t="shared" si="56"/>
        <v>2405.29</v>
      </c>
      <c r="Y606" s="161">
        <f t="shared" si="57"/>
        <v>0</v>
      </c>
      <c r="Z606" s="162">
        <v>0</v>
      </c>
      <c r="AA606" s="161">
        <f t="shared" si="58"/>
        <v>0</v>
      </c>
      <c r="AB606" s="161">
        <f t="shared" si="59"/>
        <v>3500</v>
      </c>
      <c r="AC606" s="158"/>
      <c r="AD606" s="158"/>
    </row>
    <row r="607" spans="1:30" ht="12.75" customHeight="1" x14ac:dyDescent="0.3">
      <c r="A607" s="147">
        <v>32</v>
      </c>
      <c r="B607" s="158" t="s">
        <v>1005</v>
      </c>
      <c r="C607" s="158" t="s">
        <v>409</v>
      </c>
      <c r="D607" s="158" t="s">
        <v>946</v>
      </c>
      <c r="E607" s="160" t="s">
        <v>25</v>
      </c>
      <c r="F607" s="158" t="s">
        <v>25</v>
      </c>
      <c r="G607" s="160" t="s">
        <v>866</v>
      </c>
      <c r="H607" s="161">
        <v>0</v>
      </c>
      <c r="I607" s="161">
        <v>0</v>
      </c>
      <c r="J607" s="161">
        <v>0</v>
      </c>
      <c r="K607" s="161">
        <v>0</v>
      </c>
      <c r="L607" s="161">
        <v>0</v>
      </c>
      <c r="M607" s="161">
        <v>0</v>
      </c>
      <c r="N607" s="161">
        <v>0</v>
      </c>
      <c r="O607" s="162">
        <f t="shared" si="54"/>
        <v>0</v>
      </c>
      <c r="P607" s="162">
        <v>-2500</v>
      </c>
      <c r="Q607" s="162">
        <v>0</v>
      </c>
      <c r="R607" s="162">
        <v>-500</v>
      </c>
      <c r="S607" s="162">
        <v>0</v>
      </c>
      <c r="T607" s="162">
        <v>0</v>
      </c>
      <c r="U607" s="162">
        <v>0</v>
      </c>
      <c r="V607" s="162">
        <v>0</v>
      </c>
      <c r="W607" s="161">
        <f t="shared" si="55"/>
        <v>-3000</v>
      </c>
      <c r="X607" s="161">
        <f t="shared" si="56"/>
        <v>0</v>
      </c>
      <c r="Y607" s="161">
        <f t="shared" si="57"/>
        <v>-3000</v>
      </c>
      <c r="Z607" s="162">
        <v>3000</v>
      </c>
      <c r="AA607" s="161">
        <f t="shared" si="58"/>
        <v>0</v>
      </c>
      <c r="AB607" s="161">
        <f t="shared" si="59"/>
        <v>3000</v>
      </c>
      <c r="AC607" s="158" t="s">
        <v>1031</v>
      </c>
      <c r="AD607" s="158"/>
    </row>
    <row r="608" spans="1:30" ht="12.75" customHeight="1" x14ac:dyDescent="0.3">
      <c r="A608" s="147">
        <v>32</v>
      </c>
      <c r="B608" s="158" t="s">
        <v>1013</v>
      </c>
      <c r="C608" s="158" t="s">
        <v>101</v>
      </c>
      <c r="D608" s="158" t="s">
        <v>945</v>
      </c>
      <c r="E608" s="158" t="s">
        <v>25</v>
      </c>
      <c r="F608" s="158" t="s">
        <v>25</v>
      </c>
      <c r="G608" s="160" t="s">
        <v>866</v>
      </c>
      <c r="H608" s="161">
        <v>7934.92</v>
      </c>
      <c r="I608" s="161">
        <v>-320</v>
      </c>
      <c r="J608" s="161">
        <v>0</v>
      </c>
      <c r="K608" s="161">
        <v>0</v>
      </c>
      <c r="L608" s="161">
        <v>-2802.75</v>
      </c>
      <c r="M608" s="161">
        <v>-32</v>
      </c>
      <c r="N608" s="161">
        <v>-95</v>
      </c>
      <c r="O608" s="162">
        <f t="shared" si="54"/>
        <v>4685.17</v>
      </c>
      <c r="P608" s="161">
        <v>-2500</v>
      </c>
      <c r="Q608" s="162">
        <v>0</v>
      </c>
      <c r="R608" s="161">
        <v>-500</v>
      </c>
      <c r="S608" s="161">
        <v>0</v>
      </c>
      <c r="T608" s="161">
        <v>0</v>
      </c>
      <c r="U608" s="162">
        <v>0</v>
      </c>
      <c r="V608" s="161">
        <v>0</v>
      </c>
      <c r="W608" s="161">
        <f t="shared" si="55"/>
        <v>1685.17</v>
      </c>
      <c r="X608" s="161">
        <f t="shared" si="56"/>
        <v>1685.17</v>
      </c>
      <c r="Y608" s="161">
        <f t="shared" si="57"/>
        <v>0</v>
      </c>
      <c r="Z608" s="162">
        <v>0</v>
      </c>
      <c r="AA608" s="161">
        <f t="shared" si="58"/>
        <v>0</v>
      </c>
      <c r="AB608" s="161">
        <f t="shared" si="59"/>
        <v>3000</v>
      </c>
      <c r="AC608" s="158"/>
      <c r="AD608" s="158"/>
    </row>
    <row r="609" spans="1:30" ht="12.75" customHeight="1" x14ac:dyDescent="0.3">
      <c r="A609" s="147">
        <v>32</v>
      </c>
      <c r="B609" s="158" t="s">
        <v>918</v>
      </c>
      <c r="C609" s="158" t="s">
        <v>120</v>
      </c>
      <c r="D609" s="158" t="s">
        <v>950</v>
      </c>
      <c r="E609" s="158" t="s">
        <v>25</v>
      </c>
      <c r="F609" s="158" t="s">
        <v>25</v>
      </c>
      <c r="G609" s="160" t="s">
        <v>866</v>
      </c>
      <c r="H609" s="161">
        <v>7306.02</v>
      </c>
      <c r="I609" s="161">
        <v>-60.8</v>
      </c>
      <c r="J609" s="161">
        <v>0</v>
      </c>
      <c r="K609" s="161">
        <v>0</v>
      </c>
      <c r="L609" s="161">
        <v>-2127.9299999999998</v>
      </c>
      <c r="M609" s="161">
        <v>-25</v>
      </c>
      <c r="N609" s="161">
        <v>-154</v>
      </c>
      <c r="O609" s="162">
        <f t="shared" si="54"/>
        <v>4938.2900000000009</v>
      </c>
      <c r="P609" s="162">
        <v>-2500</v>
      </c>
      <c r="Q609" s="162">
        <v>0</v>
      </c>
      <c r="R609" s="162">
        <v>0</v>
      </c>
      <c r="S609" s="162">
        <v>0</v>
      </c>
      <c r="T609" s="162">
        <v>0</v>
      </c>
      <c r="U609" s="162">
        <v>-500</v>
      </c>
      <c r="V609" s="162">
        <v>0</v>
      </c>
      <c r="W609" s="161">
        <f t="shared" si="55"/>
        <v>1938.2900000000009</v>
      </c>
      <c r="X609" s="161">
        <f t="shared" si="56"/>
        <v>1938.2900000000009</v>
      </c>
      <c r="Y609" s="161">
        <f t="shared" si="57"/>
        <v>0</v>
      </c>
      <c r="Z609" s="162">
        <v>0</v>
      </c>
      <c r="AA609" s="161">
        <f t="shared" si="58"/>
        <v>0</v>
      </c>
      <c r="AB609" s="161">
        <f t="shared" si="59"/>
        <v>3000</v>
      </c>
      <c r="AC609" s="158"/>
      <c r="AD609" s="158"/>
    </row>
    <row r="610" spans="1:30" ht="12.75" customHeight="1" x14ac:dyDescent="0.3">
      <c r="A610" s="147">
        <v>32</v>
      </c>
      <c r="B610" s="158" t="s">
        <v>484</v>
      </c>
      <c r="C610" s="158" t="s">
        <v>426</v>
      </c>
      <c r="D610" s="158" t="s">
        <v>903</v>
      </c>
      <c r="E610" s="160" t="s">
        <v>25</v>
      </c>
      <c r="F610" s="158" t="s">
        <v>25</v>
      </c>
      <c r="G610" s="160" t="s">
        <v>866</v>
      </c>
      <c r="H610" s="161">
        <v>8848.77</v>
      </c>
      <c r="I610" s="161">
        <v>-126.4</v>
      </c>
      <c r="J610" s="161">
        <v>0</v>
      </c>
      <c r="K610" s="161">
        <v>0</v>
      </c>
      <c r="L610" s="161">
        <v>-4742.68</v>
      </c>
      <c r="M610" s="161">
        <v>-25</v>
      </c>
      <c r="N610" s="161">
        <v>0</v>
      </c>
      <c r="O610" s="162">
        <f t="shared" si="54"/>
        <v>3954.6900000000005</v>
      </c>
      <c r="P610" s="162">
        <v>-2500</v>
      </c>
      <c r="Q610" s="162">
        <v>7</v>
      </c>
      <c r="R610" s="162">
        <v>0</v>
      </c>
      <c r="S610" s="162">
        <v>0</v>
      </c>
      <c r="T610" s="162">
        <v>0</v>
      </c>
      <c r="U610" s="162">
        <v>-500</v>
      </c>
      <c r="V610" s="162">
        <v>0</v>
      </c>
      <c r="W610" s="161">
        <f t="shared" si="55"/>
        <v>961.69000000000051</v>
      </c>
      <c r="X610" s="161">
        <f t="shared" si="56"/>
        <v>961.69000000000051</v>
      </c>
      <c r="Y610" s="161">
        <f t="shared" si="57"/>
        <v>0</v>
      </c>
      <c r="Z610" s="162">
        <v>0</v>
      </c>
      <c r="AA610" s="161">
        <f t="shared" si="58"/>
        <v>0</v>
      </c>
      <c r="AB610" s="161">
        <f t="shared" si="59"/>
        <v>2993</v>
      </c>
      <c r="AC610" s="158" t="s">
        <v>1032</v>
      </c>
      <c r="AD610" s="158"/>
    </row>
    <row r="611" spans="1:30" ht="12.75" customHeight="1" x14ac:dyDescent="0.3">
      <c r="A611" s="147">
        <v>32</v>
      </c>
      <c r="B611" s="158" t="s">
        <v>408</v>
      </c>
      <c r="C611" s="158" t="s">
        <v>878</v>
      </c>
      <c r="D611" s="158" t="s">
        <v>972</v>
      </c>
      <c r="E611" s="160" t="s">
        <v>25</v>
      </c>
      <c r="F611" s="158" t="s">
        <v>39</v>
      </c>
      <c r="G611" s="160" t="s">
        <v>866</v>
      </c>
      <c r="H611" s="161">
        <v>2821.61</v>
      </c>
      <c r="I611" s="161">
        <v>0</v>
      </c>
      <c r="J611" s="161">
        <v>0</v>
      </c>
      <c r="K611" s="161">
        <v>0</v>
      </c>
      <c r="L611" s="161">
        <v>-243.22</v>
      </c>
      <c r="M611" s="161">
        <v>-38</v>
      </c>
      <c r="N611" s="161">
        <v>0</v>
      </c>
      <c r="O611" s="162">
        <f t="shared" si="54"/>
        <v>2540.3900000000003</v>
      </c>
      <c r="P611" s="162">
        <v>-2500</v>
      </c>
      <c r="Q611" s="162">
        <v>-2</v>
      </c>
      <c r="R611" s="162">
        <v>0</v>
      </c>
      <c r="S611" s="162">
        <v>0</v>
      </c>
      <c r="T611" s="162">
        <v>-500</v>
      </c>
      <c r="U611" s="162">
        <v>0</v>
      </c>
      <c r="V611" s="162">
        <v>0</v>
      </c>
      <c r="W611" s="161">
        <f t="shared" si="55"/>
        <v>-461.60999999999967</v>
      </c>
      <c r="X611" s="161">
        <f t="shared" si="56"/>
        <v>0</v>
      </c>
      <c r="Y611" s="161">
        <f t="shared" si="57"/>
        <v>-461.60999999999967</v>
      </c>
      <c r="Z611" s="162">
        <v>470</v>
      </c>
      <c r="AA611" s="161">
        <f t="shared" si="58"/>
        <v>8.3900000000003274</v>
      </c>
      <c r="AB611" s="161">
        <f t="shared" si="59"/>
        <v>3018.7800000000007</v>
      </c>
      <c r="AC611" s="158" t="s">
        <v>1031</v>
      </c>
      <c r="AD611" s="158"/>
    </row>
    <row r="612" spans="1:30" ht="12.75" customHeight="1" x14ac:dyDescent="0.3">
      <c r="A612" s="147">
        <v>32</v>
      </c>
      <c r="B612" s="158" t="s">
        <v>992</v>
      </c>
      <c r="C612" s="158" t="s">
        <v>169</v>
      </c>
      <c r="D612" s="158" t="s">
        <v>967</v>
      </c>
      <c r="E612" s="160" t="s">
        <v>871</v>
      </c>
      <c r="F612" s="158" t="s">
        <v>39</v>
      </c>
      <c r="G612" s="160" t="s">
        <v>866</v>
      </c>
      <c r="H612" s="161">
        <v>8079.78</v>
      </c>
      <c r="I612" s="161">
        <v>-166.4</v>
      </c>
      <c r="J612" s="161">
        <v>0</v>
      </c>
      <c r="K612" s="161">
        <v>0</v>
      </c>
      <c r="L612" s="161">
        <v>-2054.9</v>
      </c>
      <c r="M612" s="161">
        <v>-28</v>
      </c>
      <c r="N612" s="161">
        <v>0</v>
      </c>
      <c r="O612" s="162">
        <f t="shared" si="54"/>
        <v>5830.48</v>
      </c>
      <c r="P612" s="162">
        <v>-2500</v>
      </c>
      <c r="Q612" s="162">
        <v>0</v>
      </c>
      <c r="R612" s="162">
        <v>0</v>
      </c>
      <c r="S612" s="162">
        <v>0</v>
      </c>
      <c r="T612" s="162">
        <v>0</v>
      </c>
      <c r="U612" s="162">
        <v>0</v>
      </c>
      <c r="V612" s="162">
        <v>0</v>
      </c>
      <c r="W612" s="161">
        <f t="shared" si="55"/>
        <v>3330.4799999999996</v>
      </c>
      <c r="X612" s="161">
        <f t="shared" si="56"/>
        <v>3330.4799999999996</v>
      </c>
      <c r="Y612" s="161">
        <f t="shared" si="57"/>
        <v>0</v>
      </c>
      <c r="Z612" s="162">
        <v>0</v>
      </c>
      <c r="AA612" s="161">
        <f t="shared" si="58"/>
        <v>0</v>
      </c>
      <c r="AB612" s="161">
        <f t="shared" si="59"/>
        <v>2500</v>
      </c>
      <c r="AC612" s="158"/>
      <c r="AD612" s="158"/>
    </row>
    <row r="613" spans="1:30" ht="12.75" customHeight="1" x14ac:dyDescent="0.3">
      <c r="A613" s="147">
        <v>32</v>
      </c>
      <c r="B613" s="158" t="s">
        <v>1020</v>
      </c>
      <c r="C613" s="158" t="s">
        <v>123</v>
      </c>
      <c r="D613" s="158" t="s">
        <v>999</v>
      </c>
      <c r="E613" s="160" t="s">
        <v>871</v>
      </c>
      <c r="F613" s="158" t="s">
        <v>39</v>
      </c>
      <c r="G613" s="160" t="s">
        <v>866</v>
      </c>
      <c r="H613" s="161">
        <v>1055.6600000000001</v>
      </c>
      <c r="I613" s="161">
        <v>0</v>
      </c>
      <c r="J613" s="161">
        <v>0</v>
      </c>
      <c r="K613" s="161">
        <v>0</v>
      </c>
      <c r="L613" s="161">
        <v>-747.58</v>
      </c>
      <c r="M613" s="161">
        <v>-35</v>
      </c>
      <c r="N613" s="161">
        <v>0</v>
      </c>
      <c r="O613" s="162">
        <f t="shared" si="54"/>
        <v>273.08000000000004</v>
      </c>
      <c r="P613" s="161">
        <v>-2500</v>
      </c>
      <c r="Q613" s="162">
        <v>1699</v>
      </c>
      <c r="R613" s="161">
        <v>-500</v>
      </c>
      <c r="S613" s="161">
        <v>0</v>
      </c>
      <c r="T613" s="161">
        <v>0</v>
      </c>
      <c r="U613" s="162">
        <v>0</v>
      </c>
      <c r="V613" s="161">
        <v>0</v>
      </c>
      <c r="W613" s="161">
        <f t="shared" si="55"/>
        <v>-1027.92</v>
      </c>
      <c r="X613" s="161">
        <f t="shared" si="56"/>
        <v>0</v>
      </c>
      <c r="Y613" s="161">
        <f t="shared" si="57"/>
        <v>-1027.92</v>
      </c>
      <c r="Z613" s="161">
        <v>1000</v>
      </c>
      <c r="AA613" s="161">
        <f t="shared" si="58"/>
        <v>-27.920000000000073</v>
      </c>
      <c r="AB613" s="161">
        <f t="shared" si="59"/>
        <v>1245.1599999999999</v>
      </c>
      <c r="AC613" s="158" t="s">
        <v>1033</v>
      </c>
      <c r="AD613" s="158"/>
    </row>
    <row r="614" spans="1:30" ht="12.75" customHeight="1" x14ac:dyDescent="0.3">
      <c r="A614" s="147">
        <v>32</v>
      </c>
      <c r="B614" s="158" t="s">
        <v>962</v>
      </c>
      <c r="C614" s="158" t="s">
        <v>183</v>
      </c>
      <c r="D614" s="158" t="s">
        <v>887</v>
      </c>
      <c r="E614" s="160" t="s">
        <v>25</v>
      </c>
      <c r="F614" s="158" t="s">
        <v>25</v>
      </c>
      <c r="G614" s="160" t="s">
        <v>866</v>
      </c>
      <c r="H614" s="161">
        <v>93</v>
      </c>
      <c r="I614" s="161">
        <v>0</v>
      </c>
      <c r="J614" s="161">
        <v>0</v>
      </c>
      <c r="K614" s="161">
        <v>0</v>
      </c>
      <c r="L614" s="161">
        <v>0</v>
      </c>
      <c r="M614" s="161">
        <v>0</v>
      </c>
      <c r="N614" s="161">
        <v>-294</v>
      </c>
      <c r="O614" s="162">
        <f t="shared" si="54"/>
        <v>-201</v>
      </c>
      <c r="P614" s="162">
        <v>-1071.42</v>
      </c>
      <c r="Q614" s="162">
        <v>-2374</v>
      </c>
      <c r="R614" s="162">
        <v>3646</v>
      </c>
      <c r="S614" s="162">
        <v>0</v>
      </c>
      <c r="T614" s="162">
        <v>0</v>
      </c>
      <c r="U614" s="162">
        <v>0</v>
      </c>
      <c r="V614" s="162">
        <v>0</v>
      </c>
      <c r="W614" s="161">
        <f t="shared" si="55"/>
        <v>-0.42000000000007276</v>
      </c>
      <c r="X614" s="161">
        <f t="shared" si="56"/>
        <v>0</v>
      </c>
      <c r="Y614" s="161">
        <f t="shared" si="57"/>
        <v>-0.42000000000007276</v>
      </c>
      <c r="Z614" s="162">
        <v>0</v>
      </c>
      <c r="AA614" s="161">
        <f t="shared" si="58"/>
        <v>-0.42000000000007276</v>
      </c>
      <c r="AB614" s="161">
        <f t="shared" si="59"/>
        <v>-201.42000000000007</v>
      </c>
      <c r="AC614" s="158"/>
      <c r="AD614" s="158"/>
    </row>
    <row r="615" spans="1:30" ht="12.75" customHeight="1" x14ac:dyDescent="0.3">
      <c r="A615" s="147">
        <v>32</v>
      </c>
      <c r="B615" s="158" t="s">
        <v>1001</v>
      </c>
      <c r="C615" s="158" t="s">
        <v>150</v>
      </c>
      <c r="D615" s="158" t="s">
        <v>877</v>
      </c>
      <c r="E615" s="160" t="s">
        <v>25</v>
      </c>
      <c r="F615" s="158" t="s">
        <v>25</v>
      </c>
      <c r="G615" s="160" t="s">
        <v>866</v>
      </c>
      <c r="H615" s="161">
        <v>0</v>
      </c>
      <c r="I615" s="161">
        <v>0</v>
      </c>
      <c r="J615" s="161">
        <v>0</v>
      </c>
      <c r="K615" s="161">
        <v>0</v>
      </c>
      <c r="L615" s="161">
        <v>0</v>
      </c>
      <c r="M615" s="161">
        <v>0</v>
      </c>
      <c r="N615" s="161">
        <v>-30</v>
      </c>
      <c r="O615" s="162">
        <f t="shared" si="54"/>
        <v>-30</v>
      </c>
      <c r="P615" s="162">
        <v>0</v>
      </c>
      <c r="Q615" s="162">
        <v>-2371</v>
      </c>
      <c r="R615" s="162">
        <v>0</v>
      </c>
      <c r="S615" s="162">
        <v>0</v>
      </c>
      <c r="T615" s="162">
        <v>0</v>
      </c>
      <c r="U615" s="162">
        <v>0</v>
      </c>
      <c r="V615" s="162">
        <v>0</v>
      </c>
      <c r="W615" s="161">
        <f t="shared" si="55"/>
        <v>-2401</v>
      </c>
      <c r="X615" s="161">
        <f t="shared" si="56"/>
        <v>0</v>
      </c>
      <c r="Y615" s="161">
        <f t="shared" si="57"/>
        <v>-2401</v>
      </c>
      <c r="Z615" s="162">
        <v>0</v>
      </c>
      <c r="AA615" s="161">
        <f t="shared" si="58"/>
        <v>-2401</v>
      </c>
      <c r="AB615" s="161">
        <f t="shared" si="59"/>
        <v>-2431</v>
      </c>
      <c r="AC615" s="158" t="s">
        <v>1034</v>
      </c>
      <c r="AD615" s="158"/>
    </row>
    <row r="616" spans="1:30" ht="12.75" customHeight="1" x14ac:dyDescent="0.3">
      <c r="A616" s="147">
        <v>32</v>
      </c>
      <c r="B616" s="158" t="s">
        <v>923</v>
      </c>
      <c r="C616" s="158" t="s">
        <v>46</v>
      </c>
      <c r="D616" s="158" t="s">
        <v>915</v>
      </c>
      <c r="E616" s="160" t="s">
        <v>25</v>
      </c>
      <c r="F616" s="161" t="s">
        <v>25</v>
      </c>
      <c r="G616" s="160" t="s">
        <v>866</v>
      </c>
      <c r="H616" s="161">
        <v>0</v>
      </c>
      <c r="I616" s="161">
        <v>0</v>
      </c>
      <c r="J616" s="161">
        <v>0</v>
      </c>
      <c r="K616" s="161">
        <v>0</v>
      </c>
      <c r="L616" s="161">
        <v>0</v>
      </c>
      <c r="M616" s="161">
        <v>0</v>
      </c>
      <c r="N616" s="161">
        <v>0</v>
      </c>
      <c r="O616" s="162">
        <f t="shared" si="54"/>
        <v>0</v>
      </c>
      <c r="P616" s="161">
        <v>0</v>
      </c>
      <c r="Q616" s="161">
        <v>0</v>
      </c>
      <c r="R616" s="161">
        <v>500</v>
      </c>
      <c r="S616" s="161">
        <v>0</v>
      </c>
      <c r="T616" s="161">
        <v>0</v>
      </c>
      <c r="U616" s="161">
        <v>0</v>
      </c>
      <c r="V616" s="161">
        <v>0</v>
      </c>
      <c r="W616" s="161">
        <f t="shared" si="55"/>
        <v>500</v>
      </c>
      <c r="X616" s="161">
        <f t="shared" si="56"/>
        <v>500</v>
      </c>
      <c r="Y616" s="161">
        <f t="shared" si="57"/>
        <v>0</v>
      </c>
      <c r="Z616" s="161">
        <v>0</v>
      </c>
      <c r="AA616" s="161">
        <f t="shared" si="58"/>
        <v>0</v>
      </c>
      <c r="AB616" s="161">
        <f t="shared" si="59"/>
        <v>-500</v>
      </c>
      <c r="AC616" s="158"/>
      <c r="AD616" s="158"/>
    </row>
    <row r="617" spans="1:30" ht="12.75" customHeight="1" x14ac:dyDescent="0.3">
      <c r="A617" s="147">
        <v>32</v>
      </c>
      <c r="B617" s="158" t="s">
        <v>880</v>
      </c>
      <c r="C617" s="158" t="s">
        <v>57</v>
      </c>
      <c r="D617" s="158" t="s">
        <v>881</v>
      </c>
      <c r="E617" s="160" t="s">
        <v>25</v>
      </c>
      <c r="F617" s="158" t="s">
        <v>25</v>
      </c>
      <c r="G617" s="160" t="s">
        <v>866</v>
      </c>
      <c r="H617" s="161">
        <v>3301.17</v>
      </c>
      <c r="I617" s="161">
        <v>-16</v>
      </c>
      <c r="J617" s="161">
        <v>0</v>
      </c>
      <c r="K617" s="161">
        <v>0</v>
      </c>
      <c r="L617" s="161">
        <v>-1564.77</v>
      </c>
      <c r="M617" s="161">
        <v>-35</v>
      </c>
      <c r="N617" s="161">
        <v>0</v>
      </c>
      <c r="O617" s="162">
        <f t="shared" si="54"/>
        <v>1685.4</v>
      </c>
      <c r="P617" s="162">
        <v>-2300</v>
      </c>
      <c r="Q617" s="162">
        <v>0</v>
      </c>
      <c r="R617" s="162">
        <v>0</v>
      </c>
      <c r="S617" s="162">
        <v>0</v>
      </c>
      <c r="T617" s="162">
        <v>0</v>
      </c>
      <c r="U617" s="162">
        <v>0</v>
      </c>
      <c r="V617" s="162">
        <v>0</v>
      </c>
      <c r="W617" s="161">
        <f t="shared" si="55"/>
        <v>-614.59999999999991</v>
      </c>
      <c r="X617" s="161">
        <f t="shared" si="56"/>
        <v>0</v>
      </c>
      <c r="Y617" s="161">
        <f t="shared" si="57"/>
        <v>-614.59999999999991</v>
      </c>
      <c r="Z617" s="162">
        <v>615</v>
      </c>
      <c r="AA617" s="161">
        <f t="shared" si="58"/>
        <v>0.40000000000009095</v>
      </c>
      <c r="AB617" s="161">
        <f t="shared" si="59"/>
        <v>2300.8000000000002</v>
      </c>
      <c r="AC617" s="158" t="s">
        <v>1031</v>
      </c>
      <c r="AD617" s="158"/>
    </row>
    <row r="618" spans="1:30" ht="12.75" customHeight="1" x14ac:dyDescent="0.3">
      <c r="A618" s="147">
        <v>32</v>
      </c>
      <c r="B618" s="158" t="s">
        <v>922</v>
      </c>
      <c r="C618" s="158" t="s">
        <v>36</v>
      </c>
      <c r="D618" s="158" t="s">
        <v>904</v>
      </c>
      <c r="E618" s="160" t="s">
        <v>25</v>
      </c>
      <c r="F618" s="158" t="s">
        <v>25</v>
      </c>
      <c r="G618" s="160" t="s">
        <v>866</v>
      </c>
      <c r="H618" s="161">
        <v>2935.89</v>
      </c>
      <c r="I618" s="161">
        <v>0</v>
      </c>
      <c r="J618" s="161">
        <v>0</v>
      </c>
      <c r="K618" s="161">
        <v>0</v>
      </c>
      <c r="L618" s="161">
        <v>-900.27</v>
      </c>
      <c r="M618" s="161">
        <v>-38</v>
      </c>
      <c r="N618" s="161">
        <v>-13</v>
      </c>
      <c r="O618" s="162">
        <f t="shared" si="54"/>
        <v>1984.62</v>
      </c>
      <c r="P618" s="162">
        <v>-2500</v>
      </c>
      <c r="Q618" s="162">
        <v>-579</v>
      </c>
      <c r="R618" s="162">
        <v>0</v>
      </c>
      <c r="S618" s="162">
        <v>0</v>
      </c>
      <c r="T618" s="162">
        <v>0</v>
      </c>
      <c r="U618" s="162">
        <v>0</v>
      </c>
      <c r="V618" s="162">
        <v>0</v>
      </c>
      <c r="W618" s="161">
        <f t="shared" si="55"/>
        <v>-1094.3800000000001</v>
      </c>
      <c r="X618" s="161">
        <f t="shared" si="56"/>
        <v>0</v>
      </c>
      <c r="Y618" s="161">
        <f t="shared" si="57"/>
        <v>-1094.3800000000001</v>
      </c>
      <c r="Z618" s="162">
        <f>400+400+294</f>
        <v>1094</v>
      </c>
      <c r="AA618" s="161">
        <f t="shared" si="58"/>
        <v>-0.38000000000010914</v>
      </c>
      <c r="AB618" s="161">
        <f t="shared" si="59"/>
        <v>3078.24</v>
      </c>
      <c r="AC618" s="158" t="s">
        <v>1031</v>
      </c>
      <c r="AD618" s="158"/>
    </row>
    <row r="619" spans="1:30" ht="12.75" customHeight="1" x14ac:dyDescent="0.3">
      <c r="A619" s="147">
        <v>32</v>
      </c>
      <c r="B619" s="158" t="s">
        <v>993</v>
      </c>
      <c r="C619" s="158" t="s">
        <v>347</v>
      </c>
      <c r="D619" s="158" t="s">
        <v>897</v>
      </c>
      <c r="E619" s="160" t="s">
        <v>25</v>
      </c>
      <c r="F619" s="158" t="s">
        <v>25</v>
      </c>
      <c r="G619" s="160" t="s">
        <v>866</v>
      </c>
      <c r="H619" s="161">
        <v>3486.14</v>
      </c>
      <c r="I619" s="161">
        <v>0</v>
      </c>
      <c r="J619" s="161">
        <v>0</v>
      </c>
      <c r="K619" s="161">
        <v>0</v>
      </c>
      <c r="L619" s="161">
        <v>-2104.5100000000002</v>
      </c>
      <c r="M619" s="161">
        <v>-38</v>
      </c>
      <c r="N619" s="161">
        <v>0</v>
      </c>
      <c r="O619" s="162">
        <f t="shared" si="54"/>
        <v>1343.6299999999997</v>
      </c>
      <c r="P619" s="162">
        <v>-2500</v>
      </c>
      <c r="Q619" s="162">
        <v>-28</v>
      </c>
      <c r="R619" s="162">
        <v>-500</v>
      </c>
      <c r="S619" s="162">
        <v>0</v>
      </c>
      <c r="T619" s="162">
        <v>0</v>
      </c>
      <c r="U619" s="162">
        <v>0</v>
      </c>
      <c r="V619" s="162">
        <v>0</v>
      </c>
      <c r="W619" s="161">
        <f t="shared" si="55"/>
        <v>-1684.3700000000003</v>
      </c>
      <c r="X619" s="161">
        <f t="shared" si="56"/>
        <v>0</v>
      </c>
      <c r="Y619" s="161">
        <f t="shared" si="57"/>
        <v>-1684.3700000000003</v>
      </c>
      <c r="Z619" s="162">
        <f>1256+428</f>
        <v>1684</v>
      </c>
      <c r="AA619" s="161">
        <f t="shared" si="58"/>
        <v>-0.37000000000034561</v>
      </c>
      <c r="AB619" s="161">
        <f t="shared" si="59"/>
        <v>3027.2599999999993</v>
      </c>
      <c r="AC619" s="158" t="s">
        <v>1027</v>
      </c>
      <c r="AD619" s="158"/>
    </row>
    <row r="620" spans="1:30" ht="12.75" customHeight="1" x14ac:dyDescent="0.3">
      <c r="A620" s="147">
        <v>32</v>
      </c>
      <c r="B620" s="158" t="s">
        <v>994</v>
      </c>
      <c r="C620" s="158" t="s">
        <v>80</v>
      </c>
      <c r="D620" s="158" t="s">
        <v>20</v>
      </c>
      <c r="E620" s="160" t="s">
        <v>18</v>
      </c>
      <c r="F620" s="160" t="s">
        <v>18</v>
      </c>
      <c r="G620" s="160" t="s">
        <v>866</v>
      </c>
      <c r="H620" s="161">
        <v>0</v>
      </c>
      <c r="I620" s="161">
        <v>0</v>
      </c>
      <c r="J620" s="161">
        <v>0</v>
      </c>
      <c r="K620" s="161">
        <v>0</v>
      </c>
      <c r="L620" s="161">
        <v>0</v>
      </c>
      <c r="M620" s="162">
        <v>0</v>
      </c>
      <c r="N620" s="161">
        <v>0</v>
      </c>
      <c r="O620" s="162">
        <f t="shared" si="54"/>
        <v>0</v>
      </c>
      <c r="P620" s="161">
        <v>0</v>
      </c>
      <c r="Q620" s="161">
        <v>0</v>
      </c>
      <c r="R620" s="161">
        <v>500</v>
      </c>
      <c r="S620" s="161">
        <v>0</v>
      </c>
      <c r="T620" s="161">
        <v>0</v>
      </c>
      <c r="U620" s="161">
        <v>0</v>
      </c>
      <c r="V620" s="161">
        <v>0</v>
      </c>
      <c r="W620" s="161">
        <f t="shared" si="55"/>
        <v>500</v>
      </c>
      <c r="X620" s="161">
        <f t="shared" si="56"/>
        <v>500</v>
      </c>
      <c r="Y620" s="161">
        <f t="shared" si="57"/>
        <v>0</v>
      </c>
      <c r="Z620" s="162">
        <v>0</v>
      </c>
      <c r="AA620" s="161">
        <f t="shared" si="58"/>
        <v>0</v>
      </c>
      <c r="AB620" s="161">
        <f t="shared" si="59"/>
        <v>-500</v>
      </c>
      <c r="AC620" s="158" t="s">
        <v>1035</v>
      </c>
      <c r="AD620" s="158"/>
    </row>
    <row r="621" spans="1:30" ht="12.75" customHeight="1" x14ac:dyDescent="0.3">
      <c r="A621" s="147">
        <v>32</v>
      </c>
      <c r="B621" s="158" t="s">
        <v>1025</v>
      </c>
      <c r="C621" s="158" t="s">
        <v>110</v>
      </c>
      <c r="D621" s="158" t="s">
        <v>1036</v>
      </c>
      <c r="E621" s="158" t="s">
        <v>18</v>
      </c>
      <c r="F621" s="160" t="s">
        <v>18</v>
      </c>
      <c r="G621" s="160" t="s">
        <v>866</v>
      </c>
      <c r="H621" s="161">
        <v>6229.17</v>
      </c>
      <c r="I621" s="161">
        <v>0</v>
      </c>
      <c r="J621" s="161">
        <v>0</v>
      </c>
      <c r="K621" s="161">
        <v>0</v>
      </c>
      <c r="L621" s="161">
        <v>0</v>
      </c>
      <c r="M621" s="161">
        <v>0</v>
      </c>
      <c r="N621" s="161">
        <v>0</v>
      </c>
      <c r="O621" s="162">
        <f t="shared" si="54"/>
        <v>6229.17</v>
      </c>
      <c r="P621" s="161">
        <v>-2500</v>
      </c>
      <c r="Q621" s="162">
        <v>0</v>
      </c>
      <c r="R621" s="161">
        <v>-500</v>
      </c>
      <c r="S621" s="161">
        <v>0</v>
      </c>
      <c r="T621" s="161">
        <v>0</v>
      </c>
      <c r="U621" s="162">
        <v>0</v>
      </c>
      <c r="V621" s="161">
        <v>0</v>
      </c>
      <c r="W621" s="161">
        <f t="shared" si="55"/>
        <v>3229.17</v>
      </c>
      <c r="X621" s="161">
        <f t="shared" si="56"/>
        <v>3229.17</v>
      </c>
      <c r="Y621" s="161">
        <f t="shared" si="57"/>
        <v>0</v>
      </c>
      <c r="Z621" s="162">
        <v>0</v>
      </c>
      <c r="AA621" s="161">
        <f t="shared" si="58"/>
        <v>0</v>
      </c>
      <c r="AB621" s="161">
        <f t="shared" si="59"/>
        <v>3000</v>
      </c>
      <c r="AC621" s="158" t="s">
        <v>1035</v>
      </c>
      <c r="AD621" s="158"/>
    </row>
    <row r="622" spans="1:30" ht="12.75" customHeight="1" x14ac:dyDescent="0.3">
      <c r="A622" s="147">
        <v>32</v>
      </c>
      <c r="B622" s="158" t="s">
        <v>1010</v>
      </c>
      <c r="C622" s="158" t="s">
        <v>80</v>
      </c>
      <c r="D622" s="158" t="s">
        <v>996</v>
      </c>
      <c r="E622" s="158" t="s">
        <v>18</v>
      </c>
      <c r="F622" s="160" t="s">
        <v>18</v>
      </c>
      <c r="G622" s="160" t="s">
        <v>866</v>
      </c>
      <c r="H622" s="161">
        <v>942.55</v>
      </c>
      <c r="I622" s="161">
        <v>0</v>
      </c>
      <c r="J622" s="161">
        <v>0</v>
      </c>
      <c r="K622" s="161">
        <v>-10.56</v>
      </c>
      <c r="L622" s="161">
        <v>-495.15</v>
      </c>
      <c r="M622" s="161">
        <v>0</v>
      </c>
      <c r="N622" s="161">
        <v>0</v>
      </c>
      <c r="O622" s="162">
        <f t="shared" si="54"/>
        <v>436.84000000000003</v>
      </c>
      <c r="P622" s="161">
        <v>-2500</v>
      </c>
      <c r="Q622" s="162">
        <v>-1</v>
      </c>
      <c r="R622" s="161">
        <v>-500</v>
      </c>
      <c r="S622" s="161">
        <v>0</v>
      </c>
      <c r="T622" s="161">
        <v>0</v>
      </c>
      <c r="U622" s="162">
        <v>0</v>
      </c>
      <c r="V622" s="161">
        <v>0</v>
      </c>
      <c r="W622" s="161">
        <f t="shared" si="55"/>
        <v>-2564.16</v>
      </c>
      <c r="X622" s="161">
        <f t="shared" si="56"/>
        <v>0</v>
      </c>
      <c r="Y622" s="161">
        <f t="shared" si="57"/>
        <v>-2564.16</v>
      </c>
      <c r="Z622" s="162">
        <f>2000+564</f>
        <v>2564</v>
      </c>
      <c r="AA622" s="161">
        <f t="shared" si="58"/>
        <v>-0.15999999999985448</v>
      </c>
      <c r="AB622" s="161">
        <f t="shared" si="59"/>
        <v>3000.6800000000003</v>
      </c>
      <c r="AC622" s="158" t="s">
        <v>1015</v>
      </c>
      <c r="AD622" s="158"/>
    </row>
    <row r="623" spans="1:30" ht="12.75" customHeight="1" x14ac:dyDescent="0.3">
      <c r="A623" s="147">
        <v>33</v>
      </c>
      <c r="B623" s="158" t="s">
        <v>585</v>
      </c>
      <c r="C623" s="158" t="s">
        <v>42</v>
      </c>
      <c r="D623" s="158" t="s">
        <v>948</v>
      </c>
      <c r="E623" s="160" t="s">
        <v>25</v>
      </c>
      <c r="F623" s="158" t="s">
        <v>25</v>
      </c>
      <c r="G623" s="160" t="s">
        <v>866</v>
      </c>
      <c r="H623" s="161">
        <v>392.25</v>
      </c>
      <c r="I623" s="161">
        <v>0</v>
      </c>
      <c r="J623" s="161">
        <v>0</v>
      </c>
      <c r="K623" s="161">
        <v>0</v>
      </c>
      <c r="L623" s="161">
        <v>0</v>
      </c>
      <c r="M623" s="161">
        <v>-32</v>
      </c>
      <c r="N623" s="161">
        <v>0</v>
      </c>
      <c r="O623" s="162">
        <f t="shared" si="54"/>
        <v>360.25</v>
      </c>
      <c r="P623" s="162">
        <v>-2500</v>
      </c>
      <c r="Q623" s="162">
        <v>0</v>
      </c>
      <c r="R623" s="162">
        <v>0</v>
      </c>
      <c r="S623" s="162">
        <v>0</v>
      </c>
      <c r="T623" s="162">
        <v>-500</v>
      </c>
      <c r="U623" s="162">
        <v>0</v>
      </c>
      <c r="V623" s="162">
        <v>0</v>
      </c>
      <c r="W623" s="161">
        <f t="shared" si="55"/>
        <v>-2639.75</v>
      </c>
      <c r="X623" s="161">
        <f t="shared" si="56"/>
        <v>0</v>
      </c>
      <c r="Y623" s="161">
        <f t="shared" si="57"/>
        <v>-2639.75</v>
      </c>
      <c r="Z623" s="162">
        <f>2460+180</f>
        <v>2640</v>
      </c>
      <c r="AA623" s="161">
        <f t="shared" si="58"/>
        <v>0.25</v>
      </c>
      <c r="AB623" s="161">
        <f t="shared" si="59"/>
        <v>3000.5</v>
      </c>
      <c r="AC623" s="158" t="s">
        <v>1027</v>
      </c>
      <c r="AD623" s="158"/>
    </row>
    <row r="624" spans="1:30" ht="12.75" customHeight="1" x14ac:dyDescent="0.3">
      <c r="A624" s="147">
        <v>33</v>
      </c>
      <c r="B624" s="158" t="s">
        <v>837</v>
      </c>
      <c r="C624" s="158" t="s">
        <v>409</v>
      </c>
      <c r="D624" s="158" t="s">
        <v>946</v>
      </c>
      <c r="E624" s="158" t="s">
        <v>25</v>
      </c>
      <c r="F624" s="158" t="s">
        <v>25</v>
      </c>
      <c r="G624" s="160" t="s">
        <v>866</v>
      </c>
      <c r="H624" s="161">
        <v>6354.28</v>
      </c>
      <c r="I624" s="161">
        <v>-235.2</v>
      </c>
      <c r="J624" s="161">
        <v>0</v>
      </c>
      <c r="K624" s="161">
        <v>0</v>
      </c>
      <c r="L624" s="161">
        <v>0</v>
      </c>
      <c r="M624" s="161">
        <v>-25</v>
      </c>
      <c r="N624" s="161">
        <v>0</v>
      </c>
      <c r="O624" s="162">
        <f t="shared" si="54"/>
        <v>6094.08</v>
      </c>
      <c r="P624" s="162">
        <v>-1250</v>
      </c>
      <c r="Q624" s="161">
        <v>0</v>
      </c>
      <c r="R624" s="162">
        <v>-250</v>
      </c>
      <c r="S624" s="162">
        <v>0</v>
      </c>
      <c r="T624" s="162">
        <v>0</v>
      </c>
      <c r="U624" s="162">
        <v>0</v>
      </c>
      <c r="V624" s="162">
        <v>0</v>
      </c>
      <c r="W624" s="161">
        <f t="shared" si="55"/>
        <v>4594.08</v>
      </c>
      <c r="X624" s="161">
        <f t="shared" si="56"/>
        <v>4594.08</v>
      </c>
      <c r="Y624" s="161">
        <f t="shared" si="57"/>
        <v>0</v>
      </c>
      <c r="Z624" s="162">
        <v>0</v>
      </c>
      <c r="AA624" s="161">
        <f t="shared" si="58"/>
        <v>0</v>
      </c>
      <c r="AB624" s="161">
        <f t="shared" si="59"/>
        <v>1500</v>
      </c>
      <c r="AC624" s="158"/>
      <c r="AD624" s="158"/>
    </row>
    <row r="625" spans="1:30" ht="12.75" customHeight="1" x14ac:dyDescent="0.3">
      <c r="A625" s="147">
        <v>33</v>
      </c>
      <c r="B625" s="158" t="s">
        <v>944</v>
      </c>
      <c r="C625" s="158" t="s">
        <v>372</v>
      </c>
      <c r="D625" s="158" t="s">
        <v>1004</v>
      </c>
      <c r="E625" s="158" t="s">
        <v>39</v>
      </c>
      <c r="F625" s="158" t="s">
        <v>39</v>
      </c>
      <c r="G625" s="160" t="s">
        <v>866</v>
      </c>
      <c r="H625" s="161">
        <v>7418.45</v>
      </c>
      <c r="I625" s="161">
        <v>0</v>
      </c>
      <c r="J625" s="161">
        <v>0</v>
      </c>
      <c r="K625" s="161">
        <v>0</v>
      </c>
      <c r="L625" s="161">
        <v>-2196.85</v>
      </c>
      <c r="M625" s="161">
        <v>-48</v>
      </c>
      <c r="N625" s="161">
        <v>0</v>
      </c>
      <c r="O625" s="162">
        <f t="shared" si="54"/>
        <v>5173.6000000000004</v>
      </c>
      <c r="P625" s="162">
        <v>-2500</v>
      </c>
      <c r="Q625" s="162">
        <v>-1275.68</v>
      </c>
      <c r="R625" s="162">
        <v>0</v>
      </c>
      <c r="S625" s="162">
        <v>0</v>
      </c>
      <c r="T625" s="162">
        <v>-500</v>
      </c>
      <c r="U625" s="162">
        <v>0</v>
      </c>
      <c r="V625" s="162">
        <v>0</v>
      </c>
      <c r="W625" s="161">
        <f t="shared" si="55"/>
        <v>897.92000000000007</v>
      </c>
      <c r="X625" s="161">
        <f t="shared" si="56"/>
        <v>897.92000000000007</v>
      </c>
      <c r="Y625" s="161">
        <f t="shared" si="57"/>
        <v>0</v>
      </c>
      <c r="Z625" s="162">
        <v>0</v>
      </c>
      <c r="AA625" s="161">
        <f t="shared" si="58"/>
        <v>0</v>
      </c>
      <c r="AB625" s="161">
        <f t="shared" si="59"/>
        <v>4275.68</v>
      </c>
      <c r="AC625" s="158"/>
      <c r="AD625" s="158"/>
    </row>
    <row r="626" spans="1:30" ht="12.75" customHeight="1" x14ac:dyDescent="0.3">
      <c r="A626" s="147">
        <v>33</v>
      </c>
      <c r="B626" s="158" t="s">
        <v>1029</v>
      </c>
      <c r="C626" s="158" t="s">
        <v>68</v>
      </c>
      <c r="D626" s="158" t="s">
        <v>869</v>
      </c>
      <c r="E626" s="160" t="s">
        <v>25</v>
      </c>
      <c r="F626" s="158" t="s">
        <v>25</v>
      </c>
      <c r="G626" s="160" t="s">
        <v>866</v>
      </c>
      <c r="H626" s="161">
        <v>5008.55</v>
      </c>
      <c r="I626" s="161">
        <v>0</v>
      </c>
      <c r="J626" s="161">
        <v>0</v>
      </c>
      <c r="K626" s="161">
        <v>0</v>
      </c>
      <c r="L626" s="161">
        <v>0</v>
      </c>
      <c r="M626" s="161">
        <v>-38</v>
      </c>
      <c r="N626" s="161">
        <v>0</v>
      </c>
      <c r="O626" s="162">
        <f t="shared" si="54"/>
        <v>4970.55</v>
      </c>
      <c r="P626" s="161">
        <v>-1428.56</v>
      </c>
      <c r="Q626" s="161">
        <v>0</v>
      </c>
      <c r="R626" s="161">
        <v>-500</v>
      </c>
      <c r="S626" s="161">
        <v>0</v>
      </c>
      <c r="T626" s="161">
        <v>0</v>
      </c>
      <c r="U626" s="161">
        <v>0</v>
      </c>
      <c r="V626" s="161">
        <v>0</v>
      </c>
      <c r="W626" s="161">
        <f t="shared" si="55"/>
        <v>3041.9900000000002</v>
      </c>
      <c r="X626" s="161">
        <f t="shared" si="56"/>
        <v>3041.9900000000002</v>
      </c>
      <c r="Y626" s="161">
        <f t="shared" si="57"/>
        <v>0</v>
      </c>
      <c r="Z626" s="161">
        <v>0</v>
      </c>
      <c r="AA626" s="161">
        <f t="shared" si="58"/>
        <v>0</v>
      </c>
      <c r="AB626" s="161">
        <f t="shared" si="59"/>
        <v>1928.56</v>
      </c>
      <c r="AC626" s="158"/>
      <c r="AD626" s="158"/>
    </row>
    <row r="627" spans="1:30" ht="12.75" customHeight="1" x14ac:dyDescent="0.3">
      <c r="A627" s="147">
        <v>33</v>
      </c>
      <c r="B627" s="158" t="s">
        <v>1030</v>
      </c>
      <c r="C627" s="158" t="s">
        <v>195</v>
      </c>
      <c r="D627" s="158" t="s">
        <v>964</v>
      </c>
      <c r="E627" s="160" t="s">
        <v>871</v>
      </c>
      <c r="F627" s="158" t="s">
        <v>39</v>
      </c>
      <c r="G627" s="160" t="s">
        <v>866</v>
      </c>
      <c r="H627" s="161">
        <v>5981.93</v>
      </c>
      <c r="I627" s="161">
        <v>0</v>
      </c>
      <c r="J627" s="161">
        <v>0</v>
      </c>
      <c r="K627" s="161">
        <v>0</v>
      </c>
      <c r="L627" s="161">
        <v>-3736.05</v>
      </c>
      <c r="M627" s="161">
        <v>-32</v>
      </c>
      <c r="N627" s="161">
        <v>0</v>
      </c>
      <c r="O627" s="162">
        <f t="shared" si="54"/>
        <v>2213.88</v>
      </c>
      <c r="P627" s="161">
        <v>-2500</v>
      </c>
      <c r="Q627" s="161">
        <v>0</v>
      </c>
      <c r="R627" s="161">
        <v>-500</v>
      </c>
      <c r="S627" s="161">
        <v>0</v>
      </c>
      <c r="T627" s="161">
        <v>0</v>
      </c>
      <c r="U627" s="161">
        <v>0</v>
      </c>
      <c r="V627" s="161">
        <v>0</v>
      </c>
      <c r="W627" s="161">
        <f t="shared" si="55"/>
        <v>-786.11999999999989</v>
      </c>
      <c r="X627" s="161">
        <f t="shared" si="56"/>
        <v>0</v>
      </c>
      <c r="Y627" s="161">
        <f t="shared" si="57"/>
        <v>-786.11999999999989</v>
      </c>
      <c r="Z627" s="161">
        <v>786</v>
      </c>
      <c r="AA627" s="161">
        <f t="shared" si="58"/>
        <v>-0.11999999999989086</v>
      </c>
      <c r="AB627" s="161">
        <f t="shared" si="59"/>
        <v>2999.76</v>
      </c>
      <c r="AC627" s="158" t="s">
        <v>927</v>
      </c>
      <c r="AD627" s="158"/>
    </row>
    <row r="628" spans="1:30" ht="12.75" customHeight="1" x14ac:dyDescent="0.3">
      <c r="A628" s="147">
        <v>33</v>
      </c>
      <c r="B628" s="158" t="s">
        <v>913</v>
      </c>
      <c r="C628" s="158" t="s">
        <v>100</v>
      </c>
      <c r="D628" s="158" t="s">
        <v>953</v>
      </c>
      <c r="E628" s="160" t="s">
        <v>25</v>
      </c>
      <c r="F628" s="158" t="s">
        <v>25</v>
      </c>
      <c r="G628" s="160" t="s">
        <v>866</v>
      </c>
      <c r="H628" s="161">
        <v>7901.8</v>
      </c>
      <c r="I628" s="161">
        <v>-40.799999999999997</v>
      </c>
      <c r="J628" s="161">
        <v>0</v>
      </c>
      <c r="K628" s="161">
        <v>0</v>
      </c>
      <c r="L628" s="161">
        <v>-4933.17</v>
      </c>
      <c r="M628" s="161">
        <v>-32</v>
      </c>
      <c r="N628" s="161">
        <v>0</v>
      </c>
      <c r="O628" s="162">
        <f t="shared" si="54"/>
        <v>2895.83</v>
      </c>
      <c r="P628" s="162">
        <v>-2500</v>
      </c>
      <c r="Q628" s="162">
        <v>0</v>
      </c>
      <c r="R628" s="162">
        <v>0</v>
      </c>
      <c r="S628" s="162">
        <v>0</v>
      </c>
      <c r="T628" s="162">
        <v>0</v>
      </c>
      <c r="U628" s="162">
        <v>0</v>
      </c>
      <c r="V628" s="162">
        <v>0</v>
      </c>
      <c r="W628" s="161">
        <f t="shared" si="55"/>
        <v>395.82999999999993</v>
      </c>
      <c r="X628" s="161">
        <f t="shared" si="56"/>
        <v>395.82999999999993</v>
      </c>
      <c r="Y628" s="161">
        <f t="shared" si="57"/>
        <v>0</v>
      </c>
      <c r="Z628" s="162">
        <v>0</v>
      </c>
      <c r="AA628" s="161">
        <f t="shared" si="58"/>
        <v>0</v>
      </c>
      <c r="AB628" s="161">
        <f t="shared" si="59"/>
        <v>2500</v>
      </c>
      <c r="AC628" s="158"/>
      <c r="AD628" s="158"/>
    </row>
    <row r="629" spans="1:30" ht="12.75" customHeight="1" x14ac:dyDescent="0.3">
      <c r="A629" s="147">
        <v>33</v>
      </c>
      <c r="B629" s="158" t="s">
        <v>457</v>
      </c>
      <c r="C629" s="158" t="s">
        <v>571</v>
      </c>
      <c r="D629" s="158" t="s">
        <v>974</v>
      </c>
      <c r="E629" s="160" t="s">
        <v>25</v>
      </c>
      <c r="F629" s="158" t="s">
        <v>25</v>
      </c>
      <c r="G629" s="160" t="s">
        <v>866</v>
      </c>
      <c r="H629" s="161">
        <v>3366.06</v>
      </c>
      <c r="I629" s="161">
        <v>0</v>
      </c>
      <c r="J629" s="161">
        <v>0</v>
      </c>
      <c r="K629" s="161">
        <v>0</v>
      </c>
      <c r="L629" s="161">
        <v>-1247.21</v>
      </c>
      <c r="M629" s="161">
        <v>-32</v>
      </c>
      <c r="N629" s="161">
        <v>0</v>
      </c>
      <c r="O629" s="162">
        <f t="shared" si="54"/>
        <v>2086.85</v>
      </c>
      <c r="P629" s="162">
        <v>-2500</v>
      </c>
      <c r="Q629" s="162">
        <v>-670.88</v>
      </c>
      <c r="R629" s="162">
        <v>0</v>
      </c>
      <c r="S629" s="162">
        <v>0</v>
      </c>
      <c r="T629" s="162">
        <v>0</v>
      </c>
      <c r="U629" s="162">
        <v>-525</v>
      </c>
      <c r="V629" s="162">
        <v>0</v>
      </c>
      <c r="W629" s="161">
        <f t="shared" si="55"/>
        <v>-1609.0300000000002</v>
      </c>
      <c r="X629" s="161">
        <f t="shared" si="56"/>
        <v>0</v>
      </c>
      <c r="Y629" s="161">
        <f t="shared" si="57"/>
        <v>-1609.0300000000002</v>
      </c>
      <c r="Z629" s="162">
        <f>900+379+330</f>
        <v>1609</v>
      </c>
      <c r="AA629" s="161">
        <f t="shared" si="58"/>
        <v>-3.0000000000200089E-2</v>
      </c>
      <c r="AB629" s="161">
        <f t="shared" si="59"/>
        <v>3695.8199999999997</v>
      </c>
      <c r="AC629" s="158" t="s">
        <v>1037</v>
      </c>
      <c r="AD629" s="158"/>
    </row>
    <row r="630" spans="1:30" ht="12.75" customHeight="1" x14ac:dyDescent="0.3">
      <c r="A630" s="147">
        <v>33</v>
      </c>
      <c r="B630" s="158" t="s">
        <v>990</v>
      </c>
      <c r="C630" s="158" t="s">
        <v>46</v>
      </c>
      <c r="D630" s="158" t="s">
        <v>915</v>
      </c>
      <c r="E630" s="160" t="s">
        <v>25</v>
      </c>
      <c r="F630" s="158" t="s">
        <v>25</v>
      </c>
      <c r="G630" s="160" t="s">
        <v>866</v>
      </c>
      <c r="H630" s="161">
        <v>0</v>
      </c>
      <c r="I630" s="161">
        <v>0</v>
      </c>
      <c r="J630" s="161">
        <v>0</v>
      </c>
      <c r="K630" s="161">
        <v>0</v>
      </c>
      <c r="L630" s="161">
        <v>0</v>
      </c>
      <c r="M630" s="161">
        <v>0</v>
      </c>
      <c r="N630" s="161">
        <v>0</v>
      </c>
      <c r="O630" s="162">
        <f t="shared" si="54"/>
        <v>0</v>
      </c>
      <c r="P630" s="162">
        <v>-2500</v>
      </c>
      <c r="Q630" s="161">
        <v>0</v>
      </c>
      <c r="R630" s="162">
        <v>-500</v>
      </c>
      <c r="S630" s="162">
        <v>0</v>
      </c>
      <c r="T630" s="162">
        <v>0</v>
      </c>
      <c r="U630" s="162">
        <v>0</v>
      </c>
      <c r="V630" s="162">
        <v>0</v>
      </c>
      <c r="W630" s="161">
        <f t="shared" si="55"/>
        <v>-3000</v>
      </c>
      <c r="X630" s="161">
        <f t="shared" si="56"/>
        <v>0</v>
      </c>
      <c r="Y630" s="161">
        <f t="shared" si="57"/>
        <v>-3000</v>
      </c>
      <c r="Z630" s="162">
        <v>1300</v>
      </c>
      <c r="AA630" s="161">
        <f t="shared" si="58"/>
        <v>-1700</v>
      </c>
      <c r="AB630" s="161">
        <f t="shared" si="59"/>
        <v>-400</v>
      </c>
      <c r="AC630" s="158" t="s">
        <v>1038</v>
      </c>
      <c r="AD630" s="158"/>
    </row>
    <row r="631" spans="1:30" ht="12.75" customHeight="1" x14ac:dyDescent="0.3">
      <c r="A631" s="147">
        <v>33</v>
      </c>
      <c r="B631" s="158" t="s">
        <v>872</v>
      </c>
      <c r="C631" s="158" t="s">
        <v>256</v>
      </c>
      <c r="D631" s="158" t="s">
        <v>997</v>
      </c>
      <c r="E631" s="160" t="s">
        <v>871</v>
      </c>
      <c r="F631" s="158" t="s">
        <v>39</v>
      </c>
      <c r="G631" s="160" t="s">
        <v>866</v>
      </c>
      <c r="H631" s="161">
        <v>9290.33</v>
      </c>
      <c r="I631" s="161">
        <v>0</v>
      </c>
      <c r="J631" s="161">
        <v>0</v>
      </c>
      <c r="K631" s="161">
        <v>-89.96</v>
      </c>
      <c r="L631" s="161">
        <v>-5272.62</v>
      </c>
      <c r="M631" s="161">
        <v>-32</v>
      </c>
      <c r="N631" s="161">
        <v>-206.4</v>
      </c>
      <c r="O631" s="162">
        <f t="shared" si="54"/>
        <v>3689.3500000000008</v>
      </c>
      <c r="P631" s="162">
        <v>-2500</v>
      </c>
      <c r="Q631" s="162">
        <v>0</v>
      </c>
      <c r="R631" s="162">
        <v>0</v>
      </c>
      <c r="S631" s="162">
        <v>0</v>
      </c>
      <c r="T631" s="162">
        <v>0</v>
      </c>
      <c r="U631" s="162">
        <v>0</v>
      </c>
      <c r="V631" s="162">
        <v>0</v>
      </c>
      <c r="W631" s="161">
        <f t="shared" si="55"/>
        <v>1189.3500000000008</v>
      </c>
      <c r="X631" s="161">
        <f t="shared" si="56"/>
        <v>1189.3500000000008</v>
      </c>
      <c r="Y631" s="161">
        <f t="shared" si="57"/>
        <v>0</v>
      </c>
      <c r="Z631" s="162">
        <v>0</v>
      </c>
      <c r="AA631" s="161">
        <f t="shared" si="58"/>
        <v>0</v>
      </c>
      <c r="AB631" s="161">
        <f t="shared" si="59"/>
        <v>2500</v>
      </c>
      <c r="AC631" s="158" t="s">
        <v>1039</v>
      </c>
      <c r="AD631" s="158"/>
    </row>
    <row r="632" spans="1:30" ht="12.75" customHeight="1" x14ac:dyDescent="0.3">
      <c r="A632" s="147">
        <v>33</v>
      </c>
      <c r="B632" s="158" t="s">
        <v>921</v>
      </c>
      <c r="C632" s="158" t="s">
        <v>257</v>
      </c>
      <c r="D632" s="158" t="s">
        <v>943</v>
      </c>
      <c r="E632" s="160" t="s">
        <v>25</v>
      </c>
      <c r="F632" s="158" t="s">
        <v>25</v>
      </c>
      <c r="G632" s="160" t="s">
        <v>866</v>
      </c>
      <c r="H632" s="161">
        <v>6919.27</v>
      </c>
      <c r="I632" s="161">
        <v>0</v>
      </c>
      <c r="J632" s="161">
        <v>0</v>
      </c>
      <c r="K632" s="161">
        <v>0</v>
      </c>
      <c r="L632" s="161">
        <v>-1971.96</v>
      </c>
      <c r="M632" s="161">
        <v>-38</v>
      </c>
      <c r="N632" s="161">
        <v>0</v>
      </c>
      <c r="O632" s="162">
        <f t="shared" si="54"/>
        <v>4909.3100000000004</v>
      </c>
      <c r="P632" s="162">
        <v>-2500</v>
      </c>
      <c r="Q632" s="161">
        <v>0</v>
      </c>
      <c r="R632" s="162">
        <v>0</v>
      </c>
      <c r="S632" s="162">
        <v>0</v>
      </c>
      <c r="T632" s="162">
        <v>0</v>
      </c>
      <c r="U632" s="162">
        <v>0</v>
      </c>
      <c r="V632" s="162">
        <v>-1000</v>
      </c>
      <c r="W632" s="161">
        <f t="shared" si="55"/>
        <v>1409.3100000000004</v>
      </c>
      <c r="X632" s="161">
        <f t="shared" si="56"/>
        <v>1409.3100000000004</v>
      </c>
      <c r="Y632" s="161">
        <f t="shared" si="57"/>
        <v>0</v>
      </c>
      <c r="Z632" s="162">
        <v>0</v>
      </c>
      <c r="AA632" s="161">
        <f t="shared" si="58"/>
        <v>0</v>
      </c>
      <c r="AB632" s="161">
        <f t="shared" si="59"/>
        <v>3500</v>
      </c>
      <c r="AC632" s="158"/>
      <c r="AD632" s="158"/>
    </row>
    <row r="633" spans="1:30" ht="12.75" customHeight="1" x14ac:dyDescent="0.3">
      <c r="A633" s="147">
        <v>33</v>
      </c>
      <c r="B633" s="158" t="s">
        <v>1013</v>
      </c>
      <c r="C633" s="158" t="s">
        <v>101</v>
      </c>
      <c r="D633" s="158" t="s">
        <v>945</v>
      </c>
      <c r="E633" s="158" t="s">
        <v>25</v>
      </c>
      <c r="F633" s="158" t="s">
        <v>25</v>
      </c>
      <c r="G633" s="160" t="s">
        <v>866</v>
      </c>
      <c r="H633" s="161">
        <v>9013.9699999999993</v>
      </c>
      <c r="I633" s="161">
        <v>-33.6</v>
      </c>
      <c r="J633" s="161">
        <v>0</v>
      </c>
      <c r="K633" s="161">
        <v>0</v>
      </c>
      <c r="L633" s="161">
        <v>-4777.2299999999996</v>
      </c>
      <c r="M633" s="161">
        <v>-38</v>
      </c>
      <c r="N633" s="161">
        <v>0</v>
      </c>
      <c r="O633" s="162">
        <f t="shared" si="54"/>
        <v>4165.1399999999994</v>
      </c>
      <c r="P633" s="161">
        <v>-2500</v>
      </c>
      <c r="Q633" s="161">
        <v>0</v>
      </c>
      <c r="R633" s="161">
        <v>-500</v>
      </c>
      <c r="S633" s="161">
        <v>0</v>
      </c>
      <c r="T633" s="161">
        <v>0</v>
      </c>
      <c r="U633" s="162">
        <v>0</v>
      </c>
      <c r="V633" s="161">
        <v>0</v>
      </c>
      <c r="W633" s="161">
        <f t="shared" si="55"/>
        <v>1165.1399999999994</v>
      </c>
      <c r="X633" s="161">
        <f t="shared" si="56"/>
        <v>1165.1399999999994</v>
      </c>
      <c r="Y633" s="161">
        <f t="shared" si="57"/>
        <v>0</v>
      </c>
      <c r="Z633" s="162">
        <v>0</v>
      </c>
      <c r="AA633" s="161">
        <f t="shared" si="58"/>
        <v>0</v>
      </c>
      <c r="AB633" s="161">
        <f t="shared" si="59"/>
        <v>3000</v>
      </c>
      <c r="AC633" s="158"/>
      <c r="AD633" s="158"/>
    </row>
    <row r="634" spans="1:30" ht="12.75" customHeight="1" x14ac:dyDescent="0.3">
      <c r="A634" s="147">
        <v>33</v>
      </c>
      <c r="B634" s="158" t="s">
        <v>918</v>
      </c>
      <c r="C634" s="158" t="s">
        <v>120</v>
      </c>
      <c r="D634" s="158" t="s">
        <v>950</v>
      </c>
      <c r="E634" s="158" t="s">
        <v>25</v>
      </c>
      <c r="F634" s="158" t="s">
        <v>25</v>
      </c>
      <c r="G634" s="160" t="s">
        <v>866</v>
      </c>
      <c r="H634" s="161">
        <v>9163.36</v>
      </c>
      <c r="I634" s="161">
        <v>-48.8</v>
      </c>
      <c r="J634" s="161">
        <v>0</v>
      </c>
      <c r="K634" s="161">
        <v>0</v>
      </c>
      <c r="L634" s="161">
        <v>-1652.48</v>
      </c>
      <c r="M634" s="161">
        <v>-35</v>
      </c>
      <c r="N634" s="161">
        <v>-40</v>
      </c>
      <c r="O634" s="162">
        <f t="shared" si="54"/>
        <v>7387.0800000000017</v>
      </c>
      <c r="P634" s="162">
        <v>-2500</v>
      </c>
      <c r="Q634" s="161">
        <v>0</v>
      </c>
      <c r="R634" s="162">
        <v>0</v>
      </c>
      <c r="S634" s="162">
        <v>0</v>
      </c>
      <c r="T634" s="162">
        <v>0</v>
      </c>
      <c r="U634" s="162">
        <v>0</v>
      </c>
      <c r="V634" s="162">
        <v>0</v>
      </c>
      <c r="W634" s="161">
        <f t="shared" si="55"/>
        <v>4887.0800000000017</v>
      </c>
      <c r="X634" s="161">
        <f t="shared" si="56"/>
        <v>4887.0800000000017</v>
      </c>
      <c r="Y634" s="161">
        <f t="shared" si="57"/>
        <v>0</v>
      </c>
      <c r="Z634" s="162">
        <v>0</v>
      </c>
      <c r="AA634" s="161">
        <f t="shared" si="58"/>
        <v>0</v>
      </c>
      <c r="AB634" s="161">
        <f t="shared" si="59"/>
        <v>2500</v>
      </c>
      <c r="AC634" s="158"/>
      <c r="AD634" s="158"/>
    </row>
    <row r="635" spans="1:30" ht="12.75" customHeight="1" x14ac:dyDescent="0.3">
      <c r="A635" s="147">
        <v>33</v>
      </c>
      <c r="B635" s="158" t="s">
        <v>484</v>
      </c>
      <c r="C635" s="158" t="s">
        <v>426</v>
      </c>
      <c r="D635" s="158" t="s">
        <v>903</v>
      </c>
      <c r="E635" s="160" t="s">
        <v>25</v>
      </c>
      <c r="F635" s="158" t="s">
        <v>25</v>
      </c>
      <c r="G635" s="160" t="s">
        <v>866</v>
      </c>
      <c r="H635" s="161">
        <v>9029.82</v>
      </c>
      <c r="I635" s="161">
        <v>-112.8</v>
      </c>
      <c r="J635" s="161">
        <v>0</v>
      </c>
      <c r="K635" s="161">
        <v>0</v>
      </c>
      <c r="L635" s="161">
        <v>-4824.3</v>
      </c>
      <c r="M635" s="161">
        <v>-32</v>
      </c>
      <c r="N635" s="161">
        <v>0</v>
      </c>
      <c r="O635" s="162">
        <f t="shared" si="54"/>
        <v>4060.7200000000003</v>
      </c>
      <c r="P635" s="162">
        <v>-2500</v>
      </c>
      <c r="Q635" s="161">
        <v>-38</v>
      </c>
      <c r="R635" s="162">
        <v>0</v>
      </c>
      <c r="S635" s="162">
        <v>0</v>
      </c>
      <c r="T635" s="162">
        <v>0</v>
      </c>
      <c r="U635" s="162">
        <v>-500</v>
      </c>
      <c r="V635" s="162">
        <v>0</v>
      </c>
      <c r="W635" s="161">
        <f t="shared" si="55"/>
        <v>1022.7200000000003</v>
      </c>
      <c r="X635" s="161">
        <f t="shared" si="56"/>
        <v>1022.7200000000003</v>
      </c>
      <c r="Y635" s="161">
        <f t="shared" si="57"/>
        <v>0</v>
      </c>
      <c r="Z635" s="162">
        <v>0</v>
      </c>
      <c r="AA635" s="161">
        <f t="shared" si="58"/>
        <v>0</v>
      </c>
      <c r="AB635" s="161">
        <f t="shared" si="59"/>
        <v>3038</v>
      </c>
      <c r="AC635" s="158" t="s">
        <v>1040</v>
      </c>
      <c r="AD635" s="158"/>
    </row>
    <row r="636" spans="1:30" ht="12.75" customHeight="1" x14ac:dyDescent="0.3">
      <c r="A636" s="147">
        <v>33</v>
      </c>
      <c r="B636" s="158" t="s">
        <v>408</v>
      </c>
      <c r="C636" s="158" t="s">
        <v>878</v>
      </c>
      <c r="D636" s="158" t="s">
        <v>972</v>
      </c>
      <c r="E636" s="160" t="s">
        <v>25</v>
      </c>
      <c r="F636" s="158" t="s">
        <v>39</v>
      </c>
      <c r="G636" s="160" t="s">
        <v>866</v>
      </c>
      <c r="H636" s="161">
        <v>3415.69</v>
      </c>
      <c r="I636" s="161">
        <v>0</v>
      </c>
      <c r="J636" s="161">
        <v>0</v>
      </c>
      <c r="K636" s="161">
        <v>0</v>
      </c>
      <c r="L636" s="161">
        <v>-1025.1199999999999</v>
      </c>
      <c r="M636" s="161">
        <v>-38</v>
      </c>
      <c r="N636" s="161">
        <v>0</v>
      </c>
      <c r="O636" s="162">
        <f t="shared" si="54"/>
        <v>2352.5700000000002</v>
      </c>
      <c r="P636" s="162">
        <v>-2500</v>
      </c>
      <c r="Q636" s="162">
        <v>8</v>
      </c>
      <c r="R636" s="162">
        <v>0</v>
      </c>
      <c r="S636" s="162">
        <v>0</v>
      </c>
      <c r="T636" s="162">
        <v>-500</v>
      </c>
      <c r="U636" s="162">
        <v>0</v>
      </c>
      <c r="V636" s="162">
        <v>0</v>
      </c>
      <c r="W636" s="161">
        <f t="shared" si="55"/>
        <v>-639.42999999999984</v>
      </c>
      <c r="X636" s="161">
        <f t="shared" si="56"/>
        <v>0</v>
      </c>
      <c r="Y636" s="161">
        <f t="shared" si="57"/>
        <v>-639.42999999999984</v>
      </c>
      <c r="Z636" s="162">
        <v>600</v>
      </c>
      <c r="AA636" s="161">
        <f t="shared" si="58"/>
        <v>-39.429999999999836</v>
      </c>
      <c r="AB636" s="161">
        <f t="shared" si="59"/>
        <v>2913.1400000000003</v>
      </c>
      <c r="AC636" s="158" t="s">
        <v>1041</v>
      </c>
      <c r="AD636" s="158"/>
    </row>
    <row r="637" spans="1:30" ht="12.75" customHeight="1" x14ac:dyDescent="0.3">
      <c r="A637" s="147">
        <v>33</v>
      </c>
      <c r="B637" s="158" t="s">
        <v>992</v>
      </c>
      <c r="C637" s="158" t="s">
        <v>169</v>
      </c>
      <c r="D637" s="158" t="s">
        <v>967</v>
      </c>
      <c r="E637" s="160" t="s">
        <v>871</v>
      </c>
      <c r="F637" s="158" t="s">
        <v>39</v>
      </c>
      <c r="G637" s="160" t="s">
        <v>866</v>
      </c>
      <c r="H637" s="161">
        <v>5710.91</v>
      </c>
      <c r="I637" s="161">
        <v>0</v>
      </c>
      <c r="J637" s="161">
        <v>0</v>
      </c>
      <c r="K637" s="161">
        <v>0</v>
      </c>
      <c r="L637" s="161">
        <v>-1417.82</v>
      </c>
      <c r="M637" s="161">
        <v>-32</v>
      </c>
      <c r="N637" s="161">
        <v>0</v>
      </c>
      <c r="O637" s="162">
        <f t="shared" si="54"/>
        <v>4261.09</v>
      </c>
      <c r="P637" s="162">
        <v>-2500</v>
      </c>
      <c r="Q637" s="162">
        <v>0</v>
      </c>
      <c r="R637" s="162">
        <v>0</v>
      </c>
      <c r="S637" s="162">
        <v>0</v>
      </c>
      <c r="T637" s="162">
        <v>0</v>
      </c>
      <c r="U637" s="162">
        <v>0</v>
      </c>
      <c r="V637" s="162">
        <v>0</v>
      </c>
      <c r="W637" s="161">
        <f t="shared" si="55"/>
        <v>1761.0900000000001</v>
      </c>
      <c r="X637" s="161">
        <f t="shared" si="56"/>
        <v>1761.0900000000001</v>
      </c>
      <c r="Y637" s="161">
        <f t="shared" si="57"/>
        <v>0</v>
      </c>
      <c r="Z637" s="162">
        <v>0</v>
      </c>
      <c r="AA637" s="161">
        <f t="shared" si="58"/>
        <v>0</v>
      </c>
      <c r="AB637" s="161">
        <f t="shared" si="59"/>
        <v>2500</v>
      </c>
      <c r="AC637" s="158" t="s">
        <v>1042</v>
      </c>
      <c r="AD637" s="158"/>
    </row>
    <row r="638" spans="1:30" ht="12.75" customHeight="1" x14ac:dyDescent="0.3">
      <c r="A638" s="147">
        <v>33</v>
      </c>
      <c r="B638" s="158" t="s">
        <v>1020</v>
      </c>
      <c r="C638" s="158" t="s">
        <v>123</v>
      </c>
      <c r="D638" s="158" t="s">
        <v>999</v>
      </c>
      <c r="E638" s="160" t="s">
        <v>871</v>
      </c>
      <c r="F638" s="158" t="s">
        <v>39</v>
      </c>
      <c r="G638" s="160" t="s">
        <v>866</v>
      </c>
      <c r="H638" s="161">
        <v>1599.4</v>
      </c>
      <c r="I638" s="161">
        <v>0</v>
      </c>
      <c r="J638" s="161">
        <v>0</v>
      </c>
      <c r="K638" s="161">
        <v>0</v>
      </c>
      <c r="L638" s="161">
        <v>-927.5</v>
      </c>
      <c r="M638" s="161">
        <v>-35</v>
      </c>
      <c r="N638" s="161">
        <v>0</v>
      </c>
      <c r="O638" s="162">
        <f t="shared" si="54"/>
        <v>636.90000000000009</v>
      </c>
      <c r="P638" s="161">
        <v>-2500</v>
      </c>
      <c r="Q638" s="162">
        <v>-28</v>
      </c>
      <c r="R638" s="161">
        <v>-500</v>
      </c>
      <c r="S638" s="161">
        <v>0</v>
      </c>
      <c r="T638" s="161">
        <v>0</v>
      </c>
      <c r="U638" s="162">
        <v>0</v>
      </c>
      <c r="V638" s="161">
        <v>0</v>
      </c>
      <c r="W638" s="161">
        <f t="shared" si="55"/>
        <v>-2391.1</v>
      </c>
      <c r="X638" s="161">
        <f t="shared" si="56"/>
        <v>0</v>
      </c>
      <c r="Y638" s="161">
        <f t="shared" si="57"/>
        <v>-2391.1</v>
      </c>
      <c r="Z638" s="161">
        <f>1500+1000</f>
        <v>2500</v>
      </c>
      <c r="AA638" s="161">
        <f t="shared" si="58"/>
        <v>108.90000000000009</v>
      </c>
      <c r="AB638" s="161">
        <f t="shared" si="59"/>
        <v>3245.8</v>
      </c>
      <c r="AC638" s="158" t="s">
        <v>927</v>
      </c>
      <c r="AD638" s="158"/>
    </row>
    <row r="639" spans="1:30" ht="12.75" customHeight="1" x14ac:dyDescent="0.3">
      <c r="A639" s="147">
        <v>33</v>
      </c>
      <c r="B639" s="158" t="s">
        <v>923</v>
      </c>
      <c r="C639" s="158" t="s">
        <v>46</v>
      </c>
      <c r="D639" s="158" t="s">
        <v>915</v>
      </c>
      <c r="E639" s="160" t="s">
        <v>25</v>
      </c>
      <c r="F639" s="161" t="s">
        <v>25</v>
      </c>
      <c r="G639" s="160" t="s">
        <v>866</v>
      </c>
      <c r="H639" s="161">
        <v>0</v>
      </c>
      <c r="I639" s="161">
        <v>0</v>
      </c>
      <c r="J639" s="161">
        <v>0</v>
      </c>
      <c r="K639" s="161">
        <v>0</v>
      </c>
      <c r="L639" s="161">
        <v>0</v>
      </c>
      <c r="M639" s="161">
        <v>0</v>
      </c>
      <c r="N639" s="161">
        <v>0</v>
      </c>
      <c r="O639" s="162">
        <f t="shared" si="54"/>
        <v>0</v>
      </c>
      <c r="P639" s="161">
        <v>0</v>
      </c>
      <c r="Q639" s="161">
        <v>0</v>
      </c>
      <c r="R639" s="161">
        <v>500</v>
      </c>
      <c r="S639" s="161">
        <v>0</v>
      </c>
      <c r="T639" s="161">
        <v>0</v>
      </c>
      <c r="U639" s="161">
        <v>0</v>
      </c>
      <c r="V639" s="161">
        <v>0</v>
      </c>
      <c r="W639" s="161">
        <f t="shared" si="55"/>
        <v>500</v>
      </c>
      <c r="X639" s="161">
        <f t="shared" si="56"/>
        <v>500</v>
      </c>
      <c r="Y639" s="161">
        <f t="shared" si="57"/>
        <v>0</v>
      </c>
      <c r="Z639" s="161">
        <v>0</v>
      </c>
      <c r="AA639" s="161">
        <f t="shared" si="58"/>
        <v>0</v>
      </c>
      <c r="AB639" s="161">
        <f t="shared" si="59"/>
        <v>-500</v>
      </c>
      <c r="AC639" s="158"/>
      <c r="AD639" s="158"/>
    </row>
    <row r="640" spans="1:30" ht="12.75" customHeight="1" x14ac:dyDescent="0.3">
      <c r="A640" s="147">
        <v>33</v>
      </c>
      <c r="B640" s="158" t="s">
        <v>880</v>
      </c>
      <c r="C640" s="158" t="s">
        <v>183</v>
      </c>
      <c r="D640" s="158" t="s">
        <v>887</v>
      </c>
      <c r="E640" s="160" t="s">
        <v>25</v>
      </c>
      <c r="F640" s="158" t="s">
        <v>25</v>
      </c>
      <c r="G640" s="160" t="s">
        <v>866</v>
      </c>
      <c r="H640" s="161">
        <v>4002.67</v>
      </c>
      <c r="I640" s="161">
        <v>0</v>
      </c>
      <c r="J640" s="161">
        <v>0</v>
      </c>
      <c r="K640" s="161">
        <v>0</v>
      </c>
      <c r="L640" s="161">
        <v>-1069.8499999999999</v>
      </c>
      <c r="M640" s="161">
        <v>-44.79</v>
      </c>
      <c r="N640" s="161">
        <v>0</v>
      </c>
      <c r="O640" s="162">
        <f t="shared" si="54"/>
        <v>2888.03</v>
      </c>
      <c r="P640" s="162">
        <v>-2500</v>
      </c>
      <c r="Q640" s="161">
        <v>0</v>
      </c>
      <c r="R640" s="162">
        <v>0</v>
      </c>
      <c r="S640" s="162">
        <v>0</v>
      </c>
      <c r="T640" s="162">
        <v>0</v>
      </c>
      <c r="U640" s="162">
        <v>0</v>
      </c>
      <c r="V640" s="162">
        <v>0</v>
      </c>
      <c r="W640" s="161">
        <f t="shared" si="55"/>
        <v>388.0300000000002</v>
      </c>
      <c r="X640" s="161">
        <f t="shared" si="56"/>
        <v>388.0300000000002</v>
      </c>
      <c r="Y640" s="161">
        <f t="shared" si="57"/>
        <v>0</v>
      </c>
      <c r="Z640" s="162">
        <v>0</v>
      </c>
      <c r="AA640" s="161">
        <f t="shared" si="58"/>
        <v>0</v>
      </c>
      <c r="AB640" s="161">
        <f t="shared" si="59"/>
        <v>2500</v>
      </c>
      <c r="AC640" s="158"/>
      <c r="AD640" s="158"/>
    </row>
    <row r="641" spans="1:30" ht="12.75" customHeight="1" x14ac:dyDescent="0.3">
      <c r="A641" s="147">
        <v>33</v>
      </c>
      <c r="B641" s="158" t="s">
        <v>922</v>
      </c>
      <c r="C641" s="158" t="s">
        <v>36</v>
      </c>
      <c r="D641" s="158" t="s">
        <v>904</v>
      </c>
      <c r="E641" s="160" t="s">
        <v>25</v>
      </c>
      <c r="F641" s="158" t="s">
        <v>25</v>
      </c>
      <c r="G641" s="160" t="s">
        <v>866</v>
      </c>
      <c r="H641" s="161">
        <v>2310.36</v>
      </c>
      <c r="I641" s="161">
        <v>0</v>
      </c>
      <c r="J641" s="161">
        <v>0</v>
      </c>
      <c r="K641" s="161">
        <v>0</v>
      </c>
      <c r="L641" s="161">
        <v>-389.49</v>
      </c>
      <c r="M641" s="161">
        <v>-40</v>
      </c>
      <c r="N641" s="161">
        <v>0</v>
      </c>
      <c r="O641" s="162">
        <f t="shared" si="54"/>
        <v>1880.8700000000001</v>
      </c>
      <c r="P641" s="162">
        <v>-2500</v>
      </c>
      <c r="Q641" s="161">
        <v>0</v>
      </c>
      <c r="R641" s="162">
        <v>0</v>
      </c>
      <c r="S641" s="162">
        <v>0</v>
      </c>
      <c r="T641" s="162">
        <v>0</v>
      </c>
      <c r="U641" s="162">
        <v>0</v>
      </c>
      <c r="V641" s="162">
        <v>0</v>
      </c>
      <c r="W641" s="161">
        <f t="shared" si="55"/>
        <v>-619.12999999999988</v>
      </c>
      <c r="X641" s="161">
        <f t="shared" si="56"/>
        <v>0</v>
      </c>
      <c r="Y641" s="161">
        <f t="shared" si="57"/>
        <v>-619.12999999999988</v>
      </c>
      <c r="Z641" s="162">
        <v>600</v>
      </c>
      <c r="AA641" s="161">
        <f t="shared" si="58"/>
        <v>-19.129999999999882</v>
      </c>
      <c r="AB641" s="161">
        <f t="shared" si="59"/>
        <v>2461.7399999999998</v>
      </c>
      <c r="AC641" s="158" t="s">
        <v>1043</v>
      </c>
      <c r="AD641" s="158"/>
    </row>
    <row r="642" spans="1:30" ht="12.75" customHeight="1" x14ac:dyDescent="0.3">
      <c r="A642" s="147">
        <v>33</v>
      </c>
      <c r="B642" s="158" t="s">
        <v>993</v>
      </c>
      <c r="C642" s="158" t="s">
        <v>347</v>
      </c>
      <c r="D642" s="158" t="s">
        <v>897</v>
      </c>
      <c r="E642" s="160" t="s">
        <v>25</v>
      </c>
      <c r="F642" s="158" t="s">
        <v>25</v>
      </c>
      <c r="G642" s="160" t="s">
        <v>866</v>
      </c>
      <c r="H642" s="161">
        <v>3016.05</v>
      </c>
      <c r="I642" s="161">
        <v>0</v>
      </c>
      <c r="J642" s="161">
        <v>0</v>
      </c>
      <c r="K642" s="161">
        <v>0</v>
      </c>
      <c r="L642" s="161">
        <v>-2286.12</v>
      </c>
      <c r="M642" s="161">
        <v>-38</v>
      </c>
      <c r="N642" s="161">
        <v>0</v>
      </c>
      <c r="O642" s="162">
        <f t="shared" ref="O642:O705" si="60">SUM(H642:N642)</f>
        <v>691.93000000000029</v>
      </c>
      <c r="P642" s="162">
        <v>-2500</v>
      </c>
      <c r="Q642" s="161">
        <v>0</v>
      </c>
      <c r="R642" s="162">
        <v>-500</v>
      </c>
      <c r="S642" s="162">
        <v>0</v>
      </c>
      <c r="T642" s="162">
        <v>0</v>
      </c>
      <c r="U642" s="162">
        <v>0</v>
      </c>
      <c r="V642" s="162">
        <v>0</v>
      </c>
      <c r="W642" s="161">
        <f t="shared" ref="W642:W705" si="61">+O642+SUM(P642:V642)</f>
        <v>-2308.0699999999997</v>
      </c>
      <c r="X642" s="161">
        <f t="shared" ref="X642:X705" si="62">IF(W642&gt;=0,W642,0)</f>
        <v>0</v>
      </c>
      <c r="Y642" s="161">
        <f t="shared" ref="Y642:Y705" si="63">IF(W642&lt;=0,W642,0)</f>
        <v>-2308.0699999999997</v>
      </c>
      <c r="Z642" s="162">
        <v>1800</v>
      </c>
      <c r="AA642" s="161">
        <f t="shared" ref="AA642:AA705" si="64">+Y642+Z642</f>
        <v>-508.06999999999971</v>
      </c>
      <c r="AB642" s="161">
        <f t="shared" ref="AB642:AB705" si="65">+O642-X642+Z642+AA642</f>
        <v>1983.8600000000006</v>
      </c>
      <c r="AC642" s="158" t="s">
        <v>1027</v>
      </c>
      <c r="AD642" s="158"/>
    </row>
    <row r="643" spans="1:30" ht="12.75" customHeight="1" x14ac:dyDescent="0.3">
      <c r="A643" s="147">
        <v>33</v>
      </c>
      <c r="B643" s="158" t="s">
        <v>994</v>
      </c>
      <c r="C643" s="158" t="s">
        <v>80</v>
      </c>
      <c r="D643" s="158" t="s">
        <v>20</v>
      </c>
      <c r="E643" s="160" t="s">
        <v>18</v>
      </c>
      <c r="F643" s="160" t="s">
        <v>18</v>
      </c>
      <c r="G643" s="160" t="s">
        <v>866</v>
      </c>
      <c r="H643" s="161">
        <v>0</v>
      </c>
      <c r="I643" s="161">
        <v>0</v>
      </c>
      <c r="J643" s="161">
        <v>0</v>
      </c>
      <c r="K643" s="161">
        <v>0</v>
      </c>
      <c r="L643" s="161">
        <v>0</v>
      </c>
      <c r="M643" s="162">
        <v>0</v>
      </c>
      <c r="N643" s="161">
        <v>0</v>
      </c>
      <c r="O643" s="162">
        <f t="shared" si="60"/>
        <v>0</v>
      </c>
      <c r="P643" s="161">
        <v>0</v>
      </c>
      <c r="Q643" s="161">
        <v>0</v>
      </c>
      <c r="R643" s="161">
        <v>321</v>
      </c>
      <c r="S643" s="161">
        <v>0</v>
      </c>
      <c r="T643" s="161">
        <v>0</v>
      </c>
      <c r="U643" s="161">
        <v>0</v>
      </c>
      <c r="V643" s="161">
        <v>0</v>
      </c>
      <c r="W643" s="161">
        <f t="shared" si="61"/>
        <v>321</v>
      </c>
      <c r="X643" s="161">
        <f t="shared" si="62"/>
        <v>321</v>
      </c>
      <c r="Y643" s="161">
        <f t="shared" si="63"/>
        <v>0</v>
      </c>
      <c r="Z643" s="162">
        <v>0</v>
      </c>
      <c r="AA643" s="161">
        <f t="shared" si="64"/>
        <v>0</v>
      </c>
      <c r="AB643" s="161">
        <f t="shared" si="65"/>
        <v>-321</v>
      </c>
      <c r="AC643" s="158" t="s">
        <v>1035</v>
      </c>
      <c r="AD643" s="158"/>
    </row>
    <row r="644" spans="1:30" ht="12.75" customHeight="1" x14ac:dyDescent="0.3">
      <c r="A644" s="147">
        <v>33</v>
      </c>
      <c r="B644" s="158" t="s">
        <v>1025</v>
      </c>
      <c r="C644" s="158" t="s">
        <v>110</v>
      </c>
      <c r="D644" s="158" t="s">
        <v>1036</v>
      </c>
      <c r="E644" s="158" t="s">
        <v>18</v>
      </c>
      <c r="F644" s="160" t="s">
        <v>18</v>
      </c>
      <c r="G644" s="160" t="s">
        <v>866</v>
      </c>
      <c r="H644" s="161">
        <v>3029.06</v>
      </c>
      <c r="I644" s="161" t="s">
        <v>1044</v>
      </c>
      <c r="J644" s="161">
        <v>0</v>
      </c>
      <c r="K644" s="161">
        <v>0</v>
      </c>
      <c r="L644" s="161">
        <v>0</v>
      </c>
      <c r="M644" s="161">
        <v>0</v>
      </c>
      <c r="N644" s="161">
        <v>0</v>
      </c>
      <c r="O644" s="162">
        <f t="shared" si="60"/>
        <v>3029.06</v>
      </c>
      <c r="P644" s="161">
        <v>-2500</v>
      </c>
      <c r="Q644" s="162">
        <v>0</v>
      </c>
      <c r="R644" s="161">
        <v>-500</v>
      </c>
      <c r="S644" s="161">
        <v>0</v>
      </c>
      <c r="T644" s="161">
        <v>0</v>
      </c>
      <c r="U644" s="162">
        <v>0</v>
      </c>
      <c r="V644" s="161">
        <v>0</v>
      </c>
      <c r="W644" s="161">
        <f t="shared" si="61"/>
        <v>29.059999999999945</v>
      </c>
      <c r="X644" s="161">
        <f t="shared" si="62"/>
        <v>29.059999999999945</v>
      </c>
      <c r="Y644" s="161">
        <f t="shared" si="63"/>
        <v>0</v>
      </c>
      <c r="Z644" s="162">
        <v>0</v>
      </c>
      <c r="AA644" s="161">
        <f t="shared" si="64"/>
        <v>0</v>
      </c>
      <c r="AB644" s="161">
        <f t="shared" si="65"/>
        <v>3000</v>
      </c>
      <c r="AC644" s="158" t="s">
        <v>1035</v>
      </c>
      <c r="AD644" s="158"/>
    </row>
    <row r="645" spans="1:30" ht="12.75" customHeight="1" x14ac:dyDescent="0.3">
      <c r="A645" s="147">
        <v>33</v>
      </c>
      <c r="B645" s="158" t="s">
        <v>1010</v>
      </c>
      <c r="C645" s="158" t="s">
        <v>80</v>
      </c>
      <c r="D645" s="158" t="s">
        <v>996</v>
      </c>
      <c r="E645" s="158" t="s">
        <v>18</v>
      </c>
      <c r="F645" s="160" t="s">
        <v>18</v>
      </c>
      <c r="G645" s="160" t="s">
        <v>866</v>
      </c>
      <c r="H645" s="161">
        <v>3329.45</v>
      </c>
      <c r="I645" s="161">
        <v>0</v>
      </c>
      <c r="J645" s="161">
        <v>0</v>
      </c>
      <c r="K645" s="161">
        <v>-31.36</v>
      </c>
      <c r="L645" s="161">
        <v>-1494.53</v>
      </c>
      <c r="M645" s="161">
        <v>0</v>
      </c>
      <c r="N645" s="161">
        <v>0</v>
      </c>
      <c r="O645" s="162">
        <f t="shared" si="60"/>
        <v>1803.5599999999997</v>
      </c>
      <c r="P645" s="161">
        <v>-2500</v>
      </c>
      <c r="Q645" s="162">
        <v>0</v>
      </c>
      <c r="R645" s="161">
        <v>-500</v>
      </c>
      <c r="S645" s="161">
        <v>0</v>
      </c>
      <c r="T645" s="161">
        <v>0</v>
      </c>
      <c r="U645" s="162">
        <v>1710</v>
      </c>
      <c r="V645" s="161">
        <v>0</v>
      </c>
      <c r="W645" s="161">
        <f t="shared" si="61"/>
        <v>513.55999999999972</v>
      </c>
      <c r="X645" s="161">
        <f t="shared" si="62"/>
        <v>513.55999999999972</v>
      </c>
      <c r="Y645" s="161">
        <f t="shared" si="63"/>
        <v>0</v>
      </c>
      <c r="Z645" s="162">
        <v>0</v>
      </c>
      <c r="AA645" s="161">
        <f t="shared" si="64"/>
        <v>0</v>
      </c>
      <c r="AB645" s="161">
        <f t="shared" si="65"/>
        <v>1290</v>
      </c>
      <c r="AC645" s="158"/>
      <c r="AD645" s="158"/>
    </row>
    <row r="646" spans="1:30" ht="12.75" customHeight="1" x14ac:dyDescent="0.3">
      <c r="A646" s="147">
        <v>33</v>
      </c>
      <c r="B646" s="158" t="s">
        <v>1003</v>
      </c>
      <c r="C646" s="158" t="s">
        <v>57</v>
      </c>
      <c r="D646" s="158" t="s">
        <v>881</v>
      </c>
      <c r="E646" s="160" t="s">
        <v>25</v>
      </c>
      <c r="F646" s="158" t="s">
        <v>25</v>
      </c>
      <c r="G646" s="160" t="s">
        <v>866</v>
      </c>
      <c r="H646" s="161">
        <v>2412.38</v>
      </c>
      <c r="I646" s="161">
        <v>0</v>
      </c>
      <c r="J646" s="161">
        <v>0</v>
      </c>
      <c r="K646" s="161">
        <v>0</v>
      </c>
      <c r="L646" s="161">
        <v>0</v>
      </c>
      <c r="M646" s="162">
        <v>-35</v>
      </c>
      <c r="N646" s="161">
        <v>0</v>
      </c>
      <c r="O646" s="162">
        <f t="shared" si="60"/>
        <v>2377.38</v>
      </c>
      <c r="P646" s="161">
        <v>-1071.42</v>
      </c>
      <c r="Q646" s="161">
        <v>0</v>
      </c>
      <c r="R646" s="161">
        <v>-500</v>
      </c>
      <c r="S646" s="161">
        <v>0</v>
      </c>
      <c r="T646" s="161">
        <v>0</v>
      </c>
      <c r="U646" s="161">
        <v>0</v>
      </c>
      <c r="V646" s="161">
        <v>0</v>
      </c>
      <c r="W646" s="161">
        <f t="shared" si="61"/>
        <v>805.96</v>
      </c>
      <c r="X646" s="161">
        <f t="shared" si="62"/>
        <v>805.96</v>
      </c>
      <c r="Y646" s="161">
        <f t="shared" si="63"/>
        <v>0</v>
      </c>
      <c r="Z646" s="161">
        <v>0</v>
      </c>
      <c r="AA646" s="161">
        <f t="shared" si="64"/>
        <v>0</v>
      </c>
      <c r="AB646" s="161">
        <f t="shared" si="65"/>
        <v>1571.42</v>
      </c>
      <c r="AC646" s="158"/>
      <c r="AD646" s="158"/>
    </row>
    <row r="647" spans="1:30" ht="14.25" customHeight="1" x14ac:dyDescent="0.3">
      <c r="A647" s="147">
        <v>34</v>
      </c>
      <c r="B647" s="158" t="s">
        <v>585</v>
      </c>
      <c r="C647" s="158" t="s">
        <v>42</v>
      </c>
      <c r="D647" s="158" t="s">
        <v>948</v>
      </c>
      <c r="E647" s="160" t="s">
        <v>25</v>
      </c>
      <c r="F647" s="158" t="s">
        <v>25</v>
      </c>
      <c r="G647" s="160" t="s">
        <v>866</v>
      </c>
      <c r="H647" s="161">
        <v>0</v>
      </c>
      <c r="I647" s="161">
        <v>0</v>
      </c>
      <c r="J647" s="161">
        <v>0</v>
      </c>
      <c r="K647" s="161">
        <v>0</v>
      </c>
      <c r="L647" s="161">
        <v>0</v>
      </c>
      <c r="M647" s="161">
        <v>0</v>
      </c>
      <c r="N647" s="161">
        <v>0</v>
      </c>
      <c r="O647" s="162">
        <f t="shared" si="60"/>
        <v>0</v>
      </c>
      <c r="P647" s="162">
        <v>-2500</v>
      </c>
      <c r="Q647" s="162">
        <v>0</v>
      </c>
      <c r="R647" s="162">
        <v>0</v>
      </c>
      <c r="S647" s="162">
        <v>0</v>
      </c>
      <c r="T647" s="162">
        <v>-500</v>
      </c>
      <c r="U647" s="162">
        <v>0</v>
      </c>
      <c r="V647" s="162">
        <v>0</v>
      </c>
      <c r="W647" s="161">
        <f t="shared" si="61"/>
        <v>-3000</v>
      </c>
      <c r="X647" s="161">
        <f t="shared" si="62"/>
        <v>0</v>
      </c>
      <c r="Y647" s="161">
        <f t="shared" si="63"/>
        <v>-3000</v>
      </c>
      <c r="Z647" s="162">
        <v>3000</v>
      </c>
      <c r="AA647" s="161">
        <f t="shared" si="64"/>
        <v>0</v>
      </c>
      <c r="AB647" s="161">
        <f t="shared" si="65"/>
        <v>3000</v>
      </c>
      <c r="AC647" s="158" t="s">
        <v>1027</v>
      </c>
      <c r="AD647" s="158"/>
    </row>
    <row r="648" spans="1:30" ht="12.75" customHeight="1" x14ac:dyDescent="0.3">
      <c r="A648" s="147">
        <v>34</v>
      </c>
      <c r="B648" s="158" t="s">
        <v>837</v>
      </c>
      <c r="C648" s="158" t="s">
        <v>409</v>
      </c>
      <c r="D648" s="158" t="s">
        <v>946</v>
      </c>
      <c r="E648" s="158" t="s">
        <v>25</v>
      </c>
      <c r="F648" s="158" t="s">
        <v>25</v>
      </c>
      <c r="G648" s="160" t="s">
        <v>866</v>
      </c>
      <c r="H648" s="161">
        <v>12063.16</v>
      </c>
      <c r="I648" s="161">
        <v>-598.4</v>
      </c>
      <c r="J648" s="161">
        <v>0</v>
      </c>
      <c r="K648" s="161">
        <v>0</v>
      </c>
      <c r="L648" s="161">
        <v>0</v>
      </c>
      <c r="M648" s="161">
        <v>-38</v>
      </c>
      <c r="N648" s="161">
        <v>0</v>
      </c>
      <c r="O648" s="162">
        <f t="shared" si="60"/>
        <v>11426.76</v>
      </c>
      <c r="P648" s="162">
        <v>-2500</v>
      </c>
      <c r="Q648" s="161">
        <v>0</v>
      </c>
      <c r="R648" s="162">
        <v>-500</v>
      </c>
      <c r="S648" s="162">
        <v>0</v>
      </c>
      <c r="T648" s="162">
        <v>0</v>
      </c>
      <c r="U648" s="162">
        <v>0</v>
      </c>
      <c r="V648" s="162">
        <v>0</v>
      </c>
      <c r="W648" s="161">
        <f t="shared" si="61"/>
        <v>8426.76</v>
      </c>
      <c r="X648" s="161">
        <f t="shared" si="62"/>
        <v>8426.76</v>
      </c>
      <c r="Y648" s="161">
        <f t="shared" si="63"/>
        <v>0</v>
      </c>
      <c r="Z648" s="162">
        <v>0</v>
      </c>
      <c r="AA648" s="161">
        <f t="shared" si="64"/>
        <v>0</v>
      </c>
      <c r="AB648" s="161">
        <f t="shared" si="65"/>
        <v>3000</v>
      </c>
      <c r="AC648" s="158"/>
      <c r="AD648" s="158"/>
    </row>
    <row r="649" spans="1:30" ht="12.75" customHeight="1" x14ac:dyDescent="0.3">
      <c r="A649" s="147">
        <v>34</v>
      </c>
      <c r="B649" s="158" t="s">
        <v>944</v>
      </c>
      <c r="C649" s="158" t="s">
        <v>372</v>
      </c>
      <c r="D649" s="158" t="s">
        <v>1004</v>
      </c>
      <c r="E649" s="158" t="s">
        <v>39</v>
      </c>
      <c r="F649" s="158" t="s">
        <v>39</v>
      </c>
      <c r="G649" s="160" t="s">
        <v>866</v>
      </c>
      <c r="H649" s="161">
        <v>5636</v>
      </c>
      <c r="I649" s="161">
        <v>0</v>
      </c>
      <c r="J649" s="161">
        <v>0</v>
      </c>
      <c r="K649" s="161">
        <v>0</v>
      </c>
      <c r="L649" s="161">
        <v>-1759.14</v>
      </c>
      <c r="M649" s="161">
        <v>-56</v>
      </c>
      <c r="N649" s="161">
        <v>0</v>
      </c>
      <c r="O649" s="162">
        <f t="shared" si="60"/>
        <v>3820.8599999999997</v>
      </c>
      <c r="P649" s="162">
        <v>-2500</v>
      </c>
      <c r="Q649" s="162">
        <v>0</v>
      </c>
      <c r="R649" s="162">
        <v>0</v>
      </c>
      <c r="S649" s="162">
        <v>0</v>
      </c>
      <c r="T649" s="162">
        <v>-500</v>
      </c>
      <c r="U649" s="162">
        <v>0</v>
      </c>
      <c r="V649" s="162">
        <v>0</v>
      </c>
      <c r="W649" s="161">
        <f t="shared" si="61"/>
        <v>820.85999999999967</v>
      </c>
      <c r="X649" s="161">
        <f t="shared" si="62"/>
        <v>820.85999999999967</v>
      </c>
      <c r="Y649" s="161">
        <f t="shared" si="63"/>
        <v>0</v>
      </c>
      <c r="Z649" s="162">
        <v>0</v>
      </c>
      <c r="AA649" s="161">
        <f t="shared" si="64"/>
        <v>0</v>
      </c>
      <c r="AB649" s="161">
        <f t="shared" si="65"/>
        <v>3000</v>
      </c>
      <c r="AC649" s="158"/>
      <c r="AD649" s="158"/>
    </row>
    <row r="650" spans="1:30" ht="12.75" customHeight="1" x14ac:dyDescent="0.3">
      <c r="A650" s="147">
        <v>34</v>
      </c>
      <c r="B650" s="158" t="s">
        <v>604</v>
      </c>
      <c r="C650" s="158" t="s">
        <v>150</v>
      </c>
      <c r="D650" s="158" t="s">
        <v>877</v>
      </c>
      <c r="E650" s="160" t="s">
        <v>25</v>
      </c>
      <c r="F650" s="158" t="s">
        <v>25</v>
      </c>
      <c r="G650" s="160" t="s">
        <v>866</v>
      </c>
      <c r="H650" s="161">
        <v>5239.6499999999996</v>
      </c>
      <c r="I650" s="161">
        <v>0</v>
      </c>
      <c r="J650" s="161">
        <v>0</v>
      </c>
      <c r="K650" s="161">
        <v>0</v>
      </c>
      <c r="L650" s="161">
        <v>0</v>
      </c>
      <c r="M650" s="162">
        <v>-25</v>
      </c>
      <c r="N650" s="161">
        <v>0</v>
      </c>
      <c r="O650" s="162">
        <f t="shared" si="60"/>
        <v>5214.6499999999996</v>
      </c>
      <c r="P650" s="161">
        <v>-2143</v>
      </c>
      <c r="Q650" s="161">
        <v>0</v>
      </c>
      <c r="R650" s="161">
        <v>-500</v>
      </c>
      <c r="S650" s="161">
        <v>0</v>
      </c>
      <c r="T650" s="161">
        <v>0</v>
      </c>
      <c r="U650" s="161">
        <v>0</v>
      </c>
      <c r="V650" s="161">
        <v>0</v>
      </c>
      <c r="W650" s="161">
        <f t="shared" si="61"/>
        <v>2571.6499999999996</v>
      </c>
      <c r="X650" s="161">
        <f t="shared" si="62"/>
        <v>2571.6499999999996</v>
      </c>
      <c r="Y650" s="161">
        <f t="shared" si="63"/>
        <v>0</v>
      </c>
      <c r="Z650" s="161">
        <v>0</v>
      </c>
      <c r="AA650" s="161">
        <f t="shared" si="64"/>
        <v>0</v>
      </c>
      <c r="AB650" s="161">
        <f t="shared" si="65"/>
        <v>2643</v>
      </c>
      <c r="AC650" s="158"/>
      <c r="AD650" s="158"/>
    </row>
    <row r="651" spans="1:30" ht="12.75" customHeight="1" x14ac:dyDescent="0.3">
      <c r="A651" s="147">
        <v>34</v>
      </c>
      <c r="B651" s="158" t="s">
        <v>1029</v>
      </c>
      <c r="C651" s="158" t="s">
        <v>68</v>
      </c>
      <c r="D651" s="158" t="s">
        <v>869</v>
      </c>
      <c r="E651" s="160" t="s">
        <v>25</v>
      </c>
      <c r="F651" s="158" t="s">
        <v>25</v>
      </c>
      <c r="G651" s="160" t="s">
        <v>866</v>
      </c>
      <c r="H651" s="161">
        <v>7703.78</v>
      </c>
      <c r="I651" s="161">
        <v>0</v>
      </c>
      <c r="J651" s="161">
        <v>0</v>
      </c>
      <c r="K651" s="161">
        <v>0</v>
      </c>
      <c r="L651" s="161">
        <v>-70.7</v>
      </c>
      <c r="M651" s="161">
        <v>-32</v>
      </c>
      <c r="N651" s="161">
        <v>0</v>
      </c>
      <c r="O651" s="162">
        <f t="shared" si="60"/>
        <v>7601.08</v>
      </c>
      <c r="P651" s="161">
        <v>-2500</v>
      </c>
      <c r="Q651" s="161">
        <v>0</v>
      </c>
      <c r="R651" s="161">
        <v>-500</v>
      </c>
      <c r="S651" s="161">
        <v>0</v>
      </c>
      <c r="T651" s="161">
        <v>0</v>
      </c>
      <c r="U651" s="161">
        <v>0</v>
      </c>
      <c r="V651" s="161">
        <v>0</v>
      </c>
      <c r="W651" s="161">
        <f t="shared" si="61"/>
        <v>4601.08</v>
      </c>
      <c r="X651" s="161">
        <f t="shared" si="62"/>
        <v>4601.08</v>
      </c>
      <c r="Y651" s="161">
        <f t="shared" si="63"/>
        <v>0</v>
      </c>
      <c r="Z651" s="161">
        <v>0</v>
      </c>
      <c r="AA651" s="161">
        <f t="shared" si="64"/>
        <v>0</v>
      </c>
      <c r="AB651" s="161">
        <f t="shared" si="65"/>
        <v>3000</v>
      </c>
      <c r="AC651" s="158"/>
      <c r="AD651" s="158"/>
    </row>
    <row r="652" spans="1:30" ht="12.75" customHeight="1" x14ac:dyDescent="0.3">
      <c r="A652" s="147">
        <v>34</v>
      </c>
      <c r="B652" s="158" t="s">
        <v>1030</v>
      </c>
      <c r="C652" s="158" t="s">
        <v>195</v>
      </c>
      <c r="D652" s="158" t="s">
        <v>964</v>
      </c>
      <c r="E652" s="160" t="s">
        <v>871</v>
      </c>
      <c r="F652" s="158" t="s">
        <v>39</v>
      </c>
      <c r="G652" s="160" t="s">
        <v>866</v>
      </c>
      <c r="H652" s="161">
        <v>7450.85</v>
      </c>
      <c r="I652" s="161">
        <v>-320</v>
      </c>
      <c r="J652" s="161">
        <v>0</v>
      </c>
      <c r="K652" s="161">
        <v>0</v>
      </c>
      <c r="L652" s="161">
        <v>-2279.91</v>
      </c>
      <c r="M652" s="161">
        <v>-40</v>
      </c>
      <c r="N652" s="161">
        <v>0</v>
      </c>
      <c r="O652" s="162">
        <f t="shared" si="60"/>
        <v>4810.9400000000005</v>
      </c>
      <c r="P652" s="161">
        <v>-2500</v>
      </c>
      <c r="Q652" s="161">
        <v>0</v>
      </c>
      <c r="R652" s="161">
        <v>-500</v>
      </c>
      <c r="S652" s="161">
        <v>0</v>
      </c>
      <c r="T652" s="161">
        <v>0</v>
      </c>
      <c r="U652" s="161">
        <v>0</v>
      </c>
      <c r="V652" s="161">
        <v>0</v>
      </c>
      <c r="W652" s="161">
        <f t="shared" si="61"/>
        <v>1810.9400000000005</v>
      </c>
      <c r="X652" s="161">
        <f t="shared" si="62"/>
        <v>1810.9400000000005</v>
      </c>
      <c r="Y652" s="161">
        <f t="shared" si="63"/>
        <v>0</v>
      </c>
      <c r="Z652" s="161">
        <v>0</v>
      </c>
      <c r="AA652" s="161">
        <f t="shared" si="64"/>
        <v>0</v>
      </c>
      <c r="AB652" s="161">
        <f t="shared" si="65"/>
        <v>3000</v>
      </c>
      <c r="AC652" s="158"/>
      <c r="AD652" s="158"/>
    </row>
    <row r="653" spans="1:30" ht="12.75" customHeight="1" x14ac:dyDescent="0.3">
      <c r="A653" s="147">
        <v>34</v>
      </c>
      <c r="B653" s="158" t="s">
        <v>913</v>
      </c>
      <c r="C653" s="158" t="s">
        <v>100</v>
      </c>
      <c r="D653" s="158" t="s">
        <v>953</v>
      </c>
      <c r="E653" s="160" t="s">
        <v>25</v>
      </c>
      <c r="F653" s="158" t="s">
        <v>25</v>
      </c>
      <c r="G653" s="160" t="s">
        <v>866</v>
      </c>
      <c r="H653" s="161">
        <v>5820.59</v>
      </c>
      <c r="I653" s="161">
        <v>-24.8</v>
      </c>
      <c r="J653" s="161">
        <v>0</v>
      </c>
      <c r="K653" s="161">
        <v>0</v>
      </c>
      <c r="L653" s="161">
        <v>-3117.86</v>
      </c>
      <c r="M653" s="161">
        <v>-67.84</v>
      </c>
      <c r="N653" s="161">
        <v>-110</v>
      </c>
      <c r="O653" s="162">
        <f t="shared" si="60"/>
        <v>2500.0899999999997</v>
      </c>
      <c r="P653" s="162">
        <v>-2500</v>
      </c>
      <c r="Q653" s="162">
        <v>0</v>
      </c>
      <c r="R653" s="162">
        <v>0</v>
      </c>
      <c r="S653" s="162">
        <v>0</v>
      </c>
      <c r="T653" s="162">
        <v>0</v>
      </c>
      <c r="U653" s="162">
        <v>0</v>
      </c>
      <c r="V653" s="162">
        <v>0</v>
      </c>
      <c r="W653" s="161">
        <f t="shared" si="61"/>
        <v>8.9999999999690772E-2</v>
      </c>
      <c r="X653" s="161">
        <f t="shared" si="62"/>
        <v>8.9999999999690772E-2</v>
      </c>
      <c r="Y653" s="161">
        <f t="shared" si="63"/>
        <v>0</v>
      </c>
      <c r="Z653" s="162">
        <v>0</v>
      </c>
      <c r="AA653" s="161">
        <f t="shared" si="64"/>
        <v>0</v>
      </c>
      <c r="AB653" s="161">
        <f t="shared" si="65"/>
        <v>2500</v>
      </c>
      <c r="AC653" s="158"/>
      <c r="AD653" s="158"/>
    </row>
    <row r="654" spans="1:30" ht="12.75" customHeight="1" x14ac:dyDescent="0.3">
      <c r="A654" s="147">
        <v>34</v>
      </c>
      <c r="B654" s="158" t="s">
        <v>457</v>
      </c>
      <c r="C654" s="158" t="s">
        <v>571</v>
      </c>
      <c r="D654" s="158" t="s">
        <v>974</v>
      </c>
      <c r="E654" s="160" t="s">
        <v>25</v>
      </c>
      <c r="F654" s="158" t="s">
        <v>25</v>
      </c>
      <c r="G654" s="160" t="s">
        <v>866</v>
      </c>
      <c r="H654" s="161">
        <v>1091.98</v>
      </c>
      <c r="I654" s="161">
        <v>0</v>
      </c>
      <c r="J654" s="161">
        <v>0</v>
      </c>
      <c r="K654" s="161">
        <v>0</v>
      </c>
      <c r="L654" s="161">
        <v>-295</v>
      </c>
      <c r="M654" s="161">
        <v>-32</v>
      </c>
      <c r="N654" s="161">
        <v>0</v>
      </c>
      <c r="O654" s="162">
        <f t="shared" si="60"/>
        <v>764.98</v>
      </c>
      <c r="P654" s="162">
        <v>-2500</v>
      </c>
      <c r="Q654" s="162">
        <v>0</v>
      </c>
      <c r="R654" s="162">
        <v>0</v>
      </c>
      <c r="S654" s="162">
        <v>0</v>
      </c>
      <c r="T654" s="162">
        <v>0</v>
      </c>
      <c r="U654" s="162">
        <v>0</v>
      </c>
      <c r="V654" s="162">
        <v>0</v>
      </c>
      <c r="W654" s="161">
        <f t="shared" si="61"/>
        <v>-1735.02</v>
      </c>
      <c r="X654" s="161">
        <f t="shared" si="62"/>
        <v>0</v>
      </c>
      <c r="Y654" s="161">
        <f t="shared" si="63"/>
        <v>-1735.02</v>
      </c>
      <c r="Z654" s="162">
        <v>1500</v>
      </c>
      <c r="AA654" s="161">
        <f t="shared" si="64"/>
        <v>-235.01999999999998</v>
      </c>
      <c r="AB654" s="161">
        <f t="shared" si="65"/>
        <v>2029.96</v>
      </c>
      <c r="AC654" s="158" t="s">
        <v>1027</v>
      </c>
      <c r="AD654" s="158"/>
    </row>
    <row r="655" spans="1:30" ht="12.75" customHeight="1" x14ac:dyDescent="0.3">
      <c r="A655" s="147">
        <v>34</v>
      </c>
      <c r="B655" s="158" t="s">
        <v>990</v>
      </c>
      <c r="C655" s="158" t="s">
        <v>46</v>
      </c>
      <c r="D655" s="158" t="s">
        <v>915</v>
      </c>
      <c r="E655" s="160" t="s">
        <v>25</v>
      </c>
      <c r="F655" s="158" t="s">
        <v>25</v>
      </c>
      <c r="G655" s="160" t="s">
        <v>866</v>
      </c>
      <c r="H655" s="161">
        <v>816.97</v>
      </c>
      <c r="I655" s="161">
        <v>0</v>
      </c>
      <c r="J655" s="161">
        <v>0</v>
      </c>
      <c r="K655" s="161">
        <v>0</v>
      </c>
      <c r="L655" s="161">
        <v>0</v>
      </c>
      <c r="M655" s="161">
        <v>-45</v>
      </c>
      <c r="N655" s="161">
        <v>0</v>
      </c>
      <c r="O655" s="162">
        <f t="shared" si="60"/>
        <v>771.97</v>
      </c>
      <c r="P655" s="162">
        <v>-2500</v>
      </c>
      <c r="Q655" s="161">
        <v>-1904</v>
      </c>
      <c r="R655" s="162">
        <v>-500</v>
      </c>
      <c r="S655" s="162">
        <v>0</v>
      </c>
      <c r="T655" s="162">
        <v>0</v>
      </c>
      <c r="U655" s="162">
        <v>0</v>
      </c>
      <c r="V655" s="162">
        <v>0</v>
      </c>
      <c r="W655" s="161">
        <f t="shared" si="61"/>
        <v>-4132.03</v>
      </c>
      <c r="X655" s="161">
        <f t="shared" si="62"/>
        <v>0</v>
      </c>
      <c r="Y655" s="161">
        <f t="shared" si="63"/>
        <v>-4132.03</v>
      </c>
      <c r="Z655" s="162">
        <v>1700</v>
      </c>
      <c r="AA655" s="161">
        <f t="shared" si="64"/>
        <v>-2432.0299999999997</v>
      </c>
      <c r="AB655" s="161">
        <f t="shared" si="65"/>
        <v>39.940000000000509</v>
      </c>
      <c r="AC655" s="158" t="s">
        <v>1045</v>
      </c>
      <c r="AD655" s="158"/>
    </row>
    <row r="656" spans="1:30" ht="12.75" customHeight="1" x14ac:dyDescent="0.3">
      <c r="A656" s="147">
        <v>34</v>
      </c>
      <c r="B656" s="158" t="s">
        <v>872</v>
      </c>
      <c r="C656" s="158" t="s">
        <v>256</v>
      </c>
      <c r="D656" s="158" t="s">
        <v>997</v>
      </c>
      <c r="E656" s="160" t="s">
        <v>871</v>
      </c>
      <c r="F656" s="158" t="s">
        <v>39</v>
      </c>
      <c r="G656" s="160" t="s">
        <v>866</v>
      </c>
      <c r="H656" s="161">
        <v>7712.34</v>
      </c>
      <c r="I656" s="161">
        <v>0</v>
      </c>
      <c r="J656" s="161">
        <v>0</v>
      </c>
      <c r="K656" s="161">
        <v>-82.7</v>
      </c>
      <c r="L656" s="161">
        <v>-4157.95</v>
      </c>
      <c r="M656" s="161">
        <v>-56</v>
      </c>
      <c r="N656" s="161">
        <v>-79</v>
      </c>
      <c r="O656" s="162">
        <f t="shared" si="60"/>
        <v>3336.6900000000005</v>
      </c>
      <c r="P656" s="162">
        <v>-2500</v>
      </c>
      <c r="Q656" s="162">
        <v>0</v>
      </c>
      <c r="R656" s="162">
        <v>0</v>
      </c>
      <c r="S656" s="162">
        <v>0</v>
      </c>
      <c r="T656" s="162">
        <v>0</v>
      </c>
      <c r="U656" s="162">
        <v>-600</v>
      </c>
      <c r="V656" s="162">
        <v>0</v>
      </c>
      <c r="W656" s="161">
        <f t="shared" si="61"/>
        <v>236.69000000000051</v>
      </c>
      <c r="X656" s="161">
        <f t="shared" si="62"/>
        <v>236.69000000000051</v>
      </c>
      <c r="Y656" s="161">
        <f t="shared" si="63"/>
        <v>0</v>
      </c>
      <c r="Z656" s="162">
        <v>0</v>
      </c>
      <c r="AA656" s="161">
        <f t="shared" si="64"/>
        <v>0</v>
      </c>
      <c r="AB656" s="161">
        <f t="shared" si="65"/>
        <v>3100</v>
      </c>
      <c r="AC656" s="158"/>
      <c r="AD656" s="158"/>
    </row>
    <row r="657" spans="1:30" ht="12.75" customHeight="1" x14ac:dyDescent="0.3">
      <c r="A657" s="147">
        <v>34</v>
      </c>
      <c r="B657" s="158" t="s">
        <v>921</v>
      </c>
      <c r="C657" s="158" t="s">
        <v>257</v>
      </c>
      <c r="D657" s="158" t="s">
        <v>943</v>
      </c>
      <c r="E657" s="160" t="s">
        <v>25</v>
      </c>
      <c r="F657" s="158" t="s">
        <v>25</v>
      </c>
      <c r="G657" s="160" t="s">
        <v>866</v>
      </c>
      <c r="H657" s="161">
        <v>6008.03</v>
      </c>
      <c r="I657" s="161">
        <v>0</v>
      </c>
      <c r="J657" s="161">
        <v>0</v>
      </c>
      <c r="K657" s="161">
        <v>0</v>
      </c>
      <c r="L657" s="161">
        <v>-2039.13</v>
      </c>
      <c r="M657" s="161">
        <v>-52</v>
      </c>
      <c r="N657" s="161">
        <v>-69</v>
      </c>
      <c r="O657" s="162">
        <f t="shared" si="60"/>
        <v>3847.8999999999996</v>
      </c>
      <c r="P657" s="162">
        <v>-2500</v>
      </c>
      <c r="Q657" s="161">
        <v>0</v>
      </c>
      <c r="R657" s="162">
        <v>0</v>
      </c>
      <c r="S657" s="162">
        <v>0</v>
      </c>
      <c r="T657" s="162">
        <v>0</v>
      </c>
      <c r="U657" s="162">
        <v>-300</v>
      </c>
      <c r="V657" s="162">
        <v>0</v>
      </c>
      <c r="W657" s="161">
        <f t="shared" si="61"/>
        <v>1047.8999999999996</v>
      </c>
      <c r="X657" s="161">
        <f t="shared" si="62"/>
        <v>1047.8999999999996</v>
      </c>
      <c r="Y657" s="161">
        <f t="shared" si="63"/>
        <v>0</v>
      </c>
      <c r="Z657" s="162">
        <v>0</v>
      </c>
      <c r="AA657" s="161">
        <f t="shared" si="64"/>
        <v>0</v>
      </c>
      <c r="AB657" s="161">
        <f t="shared" si="65"/>
        <v>2800</v>
      </c>
      <c r="AC657" s="158"/>
      <c r="AD657" s="158"/>
    </row>
    <row r="658" spans="1:30" ht="12.75" customHeight="1" x14ac:dyDescent="0.3">
      <c r="A658" s="147">
        <v>34</v>
      </c>
      <c r="B658" s="158" t="s">
        <v>1013</v>
      </c>
      <c r="C658" s="158" t="s">
        <v>101</v>
      </c>
      <c r="D658" s="158" t="s">
        <v>945</v>
      </c>
      <c r="E658" s="158" t="s">
        <v>25</v>
      </c>
      <c r="F658" s="158" t="s">
        <v>25</v>
      </c>
      <c r="G658" s="160" t="s">
        <v>866</v>
      </c>
      <c r="H658" s="161">
        <v>4368.84</v>
      </c>
      <c r="I658" s="161">
        <v>0</v>
      </c>
      <c r="J658" s="161">
        <v>0</v>
      </c>
      <c r="K658" s="161">
        <v>0</v>
      </c>
      <c r="L658" s="161">
        <v>-1598.71</v>
      </c>
      <c r="M658" s="161">
        <v>-42</v>
      </c>
      <c r="N658" s="161">
        <v>0</v>
      </c>
      <c r="O658" s="162">
        <f t="shared" si="60"/>
        <v>2728.13</v>
      </c>
      <c r="P658" s="161">
        <v>-2500</v>
      </c>
      <c r="Q658" s="161">
        <v>0</v>
      </c>
      <c r="R658" s="161">
        <v>-500</v>
      </c>
      <c r="S658" s="161">
        <v>0</v>
      </c>
      <c r="T658" s="161">
        <v>0</v>
      </c>
      <c r="U658" s="162">
        <v>0</v>
      </c>
      <c r="V658" s="161">
        <v>0</v>
      </c>
      <c r="W658" s="161">
        <f t="shared" si="61"/>
        <v>-271.86999999999989</v>
      </c>
      <c r="X658" s="161">
        <f t="shared" si="62"/>
        <v>0</v>
      </c>
      <c r="Y658" s="161">
        <f t="shared" si="63"/>
        <v>-271.86999999999989</v>
      </c>
      <c r="Z658" s="162">
        <v>272</v>
      </c>
      <c r="AA658" s="161">
        <f t="shared" si="64"/>
        <v>0.13000000000010914</v>
      </c>
      <c r="AB658" s="161">
        <f t="shared" si="65"/>
        <v>3000.26</v>
      </c>
      <c r="AC658" s="158"/>
      <c r="AD658" s="158"/>
    </row>
    <row r="659" spans="1:30" ht="12.75" customHeight="1" x14ac:dyDescent="0.3">
      <c r="A659" s="147">
        <v>34</v>
      </c>
      <c r="B659" s="158" t="s">
        <v>918</v>
      </c>
      <c r="C659" s="158" t="s">
        <v>120</v>
      </c>
      <c r="D659" s="158" t="s">
        <v>950</v>
      </c>
      <c r="E659" s="158" t="s">
        <v>25</v>
      </c>
      <c r="F659" s="158" t="s">
        <v>25</v>
      </c>
      <c r="G659" s="160" t="s">
        <v>866</v>
      </c>
      <c r="H659" s="161">
        <v>5975.26</v>
      </c>
      <c r="I659" s="161">
        <v>0</v>
      </c>
      <c r="J659" s="161">
        <v>0</v>
      </c>
      <c r="K659" s="161">
        <v>0</v>
      </c>
      <c r="L659" s="161">
        <v>-1232.8399999999999</v>
      </c>
      <c r="M659" s="161">
        <v>-36</v>
      </c>
      <c r="N659" s="161">
        <v>0</v>
      </c>
      <c r="O659" s="162">
        <f t="shared" si="60"/>
        <v>4706.42</v>
      </c>
      <c r="P659" s="162">
        <v>-2500</v>
      </c>
      <c r="Q659" s="161">
        <v>0</v>
      </c>
      <c r="R659" s="162">
        <v>0</v>
      </c>
      <c r="S659" s="162">
        <v>0</v>
      </c>
      <c r="T659" s="162">
        <v>0</v>
      </c>
      <c r="U659" s="162">
        <v>0</v>
      </c>
      <c r="V659" s="162">
        <v>0</v>
      </c>
      <c r="W659" s="161">
        <f t="shared" si="61"/>
        <v>2206.42</v>
      </c>
      <c r="X659" s="161">
        <f t="shared" si="62"/>
        <v>2206.42</v>
      </c>
      <c r="Y659" s="161">
        <f t="shared" si="63"/>
        <v>0</v>
      </c>
      <c r="Z659" s="162">
        <v>0</v>
      </c>
      <c r="AA659" s="161">
        <f t="shared" si="64"/>
        <v>0</v>
      </c>
      <c r="AB659" s="161">
        <f t="shared" si="65"/>
        <v>2500</v>
      </c>
      <c r="AC659" s="158"/>
      <c r="AD659" s="158"/>
    </row>
    <row r="660" spans="1:30" ht="12.75" customHeight="1" x14ac:dyDescent="0.3">
      <c r="A660" s="147">
        <v>34</v>
      </c>
      <c r="B660" s="158" t="s">
        <v>484</v>
      </c>
      <c r="C660" s="158" t="s">
        <v>426</v>
      </c>
      <c r="D660" s="158" t="s">
        <v>903</v>
      </c>
      <c r="E660" s="160" t="s">
        <v>25</v>
      </c>
      <c r="F660" s="158" t="s">
        <v>25</v>
      </c>
      <c r="G660" s="160" t="s">
        <v>866</v>
      </c>
      <c r="H660" s="161">
        <v>8675.59</v>
      </c>
      <c r="I660" s="161">
        <v>-125.6</v>
      </c>
      <c r="J660" s="161">
        <v>0</v>
      </c>
      <c r="K660" s="161">
        <v>0</v>
      </c>
      <c r="L660" s="161">
        <v>-4548.76</v>
      </c>
      <c r="M660" s="161">
        <v>-38</v>
      </c>
      <c r="N660" s="161">
        <v>0</v>
      </c>
      <c r="O660" s="162">
        <f t="shared" si="60"/>
        <v>3963.2299999999996</v>
      </c>
      <c r="P660" s="162">
        <v>-2500</v>
      </c>
      <c r="Q660" s="161">
        <v>23</v>
      </c>
      <c r="R660" s="162">
        <v>0</v>
      </c>
      <c r="S660" s="162">
        <v>0</v>
      </c>
      <c r="T660" s="162">
        <v>0</v>
      </c>
      <c r="U660" s="162">
        <v>-500</v>
      </c>
      <c r="V660" s="162">
        <v>0</v>
      </c>
      <c r="W660" s="161">
        <f t="shared" si="61"/>
        <v>986.22999999999956</v>
      </c>
      <c r="X660" s="161">
        <f t="shared" si="62"/>
        <v>986.22999999999956</v>
      </c>
      <c r="Y660" s="161">
        <f t="shared" si="63"/>
        <v>0</v>
      </c>
      <c r="Z660" s="162">
        <v>0</v>
      </c>
      <c r="AA660" s="161">
        <f t="shared" si="64"/>
        <v>0</v>
      </c>
      <c r="AB660" s="161">
        <f t="shared" si="65"/>
        <v>2977</v>
      </c>
      <c r="AC660" s="158" t="s">
        <v>1046</v>
      </c>
      <c r="AD660" s="158"/>
    </row>
    <row r="661" spans="1:30" ht="12" customHeight="1" x14ac:dyDescent="0.3">
      <c r="A661" s="147">
        <v>34</v>
      </c>
      <c r="B661" s="158" t="s">
        <v>408</v>
      </c>
      <c r="C661" s="158" t="s">
        <v>334</v>
      </c>
      <c r="D661" s="158" t="s">
        <v>20</v>
      </c>
      <c r="E661" s="160" t="s">
        <v>25</v>
      </c>
      <c r="F661" s="158" t="s">
        <v>39</v>
      </c>
      <c r="G661" s="160" t="s">
        <v>866</v>
      </c>
      <c r="H661" s="161">
        <v>3704.67</v>
      </c>
      <c r="I661" s="161">
        <v>0</v>
      </c>
      <c r="J661" s="161">
        <v>0</v>
      </c>
      <c r="K661" s="161">
        <v>0</v>
      </c>
      <c r="L661" s="161">
        <v>-950.54</v>
      </c>
      <c r="M661" s="161">
        <v>-40</v>
      </c>
      <c r="N661" s="161">
        <v>0</v>
      </c>
      <c r="O661" s="162">
        <f t="shared" si="60"/>
        <v>2714.13</v>
      </c>
      <c r="P661" s="162">
        <v>-2143</v>
      </c>
      <c r="Q661" s="162">
        <v>-44</v>
      </c>
      <c r="R661" s="162">
        <v>0</v>
      </c>
      <c r="S661" s="162">
        <v>0</v>
      </c>
      <c r="T661" s="162">
        <v>0</v>
      </c>
      <c r="U661" s="162">
        <v>0</v>
      </c>
      <c r="V661" s="162">
        <v>0</v>
      </c>
      <c r="W661" s="161">
        <f t="shared" si="61"/>
        <v>527.13000000000011</v>
      </c>
      <c r="X661" s="161">
        <f t="shared" si="62"/>
        <v>527.13000000000011</v>
      </c>
      <c r="Y661" s="161">
        <f t="shared" si="63"/>
        <v>0</v>
      </c>
      <c r="Z661" s="162">
        <v>0</v>
      </c>
      <c r="AA661" s="161">
        <f t="shared" si="64"/>
        <v>0</v>
      </c>
      <c r="AB661" s="161">
        <f t="shared" si="65"/>
        <v>2187</v>
      </c>
      <c r="AC661" s="158"/>
      <c r="AD661" s="158"/>
    </row>
    <row r="662" spans="1:30" ht="12.75" customHeight="1" x14ac:dyDescent="0.3">
      <c r="A662" s="147">
        <v>34</v>
      </c>
      <c r="B662" s="158" t="s">
        <v>408</v>
      </c>
      <c r="C662" s="158" t="s">
        <v>59</v>
      </c>
      <c r="D662" s="158" t="s">
        <v>895</v>
      </c>
      <c r="E662" s="160" t="s">
        <v>25</v>
      </c>
      <c r="F662" s="158" t="s">
        <v>25</v>
      </c>
      <c r="G662" s="160" t="s">
        <v>866</v>
      </c>
      <c r="H662" s="161">
        <v>123</v>
      </c>
      <c r="I662" s="161">
        <v>0</v>
      </c>
      <c r="J662" s="161">
        <v>0</v>
      </c>
      <c r="K662" s="161">
        <v>0</v>
      </c>
      <c r="L662" s="161">
        <v>-25.29</v>
      </c>
      <c r="M662" s="161">
        <v>0</v>
      </c>
      <c r="N662" s="161">
        <v>0</v>
      </c>
      <c r="O662" s="162">
        <f t="shared" si="60"/>
        <v>97.710000000000008</v>
      </c>
      <c r="P662" s="162">
        <v>-357</v>
      </c>
      <c r="Q662" s="162">
        <v>0</v>
      </c>
      <c r="R662" s="162">
        <v>0</v>
      </c>
      <c r="S662" s="162">
        <v>0</v>
      </c>
      <c r="T662" s="162">
        <v>0</v>
      </c>
      <c r="U662" s="162">
        <v>0</v>
      </c>
      <c r="V662" s="162">
        <v>0</v>
      </c>
      <c r="W662" s="161">
        <f t="shared" si="61"/>
        <v>-259.28999999999996</v>
      </c>
      <c r="X662" s="161">
        <f t="shared" si="62"/>
        <v>0</v>
      </c>
      <c r="Y662" s="161">
        <f t="shared" si="63"/>
        <v>-259.28999999999996</v>
      </c>
      <c r="Z662" s="162">
        <v>0</v>
      </c>
      <c r="AA662" s="161">
        <f t="shared" si="64"/>
        <v>-259.28999999999996</v>
      </c>
      <c r="AB662" s="161">
        <f t="shared" si="65"/>
        <v>-161.57999999999996</v>
      </c>
      <c r="AC662" s="158"/>
      <c r="AD662" s="158"/>
    </row>
    <row r="663" spans="1:30" ht="12.75" customHeight="1" x14ac:dyDescent="0.3">
      <c r="A663" s="147">
        <v>34</v>
      </c>
      <c r="B663" s="158" t="s">
        <v>992</v>
      </c>
      <c r="C663" s="158" t="s">
        <v>169</v>
      </c>
      <c r="D663" s="158" t="s">
        <v>967</v>
      </c>
      <c r="E663" s="160" t="s">
        <v>871</v>
      </c>
      <c r="F663" s="158" t="s">
        <v>39</v>
      </c>
      <c r="G663" s="160" t="s">
        <v>866</v>
      </c>
      <c r="H663" s="161">
        <v>5257.81</v>
      </c>
      <c r="I663" s="161">
        <v>-33.270000000000003</v>
      </c>
      <c r="J663" s="161">
        <v>0</v>
      </c>
      <c r="K663" s="161">
        <v>0</v>
      </c>
      <c r="L663" s="161">
        <v>-1225.8399999999999</v>
      </c>
      <c r="M663" s="161">
        <v>-40</v>
      </c>
      <c r="N663" s="161">
        <v>0</v>
      </c>
      <c r="O663" s="162">
        <f t="shared" si="60"/>
        <v>3958.7</v>
      </c>
      <c r="P663" s="162">
        <v>-2500</v>
      </c>
      <c r="Q663" s="162">
        <v>0</v>
      </c>
      <c r="R663" s="162">
        <v>0</v>
      </c>
      <c r="S663" s="162">
        <v>0</v>
      </c>
      <c r="T663" s="162">
        <v>0</v>
      </c>
      <c r="U663" s="162">
        <v>0</v>
      </c>
      <c r="V663" s="162">
        <v>0</v>
      </c>
      <c r="W663" s="161">
        <f t="shared" si="61"/>
        <v>1458.6999999999998</v>
      </c>
      <c r="X663" s="161">
        <f t="shared" si="62"/>
        <v>1458.6999999999998</v>
      </c>
      <c r="Y663" s="161">
        <f t="shared" si="63"/>
        <v>0</v>
      </c>
      <c r="Z663" s="162">
        <v>0</v>
      </c>
      <c r="AA663" s="161">
        <f t="shared" si="64"/>
        <v>0</v>
      </c>
      <c r="AB663" s="161">
        <f t="shared" si="65"/>
        <v>2500</v>
      </c>
      <c r="AC663" s="158"/>
      <c r="AD663" s="158"/>
    </row>
    <row r="664" spans="1:30" ht="12.75" customHeight="1" x14ac:dyDescent="0.3">
      <c r="A664" s="147">
        <v>34</v>
      </c>
      <c r="B664" s="158" t="s">
        <v>1020</v>
      </c>
      <c r="C664" s="158" t="s">
        <v>123</v>
      </c>
      <c r="D664" s="158" t="s">
        <v>999</v>
      </c>
      <c r="E664" s="160" t="s">
        <v>871</v>
      </c>
      <c r="F664" s="158" t="s">
        <v>39</v>
      </c>
      <c r="G664" s="160" t="s">
        <v>866</v>
      </c>
      <c r="H664" s="161">
        <v>1523.62</v>
      </c>
      <c r="I664" s="161">
        <v>0</v>
      </c>
      <c r="J664" s="161">
        <v>0</v>
      </c>
      <c r="K664" s="161">
        <v>0</v>
      </c>
      <c r="L664" s="161">
        <v>-611.94000000000005</v>
      </c>
      <c r="M664" s="161">
        <v>-40</v>
      </c>
      <c r="N664" s="161">
        <v>0</v>
      </c>
      <c r="O664" s="162">
        <f t="shared" si="60"/>
        <v>871.67999999999984</v>
      </c>
      <c r="P664" s="161">
        <v>-2500</v>
      </c>
      <c r="Q664" s="162">
        <v>109</v>
      </c>
      <c r="R664" s="161">
        <v>-500</v>
      </c>
      <c r="S664" s="161">
        <v>0</v>
      </c>
      <c r="T664" s="161">
        <v>0</v>
      </c>
      <c r="U664" s="162">
        <v>0</v>
      </c>
      <c r="V664" s="161">
        <v>0</v>
      </c>
      <c r="W664" s="161">
        <f t="shared" si="61"/>
        <v>-2019.3200000000002</v>
      </c>
      <c r="X664" s="161">
        <f t="shared" si="62"/>
        <v>0</v>
      </c>
      <c r="Y664" s="161">
        <f t="shared" si="63"/>
        <v>-2019.3200000000002</v>
      </c>
      <c r="Z664" s="161">
        <f>1000+1000+1000</f>
        <v>3000</v>
      </c>
      <c r="AA664" s="161">
        <f t="shared" si="64"/>
        <v>980.67999999999984</v>
      </c>
      <c r="AB664" s="161">
        <f t="shared" si="65"/>
        <v>4852.3599999999997</v>
      </c>
      <c r="AC664" s="158"/>
      <c r="AD664" s="158"/>
    </row>
    <row r="665" spans="1:30" ht="12.75" customHeight="1" x14ac:dyDescent="0.3">
      <c r="A665" s="147">
        <v>34</v>
      </c>
      <c r="B665" s="158" t="s">
        <v>923</v>
      </c>
      <c r="C665" s="158" t="s">
        <v>46</v>
      </c>
      <c r="D665" s="158" t="s">
        <v>915</v>
      </c>
      <c r="E665" s="160" t="s">
        <v>25</v>
      </c>
      <c r="F665" s="161" t="s">
        <v>25</v>
      </c>
      <c r="G665" s="160" t="s">
        <v>866</v>
      </c>
      <c r="H665" s="161">
        <v>0</v>
      </c>
      <c r="I665" s="161">
        <v>0</v>
      </c>
      <c r="J665" s="161">
        <v>0</v>
      </c>
      <c r="K665" s="161">
        <v>0</v>
      </c>
      <c r="L665" s="161">
        <v>0</v>
      </c>
      <c r="M665" s="161">
        <v>0</v>
      </c>
      <c r="N665" s="161">
        <v>0</v>
      </c>
      <c r="O665" s="162">
        <f t="shared" si="60"/>
        <v>0</v>
      </c>
      <c r="P665" s="161">
        <v>0</v>
      </c>
      <c r="Q665" s="161">
        <v>0</v>
      </c>
      <c r="R665" s="161">
        <v>500</v>
      </c>
      <c r="S665" s="161">
        <v>0</v>
      </c>
      <c r="T665" s="161">
        <v>0</v>
      </c>
      <c r="U665" s="161">
        <v>0</v>
      </c>
      <c r="V665" s="161">
        <v>0</v>
      </c>
      <c r="W665" s="161">
        <f t="shared" si="61"/>
        <v>500</v>
      </c>
      <c r="X665" s="161">
        <f t="shared" si="62"/>
        <v>500</v>
      </c>
      <c r="Y665" s="161">
        <f t="shared" si="63"/>
        <v>0</v>
      </c>
      <c r="Z665" s="161">
        <v>0</v>
      </c>
      <c r="AA665" s="161">
        <f t="shared" si="64"/>
        <v>0</v>
      </c>
      <c r="AB665" s="161">
        <f t="shared" si="65"/>
        <v>-500</v>
      </c>
      <c r="AC665" s="158"/>
      <c r="AD665" s="158"/>
    </row>
    <row r="666" spans="1:30" ht="12.75" customHeight="1" x14ac:dyDescent="0.3">
      <c r="A666" s="147">
        <v>34</v>
      </c>
      <c r="B666" s="158" t="s">
        <v>880</v>
      </c>
      <c r="C666" s="158" t="s">
        <v>183</v>
      </c>
      <c r="D666" s="158" t="s">
        <v>887</v>
      </c>
      <c r="E666" s="160" t="s">
        <v>25</v>
      </c>
      <c r="F666" s="158" t="s">
        <v>25</v>
      </c>
      <c r="G666" s="160" t="s">
        <v>866</v>
      </c>
      <c r="H666" s="161">
        <v>4113.05</v>
      </c>
      <c r="I666" s="161">
        <v>0</v>
      </c>
      <c r="J666" s="161">
        <v>0</v>
      </c>
      <c r="K666" s="161">
        <v>0</v>
      </c>
      <c r="L666" s="161">
        <v>-2268.4</v>
      </c>
      <c r="M666" s="161">
        <v>-32</v>
      </c>
      <c r="N666" s="161">
        <v>0</v>
      </c>
      <c r="O666" s="162">
        <f t="shared" si="60"/>
        <v>1812.65</v>
      </c>
      <c r="P666" s="162">
        <v>-2500</v>
      </c>
      <c r="Q666" s="161">
        <v>0</v>
      </c>
      <c r="R666" s="162">
        <v>0</v>
      </c>
      <c r="S666" s="162">
        <v>0</v>
      </c>
      <c r="T666" s="162">
        <v>0</v>
      </c>
      <c r="U666" s="162">
        <v>0</v>
      </c>
      <c r="V666" s="162">
        <v>0</v>
      </c>
      <c r="W666" s="161">
        <f t="shared" si="61"/>
        <v>-687.34999999999991</v>
      </c>
      <c r="X666" s="161">
        <f t="shared" si="62"/>
        <v>0</v>
      </c>
      <c r="Y666" s="161">
        <f t="shared" si="63"/>
        <v>-687.34999999999991</v>
      </c>
      <c r="Z666" s="162">
        <v>687</v>
      </c>
      <c r="AA666" s="161">
        <f t="shared" si="64"/>
        <v>-0.34999999999990905</v>
      </c>
      <c r="AB666" s="161">
        <f t="shared" si="65"/>
        <v>2499.3000000000002</v>
      </c>
      <c r="AC666" s="158" t="s">
        <v>1047</v>
      </c>
      <c r="AD666" s="158"/>
    </row>
    <row r="667" spans="1:30" ht="12.75" customHeight="1" x14ac:dyDescent="0.3">
      <c r="A667" s="147">
        <v>34</v>
      </c>
      <c r="B667" s="158" t="s">
        <v>922</v>
      </c>
      <c r="C667" s="158" t="s">
        <v>36</v>
      </c>
      <c r="D667" s="158" t="s">
        <v>904</v>
      </c>
      <c r="E667" s="160" t="s">
        <v>25</v>
      </c>
      <c r="F667" s="158" t="s">
        <v>25</v>
      </c>
      <c r="G667" s="160" t="s">
        <v>866</v>
      </c>
      <c r="H667" s="161">
        <v>1910.78</v>
      </c>
      <c r="I667" s="161">
        <v>0</v>
      </c>
      <c r="J667" s="161">
        <v>0</v>
      </c>
      <c r="K667" s="161">
        <v>0</v>
      </c>
      <c r="L667" s="161">
        <v>-489.89</v>
      </c>
      <c r="M667" s="161">
        <v>-38</v>
      </c>
      <c r="N667" s="161">
        <v>-10</v>
      </c>
      <c r="O667" s="162">
        <f t="shared" si="60"/>
        <v>1372.8899999999999</v>
      </c>
      <c r="P667" s="162">
        <v>-2500</v>
      </c>
      <c r="Q667" s="161">
        <v>-21</v>
      </c>
      <c r="R667" s="162">
        <v>0</v>
      </c>
      <c r="S667" s="162">
        <v>0</v>
      </c>
      <c r="T667" s="162">
        <v>0</v>
      </c>
      <c r="U667" s="162">
        <v>0</v>
      </c>
      <c r="V667" s="162">
        <v>0</v>
      </c>
      <c r="W667" s="161">
        <f t="shared" si="61"/>
        <v>-1148.1100000000001</v>
      </c>
      <c r="X667" s="161">
        <f t="shared" si="62"/>
        <v>0</v>
      </c>
      <c r="Y667" s="161">
        <f t="shared" si="63"/>
        <v>-1148.1100000000001</v>
      </c>
      <c r="Z667" s="162">
        <v>500</v>
      </c>
      <c r="AA667" s="161">
        <f t="shared" si="64"/>
        <v>-648.11000000000013</v>
      </c>
      <c r="AB667" s="161">
        <f t="shared" si="65"/>
        <v>1224.7799999999997</v>
      </c>
      <c r="AC667" s="158" t="s">
        <v>1047</v>
      </c>
      <c r="AD667" s="158"/>
    </row>
    <row r="668" spans="1:30" ht="12.75" customHeight="1" x14ac:dyDescent="0.3">
      <c r="A668" s="147">
        <v>34</v>
      </c>
      <c r="B668" s="158" t="s">
        <v>993</v>
      </c>
      <c r="C668" s="158" t="s">
        <v>347</v>
      </c>
      <c r="D668" s="158" t="s">
        <v>897</v>
      </c>
      <c r="E668" s="160" t="s">
        <v>25</v>
      </c>
      <c r="F668" s="158" t="s">
        <v>25</v>
      </c>
      <c r="G668" s="160" t="s">
        <v>866</v>
      </c>
      <c r="H668" s="161">
        <v>2849.42</v>
      </c>
      <c r="I668" s="161">
        <v>0</v>
      </c>
      <c r="J668" s="161">
        <v>0</v>
      </c>
      <c r="K668" s="161">
        <v>0</v>
      </c>
      <c r="L668" s="161">
        <v>-2254.08</v>
      </c>
      <c r="M668" s="161">
        <v>-38</v>
      </c>
      <c r="N668" s="161">
        <v>0</v>
      </c>
      <c r="O668" s="162">
        <f t="shared" si="60"/>
        <v>557.34000000000015</v>
      </c>
      <c r="P668" s="162">
        <v>-2500</v>
      </c>
      <c r="Q668" s="161">
        <v>-569</v>
      </c>
      <c r="R668" s="162">
        <v>-500</v>
      </c>
      <c r="S668" s="162">
        <v>0</v>
      </c>
      <c r="T668" s="162">
        <v>0</v>
      </c>
      <c r="U668" s="162">
        <v>0</v>
      </c>
      <c r="V668" s="162">
        <v>0</v>
      </c>
      <c r="W668" s="161">
        <f t="shared" si="61"/>
        <v>-3011.66</v>
      </c>
      <c r="X668" s="161">
        <f t="shared" si="62"/>
        <v>0</v>
      </c>
      <c r="Y668" s="161">
        <f t="shared" si="63"/>
        <v>-3011.66</v>
      </c>
      <c r="Z668" s="162">
        <f>1492+800</f>
        <v>2292</v>
      </c>
      <c r="AA668" s="161">
        <f t="shared" si="64"/>
        <v>-719.65999999999985</v>
      </c>
      <c r="AB668" s="161">
        <f t="shared" si="65"/>
        <v>2129.6800000000003</v>
      </c>
      <c r="AC668" s="158" t="s">
        <v>1027</v>
      </c>
      <c r="AD668" s="158"/>
    </row>
    <row r="669" spans="1:30" ht="12.75" customHeight="1" x14ac:dyDescent="0.3">
      <c r="A669" s="147">
        <v>34</v>
      </c>
      <c r="B669" s="158" t="s">
        <v>1048</v>
      </c>
      <c r="C669" s="158" t="s">
        <v>59</v>
      </c>
      <c r="D669" s="158" t="s">
        <v>895</v>
      </c>
      <c r="E669" s="158" t="s">
        <v>25</v>
      </c>
      <c r="F669" s="158" t="s">
        <v>25</v>
      </c>
      <c r="G669" s="160" t="s">
        <v>866</v>
      </c>
      <c r="H669" s="161">
        <v>4992.76</v>
      </c>
      <c r="I669" s="161">
        <v>-54.4</v>
      </c>
      <c r="J669" s="161">
        <v>0</v>
      </c>
      <c r="K669" s="161">
        <v>0</v>
      </c>
      <c r="L669" s="161">
        <v>-2707.32</v>
      </c>
      <c r="M669" s="162">
        <v>-25</v>
      </c>
      <c r="N669" s="161">
        <v>0</v>
      </c>
      <c r="O669" s="162">
        <f t="shared" si="60"/>
        <v>2206.0400000000004</v>
      </c>
      <c r="P669" s="161">
        <v>-1071.42</v>
      </c>
      <c r="Q669" s="161">
        <v>0</v>
      </c>
      <c r="R669" s="161">
        <v>-500</v>
      </c>
      <c r="S669" s="161">
        <v>0</v>
      </c>
      <c r="T669" s="161">
        <v>0</v>
      </c>
      <c r="U669" s="161">
        <v>0</v>
      </c>
      <c r="V669" s="161">
        <v>0</v>
      </c>
      <c r="W669" s="161">
        <f t="shared" si="61"/>
        <v>634.62000000000035</v>
      </c>
      <c r="X669" s="161">
        <f t="shared" si="62"/>
        <v>634.62000000000035</v>
      </c>
      <c r="Y669" s="161">
        <f t="shared" si="63"/>
        <v>0</v>
      </c>
      <c r="Z669" s="161">
        <v>0</v>
      </c>
      <c r="AA669" s="161">
        <f t="shared" si="64"/>
        <v>0</v>
      </c>
      <c r="AB669" s="161">
        <f t="shared" si="65"/>
        <v>1571.42</v>
      </c>
      <c r="AC669" s="158"/>
      <c r="AD669" s="158"/>
    </row>
    <row r="670" spans="1:30" ht="12.75" customHeight="1" x14ac:dyDescent="0.3">
      <c r="A670" s="147">
        <v>34</v>
      </c>
      <c r="B670" s="158" t="s">
        <v>1025</v>
      </c>
      <c r="C670" s="158" t="s">
        <v>110</v>
      </c>
      <c r="D670" s="158" t="s">
        <v>1036</v>
      </c>
      <c r="E670" s="158" t="s">
        <v>18</v>
      </c>
      <c r="F670" s="160" t="s">
        <v>18</v>
      </c>
      <c r="G670" s="160" t="s">
        <v>866</v>
      </c>
      <c r="H670" s="161">
        <v>4155.24</v>
      </c>
      <c r="I670" s="161">
        <v>0</v>
      </c>
      <c r="J670" s="161">
        <v>0</v>
      </c>
      <c r="K670" s="161">
        <v>0</v>
      </c>
      <c r="L670" s="161">
        <v>0</v>
      </c>
      <c r="M670" s="161">
        <v>0</v>
      </c>
      <c r="N670" s="161">
        <v>0</v>
      </c>
      <c r="O670" s="162">
        <f t="shared" si="60"/>
        <v>4155.24</v>
      </c>
      <c r="P670" s="161">
        <v>-2500</v>
      </c>
      <c r="Q670" s="162">
        <v>0</v>
      </c>
      <c r="R670" s="161">
        <v>-500</v>
      </c>
      <c r="S670" s="161">
        <v>0</v>
      </c>
      <c r="T670" s="161">
        <v>0</v>
      </c>
      <c r="U670" s="162">
        <v>0</v>
      </c>
      <c r="V670" s="161">
        <v>0</v>
      </c>
      <c r="W670" s="161">
        <f t="shared" si="61"/>
        <v>1155.2399999999998</v>
      </c>
      <c r="X670" s="161">
        <f t="shared" si="62"/>
        <v>1155.2399999999998</v>
      </c>
      <c r="Y670" s="161">
        <f t="shared" si="63"/>
        <v>0</v>
      </c>
      <c r="Z670" s="162">
        <v>0</v>
      </c>
      <c r="AA670" s="161">
        <f t="shared" si="64"/>
        <v>0</v>
      </c>
      <c r="AB670" s="161">
        <f t="shared" si="65"/>
        <v>3000</v>
      </c>
      <c r="AC670" s="158"/>
      <c r="AD670" s="158"/>
    </row>
    <row r="671" spans="1:30" ht="12.75" customHeight="1" x14ac:dyDescent="0.3">
      <c r="A671" s="147">
        <v>34</v>
      </c>
      <c r="B671" s="158" t="s">
        <v>1010</v>
      </c>
      <c r="C671" s="158" t="s">
        <v>80</v>
      </c>
      <c r="D671" s="158" t="s">
        <v>996</v>
      </c>
      <c r="E671" s="158" t="s">
        <v>18</v>
      </c>
      <c r="F671" s="160" t="s">
        <v>18</v>
      </c>
      <c r="G671" s="160" t="s">
        <v>866</v>
      </c>
      <c r="H671" s="161">
        <v>2994.95</v>
      </c>
      <c r="I671" s="161">
        <v>0</v>
      </c>
      <c r="J671" s="161">
        <v>0</v>
      </c>
      <c r="K671" s="161">
        <v>-31.26</v>
      </c>
      <c r="L671" s="161">
        <v>-2756.12</v>
      </c>
      <c r="M671" s="161">
        <v>0</v>
      </c>
      <c r="N671" s="161">
        <v>-100</v>
      </c>
      <c r="O671" s="162">
        <f t="shared" si="60"/>
        <v>107.56999999999971</v>
      </c>
      <c r="P671" s="161">
        <v>-2500</v>
      </c>
      <c r="Q671" s="162">
        <v>514</v>
      </c>
      <c r="R671" s="161">
        <v>0</v>
      </c>
      <c r="S671" s="161">
        <v>0</v>
      </c>
      <c r="T671" s="161">
        <v>0</v>
      </c>
      <c r="U671" s="162">
        <v>0</v>
      </c>
      <c r="V671" s="161">
        <v>0</v>
      </c>
      <c r="W671" s="161">
        <f t="shared" si="61"/>
        <v>-1878.4300000000003</v>
      </c>
      <c r="X671" s="161">
        <f t="shared" si="62"/>
        <v>0</v>
      </c>
      <c r="Y671" s="161">
        <f t="shared" si="63"/>
        <v>-1878.4300000000003</v>
      </c>
      <c r="Z671" s="162">
        <v>0</v>
      </c>
      <c r="AA671" s="161">
        <f t="shared" si="64"/>
        <v>-1878.4300000000003</v>
      </c>
      <c r="AB671" s="161">
        <f t="shared" si="65"/>
        <v>-1770.8600000000006</v>
      </c>
      <c r="AC671" s="158"/>
      <c r="AD671" s="158"/>
    </row>
    <row r="672" spans="1:30" ht="12.75" customHeight="1" x14ac:dyDescent="0.3">
      <c r="A672" s="147">
        <v>34</v>
      </c>
      <c r="B672" s="158" t="s">
        <v>1003</v>
      </c>
      <c r="C672" s="158" t="s">
        <v>57</v>
      </c>
      <c r="D672" s="158" t="s">
        <v>881</v>
      </c>
      <c r="E672" s="160" t="s">
        <v>25</v>
      </c>
      <c r="F672" s="158" t="s">
        <v>25</v>
      </c>
      <c r="G672" s="160" t="s">
        <v>866</v>
      </c>
      <c r="H672" s="161">
        <v>5055.4799999999996</v>
      </c>
      <c r="I672" s="161">
        <v>0</v>
      </c>
      <c r="J672" s="161">
        <v>0</v>
      </c>
      <c r="K672" s="161">
        <v>0</v>
      </c>
      <c r="L672" s="161">
        <v>0</v>
      </c>
      <c r="M672" s="162">
        <v>-38</v>
      </c>
      <c r="N672" s="161">
        <v>0</v>
      </c>
      <c r="O672" s="162">
        <f t="shared" si="60"/>
        <v>5017.4799999999996</v>
      </c>
      <c r="P672" s="161">
        <v>-2500</v>
      </c>
      <c r="Q672" s="161">
        <v>0</v>
      </c>
      <c r="R672" s="161">
        <v>-500</v>
      </c>
      <c r="S672" s="161">
        <v>0</v>
      </c>
      <c r="T672" s="161">
        <v>0</v>
      </c>
      <c r="U672" s="161">
        <v>0</v>
      </c>
      <c r="V672" s="161">
        <v>0</v>
      </c>
      <c r="W672" s="161">
        <f t="shared" si="61"/>
        <v>2017.4799999999996</v>
      </c>
      <c r="X672" s="161">
        <f t="shared" si="62"/>
        <v>2017.4799999999996</v>
      </c>
      <c r="Y672" s="161">
        <f t="shared" si="63"/>
        <v>0</v>
      </c>
      <c r="Z672" s="161">
        <v>0</v>
      </c>
      <c r="AA672" s="161">
        <f t="shared" si="64"/>
        <v>0</v>
      </c>
      <c r="AB672" s="161">
        <f t="shared" si="65"/>
        <v>3000</v>
      </c>
      <c r="AC672" s="158" t="s">
        <v>1021</v>
      </c>
      <c r="AD672" s="158"/>
    </row>
    <row r="673" spans="1:30" ht="12.75" customHeight="1" x14ac:dyDescent="0.3">
      <c r="A673" s="147">
        <v>35</v>
      </c>
      <c r="B673" s="158" t="s">
        <v>585</v>
      </c>
      <c r="C673" s="158" t="s">
        <v>42</v>
      </c>
      <c r="D673" s="158" t="s">
        <v>948</v>
      </c>
      <c r="E673" s="158" t="s">
        <v>25</v>
      </c>
      <c r="F673" s="158" t="s">
        <v>25</v>
      </c>
      <c r="G673" s="160" t="s">
        <v>866</v>
      </c>
      <c r="H673" s="161">
        <v>0</v>
      </c>
      <c r="I673" s="161">
        <v>0</v>
      </c>
      <c r="J673" s="161">
        <v>0</v>
      </c>
      <c r="K673" s="161">
        <v>0</v>
      </c>
      <c r="L673" s="161">
        <v>0</v>
      </c>
      <c r="M673" s="161">
        <v>-36</v>
      </c>
      <c r="N673" s="161">
        <v>0</v>
      </c>
      <c r="O673" s="162">
        <f t="shared" si="60"/>
        <v>-36</v>
      </c>
      <c r="P673" s="162">
        <v>-2500</v>
      </c>
      <c r="Q673" s="162">
        <v>0</v>
      </c>
      <c r="R673" s="162">
        <v>0</v>
      </c>
      <c r="S673" s="162">
        <v>0</v>
      </c>
      <c r="T673" s="162">
        <v>-500</v>
      </c>
      <c r="U673" s="162">
        <v>0</v>
      </c>
      <c r="V673" s="162">
        <v>0</v>
      </c>
      <c r="W673" s="161">
        <f t="shared" si="61"/>
        <v>-3036</v>
      </c>
      <c r="X673" s="161">
        <f t="shared" si="62"/>
        <v>0</v>
      </c>
      <c r="Y673" s="161">
        <f t="shared" si="63"/>
        <v>-3036</v>
      </c>
      <c r="Z673" s="162">
        <v>3036</v>
      </c>
      <c r="AA673" s="161">
        <f t="shared" si="64"/>
        <v>0</v>
      </c>
      <c r="AB673" s="161">
        <f t="shared" si="65"/>
        <v>3000</v>
      </c>
      <c r="AC673" s="158"/>
      <c r="AD673" s="158"/>
    </row>
    <row r="674" spans="1:30" ht="12.75" customHeight="1" x14ac:dyDescent="0.3">
      <c r="A674" s="147">
        <v>35</v>
      </c>
      <c r="B674" s="158" t="s">
        <v>837</v>
      </c>
      <c r="C674" s="158" t="s">
        <v>409</v>
      </c>
      <c r="D674" s="158" t="s">
        <v>946</v>
      </c>
      <c r="E674" s="158" t="s">
        <v>25</v>
      </c>
      <c r="F674" s="158" t="s">
        <v>25</v>
      </c>
      <c r="G674" s="160" t="s">
        <v>866</v>
      </c>
      <c r="H674" s="161">
        <v>7394.1300000000047</v>
      </c>
      <c r="I674" s="161">
        <v>0</v>
      </c>
      <c r="J674" s="161">
        <v>0</v>
      </c>
      <c r="K674" s="161">
        <v>0</v>
      </c>
      <c r="L674" s="161">
        <v>0</v>
      </c>
      <c r="M674" s="161">
        <v>-32</v>
      </c>
      <c r="N674" s="161">
        <v>0</v>
      </c>
      <c r="O674" s="162">
        <f t="shared" si="60"/>
        <v>7362.1300000000047</v>
      </c>
      <c r="P674" s="162">
        <v>-2500</v>
      </c>
      <c r="Q674" s="161">
        <v>0</v>
      </c>
      <c r="R674" s="162">
        <v>-500</v>
      </c>
      <c r="S674" s="162">
        <v>0</v>
      </c>
      <c r="T674" s="162">
        <v>0</v>
      </c>
      <c r="U674" s="162">
        <v>0</v>
      </c>
      <c r="V674" s="162">
        <v>0</v>
      </c>
      <c r="W674" s="161">
        <f t="shared" si="61"/>
        <v>4362.1300000000047</v>
      </c>
      <c r="X674" s="161">
        <f t="shared" si="62"/>
        <v>4362.1300000000047</v>
      </c>
      <c r="Y674" s="161">
        <f t="shared" si="63"/>
        <v>0</v>
      </c>
      <c r="Z674" s="162">
        <v>0</v>
      </c>
      <c r="AA674" s="161">
        <f t="shared" si="64"/>
        <v>0</v>
      </c>
      <c r="AB674" s="161">
        <f t="shared" si="65"/>
        <v>3000</v>
      </c>
      <c r="AC674" s="158"/>
      <c r="AD674" s="158"/>
    </row>
    <row r="675" spans="1:30" ht="12.75" customHeight="1" x14ac:dyDescent="0.3">
      <c r="A675" s="147">
        <v>35</v>
      </c>
      <c r="B675" s="158" t="s">
        <v>944</v>
      </c>
      <c r="C675" s="158" t="s">
        <v>372</v>
      </c>
      <c r="D675" s="158" t="s">
        <v>1004</v>
      </c>
      <c r="E675" s="158" t="s">
        <v>39</v>
      </c>
      <c r="F675" s="158" t="s">
        <v>39</v>
      </c>
      <c r="G675" s="160" t="s">
        <v>866</v>
      </c>
      <c r="H675" s="161">
        <v>812.05000000000018</v>
      </c>
      <c r="I675" s="161">
        <v>0</v>
      </c>
      <c r="J675" s="161">
        <v>0</v>
      </c>
      <c r="K675" s="161">
        <v>0</v>
      </c>
      <c r="L675" s="161">
        <v>-237.67000000000002</v>
      </c>
      <c r="M675" s="161">
        <v>-20</v>
      </c>
      <c r="N675" s="161">
        <v>0</v>
      </c>
      <c r="O675" s="162">
        <f t="shared" si="60"/>
        <v>554.38000000000011</v>
      </c>
      <c r="P675" s="162">
        <v>-357</v>
      </c>
      <c r="Q675" s="162">
        <v>0</v>
      </c>
      <c r="R675" s="162">
        <v>0</v>
      </c>
      <c r="S675" s="162">
        <v>0</v>
      </c>
      <c r="T675" s="162">
        <v>-500</v>
      </c>
      <c r="U675" s="162">
        <v>-550</v>
      </c>
      <c r="V675" s="162">
        <v>0</v>
      </c>
      <c r="W675" s="161">
        <f t="shared" si="61"/>
        <v>-852.61999999999989</v>
      </c>
      <c r="X675" s="161">
        <f t="shared" si="62"/>
        <v>0</v>
      </c>
      <c r="Y675" s="161">
        <f t="shared" si="63"/>
        <v>-852.61999999999989</v>
      </c>
      <c r="Z675" s="162">
        <v>853</v>
      </c>
      <c r="AA675" s="161">
        <f t="shared" si="64"/>
        <v>0.38000000000010914</v>
      </c>
      <c r="AB675" s="161">
        <f t="shared" si="65"/>
        <v>1407.7600000000002</v>
      </c>
      <c r="AC675" s="158"/>
      <c r="AD675" s="158"/>
    </row>
    <row r="676" spans="1:30" ht="12.75" customHeight="1" x14ac:dyDescent="0.3">
      <c r="A676" s="147">
        <v>35</v>
      </c>
      <c r="B676" s="158" t="s">
        <v>944</v>
      </c>
      <c r="C676" s="158" t="s">
        <v>372</v>
      </c>
      <c r="D676" s="158" t="s">
        <v>1004</v>
      </c>
      <c r="E676" s="158" t="s">
        <v>39</v>
      </c>
      <c r="F676" s="158" t="s">
        <v>39</v>
      </c>
      <c r="G676" s="160" t="s">
        <v>866</v>
      </c>
      <c r="H676" s="161">
        <v>6052.34</v>
      </c>
      <c r="I676" s="161">
        <v>-9.48</v>
      </c>
      <c r="J676" s="161">
        <v>0</v>
      </c>
      <c r="K676" s="161">
        <v>0</v>
      </c>
      <c r="L676" s="161">
        <v>-2136.1300000000006</v>
      </c>
      <c r="M676" s="161">
        <v>-20</v>
      </c>
      <c r="N676" s="161">
        <v>0</v>
      </c>
      <c r="O676" s="162">
        <f t="shared" si="60"/>
        <v>3886.73</v>
      </c>
      <c r="P676" s="162">
        <v>-2143</v>
      </c>
      <c r="Q676" s="162">
        <v>0</v>
      </c>
      <c r="R676" s="162">
        <v>0</v>
      </c>
      <c r="S676" s="162">
        <v>0</v>
      </c>
      <c r="T676" s="162">
        <v>0</v>
      </c>
      <c r="U676" s="162">
        <v>0</v>
      </c>
      <c r="V676" s="162">
        <v>0</v>
      </c>
      <c r="W676" s="161">
        <f t="shared" si="61"/>
        <v>1743.73</v>
      </c>
      <c r="X676" s="161">
        <f t="shared" si="62"/>
        <v>1743.73</v>
      </c>
      <c r="Y676" s="161">
        <f t="shared" si="63"/>
        <v>0</v>
      </c>
      <c r="Z676" s="162">
        <v>0</v>
      </c>
      <c r="AA676" s="161">
        <f t="shared" si="64"/>
        <v>0</v>
      </c>
      <c r="AB676" s="161">
        <f t="shared" si="65"/>
        <v>2143</v>
      </c>
      <c r="AC676" s="158"/>
      <c r="AD676" s="158"/>
    </row>
    <row r="677" spans="1:30" ht="12.75" customHeight="1" x14ac:dyDescent="0.3">
      <c r="A677" s="147">
        <v>35</v>
      </c>
      <c r="B677" s="158" t="s">
        <v>604</v>
      </c>
      <c r="C677" s="158" t="s">
        <v>150</v>
      </c>
      <c r="D677" s="158" t="s">
        <v>877</v>
      </c>
      <c r="E677" s="158" t="s">
        <v>25</v>
      </c>
      <c r="F677" s="158" t="s">
        <v>25</v>
      </c>
      <c r="G677" s="160" t="s">
        <v>866</v>
      </c>
      <c r="H677" s="161">
        <v>6240.7099999999964</v>
      </c>
      <c r="I677" s="161">
        <v>0</v>
      </c>
      <c r="J677" s="161">
        <v>0</v>
      </c>
      <c r="K677" s="161">
        <v>0</v>
      </c>
      <c r="L677" s="161">
        <v>0</v>
      </c>
      <c r="M677" s="161">
        <v>-32</v>
      </c>
      <c r="N677" s="161">
        <v>0</v>
      </c>
      <c r="O677" s="162">
        <f t="shared" si="60"/>
        <v>6208.7099999999964</v>
      </c>
      <c r="P677" s="161">
        <v>-2500</v>
      </c>
      <c r="Q677" s="161">
        <v>0</v>
      </c>
      <c r="R677" s="161">
        <v>-500</v>
      </c>
      <c r="S677" s="161">
        <v>0</v>
      </c>
      <c r="T677" s="161">
        <v>0</v>
      </c>
      <c r="U677" s="161">
        <v>0</v>
      </c>
      <c r="V677" s="161">
        <v>0</v>
      </c>
      <c r="W677" s="161">
        <f t="shared" si="61"/>
        <v>3208.7099999999964</v>
      </c>
      <c r="X677" s="161">
        <f t="shared" si="62"/>
        <v>3208.7099999999964</v>
      </c>
      <c r="Y677" s="161">
        <f t="shared" si="63"/>
        <v>0</v>
      </c>
      <c r="Z677" s="162">
        <v>0</v>
      </c>
      <c r="AA677" s="161">
        <f t="shared" si="64"/>
        <v>0</v>
      </c>
      <c r="AB677" s="161">
        <f t="shared" si="65"/>
        <v>3000</v>
      </c>
      <c r="AC677" s="158"/>
      <c r="AD677" s="158"/>
    </row>
    <row r="678" spans="1:30" ht="12.75" customHeight="1" x14ac:dyDescent="0.3">
      <c r="A678" s="147">
        <v>35</v>
      </c>
      <c r="B678" s="158" t="s">
        <v>1029</v>
      </c>
      <c r="C678" s="158" t="s">
        <v>68</v>
      </c>
      <c r="D678" s="158" t="s">
        <v>869</v>
      </c>
      <c r="E678" s="158" t="s">
        <v>25</v>
      </c>
      <c r="F678" s="158" t="s">
        <v>25</v>
      </c>
      <c r="G678" s="160" t="s">
        <v>866</v>
      </c>
      <c r="H678" s="161">
        <v>9638.4499999999916</v>
      </c>
      <c r="I678" s="161">
        <v>-41.6</v>
      </c>
      <c r="J678" s="161">
        <v>0</v>
      </c>
      <c r="K678" s="161">
        <v>0</v>
      </c>
      <c r="L678" s="161">
        <v>0</v>
      </c>
      <c r="M678" s="161">
        <v>-32</v>
      </c>
      <c r="N678" s="161">
        <v>0</v>
      </c>
      <c r="O678" s="162">
        <f t="shared" si="60"/>
        <v>9564.8499999999913</v>
      </c>
      <c r="P678" s="161">
        <v>-2500</v>
      </c>
      <c r="Q678" s="161">
        <v>0</v>
      </c>
      <c r="R678" s="161">
        <v>-500</v>
      </c>
      <c r="S678" s="161">
        <v>0</v>
      </c>
      <c r="T678" s="161">
        <v>0</v>
      </c>
      <c r="U678" s="161">
        <v>0</v>
      </c>
      <c r="V678" s="161">
        <v>0</v>
      </c>
      <c r="W678" s="161">
        <f t="shared" si="61"/>
        <v>6564.8499999999913</v>
      </c>
      <c r="X678" s="161">
        <f t="shared" si="62"/>
        <v>6564.8499999999913</v>
      </c>
      <c r="Y678" s="161">
        <f t="shared" si="63"/>
        <v>0</v>
      </c>
      <c r="Z678" s="162">
        <v>0</v>
      </c>
      <c r="AA678" s="161">
        <f t="shared" si="64"/>
        <v>0</v>
      </c>
      <c r="AB678" s="161">
        <f t="shared" si="65"/>
        <v>3000</v>
      </c>
      <c r="AC678" s="158"/>
      <c r="AD678" s="158"/>
    </row>
    <row r="679" spans="1:30" ht="12.75" customHeight="1" x14ac:dyDescent="0.3">
      <c r="A679" s="147">
        <v>35</v>
      </c>
      <c r="B679" s="158" t="s">
        <v>1030</v>
      </c>
      <c r="C679" s="158" t="s">
        <v>195</v>
      </c>
      <c r="D679" s="158" t="s">
        <v>964</v>
      </c>
      <c r="E679" s="160" t="s">
        <v>871</v>
      </c>
      <c r="F679" s="158" t="s">
        <v>39</v>
      </c>
      <c r="G679" s="160" t="s">
        <v>866</v>
      </c>
      <c r="H679" s="161">
        <v>5647.0199999999995</v>
      </c>
      <c r="I679" s="161">
        <v>0</v>
      </c>
      <c r="J679" s="161">
        <v>0</v>
      </c>
      <c r="K679" s="161">
        <v>0</v>
      </c>
      <c r="L679" s="161">
        <v>-3278.9599999999991</v>
      </c>
      <c r="M679" s="161">
        <v>-32</v>
      </c>
      <c r="N679" s="161">
        <v>0</v>
      </c>
      <c r="O679" s="162">
        <f t="shared" si="60"/>
        <v>2336.0600000000004</v>
      </c>
      <c r="P679" s="161">
        <v>-2500</v>
      </c>
      <c r="Q679" s="161">
        <v>0</v>
      </c>
      <c r="R679" s="161">
        <v>-500</v>
      </c>
      <c r="S679" s="161">
        <v>0</v>
      </c>
      <c r="T679" s="161">
        <v>0</v>
      </c>
      <c r="U679" s="161">
        <v>0</v>
      </c>
      <c r="V679" s="161">
        <v>0</v>
      </c>
      <c r="W679" s="161">
        <f t="shared" si="61"/>
        <v>-663.9399999999996</v>
      </c>
      <c r="X679" s="161">
        <f t="shared" si="62"/>
        <v>0</v>
      </c>
      <c r="Y679" s="161">
        <f t="shared" si="63"/>
        <v>-663.9399999999996</v>
      </c>
      <c r="Z679" s="162">
        <v>664</v>
      </c>
      <c r="AA679" s="161">
        <f t="shared" si="64"/>
        <v>6.0000000000400178E-2</v>
      </c>
      <c r="AB679" s="161">
        <f t="shared" si="65"/>
        <v>3000.1200000000008</v>
      </c>
      <c r="AC679" s="158"/>
      <c r="AD679" s="158"/>
    </row>
    <row r="680" spans="1:30" ht="12.75" customHeight="1" x14ac:dyDescent="0.3">
      <c r="A680" s="147">
        <v>35</v>
      </c>
      <c r="B680" s="158" t="s">
        <v>913</v>
      </c>
      <c r="C680" s="158" t="s">
        <v>100</v>
      </c>
      <c r="D680" s="158" t="s">
        <v>953</v>
      </c>
      <c r="E680" s="158" t="s">
        <v>25</v>
      </c>
      <c r="F680" s="158" t="s">
        <v>25</v>
      </c>
      <c r="G680" s="160" t="s">
        <v>866</v>
      </c>
      <c r="H680" s="161">
        <v>6286.3799999999983</v>
      </c>
      <c r="I680" s="161">
        <v>-27.2</v>
      </c>
      <c r="J680" s="161">
        <v>0</v>
      </c>
      <c r="K680" s="161">
        <v>0</v>
      </c>
      <c r="L680" s="161">
        <v>-4696.3899999999994</v>
      </c>
      <c r="M680" s="161">
        <v>-40.409999999999997</v>
      </c>
      <c r="N680" s="161">
        <v>-138</v>
      </c>
      <c r="O680" s="162">
        <f t="shared" si="60"/>
        <v>1384.379999999999</v>
      </c>
      <c r="P680" s="162">
        <v>-2500</v>
      </c>
      <c r="Q680" s="162">
        <v>0</v>
      </c>
      <c r="R680" s="162">
        <v>0</v>
      </c>
      <c r="S680" s="162">
        <v>0</v>
      </c>
      <c r="T680" s="162">
        <v>0</v>
      </c>
      <c r="U680" s="162">
        <v>0</v>
      </c>
      <c r="V680" s="162">
        <v>0</v>
      </c>
      <c r="W680" s="161">
        <f t="shared" si="61"/>
        <v>-1115.620000000001</v>
      </c>
      <c r="X680" s="161">
        <f t="shared" si="62"/>
        <v>0</v>
      </c>
      <c r="Y680" s="161">
        <f t="shared" si="63"/>
        <v>-1115.620000000001</v>
      </c>
      <c r="Z680" s="162">
        <v>1116</v>
      </c>
      <c r="AA680" s="161">
        <f t="shared" si="64"/>
        <v>0.37999999999897227</v>
      </c>
      <c r="AB680" s="161">
        <f t="shared" si="65"/>
        <v>2500.7599999999984</v>
      </c>
      <c r="AC680" s="158"/>
      <c r="AD680" s="158"/>
    </row>
    <row r="681" spans="1:30" ht="12.75" customHeight="1" x14ac:dyDescent="0.3">
      <c r="A681" s="147">
        <v>35</v>
      </c>
      <c r="B681" s="158" t="s">
        <v>457</v>
      </c>
      <c r="C681" s="158" t="s">
        <v>571</v>
      </c>
      <c r="D681" s="158" t="s">
        <v>974</v>
      </c>
      <c r="E681" s="158" t="s">
        <v>25</v>
      </c>
      <c r="F681" s="158" t="s">
        <v>25</v>
      </c>
      <c r="G681" s="160" t="s">
        <v>866</v>
      </c>
      <c r="H681" s="161">
        <v>0</v>
      </c>
      <c r="I681" s="161">
        <v>0</v>
      </c>
      <c r="J681" s="161">
        <v>0</v>
      </c>
      <c r="K681" s="161">
        <v>0</v>
      </c>
      <c r="L681" s="161">
        <v>0</v>
      </c>
      <c r="M681" s="161">
        <v>-30</v>
      </c>
      <c r="N681" s="161">
        <v>0</v>
      </c>
      <c r="O681" s="162">
        <f t="shared" si="60"/>
        <v>-30</v>
      </c>
      <c r="P681" s="162">
        <v>-1429</v>
      </c>
      <c r="Q681" s="162">
        <v>-263.2</v>
      </c>
      <c r="R681" s="162">
        <v>0</v>
      </c>
      <c r="S681" s="162">
        <v>0</v>
      </c>
      <c r="T681" s="162">
        <v>0</v>
      </c>
      <c r="U681" s="162">
        <v>-275</v>
      </c>
      <c r="V681" s="162">
        <v>0</v>
      </c>
      <c r="W681" s="161">
        <f t="shared" si="61"/>
        <v>-1997.2</v>
      </c>
      <c r="X681" s="161">
        <f t="shared" si="62"/>
        <v>0</v>
      </c>
      <c r="Y681" s="161">
        <f t="shared" si="63"/>
        <v>-1997.2</v>
      </c>
      <c r="Z681" s="162">
        <f>656+400+400</f>
        <v>1456</v>
      </c>
      <c r="AA681" s="161">
        <f t="shared" si="64"/>
        <v>-541.20000000000005</v>
      </c>
      <c r="AB681" s="161">
        <f t="shared" si="65"/>
        <v>884.8</v>
      </c>
      <c r="AC681" s="158"/>
      <c r="AD681" s="158"/>
    </row>
    <row r="682" spans="1:30" ht="12.75" customHeight="1" x14ac:dyDescent="0.3">
      <c r="A682" s="147">
        <v>35</v>
      </c>
      <c r="B682" s="158" t="s">
        <v>457</v>
      </c>
      <c r="C682" s="158" t="s">
        <v>573</v>
      </c>
      <c r="D682" s="158" t="s">
        <v>20</v>
      </c>
      <c r="E682" s="160" t="s">
        <v>25</v>
      </c>
      <c r="F682" s="158" t="s">
        <v>39</v>
      </c>
      <c r="G682" s="160" t="s">
        <v>866</v>
      </c>
      <c r="H682" s="161">
        <v>1799.25</v>
      </c>
      <c r="I682" s="161">
        <v>0</v>
      </c>
      <c r="J682" s="161">
        <v>0</v>
      </c>
      <c r="K682" s="161">
        <v>0</v>
      </c>
      <c r="L682" s="161">
        <v>-429.39</v>
      </c>
      <c r="M682" s="161">
        <v>0</v>
      </c>
      <c r="N682" s="161">
        <v>0</v>
      </c>
      <c r="O682" s="162">
        <f t="shared" si="60"/>
        <v>1369.8600000000001</v>
      </c>
      <c r="P682" s="162">
        <v>-714</v>
      </c>
      <c r="Q682" s="162">
        <v>0</v>
      </c>
      <c r="R682" s="162">
        <v>0</v>
      </c>
      <c r="S682" s="162">
        <v>0</v>
      </c>
      <c r="T682" s="162">
        <v>0</v>
      </c>
      <c r="U682" s="162">
        <v>0</v>
      </c>
      <c r="V682" s="162">
        <v>0</v>
      </c>
      <c r="W682" s="161">
        <f t="shared" si="61"/>
        <v>655.86000000000013</v>
      </c>
      <c r="X682" s="161">
        <f t="shared" si="62"/>
        <v>655.86000000000013</v>
      </c>
      <c r="Y682" s="161">
        <f t="shared" si="63"/>
        <v>0</v>
      </c>
      <c r="Z682" s="162">
        <v>0</v>
      </c>
      <c r="AA682" s="161">
        <f t="shared" si="64"/>
        <v>0</v>
      </c>
      <c r="AB682" s="161">
        <f t="shared" si="65"/>
        <v>714</v>
      </c>
      <c r="AC682" s="158"/>
      <c r="AD682" s="158"/>
    </row>
    <row r="683" spans="1:30" ht="12.75" customHeight="1" x14ac:dyDescent="0.3">
      <c r="A683" s="147">
        <v>35</v>
      </c>
      <c r="B683" s="158" t="s">
        <v>620</v>
      </c>
      <c r="C683" s="158" t="s">
        <v>571</v>
      </c>
      <c r="D683" s="158" t="s">
        <v>974</v>
      </c>
      <c r="E683" s="158" t="s">
        <v>25</v>
      </c>
      <c r="F683" s="158" t="s">
        <v>25</v>
      </c>
      <c r="G683" s="160" t="s">
        <v>866</v>
      </c>
      <c r="H683" s="161">
        <v>1986</v>
      </c>
      <c r="I683" s="161">
        <v>0</v>
      </c>
      <c r="J683" s="161">
        <v>0</v>
      </c>
      <c r="K683" s="161">
        <v>0</v>
      </c>
      <c r="L683" s="161">
        <v>0</v>
      </c>
      <c r="M683" s="161">
        <v>0</v>
      </c>
      <c r="N683" s="161">
        <v>0</v>
      </c>
      <c r="O683" s="162">
        <f t="shared" si="60"/>
        <v>1986</v>
      </c>
      <c r="P683" s="161">
        <v>-1986</v>
      </c>
      <c r="Q683" s="161">
        <v>0</v>
      </c>
      <c r="R683" s="161">
        <v>0</v>
      </c>
      <c r="S683" s="161">
        <v>0</v>
      </c>
      <c r="T683" s="161">
        <v>0</v>
      </c>
      <c r="U683" s="161">
        <v>0</v>
      </c>
      <c r="V683" s="161">
        <v>0</v>
      </c>
      <c r="W683" s="161">
        <f t="shared" si="61"/>
        <v>0</v>
      </c>
      <c r="X683" s="161">
        <f t="shared" si="62"/>
        <v>0</v>
      </c>
      <c r="Y683" s="161">
        <f t="shared" si="63"/>
        <v>0</v>
      </c>
      <c r="Z683" s="162">
        <v>0</v>
      </c>
      <c r="AA683" s="161">
        <f t="shared" si="64"/>
        <v>0</v>
      </c>
      <c r="AB683" s="161">
        <f t="shared" si="65"/>
        <v>1986</v>
      </c>
      <c r="AC683" s="158" t="s">
        <v>1049</v>
      </c>
      <c r="AD683" s="158"/>
    </row>
    <row r="684" spans="1:30" ht="12.75" customHeight="1" x14ac:dyDescent="0.3">
      <c r="A684" s="147">
        <v>35</v>
      </c>
      <c r="B684" s="158" t="s">
        <v>990</v>
      </c>
      <c r="C684" s="158" t="s">
        <v>46</v>
      </c>
      <c r="D684" s="158" t="s">
        <v>915</v>
      </c>
      <c r="E684" s="158" t="s">
        <v>25</v>
      </c>
      <c r="F684" s="158" t="s">
        <v>25</v>
      </c>
      <c r="G684" s="160" t="s">
        <v>866</v>
      </c>
      <c r="H684" s="161">
        <v>0</v>
      </c>
      <c r="I684" s="161">
        <v>0</v>
      </c>
      <c r="J684" s="161">
        <v>0</v>
      </c>
      <c r="K684" s="161">
        <v>0</v>
      </c>
      <c r="L684" s="161">
        <v>0</v>
      </c>
      <c r="M684" s="161">
        <v>0</v>
      </c>
      <c r="N684" s="161">
        <v>-283</v>
      </c>
      <c r="O684" s="162">
        <f t="shared" si="60"/>
        <v>-283</v>
      </c>
      <c r="P684" s="162">
        <v>0</v>
      </c>
      <c r="Q684" s="161">
        <v>-2723.84</v>
      </c>
      <c r="R684" s="162">
        <v>3007</v>
      </c>
      <c r="S684" s="162">
        <v>0</v>
      </c>
      <c r="T684" s="162">
        <v>0</v>
      </c>
      <c r="U684" s="162">
        <v>0</v>
      </c>
      <c r="V684" s="162">
        <v>0</v>
      </c>
      <c r="W684" s="161">
        <f t="shared" si="61"/>
        <v>0.15999999999985448</v>
      </c>
      <c r="X684" s="161">
        <f t="shared" si="62"/>
        <v>0.15999999999985448</v>
      </c>
      <c r="Y684" s="161">
        <f t="shared" si="63"/>
        <v>0</v>
      </c>
      <c r="Z684" s="162">
        <v>0</v>
      </c>
      <c r="AA684" s="161">
        <f t="shared" si="64"/>
        <v>0</v>
      </c>
      <c r="AB684" s="161">
        <f t="shared" si="65"/>
        <v>-283.15999999999985</v>
      </c>
      <c r="AC684" s="158"/>
      <c r="AD684" s="158"/>
    </row>
    <row r="685" spans="1:30" ht="12.75" customHeight="1" x14ac:dyDescent="0.3">
      <c r="A685" s="147">
        <v>35</v>
      </c>
      <c r="B685" s="158" t="s">
        <v>872</v>
      </c>
      <c r="C685" s="158" t="s">
        <v>256</v>
      </c>
      <c r="D685" s="158" t="s">
        <v>997</v>
      </c>
      <c r="E685" s="160" t="s">
        <v>871</v>
      </c>
      <c r="F685" s="158" t="s">
        <v>39</v>
      </c>
      <c r="G685" s="160" t="s">
        <v>866</v>
      </c>
      <c r="H685" s="161">
        <v>9203.0300000000007</v>
      </c>
      <c r="I685" s="161">
        <v>-33.6</v>
      </c>
      <c r="J685" s="161">
        <v>0</v>
      </c>
      <c r="K685" s="161">
        <v>-91.45</v>
      </c>
      <c r="L685" s="161">
        <v>-4157.1799999999994</v>
      </c>
      <c r="M685" s="161">
        <v>-50</v>
      </c>
      <c r="N685" s="161">
        <v>-48</v>
      </c>
      <c r="O685" s="162">
        <f t="shared" si="60"/>
        <v>4822.8</v>
      </c>
      <c r="P685" s="162">
        <v>-2500</v>
      </c>
      <c r="Q685" s="162">
        <v>0</v>
      </c>
      <c r="R685" s="162">
        <v>0</v>
      </c>
      <c r="S685" s="162">
        <v>0</v>
      </c>
      <c r="T685" s="162">
        <v>0</v>
      </c>
      <c r="U685" s="162">
        <v>-550</v>
      </c>
      <c r="V685" s="162">
        <v>0</v>
      </c>
      <c r="W685" s="161">
        <f t="shared" si="61"/>
        <v>1772.8000000000002</v>
      </c>
      <c r="X685" s="161">
        <f t="shared" si="62"/>
        <v>1772.8000000000002</v>
      </c>
      <c r="Y685" s="161">
        <f t="shared" si="63"/>
        <v>0</v>
      </c>
      <c r="Z685" s="162">
        <v>0</v>
      </c>
      <c r="AA685" s="161">
        <f t="shared" si="64"/>
        <v>0</v>
      </c>
      <c r="AB685" s="161">
        <f t="shared" si="65"/>
        <v>3050</v>
      </c>
      <c r="AC685" s="158"/>
      <c r="AD685" s="158"/>
    </row>
    <row r="686" spans="1:30" ht="12.75" customHeight="1" x14ac:dyDescent="0.3">
      <c r="A686" s="147">
        <v>35</v>
      </c>
      <c r="B686" s="158" t="s">
        <v>921</v>
      </c>
      <c r="C686" s="158" t="s">
        <v>257</v>
      </c>
      <c r="D686" s="158" t="s">
        <v>943</v>
      </c>
      <c r="E686" s="158" t="s">
        <v>25</v>
      </c>
      <c r="F686" s="158" t="s">
        <v>25</v>
      </c>
      <c r="G686" s="160" t="s">
        <v>866</v>
      </c>
      <c r="H686" s="161">
        <v>5265.9299999999994</v>
      </c>
      <c r="I686" s="161">
        <v>-27.2</v>
      </c>
      <c r="J686" s="161">
        <v>0</v>
      </c>
      <c r="K686" s="161">
        <v>0</v>
      </c>
      <c r="L686" s="161">
        <v>-2252.71</v>
      </c>
      <c r="M686" s="161">
        <v>-28</v>
      </c>
      <c r="N686" s="161">
        <v>-29.75</v>
      </c>
      <c r="O686" s="162">
        <f t="shared" si="60"/>
        <v>2928.2699999999995</v>
      </c>
      <c r="P686" s="162">
        <v>-2500</v>
      </c>
      <c r="Q686" s="161">
        <v>0</v>
      </c>
      <c r="R686" s="162">
        <v>0</v>
      </c>
      <c r="S686" s="162">
        <v>0</v>
      </c>
      <c r="T686" s="162">
        <v>-428</v>
      </c>
      <c r="U686" s="162">
        <v>0</v>
      </c>
      <c r="V686" s="162">
        <v>0</v>
      </c>
      <c r="W686" s="161">
        <f t="shared" si="61"/>
        <v>0.26999999999952706</v>
      </c>
      <c r="X686" s="161">
        <f t="shared" si="62"/>
        <v>0.26999999999952706</v>
      </c>
      <c r="Y686" s="161">
        <f t="shared" si="63"/>
        <v>0</v>
      </c>
      <c r="Z686" s="162">
        <v>0</v>
      </c>
      <c r="AA686" s="161">
        <f t="shared" si="64"/>
        <v>0</v>
      </c>
      <c r="AB686" s="161">
        <f t="shared" si="65"/>
        <v>2928</v>
      </c>
      <c r="AC686" s="158"/>
      <c r="AD686" s="158"/>
    </row>
    <row r="687" spans="1:30" ht="12.75" customHeight="1" x14ac:dyDescent="0.3">
      <c r="A687" s="147">
        <v>35</v>
      </c>
      <c r="B687" s="158" t="s">
        <v>874</v>
      </c>
      <c r="C687" s="158" t="s">
        <v>110</v>
      </c>
      <c r="D687" s="158" t="s">
        <v>1036</v>
      </c>
      <c r="E687" s="160" t="s">
        <v>18</v>
      </c>
      <c r="F687" s="160" t="s">
        <v>18</v>
      </c>
      <c r="G687" s="160" t="s">
        <v>866</v>
      </c>
      <c r="H687" s="161">
        <v>357</v>
      </c>
      <c r="I687" s="161">
        <v>0</v>
      </c>
      <c r="J687" s="161">
        <v>0</v>
      </c>
      <c r="K687" s="161">
        <v>0</v>
      </c>
      <c r="L687" s="161">
        <v>0</v>
      </c>
      <c r="M687" s="162">
        <v>0</v>
      </c>
      <c r="N687" s="161">
        <v>0</v>
      </c>
      <c r="O687" s="162">
        <f t="shared" si="60"/>
        <v>357</v>
      </c>
      <c r="P687" s="161">
        <v>-357</v>
      </c>
      <c r="Q687" s="161">
        <v>0</v>
      </c>
      <c r="R687" s="161">
        <v>0</v>
      </c>
      <c r="S687" s="161">
        <v>0</v>
      </c>
      <c r="T687" s="161">
        <v>0</v>
      </c>
      <c r="U687" s="161">
        <v>0</v>
      </c>
      <c r="V687" s="161">
        <v>0</v>
      </c>
      <c r="W687" s="161">
        <f t="shared" si="61"/>
        <v>0</v>
      </c>
      <c r="X687" s="161">
        <f t="shared" si="62"/>
        <v>0</v>
      </c>
      <c r="Y687" s="161">
        <f t="shared" si="63"/>
        <v>0</v>
      </c>
      <c r="Z687" s="162">
        <v>0</v>
      </c>
      <c r="AA687" s="161">
        <f t="shared" si="64"/>
        <v>0</v>
      </c>
      <c r="AB687" s="161">
        <f t="shared" si="65"/>
        <v>357</v>
      </c>
      <c r="AC687" s="158"/>
      <c r="AD687" s="158"/>
    </row>
    <row r="688" spans="1:30" ht="12.75" customHeight="1" x14ac:dyDescent="0.3">
      <c r="A688" s="147">
        <v>35</v>
      </c>
      <c r="B688" s="158" t="s">
        <v>1013</v>
      </c>
      <c r="C688" s="158" t="s">
        <v>101</v>
      </c>
      <c r="D688" s="158" t="s">
        <v>945</v>
      </c>
      <c r="E688" s="158" t="s">
        <v>25</v>
      </c>
      <c r="F688" s="158" t="s">
        <v>25</v>
      </c>
      <c r="G688" s="160" t="s">
        <v>866</v>
      </c>
      <c r="H688" s="161">
        <v>8400.7200000000066</v>
      </c>
      <c r="I688" s="161">
        <v>-40</v>
      </c>
      <c r="J688" s="161">
        <v>0</v>
      </c>
      <c r="K688" s="161">
        <v>0</v>
      </c>
      <c r="L688" s="161">
        <v>-2449.1700000000005</v>
      </c>
      <c r="M688" s="161">
        <v>-32</v>
      </c>
      <c r="N688" s="161">
        <v>0</v>
      </c>
      <c r="O688" s="162">
        <f t="shared" si="60"/>
        <v>5879.5500000000065</v>
      </c>
      <c r="P688" s="161">
        <v>-2500</v>
      </c>
      <c r="Q688" s="161">
        <v>0</v>
      </c>
      <c r="R688" s="161">
        <v>-500</v>
      </c>
      <c r="S688" s="161">
        <v>0</v>
      </c>
      <c r="T688" s="161">
        <v>0</v>
      </c>
      <c r="U688" s="162">
        <v>0</v>
      </c>
      <c r="V688" s="161">
        <v>0</v>
      </c>
      <c r="W688" s="161">
        <f t="shared" si="61"/>
        <v>2879.5500000000065</v>
      </c>
      <c r="X688" s="161">
        <f t="shared" si="62"/>
        <v>2879.5500000000065</v>
      </c>
      <c r="Y688" s="161">
        <f t="shared" si="63"/>
        <v>0</v>
      </c>
      <c r="Z688" s="162">
        <v>0</v>
      </c>
      <c r="AA688" s="161">
        <f t="shared" si="64"/>
        <v>0</v>
      </c>
      <c r="AB688" s="161">
        <f t="shared" si="65"/>
        <v>3000</v>
      </c>
      <c r="AC688" s="158"/>
      <c r="AD688" s="158"/>
    </row>
    <row r="689" spans="1:30" ht="12.75" customHeight="1" x14ac:dyDescent="0.3">
      <c r="A689" s="147">
        <v>35</v>
      </c>
      <c r="B689" s="158" t="s">
        <v>918</v>
      </c>
      <c r="C689" s="158" t="s">
        <v>120</v>
      </c>
      <c r="D689" s="158" t="s">
        <v>950</v>
      </c>
      <c r="E689" s="158" t="s">
        <v>25</v>
      </c>
      <c r="F689" s="158" t="s">
        <v>25</v>
      </c>
      <c r="G689" s="160" t="s">
        <v>866</v>
      </c>
      <c r="H689" s="161">
        <v>8947.2999999999938</v>
      </c>
      <c r="I689" s="161">
        <v>-35.200000000000003</v>
      </c>
      <c r="J689" s="161">
        <v>0</v>
      </c>
      <c r="K689" s="161">
        <v>0</v>
      </c>
      <c r="L689" s="161">
        <v>-2469.58</v>
      </c>
      <c r="M689" s="161">
        <v>-32</v>
      </c>
      <c r="N689" s="161">
        <v>-61</v>
      </c>
      <c r="O689" s="162">
        <f t="shared" si="60"/>
        <v>6349.5199999999932</v>
      </c>
      <c r="P689" s="162">
        <v>-2500</v>
      </c>
      <c r="Q689" s="161">
        <v>0</v>
      </c>
      <c r="R689" s="162">
        <v>0</v>
      </c>
      <c r="S689" s="162">
        <v>0</v>
      </c>
      <c r="T689" s="162">
        <v>0</v>
      </c>
      <c r="U689" s="162">
        <v>0</v>
      </c>
      <c r="V689" s="162">
        <v>0</v>
      </c>
      <c r="W689" s="161">
        <f t="shared" si="61"/>
        <v>3849.5199999999932</v>
      </c>
      <c r="X689" s="161">
        <f t="shared" si="62"/>
        <v>3849.5199999999932</v>
      </c>
      <c r="Y689" s="161">
        <f t="shared" si="63"/>
        <v>0</v>
      </c>
      <c r="Z689" s="162">
        <v>0</v>
      </c>
      <c r="AA689" s="161">
        <f t="shared" si="64"/>
        <v>0</v>
      </c>
      <c r="AB689" s="161">
        <f t="shared" si="65"/>
        <v>2500</v>
      </c>
      <c r="AC689" s="158"/>
      <c r="AD689" s="158"/>
    </row>
    <row r="690" spans="1:30" ht="12.75" customHeight="1" x14ac:dyDescent="0.3">
      <c r="A690" s="147">
        <v>35</v>
      </c>
      <c r="B690" s="158" t="s">
        <v>484</v>
      </c>
      <c r="C690" s="158" t="s">
        <v>426</v>
      </c>
      <c r="D690" s="158" t="s">
        <v>903</v>
      </c>
      <c r="E690" s="158" t="s">
        <v>25</v>
      </c>
      <c r="F690" s="158" t="s">
        <v>25</v>
      </c>
      <c r="G690" s="160" t="s">
        <v>866</v>
      </c>
      <c r="H690" s="161">
        <v>8572.6799999999985</v>
      </c>
      <c r="I690" s="161">
        <v>-116.80000000000001</v>
      </c>
      <c r="J690" s="161">
        <v>0</v>
      </c>
      <c r="K690" s="161">
        <v>0</v>
      </c>
      <c r="L690" s="161">
        <v>-4258.6499999999996</v>
      </c>
      <c r="M690" s="161">
        <v>-32</v>
      </c>
      <c r="N690" s="161">
        <v>0</v>
      </c>
      <c r="O690" s="162">
        <f t="shared" si="60"/>
        <v>4165.2299999999996</v>
      </c>
      <c r="P690" s="162">
        <v>-2500</v>
      </c>
      <c r="Q690" s="161">
        <v>-14</v>
      </c>
      <c r="R690" s="162">
        <v>0</v>
      </c>
      <c r="S690" s="162">
        <v>0</v>
      </c>
      <c r="T690" s="162">
        <v>0</v>
      </c>
      <c r="U690" s="162">
        <v>0</v>
      </c>
      <c r="V690" s="162">
        <v>0</v>
      </c>
      <c r="W690" s="161">
        <f t="shared" si="61"/>
        <v>1651.2299999999996</v>
      </c>
      <c r="X690" s="161">
        <f t="shared" si="62"/>
        <v>1651.2299999999996</v>
      </c>
      <c r="Y690" s="161">
        <f t="shared" si="63"/>
        <v>0</v>
      </c>
      <c r="Z690" s="162">
        <v>0</v>
      </c>
      <c r="AA690" s="161">
        <f t="shared" si="64"/>
        <v>0</v>
      </c>
      <c r="AB690" s="161">
        <f t="shared" si="65"/>
        <v>2514</v>
      </c>
      <c r="AC690" s="158" t="s">
        <v>1050</v>
      </c>
      <c r="AD690" s="158"/>
    </row>
    <row r="691" spans="1:30" ht="12.75" customHeight="1" x14ac:dyDescent="0.3">
      <c r="A691" s="147">
        <v>35</v>
      </c>
      <c r="B691" s="158" t="s">
        <v>408</v>
      </c>
      <c r="C691" s="158" t="s">
        <v>334</v>
      </c>
      <c r="D691" s="158" t="s">
        <v>20</v>
      </c>
      <c r="E691" s="160" t="s">
        <v>25</v>
      </c>
      <c r="F691" s="158" t="s">
        <v>39</v>
      </c>
      <c r="G691" s="160" t="s">
        <v>866</v>
      </c>
      <c r="H691" s="161">
        <v>2983.2299999999996</v>
      </c>
      <c r="I691" s="161">
        <v>0</v>
      </c>
      <c r="J691" s="161">
        <v>0</v>
      </c>
      <c r="K691" s="161">
        <v>0</v>
      </c>
      <c r="L691" s="161">
        <v>-361.8</v>
      </c>
      <c r="M691" s="161">
        <v>-32</v>
      </c>
      <c r="N691" s="161">
        <v>0</v>
      </c>
      <c r="O691" s="162">
        <f t="shared" si="60"/>
        <v>2589.4299999999994</v>
      </c>
      <c r="P691" s="162">
        <v>-1786</v>
      </c>
      <c r="Q691" s="162">
        <v>-290.08</v>
      </c>
      <c r="R691" s="162">
        <v>0</v>
      </c>
      <c r="S691" s="162">
        <v>0</v>
      </c>
      <c r="T691" s="162">
        <v>0</v>
      </c>
      <c r="U691" s="162">
        <v>0</v>
      </c>
      <c r="V691" s="162">
        <v>0</v>
      </c>
      <c r="W691" s="161">
        <f t="shared" si="61"/>
        <v>513.34999999999945</v>
      </c>
      <c r="X691" s="161">
        <f t="shared" si="62"/>
        <v>513.34999999999945</v>
      </c>
      <c r="Y691" s="161">
        <f t="shared" si="63"/>
        <v>0</v>
      </c>
      <c r="Z691" s="162">
        <v>0</v>
      </c>
      <c r="AA691" s="161">
        <f t="shared" si="64"/>
        <v>0</v>
      </c>
      <c r="AB691" s="161">
        <f t="shared" si="65"/>
        <v>2076.08</v>
      </c>
      <c r="AC691" s="158"/>
      <c r="AD691" s="158"/>
    </row>
    <row r="692" spans="1:30" ht="12.75" customHeight="1" x14ac:dyDescent="0.3">
      <c r="A692" s="147">
        <v>35</v>
      </c>
      <c r="B692" s="158" t="s">
        <v>992</v>
      </c>
      <c r="C692" s="158" t="s">
        <v>169</v>
      </c>
      <c r="D692" s="158" t="s">
        <v>967</v>
      </c>
      <c r="E692" s="160" t="s">
        <v>871</v>
      </c>
      <c r="F692" s="158" t="s">
        <v>39</v>
      </c>
      <c r="G692" s="160" t="s">
        <v>866</v>
      </c>
      <c r="H692" s="161">
        <v>5224.9699999999984</v>
      </c>
      <c r="I692" s="161">
        <v>-37.950000000000003</v>
      </c>
      <c r="J692" s="161">
        <v>0</v>
      </c>
      <c r="K692" s="161">
        <v>0</v>
      </c>
      <c r="L692" s="161">
        <v>-2100.3200000000002</v>
      </c>
      <c r="M692" s="161">
        <v>-32</v>
      </c>
      <c r="N692" s="161">
        <v>0</v>
      </c>
      <c r="O692" s="162">
        <f t="shared" si="60"/>
        <v>3054.6999999999985</v>
      </c>
      <c r="P692" s="162">
        <v>-2500</v>
      </c>
      <c r="Q692" s="162">
        <v>0</v>
      </c>
      <c r="R692" s="162">
        <v>0</v>
      </c>
      <c r="S692" s="162">
        <v>0</v>
      </c>
      <c r="T692" s="162">
        <v>0</v>
      </c>
      <c r="U692" s="162">
        <v>0</v>
      </c>
      <c r="V692" s="162">
        <v>0</v>
      </c>
      <c r="W692" s="161">
        <f t="shared" si="61"/>
        <v>554.69999999999845</v>
      </c>
      <c r="X692" s="161">
        <f t="shared" si="62"/>
        <v>554.69999999999845</v>
      </c>
      <c r="Y692" s="161">
        <f t="shared" si="63"/>
        <v>0</v>
      </c>
      <c r="Z692" s="162">
        <v>0</v>
      </c>
      <c r="AA692" s="161">
        <f t="shared" si="64"/>
        <v>0</v>
      </c>
      <c r="AB692" s="161">
        <f t="shared" si="65"/>
        <v>2500</v>
      </c>
      <c r="AC692" s="158"/>
      <c r="AD692" s="158"/>
    </row>
    <row r="693" spans="1:30" ht="12.75" customHeight="1" x14ac:dyDescent="0.3">
      <c r="A693" s="147">
        <v>35</v>
      </c>
      <c r="B693" s="158" t="s">
        <v>1020</v>
      </c>
      <c r="C693" s="158" t="s">
        <v>123</v>
      </c>
      <c r="D693" s="158" t="s">
        <v>999</v>
      </c>
      <c r="E693" s="160" t="s">
        <v>871</v>
      </c>
      <c r="F693" s="158" t="s">
        <v>39</v>
      </c>
      <c r="G693" s="160" t="s">
        <v>866</v>
      </c>
      <c r="H693" s="161">
        <v>1304.5299999999997</v>
      </c>
      <c r="I693" s="161">
        <v>0</v>
      </c>
      <c r="J693" s="161">
        <v>0</v>
      </c>
      <c r="K693" s="161">
        <v>0</v>
      </c>
      <c r="L693" s="161">
        <v>-312.20999999999992</v>
      </c>
      <c r="M693" s="161">
        <v>-32</v>
      </c>
      <c r="N693" s="161">
        <v>0</v>
      </c>
      <c r="O693" s="162">
        <f t="shared" si="60"/>
        <v>960.31999999999982</v>
      </c>
      <c r="P693" s="161">
        <v>-2500</v>
      </c>
      <c r="Q693" s="162">
        <v>981</v>
      </c>
      <c r="R693" s="161">
        <v>-500</v>
      </c>
      <c r="S693" s="161">
        <v>0</v>
      </c>
      <c r="T693" s="161">
        <v>0</v>
      </c>
      <c r="U693" s="162">
        <v>0</v>
      </c>
      <c r="V693" s="161">
        <v>0</v>
      </c>
      <c r="W693" s="161">
        <f t="shared" si="61"/>
        <v>-1058.6800000000003</v>
      </c>
      <c r="X693" s="161">
        <f t="shared" si="62"/>
        <v>0</v>
      </c>
      <c r="Y693" s="161">
        <f t="shared" si="63"/>
        <v>-1058.6800000000003</v>
      </c>
      <c r="Z693" s="162">
        <f>1000+1000</f>
        <v>2000</v>
      </c>
      <c r="AA693" s="161">
        <f t="shared" si="64"/>
        <v>941.31999999999971</v>
      </c>
      <c r="AB693" s="161">
        <f t="shared" si="65"/>
        <v>3901.6399999999994</v>
      </c>
      <c r="AC693" s="158"/>
      <c r="AD693" s="158"/>
    </row>
    <row r="694" spans="1:30" ht="12.75" customHeight="1" x14ac:dyDescent="0.3">
      <c r="A694" s="147">
        <v>35</v>
      </c>
      <c r="B694" s="158" t="s">
        <v>923</v>
      </c>
      <c r="C694" s="158" t="s">
        <v>46</v>
      </c>
      <c r="D694" s="158" t="s">
        <v>915</v>
      </c>
      <c r="E694" s="158" t="s">
        <v>25</v>
      </c>
      <c r="F694" s="161" t="s">
        <v>25</v>
      </c>
      <c r="G694" s="160" t="s">
        <v>866</v>
      </c>
      <c r="H694" s="161">
        <v>0</v>
      </c>
      <c r="I694" s="161">
        <v>0</v>
      </c>
      <c r="J694" s="161">
        <v>0</v>
      </c>
      <c r="K694" s="161">
        <v>0</v>
      </c>
      <c r="L694" s="161">
        <v>0</v>
      </c>
      <c r="M694" s="161">
        <v>0</v>
      </c>
      <c r="N694" s="161">
        <v>0</v>
      </c>
      <c r="O694" s="162">
        <f t="shared" si="60"/>
        <v>0</v>
      </c>
      <c r="P694" s="161">
        <v>0</v>
      </c>
      <c r="Q694" s="161">
        <v>0</v>
      </c>
      <c r="R694" s="161">
        <v>358</v>
      </c>
      <c r="S694" s="161">
        <v>0</v>
      </c>
      <c r="T694" s="161">
        <v>0</v>
      </c>
      <c r="U694" s="161">
        <v>0</v>
      </c>
      <c r="V694" s="161">
        <v>0</v>
      </c>
      <c r="W694" s="161">
        <f t="shared" si="61"/>
        <v>358</v>
      </c>
      <c r="X694" s="161">
        <f t="shared" si="62"/>
        <v>358</v>
      </c>
      <c r="Y694" s="161">
        <f t="shared" si="63"/>
        <v>0</v>
      </c>
      <c r="Z694" s="162">
        <v>0</v>
      </c>
      <c r="AA694" s="161">
        <f t="shared" si="64"/>
        <v>0</v>
      </c>
      <c r="AB694" s="161">
        <f t="shared" si="65"/>
        <v>-358</v>
      </c>
      <c r="AC694" s="158"/>
      <c r="AD694" s="158"/>
    </row>
    <row r="695" spans="1:30" ht="12.75" customHeight="1" x14ac:dyDescent="0.3">
      <c r="A695" s="147">
        <v>35</v>
      </c>
      <c r="B695" s="158" t="s">
        <v>1051</v>
      </c>
      <c r="C695" s="158" t="s">
        <v>17</v>
      </c>
      <c r="D695" s="158" t="s">
        <v>20</v>
      </c>
      <c r="E695" s="160" t="s">
        <v>18</v>
      </c>
      <c r="F695" s="160" t="s">
        <v>18</v>
      </c>
      <c r="G695" s="160" t="s">
        <v>866</v>
      </c>
      <c r="H695" s="161">
        <v>1796.77</v>
      </c>
      <c r="I695" s="161">
        <v>0</v>
      </c>
      <c r="J695" s="161">
        <v>0</v>
      </c>
      <c r="K695" s="161">
        <v>0</v>
      </c>
      <c r="L695" s="161">
        <v>-647.34</v>
      </c>
      <c r="M695" s="161">
        <v>0</v>
      </c>
      <c r="N695" s="161">
        <v>0</v>
      </c>
      <c r="O695" s="162">
        <f t="shared" si="60"/>
        <v>1149.4299999999998</v>
      </c>
      <c r="P695" s="161">
        <v>-893</v>
      </c>
      <c r="Q695" s="161">
        <v>0</v>
      </c>
      <c r="R695" s="161">
        <v>-216</v>
      </c>
      <c r="S695" s="161">
        <v>0</v>
      </c>
      <c r="T695" s="161">
        <v>0</v>
      </c>
      <c r="U695" s="161">
        <v>0</v>
      </c>
      <c r="V695" s="161">
        <v>0</v>
      </c>
      <c r="W695" s="161">
        <f t="shared" si="61"/>
        <v>40.429999999999836</v>
      </c>
      <c r="X695" s="161">
        <f t="shared" si="62"/>
        <v>40.429999999999836</v>
      </c>
      <c r="Y695" s="161">
        <f t="shared" si="63"/>
        <v>0</v>
      </c>
      <c r="Z695" s="162">
        <v>0</v>
      </c>
      <c r="AA695" s="161">
        <f t="shared" si="64"/>
        <v>0</v>
      </c>
      <c r="AB695" s="161">
        <f t="shared" si="65"/>
        <v>1109</v>
      </c>
      <c r="AC695" s="181"/>
      <c r="AD695" s="158"/>
    </row>
    <row r="696" spans="1:30" ht="12.75" customHeight="1" x14ac:dyDescent="0.3">
      <c r="A696" s="147">
        <v>35</v>
      </c>
      <c r="B696" s="158" t="s">
        <v>880</v>
      </c>
      <c r="C696" s="158" t="s">
        <v>183</v>
      </c>
      <c r="D696" s="158" t="s">
        <v>887</v>
      </c>
      <c r="E696" s="158" t="s">
        <v>25</v>
      </c>
      <c r="F696" s="158" t="s">
        <v>25</v>
      </c>
      <c r="G696" s="160" t="s">
        <v>866</v>
      </c>
      <c r="H696" s="161">
        <v>3807.5799999999995</v>
      </c>
      <c r="I696" s="161">
        <v>0</v>
      </c>
      <c r="J696" s="161">
        <v>0</v>
      </c>
      <c r="K696" s="161">
        <v>0</v>
      </c>
      <c r="L696" s="161">
        <v>-2389.8900000000003</v>
      </c>
      <c r="M696" s="161">
        <v>-32</v>
      </c>
      <c r="N696" s="161">
        <v>0</v>
      </c>
      <c r="O696" s="162">
        <f t="shared" si="60"/>
        <v>1385.6899999999991</v>
      </c>
      <c r="P696" s="162">
        <v>-2500</v>
      </c>
      <c r="Q696" s="161">
        <v>0</v>
      </c>
      <c r="R696" s="162">
        <v>0</v>
      </c>
      <c r="S696" s="162">
        <v>0</v>
      </c>
      <c r="T696" s="162">
        <v>0</v>
      </c>
      <c r="U696" s="162">
        <v>-500</v>
      </c>
      <c r="V696" s="162">
        <v>0</v>
      </c>
      <c r="W696" s="161">
        <f t="shared" si="61"/>
        <v>-1614.3100000000009</v>
      </c>
      <c r="X696" s="161">
        <f t="shared" si="62"/>
        <v>0</v>
      </c>
      <c r="Y696" s="161">
        <f t="shared" si="63"/>
        <v>-1614.3100000000009</v>
      </c>
      <c r="Z696" s="162">
        <v>1614</v>
      </c>
      <c r="AA696" s="161">
        <f t="shared" si="64"/>
        <v>-0.31000000000085493</v>
      </c>
      <c r="AB696" s="161">
        <f t="shared" si="65"/>
        <v>2999.3799999999983</v>
      </c>
      <c r="AC696" s="158"/>
      <c r="AD696" s="158"/>
    </row>
    <row r="697" spans="1:30" ht="12.75" customHeight="1" x14ac:dyDescent="0.3">
      <c r="A697" s="147">
        <v>35</v>
      </c>
      <c r="B697" s="158" t="s">
        <v>922</v>
      </c>
      <c r="C697" s="158" t="s">
        <v>36</v>
      </c>
      <c r="D697" s="158" t="s">
        <v>904</v>
      </c>
      <c r="E697" s="158" t="s">
        <v>25</v>
      </c>
      <c r="F697" s="158" t="s">
        <v>25</v>
      </c>
      <c r="G697" s="160" t="s">
        <v>866</v>
      </c>
      <c r="H697" s="161">
        <v>3706.309999999999</v>
      </c>
      <c r="I697" s="161">
        <v>0</v>
      </c>
      <c r="J697" s="161">
        <v>0</v>
      </c>
      <c r="K697" s="161">
        <v>0</v>
      </c>
      <c r="L697" s="161">
        <v>-305.60000000000002</v>
      </c>
      <c r="M697" s="161">
        <v>-32</v>
      </c>
      <c r="N697" s="161">
        <v>0</v>
      </c>
      <c r="O697" s="162">
        <f t="shared" si="60"/>
        <v>3368.7099999999991</v>
      </c>
      <c r="P697" s="162">
        <v>-2500</v>
      </c>
      <c r="Q697" s="161">
        <v>-725.76</v>
      </c>
      <c r="R697" s="162">
        <v>0</v>
      </c>
      <c r="S697" s="162">
        <v>0</v>
      </c>
      <c r="T697" s="162">
        <v>0</v>
      </c>
      <c r="U697" s="162">
        <v>-1056</v>
      </c>
      <c r="V697" s="162">
        <v>0</v>
      </c>
      <c r="W697" s="161">
        <f t="shared" si="61"/>
        <v>-913.05000000000109</v>
      </c>
      <c r="X697" s="161">
        <f t="shared" si="62"/>
        <v>0</v>
      </c>
      <c r="Y697" s="161">
        <f t="shared" si="63"/>
        <v>-913.05000000000109</v>
      </c>
      <c r="Z697" s="162">
        <f>450+450</f>
        <v>900</v>
      </c>
      <c r="AA697" s="161">
        <f t="shared" si="64"/>
        <v>-13.050000000001091</v>
      </c>
      <c r="AB697" s="161">
        <f t="shared" si="65"/>
        <v>4255.659999999998</v>
      </c>
      <c r="AC697" s="158"/>
      <c r="AD697" s="158"/>
    </row>
    <row r="698" spans="1:30" ht="12.75" customHeight="1" x14ac:dyDescent="0.3">
      <c r="A698" s="147">
        <v>35</v>
      </c>
      <c r="B698" s="158" t="s">
        <v>993</v>
      </c>
      <c r="C698" s="158" t="s">
        <v>347</v>
      </c>
      <c r="D698" s="158" t="s">
        <v>897</v>
      </c>
      <c r="E698" s="158" t="s">
        <v>25</v>
      </c>
      <c r="F698" s="158" t="s">
        <v>25</v>
      </c>
      <c r="G698" s="160" t="s">
        <v>866</v>
      </c>
      <c r="H698" s="161">
        <v>3348.5899999999965</v>
      </c>
      <c r="I698" s="161">
        <v>0</v>
      </c>
      <c r="J698" s="161">
        <v>0</v>
      </c>
      <c r="K698" s="161">
        <v>0</v>
      </c>
      <c r="L698" s="161">
        <v>0</v>
      </c>
      <c r="M698" s="161">
        <v>-32</v>
      </c>
      <c r="N698" s="161">
        <v>0</v>
      </c>
      <c r="O698" s="162">
        <f t="shared" si="60"/>
        <v>3316.5899999999965</v>
      </c>
      <c r="P698" s="162">
        <v>-2500</v>
      </c>
      <c r="Q698" s="161">
        <v>-806.4</v>
      </c>
      <c r="R698" s="162">
        <v>-179</v>
      </c>
      <c r="S698" s="162">
        <v>0</v>
      </c>
      <c r="T698" s="162">
        <v>0</v>
      </c>
      <c r="U698" s="162">
        <v>0</v>
      </c>
      <c r="V698" s="162">
        <v>0</v>
      </c>
      <c r="W698" s="161">
        <f t="shared" si="61"/>
        <v>-168.81000000000358</v>
      </c>
      <c r="X698" s="161">
        <f t="shared" si="62"/>
        <v>0</v>
      </c>
      <c r="Y698" s="161">
        <f t="shared" si="63"/>
        <v>-168.81000000000358</v>
      </c>
      <c r="Z698" s="162">
        <v>169</v>
      </c>
      <c r="AA698" s="161">
        <f t="shared" si="64"/>
        <v>0.18999999999641659</v>
      </c>
      <c r="AB698" s="161">
        <f t="shared" si="65"/>
        <v>3485.7799999999929</v>
      </c>
      <c r="AC698" s="158"/>
      <c r="AD698" s="158"/>
    </row>
    <row r="699" spans="1:30" ht="12.75" customHeight="1" x14ac:dyDescent="0.3">
      <c r="A699" s="147">
        <v>35</v>
      </c>
      <c r="B699" s="158" t="s">
        <v>1048</v>
      </c>
      <c r="C699" s="158" t="s">
        <v>59</v>
      </c>
      <c r="D699" s="158" t="s">
        <v>895</v>
      </c>
      <c r="E699" s="158" t="s">
        <v>25</v>
      </c>
      <c r="F699" s="158" t="s">
        <v>25</v>
      </c>
      <c r="G699" s="160" t="s">
        <v>866</v>
      </c>
      <c r="H699" s="161">
        <v>9966.1699999999983</v>
      </c>
      <c r="I699" s="161">
        <v>-84</v>
      </c>
      <c r="J699" s="161">
        <v>0</v>
      </c>
      <c r="K699" s="161">
        <v>0</v>
      </c>
      <c r="L699" s="161">
        <v>-2445.27</v>
      </c>
      <c r="M699" s="161">
        <v>-32</v>
      </c>
      <c r="N699" s="161">
        <v>0</v>
      </c>
      <c r="O699" s="162">
        <f t="shared" si="60"/>
        <v>7404.8999999999978</v>
      </c>
      <c r="P699" s="161">
        <v>-2500</v>
      </c>
      <c r="Q699" s="161">
        <v>0</v>
      </c>
      <c r="R699" s="161">
        <v>-500</v>
      </c>
      <c r="S699" s="161">
        <v>0</v>
      </c>
      <c r="T699" s="161">
        <v>0</v>
      </c>
      <c r="U699" s="161">
        <v>0</v>
      </c>
      <c r="V699" s="161">
        <v>0</v>
      </c>
      <c r="W699" s="161">
        <f t="shared" si="61"/>
        <v>4404.8999999999978</v>
      </c>
      <c r="X699" s="161">
        <f t="shared" si="62"/>
        <v>4404.8999999999978</v>
      </c>
      <c r="Y699" s="161">
        <f t="shared" si="63"/>
        <v>0</v>
      </c>
      <c r="Z699" s="162">
        <v>0</v>
      </c>
      <c r="AA699" s="161">
        <f t="shared" si="64"/>
        <v>0</v>
      </c>
      <c r="AB699" s="161">
        <f t="shared" si="65"/>
        <v>3000</v>
      </c>
      <c r="AC699" s="158"/>
      <c r="AD699" s="158"/>
    </row>
    <row r="700" spans="1:30" ht="12.75" customHeight="1" x14ac:dyDescent="0.3">
      <c r="A700" s="147">
        <v>35</v>
      </c>
      <c r="B700" s="158" t="s">
        <v>1025</v>
      </c>
      <c r="C700" s="158" t="s">
        <v>110</v>
      </c>
      <c r="D700" s="158" t="s">
        <v>1036</v>
      </c>
      <c r="E700" s="158" t="s">
        <v>18</v>
      </c>
      <c r="F700" s="160" t="s">
        <v>18</v>
      </c>
      <c r="G700" s="160" t="s">
        <v>866</v>
      </c>
      <c r="H700" s="161">
        <v>1275.56</v>
      </c>
      <c r="I700" s="161">
        <v>0</v>
      </c>
      <c r="J700" s="161">
        <v>0</v>
      </c>
      <c r="K700" s="161">
        <v>0</v>
      </c>
      <c r="L700" s="161">
        <v>0</v>
      </c>
      <c r="M700" s="161">
        <v>0</v>
      </c>
      <c r="N700" s="161">
        <v>0</v>
      </c>
      <c r="O700" s="162">
        <f t="shared" si="60"/>
        <v>1275.56</v>
      </c>
      <c r="P700" s="161">
        <v>-893</v>
      </c>
      <c r="Q700" s="162">
        <v>0</v>
      </c>
      <c r="R700" s="161">
        <v>0</v>
      </c>
      <c r="S700" s="161">
        <v>0</v>
      </c>
      <c r="T700" s="161">
        <v>0</v>
      </c>
      <c r="U700" s="162">
        <v>0</v>
      </c>
      <c r="V700" s="161">
        <v>0</v>
      </c>
      <c r="W700" s="161">
        <f t="shared" si="61"/>
        <v>382.55999999999995</v>
      </c>
      <c r="X700" s="161">
        <f t="shared" si="62"/>
        <v>382.55999999999995</v>
      </c>
      <c r="Y700" s="161">
        <f t="shared" si="63"/>
        <v>0</v>
      </c>
      <c r="Z700" s="162">
        <v>0</v>
      </c>
      <c r="AA700" s="161">
        <f t="shared" si="64"/>
        <v>0</v>
      </c>
      <c r="AB700" s="161">
        <f t="shared" si="65"/>
        <v>893</v>
      </c>
      <c r="AC700" s="158"/>
      <c r="AD700" s="158"/>
    </row>
    <row r="701" spans="1:30" ht="12.75" customHeight="1" x14ac:dyDescent="0.3">
      <c r="A701" s="147">
        <v>35</v>
      </c>
      <c r="B701" s="158" t="s">
        <v>1025</v>
      </c>
      <c r="C701" s="158" t="s">
        <v>51</v>
      </c>
      <c r="D701" s="158" t="s">
        <v>20</v>
      </c>
      <c r="E701" s="160" t="s">
        <v>25</v>
      </c>
      <c r="F701" s="158" t="s">
        <v>39</v>
      </c>
      <c r="G701" s="160" t="s">
        <v>866</v>
      </c>
      <c r="H701" s="161">
        <v>1733.7799999999995</v>
      </c>
      <c r="I701" s="161">
        <v>0</v>
      </c>
      <c r="J701" s="161">
        <v>0</v>
      </c>
      <c r="K701" s="161">
        <v>0</v>
      </c>
      <c r="L701" s="161">
        <v>0</v>
      </c>
      <c r="M701" s="161">
        <v>-32</v>
      </c>
      <c r="N701" s="161">
        <v>0</v>
      </c>
      <c r="O701" s="162">
        <f t="shared" si="60"/>
        <v>1701.7799999999995</v>
      </c>
      <c r="P701" s="161">
        <v>-1607</v>
      </c>
      <c r="Q701" s="162">
        <v>0</v>
      </c>
      <c r="R701" s="161">
        <v>-500</v>
      </c>
      <c r="S701" s="161">
        <v>0</v>
      </c>
      <c r="T701" s="161">
        <v>0</v>
      </c>
      <c r="U701" s="162">
        <v>0</v>
      </c>
      <c r="V701" s="161">
        <v>0</v>
      </c>
      <c r="W701" s="161">
        <f t="shared" si="61"/>
        <v>-405.22000000000048</v>
      </c>
      <c r="X701" s="161">
        <f t="shared" si="62"/>
        <v>0</v>
      </c>
      <c r="Y701" s="161">
        <f t="shared" si="63"/>
        <v>-405.22000000000048</v>
      </c>
      <c r="Z701" s="162">
        <v>383</v>
      </c>
      <c r="AA701" s="161">
        <f t="shared" si="64"/>
        <v>-22.220000000000482</v>
      </c>
      <c r="AB701" s="161">
        <f t="shared" si="65"/>
        <v>2062.5599999999995</v>
      </c>
      <c r="AC701" s="158"/>
      <c r="AD701" s="158"/>
    </row>
    <row r="702" spans="1:30" ht="12.75" customHeight="1" x14ac:dyDescent="0.3">
      <c r="A702" s="147">
        <v>35</v>
      </c>
      <c r="B702" s="158" t="s">
        <v>1010</v>
      </c>
      <c r="C702" s="158" t="s">
        <v>80</v>
      </c>
      <c r="D702" s="158" t="s">
        <v>996</v>
      </c>
      <c r="E702" s="158" t="s">
        <v>18</v>
      </c>
      <c r="F702" s="160" t="s">
        <v>18</v>
      </c>
      <c r="G702" s="160" t="s">
        <v>866</v>
      </c>
      <c r="H702" s="161">
        <v>3022.81</v>
      </c>
      <c r="I702" s="161">
        <v>0</v>
      </c>
      <c r="J702" s="161">
        <v>0</v>
      </c>
      <c r="K702" s="161">
        <v>-32.56</v>
      </c>
      <c r="L702" s="161">
        <v>-850.61</v>
      </c>
      <c r="M702" s="161">
        <v>0</v>
      </c>
      <c r="N702" s="161">
        <v>-150.44</v>
      </c>
      <c r="O702" s="162">
        <f t="shared" si="60"/>
        <v>1989.1999999999998</v>
      </c>
      <c r="P702" s="161">
        <v>-2500</v>
      </c>
      <c r="Q702" s="162">
        <v>-1878</v>
      </c>
      <c r="R702" s="161">
        <v>0</v>
      </c>
      <c r="S702" s="161">
        <v>0</v>
      </c>
      <c r="T702" s="161">
        <v>0</v>
      </c>
      <c r="U702" s="162">
        <v>0</v>
      </c>
      <c r="V702" s="161">
        <v>0</v>
      </c>
      <c r="W702" s="161">
        <f t="shared" si="61"/>
        <v>-2388.8000000000002</v>
      </c>
      <c r="X702" s="161">
        <f t="shared" si="62"/>
        <v>0</v>
      </c>
      <c r="Y702" s="161">
        <f t="shared" si="63"/>
        <v>-2388.8000000000002</v>
      </c>
      <c r="Z702" s="162">
        <v>0</v>
      </c>
      <c r="AA702" s="161">
        <f t="shared" si="64"/>
        <v>-2388.8000000000002</v>
      </c>
      <c r="AB702" s="161">
        <f t="shared" si="65"/>
        <v>-399.60000000000036</v>
      </c>
      <c r="AC702" s="158"/>
      <c r="AD702" s="158"/>
    </row>
    <row r="703" spans="1:30" ht="12.75" customHeight="1" x14ac:dyDescent="0.3">
      <c r="A703" s="147">
        <v>35</v>
      </c>
      <c r="B703" s="158" t="s">
        <v>1003</v>
      </c>
      <c r="C703" s="182" t="s">
        <v>213</v>
      </c>
      <c r="D703" s="158" t="s">
        <v>881</v>
      </c>
      <c r="E703" s="158" t="s">
        <v>39</v>
      </c>
      <c r="F703" s="158" t="s">
        <v>39</v>
      </c>
      <c r="G703" s="160" t="s">
        <v>866</v>
      </c>
      <c r="H703" s="161">
        <v>1765.7499999999993</v>
      </c>
      <c r="I703" s="161">
        <v>0</v>
      </c>
      <c r="J703" s="161">
        <v>0</v>
      </c>
      <c r="K703" s="161">
        <v>0</v>
      </c>
      <c r="L703" s="161">
        <v>-169.96</v>
      </c>
      <c r="M703" s="161">
        <v>-32</v>
      </c>
      <c r="N703" s="161">
        <v>0</v>
      </c>
      <c r="O703" s="162">
        <f t="shared" si="60"/>
        <v>1563.7899999999993</v>
      </c>
      <c r="P703" s="161">
        <v>-1786</v>
      </c>
      <c r="Q703" s="161">
        <v>0</v>
      </c>
      <c r="R703" s="161">
        <v>-93</v>
      </c>
      <c r="S703" s="161">
        <v>0</v>
      </c>
      <c r="T703" s="161">
        <v>0</v>
      </c>
      <c r="U703" s="161">
        <v>509</v>
      </c>
      <c r="V703" s="161">
        <v>0</v>
      </c>
      <c r="W703" s="161">
        <f t="shared" si="61"/>
        <v>193.78999999999928</v>
      </c>
      <c r="X703" s="161">
        <f t="shared" si="62"/>
        <v>193.78999999999928</v>
      </c>
      <c r="Y703" s="161">
        <f t="shared" si="63"/>
        <v>0</v>
      </c>
      <c r="Z703" s="162">
        <v>0</v>
      </c>
      <c r="AA703" s="161">
        <f t="shared" si="64"/>
        <v>0</v>
      </c>
      <c r="AB703" s="161">
        <f t="shared" si="65"/>
        <v>1370</v>
      </c>
      <c r="AC703" s="158" t="s">
        <v>1052</v>
      </c>
      <c r="AD703" s="158"/>
    </row>
    <row r="704" spans="1:30" ht="12.75" customHeight="1" x14ac:dyDescent="0.3">
      <c r="A704" s="147">
        <v>36</v>
      </c>
      <c r="B704" s="158" t="s">
        <v>585</v>
      </c>
      <c r="C704" s="158" t="s">
        <v>42</v>
      </c>
      <c r="D704" s="158" t="s">
        <v>948</v>
      </c>
      <c r="E704" s="158" t="s">
        <v>25</v>
      </c>
      <c r="F704" s="158" t="s">
        <v>25</v>
      </c>
      <c r="G704" s="160" t="s">
        <v>866</v>
      </c>
      <c r="H704" s="161">
        <v>0</v>
      </c>
      <c r="I704" s="161">
        <v>0</v>
      </c>
      <c r="J704" s="161">
        <v>0</v>
      </c>
      <c r="K704" s="161">
        <v>0</v>
      </c>
      <c r="L704" s="161">
        <v>0</v>
      </c>
      <c r="M704" s="161">
        <v>-32</v>
      </c>
      <c r="N704" s="161">
        <v>0</v>
      </c>
      <c r="O704" s="162">
        <f t="shared" si="60"/>
        <v>-32</v>
      </c>
      <c r="P704" s="162">
        <v>-2500</v>
      </c>
      <c r="Q704" s="162">
        <v>0</v>
      </c>
      <c r="R704" s="162">
        <v>0</v>
      </c>
      <c r="S704" s="162">
        <v>0</v>
      </c>
      <c r="T704" s="162">
        <v>-500</v>
      </c>
      <c r="U704" s="162">
        <v>0</v>
      </c>
      <c r="V704" s="162">
        <v>0</v>
      </c>
      <c r="W704" s="161">
        <f t="shared" si="61"/>
        <v>-3032</v>
      </c>
      <c r="X704" s="161">
        <f t="shared" si="62"/>
        <v>0</v>
      </c>
      <c r="Y704" s="161">
        <f t="shared" si="63"/>
        <v>-3032</v>
      </c>
      <c r="Z704" s="162">
        <v>3032</v>
      </c>
      <c r="AA704" s="161">
        <f t="shared" si="64"/>
        <v>0</v>
      </c>
      <c r="AB704" s="161">
        <f t="shared" si="65"/>
        <v>3000</v>
      </c>
      <c r="AC704" s="158" t="s">
        <v>1053</v>
      </c>
      <c r="AD704" s="158"/>
    </row>
    <row r="705" spans="1:30" ht="12.75" customHeight="1" x14ac:dyDescent="0.3">
      <c r="A705" s="147">
        <v>36</v>
      </c>
      <c r="B705" s="158" t="s">
        <v>837</v>
      </c>
      <c r="C705" s="158" t="s">
        <v>409</v>
      </c>
      <c r="D705" s="158" t="s">
        <v>946</v>
      </c>
      <c r="E705" s="158" t="s">
        <v>25</v>
      </c>
      <c r="F705" s="158" t="s">
        <v>25</v>
      </c>
      <c r="G705" s="160" t="s">
        <v>866</v>
      </c>
      <c r="H705" s="161">
        <v>7971</v>
      </c>
      <c r="I705" s="161">
        <v>-119.21</v>
      </c>
      <c r="J705" s="161">
        <v>0</v>
      </c>
      <c r="K705" s="161">
        <v>0</v>
      </c>
      <c r="L705" s="161">
        <v>-110</v>
      </c>
      <c r="M705" s="161">
        <v>-35</v>
      </c>
      <c r="N705" s="161">
        <v>0</v>
      </c>
      <c r="O705" s="162">
        <f t="shared" si="60"/>
        <v>7706.79</v>
      </c>
      <c r="P705" s="162">
        <v>-2500</v>
      </c>
      <c r="Q705" s="161">
        <v>0</v>
      </c>
      <c r="R705" s="162">
        <v>-500</v>
      </c>
      <c r="S705" s="162">
        <v>0</v>
      </c>
      <c r="T705" s="162">
        <v>0</v>
      </c>
      <c r="U705" s="162">
        <v>0</v>
      </c>
      <c r="V705" s="162">
        <v>0</v>
      </c>
      <c r="W705" s="161">
        <f t="shared" si="61"/>
        <v>4706.79</v>
      </c>
      <c r="X705" s="161">
        <f t="shared" si="62"/>
        <v>4706.79</v>
      </c>
      <c r="Y705" s="161">
        <f t="shared" si="63"/>
        <v>0</v>
      </c>
      <c r="Z705" s="162">
        <v>0</v>
      </c>
      <c r="AA705" s="161">
        <f t="shared" si="64"/>
        <v>0</v>
      </c>
      <c r="AB705" s="161">
        <f t="shared" si="65"/>
        <v>3000</v>
      </c>
      <c r="AC705" s="158" t="s">
        <v>1054</v>
      </c>
      <c r="AD705" s="158"/>
    </row>
    <row r="706" spans="1:30" ht="12.75" customHeight="1" x14ac:dyDescent="0.3">
      <c r="A706" s="147">
        <v>36</v>
      </c>
      <c r="B706" s="158" t="s">
        <v>944</v>
      </c>
      <c r="C706" s="158" t="s">
        <v>372</v>
      </c>
      <c r="D706" s="158" t="s">
        <v>1004</v>
      </c>
      <c r="E706" s="158" t="s">
        <v>39</v>
      </c>
      <c r="F706" s="158" t="s">
        <v>39</v>
      </c>
      <c r="G706" s="160" t="s">
        <v>866</v>
      </c>
      <c r="H706" s="161">
        <v>6376.25</v>
      </c>
      <c r="I706" s="161">
        <v>-96.82</v>
      </c>
      <c r="J706" s="161">
        <v>0</v>
      </c>
      <c r="K706" s="161">
        <v>0</v>
      </c>
      <c r="L706" s="161">
        <v>-1952.46</v>
      </c>
      <c r="M706" s="161">
        <v>-48</v>
      </c>
      <c r="N706" s="161">
        <v>0</v>
      </c>
      <c r="O706" s="162">
        <f t="shared" ref="O706:O769" si="66">SUM(H706:N706)</f>
        <v>4278.97</v>
      </c>
      <c r="P706" s="162">
        <v>-2500</v>
      </c>
      <c r="Q706" s="162">
        <v>0</v>
      </c>
      <c r="R706" s="162">
        <v>0</v>
      </c>
      <c r="S706" s="162">
        <v>0</v>
      </c>
      <c r="T706" s="162">
        <v>-500</v>
      </c>
      <c r="U706" s="162">
        <v>0</v>
      </c>
      <c r="V706" s="162">
        <v>0</v>
      </c>
      <c r="W706" s="161">
        <f t="shared" ref="W706:W769" si="67">+O706+SUM(P706:V706)</f>
        <v>1278.9700000000003</v>
      </c>
      <c r="X706" s="161">
        <f t="shared" ref="X706:X769" si="68">IF(W706&gt;=0,W706,0)</f>
        <v>1278.9700000000003</v>
      </c>
      <c r="Y706" s="161">
        <f t="shared" ref="Y706:Y769" si="69">IF(W706&lt;=0,W706,0)</f>
        <v>0</v>
      </c>
      <c r="Z706" s="162">
        <v>0</v>
      </c>
      <c r="AA706" s="161">
        <f t="shared" ref="AA706:AA769" si="70">+Y706+Z706</f>
        <v>0</v>
      </c>
      <c r="AB706" s="161">
        <f t="shared" ref="AB706:AB769" si="71">+O706-X706+Z706+AA706</f>
        <v>3000</v>
      </c>
      <c r="AC706" s="158" t="s">
        <v>1039</v>
      </c>
      <c r="AD706" s="158"/>
    </row>
    <row r="707" spans="1:30" ht="12.75" customHeight="1" x14ac:dyDescent="0.3">
      <c r="A707" s="147">
        <v>36</v>
      </c>
      <c r="B707" s="158" t="s">
        <v>604</v>
      </c>
      <c r="C707" s="158" t="s">
        <v>150</v>
      </c>
      <c r="D707" s="158" t="s">
        <v>877</v>
      </c>
      <c r="E707" s="158" t="s">
        <v>25</v>
      </c>
      <c r="F707" s="158" t="s">
        <v>25</v>
      </c>
      <c r="G707" s="160" t="s">
        <v>866</v>
      </c>
      <c r="H707" s="161">
        <v>6813.16</v>
      </c>
      <c r="I707" s="161">
        <v>0</v>
      </c>
      <c r="J707" s="161">
        <v>0</v>
      </c>
      <c r="K707" s="161">
        <v>0</v>
      </c>
      <c r="L707" s="161">
        <v>0</v>
      </c>
      <c r="M707" s="161">
        <v>-30</v>
      </c>
      <c r="N707" s="161">
        <v>0</v>
      </c>
      <c r="O707" s="162">
        <f t="shared" si="66"/>
        <v>6783.16</v>
      </c>
      <c r="P707" s="161">
        <v>-2500</v>
      </c>
      <c r="Q707" s="161">
        <v>0</v>
      </c>
      <c r="R707" s="161">
        <v>-500</v>
      </c>
      <c r="S707" s="161">
        <v>0</v>
      </c>
      <c r="T707" s="161">
        <v>0</v>
      </c>
      <c r="U707" s="161">
        <v>0</v>
      </c>
      <c r="V707" s="161">
        <v>0</v>
      </c>
      <c r="W707" s="161">
        <f t="shared" si="67"/>
        <v>3783.16</v>
      </c>
      <c r="X707" s="161">
        <f t="shared" si="68"/>
        <v>3783.16</v>
      </c>
      <c r="Y707" s="161">
        <f t="shared" si="69"/>
        <v>0</v>
      </c>
      <c r="Z707" s="162">
        <v>0</v>
      </c>
      <c r="AA707" s="161">
        <f t="shared" si="70"/>
        <v>0</v>
      </c>
      <c r="AB707" s="161">
        <f t="shared" si="71"/>
        <v>3000</v>
      </c>
      <c r="AC707" s="158" t="s">
        <v>1054</v>
      </c>
      <c r="AD707" s="158"/>
    </row>
    <row r="708" spans="1:30" ht="12.75" customHeight="1" x14ac:dyDescent="0.3">
      <c r="A708" s="147">
        <v>36</v>
      </c>
      <c r="B708" s="158" t="s">
        <v>1029</v>
      </c>
      <c r="C708" s="158" t="s">
        <v>68</v>
      </c>
      <c r="D708" s="158" t="s">
        <v>869</v>
      </c>
      <c r="E708" s="158" t="s">
        <v>25</v>
      </c>
      <c r="F708" s="158" t="s">
        <v>25</v>
      </c>
      <c r="G708" s="160" t="s">
        <v>866</v>
      </c>
      <c r="H708" s="161">
        <v>4920.7</v>
      </c>
      <c r="I708" s="161">
        <v>-110.74000000000001</v>
      </c>
      <c r="J708" s="161">
        <v>0</v>
      </c>
      <c r="K708" s="161">
        <v>-24.18</v>
      </c>
      <c r="L708" s="161">
        <v>0</v>
      </c>
      <c r="M708" s="161">
        <v>-38</v>
      </c>
      <c r="N708" s="161">
        <v>0</v>
      </c>
      <c r="O708" s="162">
        <f t="shared" si="66"/>
        <v>4747.78</v>
      </c>
      <c r="P708" s="161">
        <v>-2500</v>
      </c>
      <c r="Q708" s="161">
        <v>0</v>
      </c>
      <c r="R708" s="161">
        <v>-500</v>
      </c>
      <c r="S708" s="161">
        <v>0</v>
      </c>
      <c r="T708" s="161">
        <v>0</v>
      </c>
      <c r="U708" s="161">
        <v>0</v>
      </c>
      <c r="V708" s="161">
        <v>0</v>
      </c>
      <c r="W708" s="161">
        <f t="shared" si="67"/>
        <v>1747.7799999999997</v>
      </c>
      <c r="X708" s="161">
        <f t="shared" si="68"/>
        <v>1747.7799999999997</v>
      </c>
      <c r="Y708" s="161">
        <f t="shared" si="69"/>
        <v>0</v>
      </c>
      <c r="Z708" s="162">
        <v>0</v>
      </c>
      <c r="AA708" s="161">
        <f t="shared" si="70"/>
        <v>0</v>
      </c>
      <c r="AB708" s="161">
        <f t="shared" si="71"/>
        <v>3000</v>
      </c>
      <c r="AC708" s="158" t="s">
        <v>1054</v>
      </c>
      <c r="AD708" s="158"/>
    </row>
    <row r="709" spans="1:30" ht="12.75" customHeight="1" x14ac:dyDescent="0.3">
      <c r="A709" s="147">
        <v>36</v>
      </c>
      <c r="B709" s="158" t="s">
        <v>1030</v>
      </c>
      <c r="C709" s="158" t="s">
        <v>195</v>
      </c>
      <c r="D709" s="158" t="s">
        <v>964</v>
      </c>
      <c r="E709" s="160" t="s">
        <v>871</v>
      </c>
      <c r="F709" s="158" t="s">
        <v>39</v>
      </c>
      <c r="G709" s="160" t="s">
        <v>866</v>
      </c>
      <c r="H709" s="161">
        <v>6417.57</v>
      </c>
      <c r="I709" s="161">
        <v>-123.37</v>
      </c>
      <c r="J709" s="161">
        <v>0</v>
      </c>
      <c r="K709" s="161">
        <v>0</v>
      </c>
      <c r="L709" s="161">
        <v>-3027.96</v>
      </c>
      <c r="M709" s="161">
        <v>-48</v>
      </c>
      <c r="N709" s="161">
        <v>0</v>
      </c>
      <c r="O709" s="162">
        <f t="shared" si="66"/>
        <v>3218.24</v>
      </c>
      <c r="P709" s="161">
        <v>-2500</v>
      </c>
      <c r="Q709" s="161">
        <v>0</v>
      </c>
      <c r="R709" s="161">
        <v>-500</v>
      </c>
      <c r="S709" s="161">
        <v>0</v>
      </c>
      <c r="T709" s="161">
        <v>0</v>
      </c>
      <c r="U709" s="161">
        <v>0</v>
      </c>
      <c r="V709" s="161">
        <v>0</v>
      </c>
      <c r="W709" s="161">
        <f t="shared" si="67"/>
        <v>218.23999999999978</v>
      </c>
      <c r="X709" s="161">
        <f t="shared" si="68"/>
        <v>218.23999999999978</v>
      </c>
      <c r="Y709" s="161">
        <f t="shared" si="69"/>
        <v>0</v>
      </c>
      <c r="Z709" s="162">
        <v>0</v>
      </c>
      <c r="AA709" s="161">
        <f t="shared" si="70"/>
        <v>0</v>
      </c>
      <c r="AB709" s="161">
        <f t="shared" si="71"/>
        <v>3000</v>
      </c>
      <c r="AC709" s="158" t="s">
        <v>1039</v>
      </c>
      <c r="AD709" s="158"/>
    </row>
    <row r="710" spans="1:30" ht="12.75" customHeight="1" x14ac:dyDescent="0.3">
      <c r="A710" s="147">
        <v>36</v>
      </c>
      <c r="B710" s="158" t="s">
        <v>913</v>
      </c>
      <c r="C710" s="158" t="s">
        <v>100</v>
      </c>
      <c r="D710" s="158" t="s">
        <v>953</v>
      </c>
      <c r="E710" s="158" t="s">
        <v>25</v>
      </c>
      <c r="F710" s="158" t="s">
        <v>25</v>
      </c>
      <c r="G710" s="160" t="s">
        <v>866</v>
      </c>
      <c r="H710" s="161">
        <v>7079.46</v>
      </c>
      <c r="I710" s="161">
        <v>-110.1</v>
      </c>
      <c r="J710" s="161">
        <v>0</v>
      </c>
      <c r="K710" s="161">
        <v>0</v>
      </c>
      <c r="L710" s="161">
        <v>-5062.59</v>
      </c>
      <c r="M710" s="161">
        <v>-94</v>
      </c>
      <c r="N710" s="161">
        <v>-223.96</v>
      </c>
      <c r="O710" s="162">
        <f t="shared" si="66"/>
        <v>1588.8099999999995</v>
      </c>
      <c r="P710" s="162">
        <v>-2500</v>
      </c>
      <c r="Q710" s="162">
        <v>0</v>
      </c>
      <c r="R710" s="162">
        <v>0</v>
      </c>
      <c r="S710" s="162">
        <v>0</v>
      </c>
      <c r="T710" s="162">
        <v>0</v>
      </c>
      <c r="U710" s="162">
        <v>0</v>
      </c>
      <c r="V710" s="162">
        <v>0</v>
      </c>
      <c r="W710" s="161">
        <f t="shared" si="67"/>
        <v>-911.19000000000051</v>
      </c>
      <c r="X710" s="161">
        <f t="shared" si="68"/>
        <v>0</v>
      </c>
      <c r="Y710" s="161">
        <f t="shared" si="69"/>
        <v>-911.19000000000051</v>
      </c>
      <c r="Z710" s="162">
        <v>910</v>
      </c>
      <c r="AA710" s="161">
        <f t="shared" si="70"/>
        <v>-1.1900000000005093</v>
      </c>
      <c r="AB710" s="161">
        <f t="shared" si="71"/>
        <v>2497.619999999999</v>
      </c>
      <c r="AC710" s="158" t="s">
        <v>1053</v>
      </c>
      <c r="AD710" s="158"/>
    </row>
    <row r="711" spans="1:30" ht="12.75" customHeight="1" x14ac:dyDescent="0.3">
      <c r="A711" s="147">
        <v>36</v>
      </c>
      <c r="B711" s="158" t="s">
        <v>457</v>
      </c>
      <c r="C711" s="158" t="s">
        <v>573</v>
      </c>
      <c r="D711" s="158" t="s">
        <v>974</v>
      </c>
      <c r="E711" s="158" t="s">
        <v>25</v>
      </c>
      <c r="F711" s="158" t="s">
        <v>39</v>
      </c>
      <c r="G711" s="160" t="s">
        <v>866</v>
      </c>
      <c r="H711" s="161">
        <v>962.5</v>
      </c>
      <c r="I711" s="161">
        <v>-17.239999999999998</v>
      </c>
      <c r="J711" s="161">
        <v>0</v>
      </c>
      <c r="K711" s="161">
        <v>0</v>
      </c>
      <c r="L711" s="161">
        <v>-570.41</v>
      </c>
      <c r="M711" s="161">
        <v>-34</v>
      </c>
      <c r="N711" s="161">
        <v>0</v>
      </c>
      <c r="O711" s="162">
        <f t="shared" si="66"/>
        <v>340.85</v>
      </c>
      <c r="P711" s="162">
        <v>-2500</v>
      </c>
      <c r="Q711" s="162">
        <v>-606</v>
      </c>
      <c r="R711" s="162">
        <v>0</v>
      </c>
      <c r="S711" s="162">
        <v>0</v>
      </c>
      <c r="T711" s="162">
        <v>0</v>
      </c>
      <c r="U711" s="162">
        <v>0</v>
      </c>
      <c r="V711" s="162">
        <v>0</v>
      </c>
      <c r="W711" s="161">
        <f t="shared" si="67"/>
        <v>-2765.15</v>
      </c>
      <c r="X711" s="161">
        <f t="shared" si="68"/>
        <v>0</v>
      </c>
      <c r="Y711" s="161">
        <f t="shared" si="69"/>
        <v>-2765.15</v>
      </c>
      <c r="Z711" s="162">
        <v>950</v>
      </c>
      <c r="AA711" s="161">
        <f t="shared" si="70"/>
        <v>-1815.15</v>
      </c>
      <c r="AB711" s="161">
        <f t="shared" si="71"/>
        <v>-524.30000000000018</v>
      </c>
      <c r="AC711" s="158" t="s">
        <v>1053</v>
      </c>
      <c r="AD711" s="158"/>
    </row>
    <row r="712" spans="1:30" ht="12.75" customHeight="1" x14ac:dyDescent="0.3">
      <c r="A712" s="147">
        <v>36</v>
      </c>
      <c r="B712" s="158" t="s">
        <v>620</v>
      </c>
      <c r="C712" s="158" t="s">
        <v>571</v>
      </c>
      <c r="D712" s="158" t="s">
        <v>974</v>
      </c>
      <c r="E712" s="158" t="s">
        <v>25</v>
      </c>
      <c r="F712" s="158" t="s">
        <v>25</v>
      </c>
      <c r="G712" s="160" t="s">
        <v>866</v>
      </c>
      <c r="H712" s="161">
        <v>4313.8500000000004</v>
      </c>
      <c r="I712" s="161">
        <v>-81.5</v>
      </c>
      <c r="J712" s="161">
        <v>0</v>
      </c>
      <c r="K712" s="161">
        <v>0</v>
      </c>
      <c r="L712" s="161">
        <v>-1335</v>
      </c>
      <c r="M712" s="161">
        <v>-35</v>
      </c>
      <c r="N712" s="161">
        <v>0</v>
      </c>
      <c r="O712" s="162">
        <f t="shared" si="66"/>
        <v>2862.3500000000004</v>
      </c>
      <c r="P712" s="161">
        <v>-1785.7</v>
      </c>
      <c r="Q712" s="161">
        <v>0</v>
      </c>
      <c r="R712" s="161">
        <v>-357</v>
      </c>
      <c r="S712" s="161">
        <v>0</v>
      </c>
      <c r="T712" s="161">
        <v>0</v>
      </c>
      <c r="U712" s="161">
        <v>0</v>
      </c>
      <c r="V712" s="161">
        <v>0</v>
      </c>
      <c r="W712" s="161">
        <f t="shared" si="67"/>
        <v>719.65000000000055</v>
      </c>
      <c r="X712" s="161">
        <f t="shared" si="68"/>
        <v>719.65000000000055</v>
      </c>
      <c r="Y712" s="161">
        <f t="shared" si="69"/>
        <v>0</v>
      </c>
      <c r="Z712" s="162">
        <v>0</v>
      </c>
      <c r="AA712" s="161">
        <f t="shared" si="70"/>
        <v>0</v>
      </c>
      <c r="AB712" s="161">
        <f t="shared" si="71"/>
        <v>2142.6999999999998</v>
      </c>
      <c r="AC712" s="158" t="s">
        <v>1055</v>
      </c>
      <c r="AD712" s="158"/>
    </row>
    <row r="713" spans="1:30" ht="12.75" customHeight="1" x14ac:dyDescent="0.3">
      <c r="A713" s="147">
        <v>36</v>
      </c>
      <c r="B713" s="158" t="s">
        <v>1056</v>
      </c>
      <c r="C713" s="158" t="s">
        <v>46</v>
      </c>
      <c r="D713" s="158" t="s">
        <v>915</v>
      </c>
      <c r="E713" s="158" t="s">
        <v>25</v>
      </c>
      <c r="F713" s="158" t="s">
        <v>25</v>
      </c>
      <c r="G713" s="160" t="s">
        <v>866</v>
      </c>
      <c r="H713" s="161">
        <v>265.20999999999998</v>
      </c>
      <c r="I713" s="161">
        <v>-4.6399999999999997</v>
      </c>
      <c r="J713" s="161">
        <v>0</v>
      </c>
      <c r="K713" s="161">
        <v>0</v>
      </c>
      <c r="L713" s="161">
        <v>-97.43</v>
      </c>
      <c r="M713" s="161">
        <v>0</v>
      </c>
      <c r="N713" s="161">
        <v>0</v>
      </c>
      <c r="O713" s="162">
        <f t="shared" si="66"/>
        <v>163.13999999999999</v>
      </c>
      <c r="P713" s="162">
        <v>-134</v>
      </c>
      <c r="Q713" s="161">
        <v>0</v>
      </c>
      <c r="R713" s="162">
        <v>0</v>
      </c>
      <c r="S713" s="162">
        <v>0</v>
      </c>
      <c r="T713" s="162">
        <v>0</v>
      </c>
      <c r="U713" s="162">
        <v>0</v>
      </c>
      <c r="V713" s="162">
        <v>0</v>
      </c>
      <c r="W713" s="161">
        <f t="shared" si="67"/>
        <v>29.139999999999986</v>
      </c>
      <c r="X713" s="161">
        <f t="shared" si="68"/>
        <v>29.139999999999986</v>
      </c>
      <c r="Y713" s="161">
        <f t="shared" si="69"/>
        <v>0</v>
      </c>
      <c r="Z713" s="162">
        <v>0</v>
      </c>
      <c r="AA713" s="161">
        <f t="shared" si="70"/>
        <v>0</v>
      </c>
      <c r="AB713" s="161">
        <f t="shared" si="71"/>
        <v>134</v>
      </c>
      <c r="AC713" s="158" t="s">
        <v>1057</v>
      </c>
      <c r="AD713" s="158"/>
    </row>
    <row r="714" spans="1:30" ht="12.75" customHeight="1" x14ac:dyDescent="0.3">
      <c r="A714" s="147">
        <v>36</v>
      </c>
      <c r="B714" s="158" t="s">
        <v>1058</v>
      </c>
      <c r="C714" s="158" t="s">
        <v>17</v>
      </c>
      <c r="D714" s="158" t="s">
        <v>20</v>
      </c>
      <c r="E714" s="160" t="s">
        <v>18</v>
      </c>
      <c r="F714" s="160" t="s">
        <v>18</v>
      </c>
      <c r="G714" s="160" t="s">
        <v>866</v>
      </c>
      <c r="H714" s="161">
        <v>1833.46</v>
      </c>
      <c r="I714" s="161">
        <v>-21.86</v>
      </c>
      <c r="J714" s="161">
        <v>0</v>
      </c>
      <c r="K714" s="161">
        <v>0</v>
      </c>
      <c r="L714" s="161">
        <v>-540.64</v>
      </c>
      <c r="M714" s="161">
        <v>0</v>
      </c>
      <c r="N714" s="161">
        <v>0</v>
      </c>
      <c r="O714" s="162">
        <f t="shared" si="66"/>
        <v>1270.96</v>
      </c>
      <c r="P714" s="161">
        <v>-1071</v>
      </c>
      <c r="Q714" s="162">
        <v>0</v>
      </c>
      <c r="R714" s="162">
        <v>0</v>
      </c>
      <c r="S714" s="162">
        <v>0</v>
      </c>
      <c r="T714" s="162">
        <v>0</v>
      </c>
      <c r="U714" s="162">
        <v>0</v>
      </c>
      <c r="V714" s="162">
        <v>0</v>
      </c>
      <c r="W714" s="161">
        <f t="shared" si="67"/>
        <v>199.96000000000004</v>
      </c>
      <c r="X714" s="161">
        <f t="shared" si="68"/>
        <v>199.96000000000004</v>
      </c>
      <c r="Y714" s="161">
        <f t="shared" si="69"/>
        <v>0</v>
      </c>
      <c r="Z714" s="162">
        <v>0</v>
      </c>
      <c r="AA714" s="161">
        <f t="shared" si="70"/>
        <v>0</v>
      </c>
      <c r="AB714" s="161">
        <f t="shared" si="71"/>
        <v>1071</v>
      </c>
      <c r="AC714" s="158"/>
      <c r="AD714" s="158"/>
    </row>
    <row r="715" spans="1:30" ht="12.75" customHeight="1" x14ac:dyDescent="0.3">
      <c r="A715" s="147">
        <v>36</v>
      </c>
      <c r="B715" s="158" t="s">
        <v>872</v>
      </c>
      <c r="C715" s="158" t="s">
        <v>256</v>
      </c>
      <c r="D715" s="158" t="s">
        <v>997</v>
      </c>
      <c r="E715" s="160" t="s">
        <v>871</v>
      </c>
      <c r="F715" s="158" t="s">
        <v>39</v>
      </c>
      <c r="G715" s="160" t="s">
        <v>866</v>
      </c>
      <c r="H715" s="161">
        <v>9277.9500000000007</v>
      </c>
      <c r="I715" s="161">
        <v>-195.66000000000003</v>
      </c>
      <c r="J715" s="161">
        <v>0</v>
      </c>
      <c r="K715" s="161">
        <v>-91.23</v>
      </c>
      <c r="L715" s="161">
        <v>-5288.67</v>
      </c>
      <c r="M715" s="161">
        <v>-32</v>
      </c>
      <c r="N715" s="161">
        <v>0</v>
      </c>
      <c r="O715" s="162">
        <f t="shared" si="66"/>
        <v>3670.3900000000012</v>
      </c>
      <c r="P715" s="162">
        <v>-2500</v>
      </c>
      <c r="Q715" s="162">
        <v>0</v>
      </c>
      <c r="R715" s="162">
        <v>0</v>
      </c>
      <c r="S715" s="162">
        <v>0</v>
      </c>
      <c r="T715" s="162">
        <v>0</v>
      </c>
      <c r="U715" s="162">
        <v>0</v>
      </c>
      <c r="V715" s="162">
        <v>0</v>
      </c>
      <c r="W715" s="161">
        <f t="shared" si="67"/>
        <v>1170.3900000000012</v>
      </c>
      <c r="X715" s="161">
        <f t="shared" si="68"/>
        <v>1170.3900000000012</v>
      </c>
      <c r="Y715" s="161">
        <f t="shared" si="69"/>
        <v>0</v>
      </c>
      <c r="Z715" s="162">
        <v>0</v>
      </c>
      <c r="AA715" s="161">
        <f t="shared" si="70"/>
        <v>0</v>
      </c>
      <c r="AB715" s="161">
        <f t="shared" si="71"/>
        <v>2500</v>
      </c>
      <c r="AC715" s="158"/>
      <c r="AD715" s="158"/>
    </row>
    <row r="716" spans="1:30" ht="12.75" customHeight="1" x14ac:dyDescent="0.3">
      <c r="A716" s="147">
        <v>36</v>
      </c>
      <c r="B716" s="158" t="s">
        <v>921</v>
      </c>
      <c r="C716" s="158" t="s">
        <v>257</v>
      </c>
      <c r="D716" s="158" t="s">
        <v>943</v>
      </c>
      <c r="E716" s="158" t="s">
        <v>25</v>
      </c>
      <c r="F716" s="158" t="s">
        <v>25</v>
      </c>
      <c r="G716" s="160" t="s">
        <v>866</v>
      </c>
      <c r="H716" s="161">
        <v>6207.31</v>
      </c>
      <c r="I716" s="161">
        <v>-138.03</v>
      </c>
      <c r="J716" s="161">
        <v>0</v>
      </c>
      <c r="K716" s="161">
        <v>0</v>
      </c>
      <c r="L716" s="161">
        <v>-2195.62</v>
      </c>
      <c r="M716" s="161">
        <v>-47</v>
      </c>
      <c r="N716" s="161">
        <v>-47.78</v>
      </c>
      <c r="O716" s="162">
        <f t="shared" si="66"/>
        <v>3778.8800000000006</v>
      </c>
      <c r="P716" s="162">
        <v>-2500</v>
      </c>
      <c r="Q716" s="161">
        <v>0</v>
      </c>
      <c r="R716" s="162">
        <v>0</v>
      </c>
      <c r="S716" s="162">
        <v>0</v>
      </c>
      <c r="T716" s="162">
        <v>-572</v>
      </c>
      <c r="U716" s="162">
        <v>0</v>
      </c>
      <c r="V716" s="162">
        <v>0</v>
      </c>
      <c r="W716" s="161">
        <f t="shared" si="67"/>
        <v>706.88000000000056</v>
      </c>
      <c r="X716" s="161">
        <f t="shared" si="68"/>
        <v>706.88000000000056</v>
      </c>
      <c r="Y716" s="161">
        <f t="shared" si="69"/>
        <v>0</v>
      </c>
      <c r="Z716" s="162">
        <v>0</v>
      </c>
      <c r="AA716" s="161">
        <f t="shared" si="70"/>
        <v>0</v>
      </c>
      <c r="AB716" s="161">
        <f t="shared" si="71"/>
        <v>3072</v>
      </c>
      <c r="AC716" s="158" t="s">
        <v>1054</v>
      </c>
      <c r="AD716" s="158"/>
    </row>
    <row r="717" spans="1:30" ht="12.75" customHeight="1" x14ac:dyDescent="0.3">
      <c r="A717" s="147">
        <v>36</v>
      </c>
      <c r="B717" s="158" t="s">
        <v>874</v>
      </c>
      <c r="C717" s="158" t="s">
        <v>110</v>
      </c>
      <c r="D717" s="158" t="s">
        <v>1036</v>
      </c>
      <c r="E717" s="160" t="s">
        <v>18</v>
      </c>
      <c r="F717" s="160" t="s">
        <v>18</v>
      </c>
      <c r="G717" s="158" t="s">
        <v>737</v>
      </c>
      <c r="H717" s="161">
        <v>0</v>
      </c>
      <c r="I717" s="161">
        <v>0</v>
      </c>
      <c r="J717" s="161">
        <v>0</v>
      </c>
      <c r="K717" s="161">
        <v>0</v>
      </c>
      <c r="L717" s="161">
        <v>0</v>
      </c>
      <c r="M717" s="161">
        <v>0</v>
      </c>
      <c r="N717" s="161">
        <v>0</v>
      </c>
      <c r="O717" s="162">
        <f t="shared" si="66"/>
        <v>0</v>
      </c>
      <c r="P717" s="161">
        <v>-2500</v>
      </c>
      <c r="Q717" s="162">
        <v>0</v>
      </c>
      <c r="R717" s="161">
        <v>0</v>
      </c>
      <c r="S717" s="161">
        <v>0</v>
      </c>
      <c r="T717" s="161">
        <v>0</v>
      </c>
      <c r="U717" s="162">
        <v>-550</v>
      </c>
      <c r="V717" s="161">
        <v>0</v>
      </c>
      <c r="W717" s="161">
        <f t="shared" si="67"/>
        <v>-3050</v>
      </c>
      <c r="X717" s="161">
        <f t="shared" si="68"/>
        <v>0</v>
      </c>
      <c r="Y717" s="161">
        <f t="shared" si="69"/>
        <v>-3050</v>
      </c>
      <c r="Z717" s="162">
        <f>2500+550</f>
        <v>3050</v>
      </c>
      <c r="AA717" s="161">
        <f t="shared" si="70"/>
        <v>0</v>
      </c>
      <c r="AB717" s="161">
        <f t="shared" si="71"/>
        <v>3050</v>
      </c>
      <c r="AC717" s="158" t="s">
        <v>1059</v>
      </c>
      <c r="AD717" s="158"/>
    </row>
    <row r="718" spans="1:30" ht="12.75" customHeight="1" x14ac:dyDescent="0.3">
      <c r="A718" s="147">
        <v>36</v>
      </c>
      <c r="B718" s="158" t="s">
        <v>1013</v>
      </c>
      <c r="C718" s="158" t="s">
        <v>101</v>
      </c>
      <c r="D718" s="158" t="s">
        <v>945</v>
      </c>
      <c r="E718" s="158" t="s">
        <v>25</v>
      </c>
      <c r="F718" s="158" t="s">
        <v>25</v>
      </c>
      <c r="G718" s="160" t="s">
        <v>866</v>
      </c>
      <c r="H718" s="161">
        <v>10076.549999999999</v>
      </c>
      <c r="I718" s="161">
        <v>-204.28</v>
      </c>
      <c r="J718" s="161">
        <v>0</v>
      </c>
      <c r="K718" s="161">
        <v>0</v>
      </c>
      <c r="L718" s="161">
        <v>-3283.16</v>
      </c>
      <c r="M718" s="161">
        <v>-43</v>
      </c>
      <c r="N718" s="161">
        <v>-24</v>
      </c>
      <c r="O718" s="162">
        <f t="shared" si="66"/>
        <v>6522.1099999999988</v>
      </c>
      <c r="P718" s="161">
        <v>-2500</v>
      </c>
      <c r="Q718" s="161">
        <v>0</v>
      </c>
      <c r="R718" s="161">
        <v>-500</v>
      </c>
      <c r="S718" s="161">
        <v>0</v>
      </c>
      <c r="T718" s="161">
        <v>0</v>
      </c>
      <c r="U718" s="162">
        <v>0</v>
      </c>
      <c r="V718" s="161">
        <v>0</v>
      </c>
      <c r="W718" s="161">
        <f t="shared" si="67"/>
        <v>3522.1099999999988</v>
      </c>
      <c r="X718" s="161">
        <f t="shared" si="68"/>
        <v>3522.1099999999988</v>
      </c>
      <c r="Y718" s="161">
        <f t="shared" si="69"/>
        <v>0</v>
      </c>
      <c r="Z718" s="162">
        <v>0</v>
      </c>
      <c r="AA718" s="161">
        <f t="shared" si="70"/>
        <v>0</v>
      </c>
      <c r="AB718" s="161">
        <f t="shared" si="71"/>
        <v>3000</v>
      </c>
      <c r="AC718" s="158" t="s">
        <v>1054</v>
      </c>
      <c r="AD718" s="158"/>
    </row>
    <row r="719" spans="1:30" ht="12.75" customHeight="1" x14ac:dyDescent="0.3">
      <c r="A719" s="147">
        <v>36</v>
      </c>
      <c r="B719" s="158" t="s">
        <v>918</v>
      </c>
      <c r="C719" s="158" t="s">
        <v>120</v>
      </c>
      <c r="D719" s="158" t="s">
        <v>950</v>
      </c>
      <c r="E719" s="158" t="s">
        <v>25</v>
      </c>
      <c r="F719" s="158" t="s">
        <v>25</v>
      </c>
      <c r="G719" s="160" t="s">
        <v>866</v>
      </c>
      <c r="H719" s="161">
        <v>5888</v>
      </c>
      <c r="I719" s="161">
        <v>-92.11</v>
      </c>
      <c r="J719" s="161">
        <v>0</v>
      </c>
      <c r="K719" s="161">
        <v>0</v>
      </c>
      <c r="L719" s="161">
        <v>-2134.4899999999998</v>
      </c>
      <c r="M719" s="161">
        <v>-91.56</v>
      </c>
      <c r="N719" s="161">
        <v>-156</v>
      </c>
      <c r="O719" s="162">
        <f t="shared" si="66"/>
        <v>3413.8400000000006</v>
      </c>
      <c r="P719" s="162">
        <v>-2500</v>
      </c>
      <c r="Q719" s="161">
        <v>0</v>
      </c>
      <c r="R719" s="162">
        <v>0</v>
      </c>
      <c r="S719" s="162">
        <v>0</v>
      </c>
      <c r="T719" s="162">
        <v>0</v>
      </c>
      <c r="U719" s="162">
        <v>0</v>
      </c>
      <c r="V719" s="162">
        <v>0</v>
      </c>
      <c r="W719" s="161">
        <f t="shared" si="67"/>
        <v>913.8400000000006</v>
      </c>
      <c r="X719" s="161">
        <f t="shared" si="68"/>
        <v>913.8400000000006</v>
      </c>
      <c r="Y719" s="161">
        <f t="shared" si="69"/>
        <v>0</v>
      </c>
      <c r="Z719" s="162">
        <v>0</v>
      </c>
      <c r="AA719" s="161">
        <f t="shared" si="70"/>
        <v>0</v>
      </c>
      <c r="AB719" s="161">
        <f t="shared" si="71"/>
        <v>2500</v>
      </c>
      <c r="AC719" s="158" t="s">
        <v>1054</v>
      </c>
      <c r="AD719" s="158"/>
    </row>
    <row r="720" spans="1:30" ht="12.75" customHeight="1" x14ac:dyDescent="0.3">
      <c r="A720" s="147">
        <v>36</v>
      </c>
      <c r="B720" s="158" t="s">
        <v>484</v>
      </c>
      <c r="C720" s="158" t="s">
        <v>426</v>
      </c>
      <c r="D720" s="158" t="s">
        <v>903</v>
      </c>
      <c r="E720" s="158" t="s">
        <v>25</v>
      </c>
      <c r="F720" s="158" t="s">
        <v>25</v>
      </c>
      <c r="G720" s="160" t="s">
        <v>866</v>
      </c>
      <c r="H720" s="161">
        <v>8365.25</v>
      </c>
      <c r="I720" s="161">
        <v>-251.51</v>
      </c>
      <c r="J720" s="161">
        <v>0</v>
      </c>
      <c r="K720" s="161">
        <v>0</v>
      </c>
      <c r="L720" s="161">
        <v>-4398.62</v>
      </c>
      <c r="M720" s="161">
        <v>-32</v>
      </c>
      <c r="N720" s="161">
        <v>0</v>
      </c>
      <c r="O720" s="162">
        <f t="shared" si="66"/>
        <v>3683.12</v>
      </c>
      <c r="P720" s="162">
        <v>-2500</v>
      </c>
      <c r="Q720" s="161">
        <v>51</v>
      </c>
      <c r="R720" s="162">
        <v>0</v>
      </c>
      <c r="S720" s="162">
        <v>0</v>
      </c>
      <c r="T720" s="162">
        <v>0</v>
      </c>
      <c r="U720" s="162">
        <v>0</v>
      </c>
      <c r="V720" s="162">
        <v>0</v>
      </c>
      <c r="W720" s="161">
        <f t="shared" si="67"/>
        <v>1234.1199999999999</v>
      </c>
      <c r="X720" s="161">
        <f t="shared" si="68"/>
        <v>1234.1199999999999</v>
      </c>
      <c r="Y720" s="161">
        <f t="shared" si="69"/>
        <v>0</v>
      </c>
      <c r="Z720" s="162">
        <v>0</v>
      </c>
      <c r="AA720" s="161">
        <f t="shared" si="70"/>
        <v>0</v>
      </c>
      <c r="AB720" s="161">
        <f t="shared" si="71"/>
        <v>2449</v>
      </c>
      <c r="AC720" s="158" t="s">
        <v>1060</v>
      </c>
      <c r="AD720" s="158"/>
    </row>
    <row r="721" spans="1:30" ht="12.75" customHeight="1" x14ac:dyDescent="0.3">
      <c r="A721" s="147">
        <v>36</v>
      </c>
      <c r="B721" s="158" t="s">
        <v>408</v>
      </c>
      <c r="C721" s="158" t="s">
        <v>334</v>
      </c>
      <c r="D721" s="158" t="s">
        <v>20</v>
      </c>
      <c r="E721" s="160" t="s">
        <v>25</v>
      </c>
      <c r="F721" s="158" t="s">
        <v>39</v>
      </c>
      <c r="G721" s="160" t="s">
        <v>866</v>
      </c>
      <c r="H721" s="161">
        <v>1523.4</v>
      </c>
      <c r="I721" s="161">
        <v>-35.85</v>
      </c>
      <c r="J721" s="161">
        <v>0</v>
      </c>
      <c r="K721" s="161">
        <v>0</v>
      </c>
      <c r="L721" s="161">
        <v>-993.56</v>
      </c>
      <c r="M721" s="161">
        <v>-38</v>
      </c>
      <c r="N721" s="161">
        <v>0</v>
      </c>
      <c r="O721" s="162">
        <f t="shared" si="66"/>
        <v>455.99000000000024</v>
      </c>
      <c r="P721" s="162">
        <v>-1607</v>
      </c>
      <c r="Q721" s="162">
        <v>0</v>
      </c>
      <c r="R721" s="162">
        <v>0</v>
      </c>
      <c r="S721" s="162">
        <v>0</v>
      </c>
      <c r="T721" s="162">
        <v>0</v>
      </c>
      <c r="U721" s="162">
        <v>0</v>
      </c>
      <c r="V721" s="162">
        <v>0</v>
      </c>
      <c r="W721" s="161">
        <f t="shared" si="67"/>
        <v>-1151.0099999999998</v>
      </c>
      <c r="X721" s="161">
        <f t="shared" si="68"/>
        <v>0</v>
      </c>
      <c r="Y721" s="161">
        <f t="shared" si="69"/>
        <v>-1151.0099999999998</v>
      </c>
      <c r="Z721" s="162">
        <v>0</v>
      </c>
      <c r="AA721" s="161">
        <f t="shared" si="70"/>
        <v>-1151.0099999999998</v>
      </c>
      <c r="AB721" s="161">
        <f t="shared" si="71"/>
        <v>-695.01999999999953</v>
      </c>
      <c r="AC721" s="158" t="s">
        <v>1028</v>
      </c>
      <c r="AD721" s="158"/>
    </row>
    <row r="722" spans="1:30" ht="12.75" customHeight="1" x14ac:dyDescent="0.3">
      <c r="A722" s="147">
        <v>36</v>
      </c>
      <c r="B722" s="158" t="s">
        <v>992</v>
      </c>
      <c r="C722" s="158" t="s">
        <v>169</v>
      </c>
      <c r="D722" s="158" t="s">
        <v>967</v>
      </c>
      <c r="E722" s="160" t="s">
        <v>871</v>
      </c>
      <c r="F722" s="158" t="s">
        <v>39</v>
      </c>
      <c r="G722" s="160" t="s">
        <v>866</v>
      </c>
      <c r="H722" s="161">
        <v>7017.27</v>
      </c>
      <c r="I722" s="161">
        <v>-149.56</v>
      </c>
      <c r="J722" s="161">
        <v>0</v>
      </c>
      <c r="K722" s="161">
        <v>0</v>
      </c>
      <c r="L722" s="161">
        <v>-2782.31</v>
      </c>
      <c r="M722" s="161">
        <v>-32</v>
      </c>
      <c r="N722" s="161">
        <v>0</v>
      </c>
      <c r="O722" s="162">
        <f t="shared" si="66"/>
        <v>4053.4</v>
      </c>
      <c r="P722" s="162">
        <v>-2500</v>
      </c>
      <c r="Q722" s="162">
        <v>0</v>
      </c>
      <c r="R722" s="162">
        <v>0</v>
      </c>
      <c r="S722" s="162">
        <v>0</v>
      </c>
      <c r="T722" s="162">
        <v>0</v>
      </c>
      <c r="U722" s="162">
        <v>0</v>
      </c>
      <c r="V722" s="162">
        <v>0</v>
      </c>
      <c r="W722" s="161">
        <f t="shared" si="67"/>
        <v>1553.4</v>
      </c>
      <c r="X722" s="161">
        <f t="shared" si="68"/>
        <v>1553.4</v>
      </c>
      <c r="Y722" s="161">
        <f t="shared" si="69"/>
        <v>0</v>
      </c>
      <c r="Z722" s="162">
        <v>0</v>
      </c>
      <c r="AA722" s="161">
        <f t="shared" si="70"/>
        <v>0</v>
      </c>
      <c r="AB722" s="161">
        <f t="shared" si="71"/>
        <v>2500</v>
      </c>
      <c r="AC722" s="158"/>
      <c r="AD722" s="158"/>
    </row>
    <row r="723" spans="1:30" ht="12.75" customHeight="1" x14ac:dyDescent="0.3">
      <c r="A723" s="147">
        <v>36</v>
      </c>
      <c r="B723" s="158" t="s">
        <v>1020</v>
      </c>
      <c r="C723" s="158" t="s">
        <v>123</v>
      </c>
      <c r="D723" s="158" t="s">
        <v>999</v>
      </c>
      <c r="E723" s="160" t="s">
        <v>871</v>
      </c>
      <c r="F723" s="158" t="s">
        <v>39</v>
      </c>
      <c r="G723" s="160" t="s">
        <v>866</v>
      </c>
      <c r="H723" s="161">
        <v>790.91</v>
      </c>
      <c r="I723" s="161">
        <v>-18.239999999999998</v>
      </c>
      <c r="J723" s="161">
        <v>0</v>
      </c>
      <c r="K723" s="161">
        <v>0</v>
      </c>
      <c r="L723" s="161">
        <v>-267.31</v>
      </c>
      <c r="M723" s="161">
        <v>-48</v>
      </c>
      <c r="N723" s="161">
        <v>0</v>
      </c>
      <c r="O723" s="162">
        <f t="shared" si="66"/>
        <v>457.35999999999996</v>
      </c>
      <c r="P723" s="161">
        <v>-2500</v>
      </c>
      <c r="Q723" s="162">
        <v>941</v>
      </c>
      <c r="R723" s="161">
        <v>-357</v>
      </c>
      <c r="S723" s="161">
        <v>0</v>
      </c>
      <c r="T723" s="161">
        <v>0</v>
      </c>
      <c r="U723" s="162">
        <v>0</v>
      </c>
      <c r="V723" s="161">
        <v>0</v>
      </c>
      <c r="W723" s="161">
        <f t="shared" si="67"/>
        <v>-1458.64</v>
      </c>
      <c r="X723" s="161">
        <f t="shared" si="68"/>
        <v>0</v>
      </c>
      <c r="Y723" s="161">
        <f t="shared" si="69"/>
        <v>-1458.64</v>
      </c>
      <c r="Z723" s="162">
        <v>1500</v>
      </c>
      <c r="AA723" s="161">
        <f t="shared" si="70"/>
        <v>41.3599999999999</v>
      </c>
      <c r="AB723" s="161">
        <f t="shared" si="71"/>
        <v>1998.7199999999998</v>
      </c>
      <c r="AC723" s="158" t="s">
        <v>927</v>
      </c>
      <c r="AD723" s="158"/>
    </row>
    <row r="724" spans="1:30" ht="12.75" customHeight="1" x14ac:dyDescent="0.3">
      <c r="A724" s="147">
        <v>36</v>
      </c>
      <c r="B724" s="158" t="s">
        <v>1051</v>
      </c>
      <c r="C724" s="158" t="s">
        <v>21</v>
      </c>
      <c r="D724" s="158" t="s">
        <v>20</v>
      </c>
      <c r="E724" s="160" t="s">
        <v>18</v>
      </c>
      <c r="F724" s="160" t="s">
        <v>18</v>
      </c>
      <c r="G724" s="160" t="s">
        <v>866</v>
      </c>
      <c r="H724" s="161">
        <v>3161.48</v>
      </c>
      <c r="I724" s="161">
        <v>-63.14</v>
      </c>
      <c r="J724" s="161">
        <v>0</v>
      </c>
      <c r="K724" s="161">
        <v>0</v>
      </c>
      <c r="L724" s="161">
        <v>-1652.17</v>
      </c>
      <c r="M724" s="161">
        <v>0</v>
      </c>
      <c r="N724" s="161">
        <v>0</v>
      </c>
      <c r="O724" s="162">
        <f t="shared" si="66"/>
        <v>1446.17</v>
      </c>
      <c r="P724" s="161">
        <v>-2500</v>
      </c>
      <c r="Q724" s="161">
        <v>40</v>
      </c>
      <c r="R724" s="161">
        <v>-500</v>
      </c>
      <c r="S724" s="161">
        <v>0</v>
      </c>
      <c r="T724" s="161">
        <v>0</v>
      </c>
      <c r="U724" s="161">
        <v>0</v>
      </c>
      <c r="V724" s="161">
        <v>0</v>
      </c>
      <c r="W724" s="161">
        <f t="shared" si="67"/>
        <v>-1513.83</v>
      </c>
      <c r="X724" s="161">
        <f t="shared" si="68"/>
        <v>0</v>
      </c>
      <c r="Y724" s="161">
        <f t="shared" si="69"/>
        <v>-1513.83</v>
      </c>
      <c r="Z724" s="162">
        <v>1514</v>
      </c>
      <c r="AA724" s="161">
        <f t="shared" si="70"/>
        <v>0.17000000000007276</v>
      </c>
      <c r="AB724" s="161">
        <f t="shared" si="71"/>
        <v>2960.34</v>
      </c>
      <c r="AC724" s="181"/>
      <c r="AD724" s="158"/>
    </row>
    <row r="725" spans="1:30" ht="12.75" customHeight="1" x14ac:dyDescent="0.3">
      <c r="A725" s="147">
        <v>36</v>
      </c>
      <c r="B725" s="158" t="s">
        <v>880</v>
      </c>
      <c r="C725" s="158" t="s">
        <v>183</v>
      </c>
      <c r="D725" s="158" t="s">
        <v>887</v>
      </c>
      <c r="E725" s="158" t="s">
        <v>25</v>
      </c>
      <c r="F725" s="158" t="s">
        <v>25</v>
      </c>
      <c r="G725" s="160" t="s">
        <v>866</v>
      </c>
      <c r="H725" s="161">
        <v>3370.44</v>
      </c>
      <c r="I725" s="161">
        <v>-42.65</v>
      </c>
      <c r="J725" s="161">
        <v>0</v>
      </c>
      <c r="K725" s="161">
        <v>0</v>
      </c>
      <c r="L725" s="161">
        <v>-1312.04</v>
      </c>
      <c r="M725" s="161">
        <v>-54.510000000000005</v>
      </c>
      <c r="N725" s="161">
        <v>0</v>
      </c>
      <c r="O725" s="162">
        <f t="shared" si="66"/>
        <v>1961.24</v>
      </c>
      <c r="P725" s="162">
        <v>-2500</v>
      </c>
      <c r="Q725" s="161">
        <v>0</v>
      </c>
      <c r="R725" s="162">
        <v>0</v>
      </c>
      <c r="S725" s="162">
        <v>0</v>
      </c>
      <c r="T725" s="162">
        <v>0</v>
      </c>
      <c r="U725" s="162">
        <v>-500</v>
      </c>
      <c r="V725" s="162">
        <v>0</v>
      </c>
      <c r="W725" s="161">
        <f t="shared" si="67"/>
        <v>-1038.76</v>
      </c>
      <c r="X725" s="161">
        <f t="shared" si="68"/>
        <v>0</v>
      </c>
      <c r="Y725" s="161">
        <f t="shared" si="69"/>
        <v>-1038.76</v>
      </c>
      <c r="Z725" s="162">
        <v>1039</v>
      </c>
      <c r="AA725" s="161">
        <f t="shared" si="70"/>
        <v>0.24000000000000909</v>
      </c>
      <c r="AB725" s="161">
        <f t="shared" si="71"/>
        <v>3000.4799999999996</v>
      </c>
      <c r="AC725" s="158"/>
      <c r="AD725" s="158"/>
    </row>
    <row r="726" spans="1:30" ht="12.75" customHeight="1" x14ac:dyDescent="0.3">
      <c r="A726" s="147">
        <v>36</v>
      </c>
      <c r="B726" s="158" t="s">
        <v>922</v>
      </c>
      <c r="C726" s="158" t="s">
        <v>36</v>
      </c>
      <c r="D726" s="158" t="s">
        <v>904</v>
      </c>
      <c r="E726" s="158" t="s">
        <v>25</v>
      </c>
      <c r="F726" s="158" t="s">
        <v>25</v>
      </c>
      <c r="G726" s="160" t="s">
        <v>866</v>
      </c>
      <c r="H726" s="161">
        <v>2255.7199999999998</v>
      </c>
      <c r="I726" s="161">
        <v>-38.11</v>
      </c>
      <c r="J726" s="161">
        <v>0</v>
      </c>
      <c r="K726" s="161">
        <v>0</v>
      </c>
      <c r="L726" s="161">
        <v>-135</v>
      </c>
      <c r="M726" s="161">
        <v>-32</v>
      </c>
      <c r="N726" s="161">
        <v>0</v>
      </c>
      <c r="O726" s="162">
        <f t="shared" si="66"/>
        <v>2050.6099999999997</v>
      </c>
      <c r="P726" s="162">
        <v>-2500</v>
      </c>
      <c r="Q726" s="161">
        <v>-13</v>
      </c>
      <c r="R726" s="162">
        <v>0</v>
      </c>
      <c r="S726" s="162">
        <v>0</v>
      </c>
      <c r="T726" s="162">
        <v>0</v>
      </c>
      <c r="U726" s="162">
        <v>-1100</v>
      </c>
      <c r="V726" s="162">
        <v>0</v>
      </c>
      <c r="W726" s="161">
        <f t="shared" si="67"/>
        <v>-1562.3900000000003</v>
      </c>
      <c r="X726" s="161">
        <f t="shared" si="68"/>
        <v>0</v>
      </c>
      <c r="Y726" s="161">
        <f t="shared" si="69"/>
        <v>-1562.3900000000003</v>
      </c>
      <c r="Z726" s="162">
        <v>0</v>
      </c>
      <c r="AA726" s="161">
        <f t="shared" si="70"/>
        <v>-1562.3900000000003</v>
      </c>
      <c r="AB726" s="161">
        <f t="shared" si="71"/>
        <v>488.21999999999935</v>
      </c>
      <c r="AC726" s="158"/>
      <c r="AD726" s="158"/>
    </row>
    <row r="727" spans="1:30" ht="12.75" customHeight="1" x14ac:dyDescent="0.3">
      <c r="A727" s="147">
        <v>36</v>
      </c>
      <c r="B727" s="158" t="s">
        <v>993</v>
      </c>
      <c r="C727" s="158" t="s">
        <v>347</v>
      </c>
      <c r="D727" s="158" t="s">
        <v>897</v>
      </c>
      <c r="E727" s="158" t="s">
        <v>25</v>
      </c>
      <c r="F727" s="158" t="s">
        <v>25</v>
      </c>
      <c r="G727" s="160" t="s">
        <v>866</v>
      </c>
      <c r="H727" s="161">
        <v>2423.7199999999998</v>
      </c>
      <c r="I727" s="161">
        <v>-51.02</v>
      </c>
      <c r="J727" s="161">
        <v>0</v>
      </c>
      <c r="K727" s="161">
        <v>0</v>
      </c>
      <c r="L727" s="161">
        <v>-262.52999999999997</v>
      </c>
      <c r="M727" s="161">
        <v>-38</v>
      </c>
      <c r="N727" s="161">
        <v>0</v>
      </c>
      <c r="O727" s="162">
        <f t="shared" si="66"/>
        <v>2072.17</v>
      </c>
      <c r="P727" s="162">
        <v>-2500</v>
      </c>
      <c r="Q727" s="161">
        <v>0</v>
      </c>
      <c r="R727" s="162">
        <v>0</v>
      </c>
      <c r="S727" s="162">
        <v>0</v>
      </c>
      <c r="T727" s="162">
        <v>0</v>
      </c>
      <c r="U727" s="162">
        <v>0</v>
      </c>
      <c r="V727" s="162">
        <v>0</v>
      </c>
      <c r="W727" s="161">
        <f t="shared" si="67"/>
        <v>-427.82999999999993</v>
      </c>
      <c r="X727" s="161">
        <f t="shared" si="68"/>
        <v>0</v>
      </c>
      <c r="Y727" s="161">
        <f t="shared" si="69"/>
        <v>-427.82999999999993</v>
      </c>
      <c r="Z727" s="162">
        <f>200+228</f>
        <v>428</v>
      </c>
      <c r="AA727" s="161">
        <f t="shared" si="70"/>
        <v>0.17000000000007276</v>
      </c>
      <c r="AB727" s="161">
        <f t="shared" si="71"/>
        <v>2500.34</v>
      </c>
      <c r="AC727" s="158"/>
      <c r="AD727" s="158"/>
    </row>
    <row r="728" spans="1:30" ht="12.75" customHeight="1" x14ac:dyDescent="0.3">
      <c r="A728" s="147">
        <v>36</v>
      </c>
      <c r="B728" s="158" t="s">
        <v>1048</v>
      </c>
      <c r="C728" s="158" t="s">
        <v>59</v>
      </c>
      <c r="D728" s="158" t="s">
        <v>895</v>
      </c>
      <c r="E728" s="158" t="s">
        <v>25</v>
      </c>
      <c r="F728" s="158" t="s">
        <v>25</v>
      </c>
      <c r="G728" s="160" t="s">
        <v>866</v>
      </c>
      <c r="H728" s="161">
        <v>10226.32</v>
      </c>
      <c r="I728" s="161">
        <v>-293.62</v>
      </c>
      <c r="J728" s="161">
        <v>0</v>
      </c>
      <c r="K728" s="161">
        <v>0</v>
      </c>
      <c r="L728" s="161">
        <v>-4585.3599999999997</v>
      </c>
      <c r="M728" s="161">
        <v>-38</v>
      </c>
      <c r="N728" s="161">
        <v>0</v>
      </c>
      <c r="O728" s="162">
        <f t="shared" si="66"/>
        <v>5309.3399999999992</v>
      </c>
      <c r="P728" s="161">
        <v>-2500</v>
      </c>
      <c r="Q728" s="161">
        <v>0</v>
      </c>
      <c r="R728" s="161">
        <v>-500</v>
      </c>
      <c r="S728" s="161">
        <v>0</v>
      </c>
      <c r="T728" s="161">
        <v>0</v>
      </c>
      <c r="U728" s="161">
        <v>73</v>
      </c>
      <c r="V728" s="161">
        <v>0</v>
      </c>
      <c r="W728" s="161">
        <f t="shared" si="67"/>
        <v>2382.3399999999992</v>
      </c>
      <c r="X728" s="161">
        <f t="shared" si="68"/>
        <v>2382.3399999999992</v>
      </c>
      <c r="Y728" s="161">
        <f t="shared" si="69"/>
        <v>0</v>
      </c>
      <c r="Z728" s="162">
        <v>0</v>
      </c>
      <c r="AA728" s="161">
        <f t="shared" si="70"/>
        <v>0</v>
      </c>
      <c r="AB728" s="161">
        <f t="shared" si="71"/>
        <v>2927</v>
      </c>
      <c r="AC728" s="158" t="s">
        <v>1054</v>
      </c>
      <c r="AD728" s="158"/>
    </row>
    <row r="729" spans="1:30" ht="12.75" customHeight="1" x14ac:dyDescent="0.3">
      <c r="A729" s="147">
        <v>36</v>
      </c>
      <c r="B729" s="158" t="s">
        <v>1025</v>
      </c>
      <c r="C729" s="158" t="s">
        <v>51</v>
      </c>
      <c r="D729" s="158" t="s">
        <v>20</v>
      </c>
      <c r="E729" s="160" t="s">
        <v>25</v>
      </c>
      <c r="F729" s="158" t="s">
        <v>39</v>
      </c>
      <c r="G729" s="160" t="s">
        <v>866</v>
      </c>
      <c r="H729" s="161">
        <v>2918.01</v>
      </c>
      <c r="I729" s="161">
        <v>-47.34</v>
      </c>
      <c r="J729" s="161">
        <v>0</v>
      </c>
      <c r="K729" s="161">
        <v>0</v>
      </c>
      <c r="L729" s="161">
        <v>0</v>
      </c>
      <c r="M729" s="161">
        <v>-32</v>
      </c>
      <c r="N729" s="161">
        <v>0</v>
      </c>
      <c r="O729" s="162">
        <f t="shared" si="66"/>
        <v>2838.67</v>
      </c>
      <c r="P729" s="161">
        <v>-2500</v>
      </c>
      <c r="Q729" s="162">
        <v>-22</v>
      </c>
      <c r="R729" s="161">
        <v>-500</v>
      </c>
      <c r="S729" s="161">
        <v>0</v>
      </c>
      <c r="T729" s="161">
        <v>0</v>
      </c>
      <c r="U729" s="162">
        <v>-550</v>
      </c>
      <c r="V729" s="161">
        <v>0</v>
      </c>
      <c r="W729" s="161">
        <f t="shared" si="67"/>
        <v>-733.32999999999993</v>
      </c>
      <c r="X729" s="161">
        <f t="shared" si="68"/>
        <v>0</v>
      </c>
      <c r="Y729" s="161">
        <f t="shared" si="69"/>
        <v>-733.32999999999993</v>
      </c>
      <c r="Z729" s="162">
        <v>0</v>
      </c>
      <c r="AA729" s="161">
        <f t="shared" si="70"/>
        <v>-733.32999999999993</v>
      </c>
      <c r="AB729" s="161">
        <f t="shared" si="71"/>
        <v>2105.34</v>
      </c>
      <c r="AC729" s="158" t="s">
        <v>1039</v>
      </c>
      <c r="AD729" s="158"/>
    </row>
    <row r="730" spans="1:30" ht="12.75" customHeight="1" x14ac:dyDescent="0.3">
      <c r="A730" s="147">
        <v>36</v>
      </c>
      <c r="B730" s="158" t="s">
        <v>1010</v>
      </c>
      <c r="C730" s="158" t="s">
        <v>80</v>
      </c>
      <c r="D730" s="158" t="s">
        <v>996</v>
      </c>
      <c r="E730" s="158" t="s">
        <v>18</v>
      </c>
      <c r="F730" s="160" t="s">
        <v>18</v>
      </c>
      <c r="G730" s="160" t="s">
        <v>866</v>
      </c>
      <c r="H730" s="161">
        <v>1332.16</v>
      </c>
      <c r="I730" s="161">
        <v>0</v>
      </c>
      <c r="J730" s="161">
        <v>0</v>
      </c>
      <c r="K730" s="161">
        <v>-9.6199999999999992</v>
      </c>
      <c r="L730" s="161">
        <v>-1370.71</v>
      </c>
      <c r="M730" s="161">
        <v>0</v>
      </c>
      <c r="N730" s="161">
        <v>-155</v>
      </c>
      <c r="O730" s="162">
        <f t="shared" si="66"/>
        <v>-203.16999999999985</v>
      </c>
      <c r="P730" s="161">
        <v>-1786</v>
      </c>
      <c r="Q730" s="162">
        <v>-2389</v>
      </c>
      <c r="R730" s="161">
        <v>3821</v>
      </c>
      <c r="S730" s="161">
        <v>0</v>
      </c>
      <c r="T730" s="161">
        <v>0</v>
      </c>
      <c r="U730" s="162">
        <v>0</v>
      </c>
      <c r="V730" s="161">
        <v>0</v>
      </c>
      <c r="W730" s="161">
        <f t="shared" si="67"/>
        <v>-557.16999999999985</v>
      </c>
      <c r="X730" s="161">
        <f t="shared" si="68"/>
        <v>0</v>
      </c>
      <c r="Y730" s="161">
        <f t="shared" si="69"/>
        <v>-557.16999999999985</v>
      </c>
      <c r="Z730" s="162">
        <v>0</v>
      </c>
      <c r="AA730" s="161">
        <f t="shared" si="70"/>
        <v>-557.16999999999985</v>
      </c>
      <c r="AB730" s="161">
        <f t="shared" si="71"/>
        <v>-760.33999999999969</v>
      </c>
      <c r="AC730" s="158" t="s">
        <v>1061</v>
      </c>
      <c r="AD730" s="158"/>
    </row>
    <row r="731" spans="1:30" ht="12.75" customHeight="1" x14ac:dyDescent="0.3">
      <c r="A731" s="147">
        <v>36</v>
      </c>
      <c r="B731" s="158" t="s">
        <v>1003</v>
      </c>
      <c r="C731" s="182" t="s">
        <v>213</v>
      </c>
      <c r="D731" s="158" t="s">
        <v>881</v>
      </c>
      <c r="E731" s="158" t="s">
        <v>39</v>
      </c>
      <c r="F731" s="158" t="s">
        <v>39</v>
      </c>
      <c r="G731" s="160" t="s">
        <v>866</v>
      </c>
      <c r="H731" s="161">
        <v>0</v>
      </c>
      <c r="I731" s="161">
        <v>0</v>
      </c>
      <c r="J731" s="161">
        <v>0</v>
      </c>
      <c r="K731" s="161">
        <v>0</v>
      </c>
      <c r="L731" s="161">
        <v>0</v>
      </c>
      <c r="M731" s="161">
        <v>0</v>
      </c>
      <c r="N731" s="161">
        <v>0</v>
      </c>
      <c r="O731" s="162">
        <f t="shared" si="66"/>
        <v>0</v>
      </c>
      <c r="P731" s="161">
        <v>-2143</v>
      </c>
      <c r="Q731" s="161">
        <v>0</v>
      </c>
      <c r="R731" s="161">
        <v>0</v>
      </c>
      <c r="S731" s="161">
        <v>0</v>
      </c>
      <c r="T731" s="161">
        <v>0</v>
      </c>
      <c r="U731" s="161">
        <v>-150</v>
      </c>
      <c r="V731" s="161">
        <v>0</v>
      </c>
      <c r="W731" s="161">
        <f t="shared" si="67"/>
        <v>-2293</v>
      </c>
      <c r="X731" s="161">
        <f t="shared" si="68"/>
        <v>0</v>
      </c>
      <c r="Y731" s="161">
        <f t="shared" si="69"/>
        <v>-2293</v>
      </c>
      <c r="Z731" s="162">
        <v>0</v>
      </c>
      <c r="AA731" s="161">
        <f t="shared" si="70"/>
        <v>-2293</v>
      </c>
      <c r="AB731" s="161">
        <f t="shared" si="71"/>
        <v>-2293</v>
      </c>
      <c r="AC731" s="158" t="s">
        <v>1039</v>
      </c>
      <c r="AD731" s="158"/>
    </row>
    <row r="732" spans="1:30" ht="12.75" customHeight="1" x14ac:dyDescent="0.3">
      <c r="A732" s="147">
        <v>37</v>
      </c>
      <c r="B732" s="158" t="s">
        <v>1062</v>
      </c>
      <c r="C732" s="158" t="s">
        <v>64</v>
      </c>
      <c r="D732" s="158" t="s">
        <v>895</v>
      </c>
      <c r="E732" s="158" t="s">
        <v>25</v>
      </c>
      <c r="F732" s="158" t="s">
        <v>25</v>
      </c>
      <c r="G732" s="158" t="s">
        <v>866</v>
      </c>
      <c r="H732" s="161">
        <v>7644.01</v>
      </c>
      <c r="I732" s="161">
        <v>-108.89</v>
      </c>
      <c r="J732" s="161">
        <v>0</v>
      </c>
      <c r="K732" s="161">
        <v>0</v>
      </c>
      <c r="L732" s="161">
        <v>-4798.33</v>
      </c>
      <c r="M732" s="161">
        <v>-38</v>
      </c>
      <c r="N732" s="161">
        <v>0</v>
      </c>
      <c r="O732" s="162">
        <f t="shared" si="66"/>
        <v>2698.79</v>
      </c>
      <c r="P732" s="161">
        <v>-2142.86</v>
      </c>
      <c r="Q732" s="161">
        <v>0</v>
      </c>
      <c r="R732" s="161">
        <v>-428</v>
      </c>
      <c r="S732" s="161">
        <v>0</v>
      </c>
      <c r="T732" s="162">
        <v>0</v>
      </c>
      <c r="U732" s="162">
        <v>0</v>
      </c>
      <c r="V732" s="161">
        <v>0</v>
      </c>
      <c r="W732" s="161">
        <f t="shared" si="67"/>
        <v>127.92999999999984</v>
      </c>
      <c r="X732" s="161">
        <f t="shared" si="68"/>
        <v>127.92999999999984</v>
      </c>
      <c r="Y732" s="161">
        <f t="shared" si="69"/>
        <v>0</v>
      </c>
      <c r="Z732" s="162">
        <v>0</v>
      </c>
      <c r="AA732" s="161">
        <f t="shared" si="70"/>
        <v>0</v>
      </c>
      <c r="AB732" s="161">
        <f t="shared" si="71"/>
        <v>2570.86</v>
      </c>
      <c r="AC732" s="158" t="s">
        <v>374</v>
      </c>
      <c r="AD732" s="158"/>
    </row>
    <row r="733" spans="1:30" ht="12.75" customHeight="1" x14ac:dyDescent="0.3">
      <c r="A733" s="147">
        <v>37</v>
      </c>
      <c r="B733" s="158" t="s">
        <v>585</v>
      </c>
      <c r="C733" s="158" t="s">
        <v>42</v>
      </c>
      <c r="D733" s="158" t="s">
        <v>948</v>
      </c>
      <c r="E733" s="158" t="s">
        <v>25</v>
      </c>
      <c r="F733" s="158" t="s">
        <v>25</v>
      </c>
      <c r="G733" s="160" t="s">
        <v>866</v>
      </c>
      <c r="H733" s="161">
        <v>777.39</v>
      </c>
      <c r="I733" s="161">
        <v>-10.53</v>
      </c>
      <c r="J733" s="161">
        <v>0</v>
      </c>
      <c r="K733" s="161">
        <v>0</v>
      </c>
      <c r="L733" s="161">
        <v>-347.22</v>
      </c>
      <c r="M733" s="161">
        <v>-28</v>
      </c>
      <c r="N733" s="161">
        <v>0</v>
      </c>
      <c r="O733" s="162">
        <f t="shared" si="66"/>
        <v>391.64</v>
      </c>
      <c r="P733" s="162">
        <v>-2500</v>
      </c>
      <c r="Q733" s="162">
        <v>0</v>
      </c>
      <c r="R733" s="162">
        <v>0</v>
      </c>
      <c r="S733" s="162">
        <v>0</v>
      </c>
      <c r="T733" s="162">
        <v>-500</v>
      </c>
      <c r="U733" s="162">
        <v>0</v>
      </c>
      <c r="V733" s="162">
        <v>0</v>
      </c>
      <c r="W733" s="161">
        <f t="shared" si="67"/>
        <v>-2608.36</v>
      </c>
      <c r="X733" s="161">
        <f t="shared" si="68"/>
        <v>0</v>
      </c>
      <c r="Y733" s="161">
        <f t="shared" si="69"/>
        <v>-2608.36</v>
      </c>
      <c r="Z733" s="162">
        <v>2608</v>
      </c>
      <c r="AA733" s="161">
        <f t="shared" si="70"/>
        <v>-0.36000000000012733</v>
      </c>
      <c r="AB733" s="161">
        <f t="shared" si="71"/>
        <v>2999.2799999999997</v>
      </c>
      <c r="AC733" s="158" t="s">
        <v>1027</v>
      </c>
      <c r="AD733" s="158"/>
    </row>
    <row r="734" spans="1:30" ht="12.75" customHeight="1" x14ac:dyDescent="0.3">
      <c r="A734" s="147">
        <v>37</v>
      </c>
      <c r="B734" s="158" t="s">
        <v>837</v>
      </c>
      <c r="C734" s="158" t="s">
        <v>409</v>
      </c>
      <c r="D734" s="158" t="s">
        <v>946</v>
      </c>
      <c r="E734" s="158" t="s">
        <v>25</v>
      </c>
      <c r="F734" s="158" t="s">
        <v>25</v>
      </c>
      <c r="G734" s="160" t="s">
        <v>866</v>
      </c>
      <c r="H734" s="161">
        <v>5903.88</v>
      </c>
      <c r="I734" s="161">
        <v>-79.78</v>
      </c>
      <c r="J734" s="161">
        <v>0</v>
      </c>
      <c r="K734" s="161">
        <v>0</v>
      </c>
      <c r="L734" s="161">
        <v>0</v>
      </c>
      <c r="M734" s="161">
        <v>-38</v>
      </c>
      <c r="N734" s="161">
        <v>0</v>
      </c>
      <c r="O734" s="162">
        <f t="shared" si="66"/>
        <v>5786.1</v>
      </c>
      <c r="P734" s="162">
        <v>-2500</v>
      </c>
      <c r="Q734" s="161">
        <v>0</v>
      </c>
      <c r="R734" s="162">
        <v>-500</v>
      </c>
      <c r="S734" s="162">
        <v>0</v>
      </c>
      <c r="T734" s="162">
        <v>0</v>
      </c>
      <c r="U734" s="162">
        <v>0</v>
      </c>
      <c r="V734" s="162">
        <v>0</v>
      </c>
      <c r="W734" s="161">
        <f t="shared" si="67"/>
        <v>2786.1000000000004</v>
      </c>
      <c r="X734" s="161">
        <f t="shared" si="68"/>
        <v>2786.1000000000004</v>
      </c>
      <c r="Y734" s="161">
        <f t="shared" si="69"/>
        <v>0</v>
      </c>
      <c r="Z734" s="162">
        <v>0</v>
      </c>
      <c r="AA734" s="161">
        <f t="shared" si="70"/>
        <v>0</v>
      </c>
      <c r="AB734" s="161">
        <f t="shared" si="71"/>
        <v>3000</v>
      </c>
      <c r="AC734" s="158" t="s">
        <v>374</v>
      </c>
      <c r="AD734" s="158"/>
    </row>
    <row r="735" spans="1:30" ht="12.75" customHeight="1" x14ac:dyDescent="0.3">
      <c r="A735" s="147">
        <v>37</v>
      </c>
      <c r="B735" s="158" t="s">
        <v>944</v>
      </c>
      <c r="C735" s="158" t="s">
        <v>372</v>
      </c>
      <c r="D735" s="158" t="s">
        <v>1004</v>
      </c>
      <c r="E735" s="158" t="s">
        <v>39</v>
      </c>
      <c r="F735" s="158" t="s">
        <v>39</v>
      </c>
      <c r="G735" s="158" t="s">
        <v>866</v>
      </c>
      <c r="H735" s="161">
        <v>6547.83</v>
      </c>
      <c r="I735" s="161">
        <v>-98.61</v>
      </c>
      <c r="J735" s="161">
        <v>0</v>
      </c>
      <c r="K735" s="161">
        <v>0</v>
      </c>
      <c r="L735" s="161">
        <v>-2311.17</v>
      </c>
      <c r="M735" s="161">
        <v>-48</v>
      </c>
      <c r="N735" s="161">
        <v>0</v>
      </c>
      <c r="O735" s="162">
        <f t="shared" si="66"/>
        <v>4090.05</v>
      </c>
      <c r="P735" s="162">
        <v>-2500</v>
      </c>
      <c r="Q735" s="162">
        <v>0</v>
      </c>
      <c r="R735" s="162">
        <v>0</v>
      </c>
      <c r="S735" s="162">
        <v>0</v>
      </c>
      <c r="T735" s="162">
        <v>-500</v>
      </c>
      <c r="U735" s="162">
        <v>0</v>
      </c>
      <c r="V735" s="162">
        <v>0</v>
      </c>
      <c r="W735" s="161">
        <f t="shared" si="67"/>
        <v>1090.0500000000002</v>
      </c>
      <c r="X735" s="161">
        <f t="shared" si="68"/>
        <v>1090.0500000000002</v>
      </c>
      <c r="Y735" s="161">
        <f t="shared" si="69"/>
        <v>0</v>
      </c>
      <c r="Z735" s="162">
        <v>0</v>
      </c>
      <c r="AA735" s="161">
        <f t="shared" si="70"/>
        <v>0</v>
      </c>
      <c r="AB735" s="161">
        <f t="shared" si="71"/>
        <v>3000</v>
      </c>
      <c r="AC735" s="158" t="s">
        <v>1063</v>
      </c>
      <c r="AD735" s="158"/>
    </row>
    <row r="736" spans="1:30" ht="12.75" customHeight="1" x14ac:dyDescent="0.3">
      <c r="A736" s="147">
        <v>37</v>
      </c>
      <c r="B736" s="158" t="s">
        <v>604</v>
      </c>
      <c r="C736" s="158" t="s">
        <v>150</v>
      </c>
      <c r="D736" s="158" t="s">
        <v>877</v>
      </c>
      <c r="E736" s="158" t="s">
        <v>25</v>
      </c>
      <c r="F736" s="158" t="s">
        <v>25</v>
      </c>
      <c r="G736" s="158" t="s">
        <v>866</v>
      </c>
      <c r="H736" s="161">
        <v>7376.95</v>
      </c>
      <c r="I736" s="161">
        <v>-117.64</v>
      </c>
      <c r="J736" s="161">
        <v>0</v>
      </c>
      <c r="K736" s="161">
        <v>0</v>
      </c>
      <c r="L736" s="161">
        <v>0</v>
      </c>
      <c r="M736" s="161">
        <v>-35</v>
      </c>
      <c r="N736" s="161">
        <v>0</v>
      </c>
      <c r="O736" s="162">
        <f t="shared" si="66"/>
        <v>7224.3099999999995</v>
      </c>
      <c r="P736" s="161">
        <v>-2500</v>
      </c>
      <c r="Q736" s="161">
        <v>0</v>
      </c>
      <c r="R736" s="161">
        <v>-500</v>
      </c>
      <c r="S736" s="161">
        <v>0</v>
      </c>
      <c r="T736" s="162">
        <v>0</v>
      </c>
      <c r="U736" s="162">
        <v>-647.5</v>
      </c>
      <c r="V736" s="161">
        <v>0</v>
      </c>
      <c r="W736" s="161">
        <f t="shared" si="67"/>
        <v>3576.8099999999995</v>
      </c>
      <c r="X736" s="161">
        <f t="shared" si="68"/>
        <v>3576.8099999999995</v>
      </c>
      <c r="Y736" s="161">
        <f t="shared" si="69"/>
        <v>0</v>
      </c>
      <c r="Z736" s="162">
        <v>0</v>
      </c>
      <c r="AA736" s="161">
        <f t="shared" si="70"/>
        <v>0</v>
      </c>
      <c r="AB736" s="161">
        <f t="shared" si="71"/>
        <v>3647.5</v>
      </c>
      <c r="AC736" s="158" t="s">
        <v>374</v>
      </c>
      <c r="AD736" s="158"/>
    </row>
    <row r="737" spans="1:30" ht="12.75" customHeight="1" x14ac:dyDescent="0.3">
      <c r="A737" s="147">
        <v>37</v>
      </c>
      <c r="B737" s="158" t="s">
        <v>1029</v>
      </c>
      <c r="C737" s="158" t="s">
        <v>68</v>
      </c>
      <c r="D737" s="158" t="s">
        <v>869</v>
      </c>
      <c r="E737" s="158" t="s">
        <v>25</v>
      </c>
      <c r="F737" s="158" t="s">
        <v>25</v>
      </c>
      <c r="G737" s="158" t="s">
        <v>866</v>
      </c>
      <c r="H737" s="161">
        <v>8522.24</v>
      </c>
      <c r="I737" s="161">
        <v>-176.07</v>
      </c>
      <c r="J737" s="161">
        <v>0</v>
      </c>
      <c r="K737" s="161">
        <v>-73.89</v>
      </c>
      <c r="L737" s="161">
        <v>0</v>
      </c>
      <c r="M737" s="161">
        <v>-32</v>
      </c>
      <c r="N737" s="161">
        <v>0</v>
      </c>
      <c r="O737" s="162">
        <f t="shared" si="66"/>
        <v>8240.2800000000007</v>
      </c>
      <c r="P737" s="161">
        <v>-2500</v>
      </c>
      <c r="Q737" s="161">
        <v>0</v>
      </c>
      <c r="R737" s="161">
        <v>0</v>
      </c>
      <c r="S737" s="161">
        <v>0</v>
      </c>
      <c r="T737" s="162">
        <v>0</v>
      </c>
      <c r="U737" s="162">
        <v>-3000</v>
      </c>
      <c r="V737" s="161">
        <v>0</v>
      </c>
      <c r="W737" s="161">
        <f t="shared" si="67"/>
        <v>2740.2800000000007</v>
      </c>
      <c r="X737" s="161">
        <f t="shared" si="68"/>
        <v>2740.2800000000007</v>
      </c>
      <c r="Y737" s="161">
        <f t="shared" si="69"/>
        <v>0</v>
      </c>
      <c r="Z737" s="162">
        <v>0</v>
      </c>
      <c r="AA737" s="161">
        <f t="shared" si="70"/>
        <v>0</v>
      </c>
      <c r="AB737" s="161">
        <f t="shared" si="71"/>
        <v>5500</v>
      </c>
      <c r="AC737" s="158" t="s">
        <v>374</v>
      </c>
      <c r="AD737" s="158"/>
    </row>
    <row r="738" spans="1:30" ht="12.75" customHeight="1" x14ac:dyDescent="0.3">
      <c r="A738" s="147">
        <v>37</v>
      </c>
      <c r="B738" s="158" t="s">
        <v>1030</v>
      </c>
      <c r="C738" s="158" t="s">
        <v>195</v>
      </c>
      <c r="D738" s="158" t="s">
        <v>964</v>
      </c>
      <c r="E738" s="160" t="s">
        <v>871</v>
      </c>
      <c r="F738" s="158" t="s">
        <v>39</v>
      </c>
      <c r="G738" s="158" t="s">
        <v>866</v>
      </c>
      <c r="H738" s="161">
        <v>5949.28</v>
      </c>
      <c r="I738" s="161">
        <v>-97.27</v>
      </c>
      <c r="J738" s="161">
        <v>0</v>
      </c>
      <c r="K738" s="161">
        <v>0</v>
      </c>
      <c r="L738" s="161">
        <v>-3591.07</v>
      </c>
      <c r="M738" s="161">
        <v>-48</v>
      </c>
      <c r="N738" s="161">
        <v>0</v>
      </c>
      <c r="O738" s="162">
        <f t="shared" si="66"/>
        <v>2212.9399999999991</v>
      </c>
      <c r="P738" s="161">
        <v>-2500</v>
      </c>
      <c r="Q738" s="161">
        <v>0</v>
      </c>
      <c r="R738" s="161">
        <v>-393</v>
      </c>
      <c r="S738" s="161">
        <v>0</v>
      </c>
      <c r="T738" s="161">
        <v>0</v>
      </c>
      <c r="U738" s="161">
        <v>0</v>
      </c>
      <c r="V738" s="161">
        <v>0</v>
      </c>
      <c r="W738" s="161">
        <f t="shared" si="67"/>
        <v>-680.06000000000085</v>
      </c>
      <c r="X738" s="161">
        <f t="shared" si="68"/>
        <v>0</v>
      </c>
      <c r="Y738" s="161">
        <f t="shared" si="69"/>
        <v>-680.06000000000085</v>
      </c>
      <c r="Z738" s="162">
        <v>680</v>
      </c>
      <c r="AA738" s="161">
        <f t="shared" si="70"/>
        <v>-6.0000000000854925E-2</v>
      </c>
      <c r="AB738" s="161">
        <f t="shared" si="71"/>
        <v>2892.8799999999983</v>
      </c>
      <c r="AC738" s="158" t="s">
        <v>1064</v>
      </c>
      <c r="AD738" s="158"/>
    </row>
    <row r="739" spans="1:30" ht="12.75" customHeight="1" x14ac:dyDescent="0.3">
      <c r="A739" s="147">
        <v>37</v>
      </c>
      <c r="B739" s="158" t="s">
        <v>913</v>
      </c>
      <c r="C739" s="158" t="s">
        <v>100</v>
      </c>
      <c r="D739" s="158" t="s">
        <v>953</v>
      </c>
      <c r="E739" s="158" t="s">
        <v>25</v>
      </c>
      <c r="F739" s="158" t="s">
        <v>25</v>
      </c>
      <c r="G739" s="158" t="s">
        <v>866</v>
      </c>
      <c r="H739" s="161">
        <v>3846.76</v>
      </c>
      <c r="I739" s="161">
        <v>-53.03</v>
      </c>
      <c r="J739" s="161">
        <v>0</v>
      </c>
      <c r="K739" s="161">
        <v>0</v>
      </c>
      <c r="L739" s="161">
        <v>-4389.6400000000003</v>
      </c>
      <c r="M739" s="161">
        <v>-80</v>
      </c>
      <c r="N739" s="161">
        <v>-192.29</v>
      </c>
      <c r="O739" s="162">
        <f t="shared" si="66"/>
        <v>-868.20000000000027</v>
      </c>
      <c r="P739" s="162">
        <v>-2500</v>
      </c>
      <c r="Q739" s="162">
        <v>-1</v>
      </c>
      <c r="R739" s="162">
        <v>0</v>
      </c>
      <c r="S739" s="162">
        <v>0</v>
      </c>
      <c r="T739" s="162">
        <v>0</v>
      </c>
      <c r="U739" s="162">
        <v>0</v>
      </c>
      <c r="V739" s="162">
        <v>0</v>
      </c>
      <c r="W739" s="161">
        <f t="shared" si="67"/>
        <v>-3369.2000000000003</v>
      </c>
      <c r="X739" s="161">
        <f t="shared" si="68"/>
        <v>0</v>
      </c>
      <c r="Y739" s="161">
        <f t="shared" si="69"/>
        <v>-3369.2000000000003</v>
      </c>
      <c r="Z739" s="162">
        <f>3100+230</f>
        <v>3330</v>
      </c>
      <c r="AA739" s="161">
        <f t="shared" si="70"/>
        <v>-39.200000000000273</v>
      </c>
      <c r="AB739" s="161">
        <f t="shared" si="71"/>
        <v>2422.5999999999995</v>
      </c>
      <c r="AC739" s="158" t="s">
        <v>1027</v>
      </c>
      <c r="AD739" s="158"/>
    </row>
    <row r="740" spans="1:30" ht="12.75" customHeight="1" x14ac:dyDescent="0.3">
      <c r="A740" s="147">
        <v>37</v>
      </c>
      <c r="B740" s="158" t="s">
        <v>457</v>
      </c>
      <c r="C740" s="158" t="s">
        <v>573</v>
      </c>
      <c r="D740" s="158" t="s">
        <v>974</v>
      </c>
      <c r="E740" s="158" t="s">
        <v>25</v>
      </c>
      <c r="F740" s="158" t="s">
        <v>39</v>
      </c>
      <c r="G740" s="158" t="s">
        <v>866</v>
      </c>
      <c r="H740" s="161">
        <v>2380.5300000000002</v>
      </c>
      <c r="I740" s="161">
        <v>-38.090000000000003</v>
      </c>
      <c r="J740" s="161">
        <v>0</v>
      </c>
      <c r="K740" s="161">
        <v>0</v>
      </c>
      <c r="L740" s="161">
        <v>-76.989999999999995</v>
      </c>
      <c r="M740" s="161">
        <v>-34</v>
      </c>
      <c r="N740" s="161">
        <v>0</v>
      </c>
      <c r="O740" s="162">
        <f t="shared" si="66"/>
        <v>2231.4500000000003</v>
      </c>
      <c r="P740" s="162">
        <v>-2500</v>
      </c>
      <c r="Q740" s="162">
        <v>-2033</v>
      </c>
      <c r="R740" s="162">
        <v>0</v>
      </c>
      <c r="S740" s="162">
        <v>0</v>
      </c>
      <c r="T740" s="162">
        <v>0</v>
      </c>
      <c r="U740" s="162">
        <v>0</v>
      </c>
      <c r="V740" s="162">
        <v>0</v>
      </c>
      <c r="W740" s="161">
        <f t="shared" si="67"/>
        <v>-2301.5499999999997</v>
      </c>
      <c r="X740" s="161">
        <f t="shared" si="68"/>
        <v>0</v>
      </c>
      <c r="Y740" s="161">
        <f t="shared" si="69"/>
        <v>-2301.5499999999997</v>
      </c>
      <c r="Z740" s="162">
        <v>0</v>
      </c>
      <c r="AA740" s="161">
        <f t="shared" si="70"/>
        <v>-2301.5499999999997</v>
      </c>
      <c r="AB740" s="161">
        <f t="shared" si="71"/>
        <v>-70.099999999999454</v>
      </c>
      <c r="AC740" s="158" t="s">
        <v>1028</v>
      </c>
      <c r="AD740" s="158"/>
    </row>
    <row r="741" spans="1:30" ht="12.75" customHeight="1" x14ac:dyDescent="0.3">
      <c r="A741" s="147">
        <v>37</v>
      </c>
      <c r="B741" s="158" t="s">
        <v>620</v>
      </c>
      <c r="C741" s="158" t="s">
        <v>571</v>
      </c>
      <c r="D741" s="158" t="s">
        <v>974</v>
      </c>
      <c r="E741" s="158" t="s">
        <v>25</v>
      </c>
      <c r="F741" s="158" t="s">
        <v>25</v>
      </c>
      <c r="G741" s="158" t="s">
        <v>866</v>
      </c>
      <c r="H741" s="161">
        <v>5812.54</v>
      </c>
      <c r="I741" s="161">
        <v>-103.82</v>
      </c>
      <c r="J741" s="161">
        <v>0</v>
      </c>
      <c r="K741" s="161">
        <v>0</v>
      </c>
      <c r="L741" s="161">
        <v>-2552.09</v>
      </c>
      <c r="M741" s="161">
        <v>-35</v>
      </c>
      <c r="N741" s="161">
        <v>0</v>
      </c>
      <c r="O741" s="162">
        <f t="shared" si="66"/>
        <v>3121.63</v>
      </c>
      <c r="P741" s="161">
        <v>-2500</v>
      </c>
      <c r="Q741" s="161">
        <v>0</v>
      </c>
      <c r="R741" s="161">
        <v>-500</v>
      </c>
      <c r="S741" s="161">
        <v>0</v>
      </c>
      <c r="T741" s="162">
        <v>0</v>
      </c>
      <c r="U741" s="162">
        <v>0</v>
      </c>
      <c r="V741" s="161">
        <v>0</v>
      </c>
      <c r="W741" s="161">
        <f t="shared" si="67"/>
        <v>121.63000000000011</v>
      </c>
      <c r="X741" s="161">
        <f t="shared" si="68"/>
        <v>121.63000000000011</v>
      </c>
      <c r="Y741" s="161">
        <f t="shared" si="69"/>
        <v>0</v>
      </c>
      <c r="Z741" s="162">
        <v>0</v>
      </c>
      <c r="AA741" s="161">
        <f t="shared" si="70"/>
        <v>0</v>
      </c>
      <c r="AB741" s="161">
        <f t="shared" si="71"/>
        <v>3000</v>
      </c>
      <c r="AC741" s="158" t="s">
        <v>374</v>
      </c>
      <c r="AD741" s="158"/>
    </row>
    <row r="742" spans="1:30" ht="12.75" customHeight="1" x14ac:dyDescent="0.3">
      <c r="A742" s="147">
        <v>37</v>
      </c>
      <c r="B742" s="158" t="s">
        <v>1056</v>
      </c>
      <c r="C742" s="158" t="s">
        <v>1065</v>
      </c>
      <c r="D742" s="158" t="s">
        <v>20</v>
      </c>
      <c r="E742" s="160" t="s">
        <v>25</v>
      </c>
      <c r="F742" s="158" t="s">
        <v>39</v>
      </c>
      <c r="G742" s="160" t="s">
        <v>866</v>
      </c>
      <c r="H742" s="161">
        <v>508.89</v>
      </c>
      <c r="I742" s="161">
        <v>-9.52</v>
      </c>
      <c r="J742" s="161">
        <v>0</v>
      </c>
      <c r="K742" s="161">
        <v>0</v>
      </c>
      <c r="L742" s="161">
        <v>0</v>
      </c>
      <c r="M742" s="162">
        <v>0</v>
      </c>
      <c r="N742" s="161">
        <v>0</v>
      </c>
      <c r="O742" s="162">
        <f t="shared" si="66"/>
        <v>499.37</v>
      </c>
      <c r="P742" s="161">
        <v>-499</v>
      </c>
      <c r="Q742" s="161">
        <v>0</v>
      </c>
      <c r="R742" s="161">
        <v>0</v>
      </c>
      <c r="S742" s="161">
        <v>0</v>
      </c>
      <c r="T742" s="161">
        <v>0</v>
      </c>
      <c r="U742" s="161">
        <v>0</v>
      </c>
      <c r="V742" s="161">
        <v>0</v>
      </c>
      <c r="W742" s="161">
        <f t="shared" si="67"/>
        <v>0.37000000000000455</v>
      </c>
      <c r="X742" s="161">
        <f t="shared" si="68"/>
        <v>0.37000000000000455</v>
      </c>
      <c r="Y742" s="161">
        <f t="shared" si="69"/>
        <v>0</v>
      </c>
      <c r="Z742" s="162">
        <v>0</v>
      </c>
      <c r="AA742" s="161">
        <f t="shared" si="70"/>
        <v>0</v>
      </c>
      <c r="AB742" s="161">
        <f t="shared" si="71"/>
        <v>499</v>
      </c>
      <c r="AC742" s="158" t="s">
        <v>1063</v>
      </c>
      <c r="AD742" s="158"/>
    </row>
    <row r="743" spans="1:30" ht="12.75" customHeight="1" x14ac:dyDescent="0.3">
      <c r="A743" s="147">
        <v>37</v>
      </c>
      <c r="B743" s="158" t="s">
        <v>1058</v>
      </c>
      <c r="C743" s="158" t="s">
        <v>17</v>
      </c>
      <c r="D743" s="158" t="s">
        <v>20</v>
      </c>
      <c r="E743" s="160" t="s">
        <v>18</v>
      </c>
      <c r="F743" s="160" t="s">
        <v>18</v>
      </c>
      <c r="G743" s="158" t="s">
        <v>866</v>
      </c>
      <c r="H743" s="161">
        <v>0</v>
      </c>
      <c r="I743" s="161">
        <v>0</v>
      </c>
      <c r="J743" s="161">
        <v>0</v>
      </c>
      <c r="K743" s="161">
        <v>0</v>
      </c>
      <c r="L743" s="161">
        <v>0</v>
      </c>
      <c r="M743" s="161">
        <v>0</v>
      </c>
      <c r="N743" s="161">
        <v>0</v>
      </c>
      <c r="O743" s="162">
        <f t="shared" si="66"/>
        <v>0</v>
      </c>
      <c r="P743" s="161">
        <v>0</v>
      </c>
      <c r="Q743" s="162">
        <v>200</v>
      </c>
      <c r="R743" s="162">
        <v>0</v>
      </c>
      <c r="S743" s="162">
        <v>0</v>
      </c>
      <c r="T743" s="162">
        <v>0</v>
      </c>
      <c r="U743" s="162">
        <v>0</v>
      </c>
      <c r="V743" s="162">
        <v>0</v>
      </c>
      <c r="W743" s="161">
        <f t="shared" si="67"/>
        <v>200</v>
      </c>
      <c r="X743" s="161">
        <f t="shared" si="68"/>
        <v>200</v>
      </c>
      <c r="Y743" s="161">
        <f t="shared" si="69"/>
        <v>0</v>
      </c>
      <c r="Z743" s="162">
        <v>0</v>
      </c>
      <c r="AA743" s="161">
        <f t="shared" si="70"/>
        <v>0</v>
      </c>
      <c r="AB743" s="161">
        <f t="shared" si="71"/>
        <v>-200</v>
      </c>
      <c r="AC743" s="158"/>
      <c r="AD743" s="158"/>
    </row>
    <row r="744" spans="1:30" ht="12.75" customHeight="1" x14ac:dyDescent="0.3">
      <c r="A744" s="147">
        <v>37</v>
      </c>
      <c r="B744" s="158" t="s">
        <v>872</v>
      </c>
      <c r="C744" s="158" t="s">
        <v>256</v>
      </c>
      <c r="D744" s="158" t="s">
        <v>997</v>
      </c>
      <c r="E744" s="160" t="s">
        <v>871</v>
      </c>
      <c r="F744" s="158" t="s">
        <v>39</v>
      </c>
      <c r="G744" s="158" t="s">
        <v>866</v>
      </c>
      <c r="H744" s="161">
        <v>9564.98</v>
      </c>
      <c r="I744" s="161">
        <v>-242.37</v>
      </c>
      <c r="J744" s="161">
        <v>0</v>
      </c>
      <c r="K744" s="161">
        <v>-84.45</v>
      </c>
      <c r="L744" s="161">
        <v>-3937.19</v>
      </c>
      <c r="M744" s="161">
        <v>-83.75</v>
      </c>
      <c r="N744" s="161">
        <v>-206.89</v>
      </c>
      <c r="O744" s="162">
        <f t="shared" si="66"/>
        <v>5010.3299999999972</v>
      </c>
      <c r="P744" s="162">
        <v>-2500</v>
      </c>
      <c r="Q744" s="162">
        <v>0</v>
      </c>
      <c r="R744" s="162">
        <v>0</v>
      </c>
      <c r="S744" s="162">
        <v>0</v>
      </c>
      <c r="T744" s="162">
        <v>0</v>
      </c>
      <c r="U744" s="162">
        <v>0</v>
      </c>
      <c r="V744" s="162">
        <v>0</v>
      </c>
      <c r="W744" s="161">
        <f t="shared" si="67"/>
        <v>2510.3299999999972</v>
      </c>
      <c r="X744" s="161">
        <f t="shared" si="68"/>
        <v>2510.3299999999972</v>
      </c>
      <c r="Y744" s="161">
        <f t="shared" si="69"/>
        <v>0</v>
      </c>
      <c r="Z744" s="162">
        <v>0</v>
      </c>
      <c r="AA744" s="161">
        <f t="shared" si="70"/>
        <v>0</v>
      </c>
      <c r="AB744" s="161">
        <f t="shared" si="71"/>
        <v>2500</v>
      </c>
      <c r="AC744" s="158" t="s">
        <v>1063</v>
      </c>
      <c r="AD744" s="158"/>
    </row>
    <row r="745" spans="1:30" ht="12.75" customHeight="1" x14ac:dyDescent="0.3">
      <c r="A745" s="147">
        <v>37</v>
      </c>
      <c r="B745" s="158" t="s">
        <v>921</v>
      </c>
      <c r="C745" s="158" t="s">
        <v>257</v>
      </c>
      <c r="D745" s="158" t="s">
        <v>943</v>
      </c>
      <c r="E745" s="158" t="s">
        <v>25</v>
      </c>
      <c r="F745" s="158" t="s">
        <v>25</v>
      </c>
      <c r="G745" s="158" t="s">
        <v>866</v>
      </c>
      <c r="H745" s="161">
        <v>7147.65</v>
      </c>
      <c r="I745" s="161">
        <v>-116.4</v>
      </c>
      <c r="J745" s="161">
        <v>0</v>
      </c>
      <c r="K745" s="161">
        <v>0</v>
      </c>
      <c r="L745" s="161">
        <v>-4242.21</v>
      </c>
      <c r="M745" s="161">
        <v>-32</v>
      </c>
      <c r="N745" s="161">
        <v>0</v>
      </c>
      <c r="O745" s="162">
        <f t="shared" si="66"/>
        <v>2757.04</v>
      </c>
      <c r="P745" s="162">
        <v>-2500</v>
      </c>
      <c r="Q745" s="161">
        <v>0</v>
      </c>
      <c r="R745" s="162">
        <v>0</v>
      </c>
      <c r="S745" s="162">
        <v>0</v>
      </c>
      <c r="T745" s="162">
        <v>-500</v>
      </c>
      <c r="U745" s="162">
        <v>0</v>
      </c>
      <c r="V745" s="162">
        <v>0</v>
      </c>
      <c r="W745" s="161">
        <f t="shared" si="67"/>
        <v>-242.96000000000004</v>
      </c>
      <c r="X745" s="161">
        <f t="shared" si="68"/>
        <v>0</v>
      </c>
      <c r="Y745" s="161">
        <f t="shared" si="69"/>
        <v>-242.96000000000004</v>
      </c>
      <c r="Z745" s="162">
        <v>243</v>
      </c>
      <c r="AA745" s="161">
        <f t="shared" si="70"/>
        <v>3.999999999996362E-2</v>
      </c>
      <c r="AB745" s="161">
        <f t="shared" si="71"/>
        <v>3000.08</v>
      </c>
      <c r="AC745" s="158" t="s">
        <v>1043</v>
      </c>
      <c r="AD745" s="158"/>
    </row>
    <row r="746" spans="1:30" ht="12.75" customHeight="1" x14ac:dyDescent="0.3">
      <c r="A746" s="147">
        <v>37</v>
      </c>
      <c r="B746" s="158" t="s">
        <v>1005</v>
      </c>
      <c r="C746" s="158" t="s">
        <v>409</v>
      </c>
      <c r="D746" s="158" t="s">
        <v>946</v>
      </c>
      <c r="E746" s="158" t="s">
        <v>25</v>
      </c>
      <c r="F746" s="158" t="s">
        <v>25</v>
      </c>
      <c r="G746" s="158" t="s">
        <v>866</v>
      </c>
      <c r="H746" s="161">
        <v>0</v>
      </c>
      <c r="I746" s="161">
        <v>0</v>
      </c>
      <c r="J746" s="161">
        <v>0</v>
      </c>
      <c r="K746" s="161">
        <v>0</v>
      </c>
      <c r="L746" s="161">
        <v>0</v>
      </c>
      <c r="M746" s="162">
        <v>0</v>
      </c>
      <c r="N746" s="161">
        <v>0</v>
      </c>
      <c r="O746" s="162">
        <f t="shared" si="66"/>
        <v>0</v>
      </c>
      <c r="P746" s="161">
        <v>0</v>
      </c>
      <c r="Q746" s="161">
        <v>0</v>
      </c>
      <c r="R746" s="161">
        <v>1000</v>
      </c>
      <c r="S746" s="161">
        <v>0</v>
      </c>
      <c r="T746" s="161">
        <v>0</v>
      </c>
      <c r="U746" s="161">
        <v>0</v>
      </c>
      <c r="V746" s="161">
        <v>0</v>
      </c>
      <c r="W746" s="161">
        <f t="shared" si="67"/>
        <v>1000</v>
      </c>
      <c r="X746" s="161">
        <f t="shared" si="68"/>
        <v>1000</v>
      </c>
      <c r="Y746" s="161">
        <f t="shared" si="69"/>
        <v>0</v>
      </c>
      <c r="Z746" s="161">
        <v>0</v>
      </c>
      <c r="AA746" s="161">
        <f t="shared" si="70"/>
        <v>0</v>
      </c>
      <c r="AB746" s="161">
        <f t="shared" si="71"/>
        <v>-1000</v>
      </c>
      <c r="AC746" s="158" t="s">
        <v>374</v>
      </c>
      <c r="AD746" s="158"/>
    </row>
    <row r="747" spans="1:30" ht="12.75" customHeight="1" x14ac:dyDescent="0.3">
      <c r="A747" s="147">
        <v>37</v>
      </c>
      <c r="B747" s="158" t="s">
        <v>874</v>
      </c>
      <c r="C747" s="158" t="s">
        <v>110</v>
      </c>
      <c r="D747" s="158" t="s">
        <v>1036</v>
      </c>
      <c r="E747" s="160" t="s">
        <v>18</v>
      </c>
      <c r="F747" s="160" t="s">
        <v>18</v>
      </c>
      <c r="G747" s="158" t="s">
        <v>737</v>
      </c>
      <c r="H747" s="161">
        <v>0</v>
      </c>
      <c r="I747" s="161">
        <v>0</v>
      </c>
      <c r="J747" s="161">
        <v>0</v>
      </c>
      <c r="K747" s="161">
        <v>0</v>
      </c>
      <c r="L747" s="161">
        <v>0</v>
      </c>
      <c r="M747" s="161">
        <v>0</v>
      </c>
      <c r="N747" s="161">
        <v>0</v>
      </c>
      <c r="O747" s="162">
        <f t="shared" si="66"/>
        <v>0</v>
      </c>
      <c r="P747" s="161">
        <v>-2500</v>
      </c>
      <c r="Q747" s="162">
        <v>0</v>
      </c>
      <c r="R747" s="161">
        <v>-500</v>
      </c>
      <c r="S747" s="161">
        <v>0</v>
      </c>
      <c r="T747" s="161">
        <v>0</v>
      </c>
      <c r="U747" s="162">
        <v>0</v>
      </c>
      <c r="V747" s="161">
        <v>0</v>
      </c>
      <c r="W747" s="161">
        <f t="shared" si="67"/>
        <v>-3000</v>
      </c>
      <c r="X747" s="161">
        <f t="shared" si="68"/>
        <v>0</v>
      </c>
      <c r="Y747" s="161">
        <f t="shared" si="69"/>
        <v>-3000</v>
      </c>
      <c r="Z747" s="162">
        <f>2500+500</f>
        <v>3000</v>
      </c>
      <c r="AA747" s="161">
        <f t="shared" si="70"/>
        <v>0</v>
      </c>
      <c r="AB747" s="161">
        <f t="shared" si="71"/>
        <v>3000</v>
      </c>
      <c r="AC747" s="158" t="s">
        <v>1015</v>
      </c>
      <c r="AD747" s="158"/>
    </row>
    <row r="748" spans="1:30" ht="12.75" customHeight="1" x14ac:dyDescent="0.3">
      <c r="A748" s="147">
        <v>37</v>
      </c>
      <c r="B748" s="158" t="s">
        <v>1013</v>
      </c>
      <c r="C748" s="158" t="s">
        <v>101</v>
      </c>
      <c r="D748" s="158" t="s">
        <v>945</v>
      </c>
      <c r="E748" s="158" t="s">
        <v>25</v>
      </c>
      <c r="F748" s="158" t="s">
        <v>25</v>
      </c>
      <c r="G748" s="158" t="s">
        <v>866</v>
      </c>
      <c r="H748" s="161">
        <v>6025.35</v>
      </c>
      <c r="I748" s="161">
        <v>-70.78</v>
      </c>
      <c r="J748" s="161">
        <v>0</v>
      </c>
      <c r="K748" s="161">
        <v>0</v>
      </c>
      <c r="L748" s="161">
        <v>-2104.7600000000002</v>
      </c>
      <c r="M748" s="161">
        <v>-44</v>
      </c>
      <c r="N748" s="161">
        <v>-24</v>
      </c>
      <c r="O748" s="162">
        <f t="shared" si="66"/>
        <v>3781.8100000000004</v>
      </c>
      <c r="P748" s="161">
        <v>-2500</v>
      </c>
      <c r="Q748" s="161">
        <v>0</v>
      </c>
      <c r="R748" s="161">
        <v>-500</v>
      </c>
      <c r="S748" s="161">
        <v>0</v>
      </c>
      <c r="T748" s="162">
        <v>0</v>
      </c>
      <c r="U748" s="162">
        <v>0</v>
      </c>
      <c r="V748" s="161">
        <v>0</v>
      </c>
      <c r="W748" s="161">
        <f t="shared" si="67"/>
        <v>781.8100000000004</v>
      </c>
      <c r="X748" s="161">
        <f t="shared" si="68"/>
        <v>781.8100000000004</v>
      </c>
      <c r="Y748" s="161">
        <f t="shared" si="69"/>
        <v>0</v>
      </c>
      <c r="Z748" s="162">
        <v>0</v>
      </c>
      <c r="AA748" s="161">
        <f t="shared" si="70"/>
        <v>0</v>
      </c>
      <c r="AB748" s="161">
        <f t="shared" si="71"/>
        <v>3000</v>
      </c>
      <c r="AC748" s="158" t="s">
        <v>374</v>
      </c>
      <c r="AD748" s="158"/>
    </row>
    <row r="749" spans="1:30" ht="12.75" customHeight="1" x14ac:dyDescent="0.3">
      <c r="A749" s="147">
        <v>37</v>
      </c>
      <c r="B749" s="158" t="s">
        <v>918</v>
      </c>
      <c r="C749" s="158" t="s">
        <v>120</v>
      </c>
      <c r="D749" s="158" t="s">
        <v>950</v>
      </c>
      <c r="E749" s="158" t="s">
        <v>25</v>
      </c>
      <c r="F749" s="158" t="s">
        <v>25</v>
      </c>
      <c r="G749" s="158" t="s">
        <v>866</v>
      </c>
      <c r="H749" s="161">
        <v>7032.24</v>
      </c>
      <c r="I749" s="161">
        <v>-170.57999999999998</v>
      </c>
      <c r="J749" s="161">
        <v>0</v>
      </c>
      <c r="K749" s="161">
        <v>0</v>
      </c>
      <c r="L749" s="161">
        <v>-2081.35</v>
      </c>
      <c r="M749" s="161">
        <v>-47.25</v>
      </c>
      <c r="N749" s="161">
        <v>-61</v>
      </c>
      <c r="O749" s="162">
        <f t="shared" si="66"/>
        <v>4672.0599999999995</v>
      </c>
      <c r="P749" s="162">
        <v>-2500</v>
      </c>
      <c r="Q749" s="161">
        <v>0</v>
      </c>
      <c r="R749" s="162">
        <v>0</v>
      </c>
      <c r="S749" s="162">
        <v>0</v>
      </c>
      <c r="T749" s="162">
        <v>0</v>
      </c>
      <c r="U749" s="162">
        <v>0</v>
      </c>
      <c r="V749" s="162">
        <v>0</v>
      </c>
      <c r="W749" s="161">
        <f t="shared" si="67"/>
        <v>2172.0599999999995</v>
      </c>
      <c r="X749" s="161">
        <f t="shared" si="68"/>
        <v>2172.0599999999995</v>
      </c>
      <c r="Y749" s="161">
        <f t="shared" si="69"/>
        <v>0</v>
      </c>
      <c r="Z749" s="162">
        <v>0</v>
      </c>
      <c r="AA749" s="161">
        <f t="shared" si="70"/>
        <v>0</v>
      </c>
      <c r="AB749" s="161">
        <f t="shared" si="71"/>
        <v>2500</v>
      </c>
      <c r="AC749" s="158" t="s">
        <v>374</v>
      </c>
      <c r="AD749" s="158"/>
    </row>
    <row r="750" spans="1:30" ht="12.75" customHeight="1" x14ac:dyDescent="0.3">
      <c r="A750" s="147">
        <v>37</v>
      </c>
      <c r="B750" s="158" t="s">
        <v>484</v>
      </c>
      <c r="C750" s="158" t="s">
        <v>426</v>
      </c>
      <c r="D750" s="158" t="s">
        <v>903</v>
      </c>
      <c r="E750" s="158" t="s">
        <v>25</v>
      </c>
      <c r="F750" s="158" t="s">
        <v>25</v>
      </c>
      <c r="G750" s="158" t="s">
        <v>866</v>
      </c>
      <c r="H750" s="161">
        <v>7409.2</v>
      </c>
      <c r="I750" s="161">
        <v>-125.73</v>
      </c>
      <c r="J750" s="161">
        <v>0</v>
      </c>
      <c r="K750" s="161">
        <v>0</v>
      </c>
      <c r="L750" s="161">
        <v>-4609.21</v>
      </c>
      <c r="M750" s="161">
        <v>-32</v>
      </c>
      <c r="N750" s="161">
        <v>0</v>
      </c>
      <c r="O750" s="162">
        <f t="shared" si="66"/>
        <v>2642.26</v>
      </c>
      <c r="P750" s="162">
        <v>-2500</v>
      </c>
      <c r="Q750" s="161">
        <v>34</v>
      </c>
      <c r="R750" s="162">
        <v>0</v>
      </c>
      <c r="S750" s="162">
        <v>0</v>
      </c>
      <c r="T750" s="162">
        <v>0</v>
      </c>
      <c r="U750" s="162">
        <v>0</v>
      </c>
      <c r="V750" s="162">
        <v>0</v>
      </c>
      <c r="W750" s="161">
        <f t="shared" si="67"/>
        <v>176.26000000000022</v>
      </c>
      <c r="X750" s="161">
        <f t="shared" si="68"/>
        <v>176.26000000000022</v>
      </c>
      <c r="Y750" s="161">
        <f t="shared" si="69"/>
        <v>0</v>
      </c>
      <c r="Z750" s="162">
        <v>0</v>
      </c>
      <c r="AA750" s="161">
        <f t="shared" si="70"/>
        <v>0</v>
      </c>
      <c r="AB750" s="161">
        <f t="shared" si="71"/>
        <v>2466</v>
      </c>
      <c r="AC750" s="158" t="s">
        <v>1066</v>
      </c>
      <c r="AD750" s="158"/>
    </row>
    <row r="751" spans="1:30" ht="12.75" customHeight="1" x14ac:dyDescent="0.3">
      <c r="A751" s="147">
        <v>37</v>
      </c>
      <c r="B751" s="158" t="s">
        <v>408</v>
      </c>
      <c r="C751" s="158" t="s">
        <v>334</v>
      </c>
      <c r="D751" s="158" t="s">
        <v>20</v>
      </c>
      <c r="E751" s="160" t="s">
        <v>25</v>
      </c>
      <c r="F751" s="158" t="s">
        <v>39</v>
      </c>
      <c r="G751" s="158" t="s">
        <v>866</v>
      </c>
      <c r="H751" s="161">
        <v>5557.73</v>
      </c>
      <c r="I751" s="161">
        <v>-149.19</v>
      </c>
      <c r="J751" s="161">
        <v>0</v>
      </c>
      <c r="K751" s="161">
        <v>0</v>
      </c>
      <c r="L751" s="161">
        <v>-2214.5100000000002</v>
      </c>
      <c r="M751" s="161">
        <v>-38</v>
      </c>
      <c r="N751" s="161">
        <v>0</v>
      </c>
      <c r="O751" s="162">
        <f t="shared" si="66"/>
        <v>3156.0299999999997</v>
      </c>
      <c r="P751" s="162">
        <v>-2500</v>
      </c>
      <c r="Q751" s="162">
        <v>-1289.1199999999999</v>
      </c>
      <c r="R751" s="162">
        <v>0</v>
      </c>
      <c r="S751" s="162">
        <v>0</v>
      </c>
      <c r="T751" s="162">
        <v>0</v>
      </c>
      <c r="U751" s="162">
        <v>0</v>
      </c>
      <c r="V751" s="162">
        <v>0</v>
      </c>
      <c r="W751" s="161">
        <f t="shared" si="67"/>
        <v>-633.09000000000015</v>
      </c>
      <c r="X751" s="161">
        <f t="shared" si="68"/>
        <v>0</v>
      </c>
      <c r="Y751" s="161">
        <f t="shared" si="69"/>
        <v>-633.09000000000015</v>
      </c>
      <c r="Z751" s="162">
        <v>550</v>
      </c>
      <c r="AA751" s="161">
        <f t="shared" si="70"/>
        <v>-83.090000000000146</v>
      </c>
      <c r="AB751" s="161">
        <f t="shared" si="71"/>
        <v>3622.9399999999996</v>
      </c>
      <c r="AC751" s="158" t="s">
        <v>1064</v>
      </c>
      <c r="AD751" s="158"/>
    </row>
    <row r="752" spans="1:30" ht="12.75" customHeight="1" x14ac:dyDescent="0.3">
      <c r="A752" s="147">
        <v>37</v>
      </c>
      <c r="B752" s="158" t="s">
        <v>1067</v>
      </c>
      <c r="C752" s="158" t="s">
        <v>46</v>
      </c>
      <c r="D752" s="158" t="s">
        <v>915</v>
      </c>
      <c r="E752" s="158" t="s">
        <v>25</v>
      </c>
      <c r="F752" s="158" t="s">
        <v>25</v>
      </c>
      <c r="G752" s="158" t="s">
        <v>866</v>
      </c>
      <c r="H752" s="161">
        <v>2120.29</v>
      </c>
      <c r="I752" s="161">
        <v>-37.14</v>
      </c>
      <c r="J752" s="161">
        <v>0</v>
      </c>
      <c r="K752" s="161">
        <v>0</v>
      </c>
      <c r="L752" s="161">
        <v>0</v>
      </c>
      <c r="M752" s="162">
        <v>-20</v>
      </c>
      <c r="N752" s="161">
        <v>0</v>
      </c>
      <c r="O752" s="162">
        <f t="shared" si="66"/>
        <v>2063.15</v>
      </c>
      <c r="P752" s="161">
        <v>-714.28</v>
      </c>
      <c r="Q752" s="161">
        <v>0</v>
      </c>
      <c r="R752" s="161">
        <v>-144</v>
      </c>
      <c r="S752" s="162">
        <v>0</v>
      </c>
      <c r="T752" s="162">
        <v>0</v>
      </c>
      <c r="U752" s="162">
        <v>0</v>
      </c>
      <c r="V752" s="162">
        <v>0</v>
      </c>
      <c r="W752" s="161">
        <f t="shared" si="67"/>
        <v>1204.8700000000001</v>
      </c>
      <c r="X752" s="161">
        <f t="shared" si="68"/>
        <v>1204.8700000000001</v>
      </c>
      <c r="Y752" s="161">
        <f t="shared" si="69"/>
        <v>0</v>
      </c>
      <c r="Z752" s="162">
        <v>0</v>
      </c>
      <c r="AA752" s="161">
        <f t="shared" si="70"/>
        <v>0</v>
      </c>
      <c r="AB752" s="161">
        <f t="shared" si="71"/>
        <v>858.28</v>
      </c>
      <c r="AC752" s="158" t="s">
        <v>374</v>
      </c>
      <c r="AD752" s="158"/>
    </row>
    <row r="753" spans="1:30" ht="12.75" customHeight="1" x14ac:dyDescent="0.3">
      <c r="A753" s="147">
        <v>37</v>
      </c>
      <c r="B753" s="158" t="s">
        <v>992</v>
      </c>
      <c r="C753" s="158" t="s">
        <v>169</v>
      </c>
      <c r="D753" s="158" t="s">
        <v>967</v>
      </c>
      <c r="E753" s="160" t="s">
        <v>871</v>
      </c>
      <c r="F753" s="158" t="s">
        <v>39</v>
      </c>
      <c r="G753" s="160" t="s">
        <v>866</v>
      </c>
      <c r="H753" s="161">
        <v>5313.68</v>
      </c>
      <c r="I753" s="161">
        <v>-128.53</v>
      </c>
      <c r="J753" s="161">
        <v>0</v>
      </c>
      <c r="K753" s="161">
        <v>0</v>
      </c>
      <c r="L753" s="161">
        <v>-856.96</v>
      </c>
      <c r="M753" s="161">
        <v>-32</v>
      </c>
      <c r="N753" s="161">
        <v>0</v>
      </c>
      <c r="O753" s="162">
        <f t="shared" si="66"/>
        <v>4296.1900000000005</v>
      </c>
      <c r="P753" s="162">
        <v>-2500</v>
      </c>
      <c r="Q753" s="162">
        <v>0</v>
      </c>
      <c r="R753" s="162">
        <v>0</v>
      </c>
      <c r="S753" s="162">
        <v>0</v>
      </c>
      <c r="T753" s="162">
        <v>0</v>
      </c>
      <c r="U753" s="162">
        <v>0</v>
      </c>
      <c r="V753" s="162">
        <v>0</v>
      </c>
      <c r="W753" s="161">
        <f t="shared" si="67"/>
        <v>1796.1900000000005</v>
      </c>
      <c r="X753" s="161">
        <f t="shared" si="68"/>
        <v>1796.1900000000005</v>
      </c>
      <c r="Y753" s="161">
        <f t="shared" si="69"/>
        <v>0</v>
      </c>
      <c r="Z753" s="162">
        <v>0</v>
      </c>
      <c r="AA753" s="161">
        <f t="shared" si="70"/>
        <v>0</v>
      </c>
      <c r="AB753" s="161">
        <f t="shared" si="71"/>
        <v>2500</v>
      </c>
      <c r="AC753" s="158" t="s">
        <v>1063</v>
      </c>
      <c r="AD753" s="158"/>
    </row>
    <row r="754" spans="1:30" ht="12.75" customHeight="1" x14ac:dyDescent="0.3">
      <c r="A754" s="147">
        <v>37</v>
      </c>
      <c r="B754" s="158" t="s">
        <v>1020</v>
      </c>
      <c r="C754" s="158" t="s">
        <v>123</v>
      </c>
      <c r="D754" s="158" t="s">
        <v>999</v>
      </c>
      <c r="E754" s="160" t="s">
        <v>871</v>
      </c>
      <c r="F754" s="158" t="s">
        <v>39</v>
      </c>
      <c r="G754" s="158" t="s">
        <v>866</v>
      </c>
      <c r="H754" s="161">
        <v>611.35</v>
      </c>
      <c r="I754" s="161">
        <v>-11.79</v>
      </c>
      <c r="J754" s="161">
        <v>0</v>
      </c>
      <c r="K754" s="161">
        <v>0</v>
      </c>
      <c r="L754" s="161">
        <v>-523.09</v>
      </c>
      <c r="M754" s="161">
        <v>-48</v>
      </c>
      <c r="N754" s="161">
        <v>0</v>
      </c>
      <c r="O754" s="162">
        <f t="shared" si="66"/>
        <v>28.470000000000027</v>
      </c>
      <c r="P754" s="161">
        <v>-2500</v>
      </c>
      <c r="Q754" s="162">
        <v>41</v>
      </c>
      <c r="R754" s="161">
        <v>-357</v>
      </c>
      <c r="S754" s="161">
        <v>0</v>
      </c>
      <c r="T754" s="161">
        <v>0</v>
      </c>
      <c r="U754" s="162">
        <v>0</v>
      </c>
      <c r="V754" s="161">
        <v>0</v>
      </c>
      <c r="W754" s="161">
        <f t="shared" si="67"/>
        <v>-2787.5299999999997</v>
      </c>
      <c r="X754" s="161">
        <f t="shared" si="68"/>
        <v>0</v>
      </c>
      <c r="Y754" s="161">
        <f t="shared" si="69"/>
        <v>-2787.5299999999997</v>
      </c>
      <c r="Z754" s="162">
        <v>2788</v>
      </c>
      <c r="AA754" s="161">
        <f t="shared" si="70"/>
        <v>0.47000000000025466</v>
      </c>
      <c r="AB754" s="161">
        <f t="shared" si="71"/>
        <v>2816.9400000000005</v>
      </c>
      <c r="AC754" s="158" t="s">
        <v>1068</v>
      </c>
      <c r="AD754" s="158"/>
    </row>
    <row r="755" spans="1:30" ht="12.75" customHeight="1" x14ac:dyDescent="0.3">
      <c r="A755" s="147">
        <v>37</v>
      </c>
      <c r="B755" s="158" t="s">
        <v>1069</v>
      </c>
      <c r="C755" s="182" t="s">
        <v>213</v>
      </c>
      <c r="D755" s="158" t="s">
        <v>881</v>
      </c>
      <c r="E755" s="158" t="s">
        <v>39</v>
      </c>
      <c r="F755" s="158" t="s">
        <v>39</v>
      </c>
      <c r="G755" s="160" t="s">
        <v>866</v>
      </c>
      <c r="H755" s="161">
        <v>1523.11</v>
      </c>
      <c r="I755" s="161">
        <v>-23.03</v>
      </c>
      <c r="J755" s="161">
        <v>0</v>
      </c>
      <c r="K755" s="161">
        <v>0</v>
      </c>
      <c r="L755" s="161">
        <v>0</v>
      </c>
      <c r="M755" s="162">
        <v>0</v>
      </c>
      <c r="N755" s="161">
        <v>-151</v>
      </c>
      <c r="O755" s="162">
        <f t="shared" si="66"/>
        <v>1349.08</v>
      </c>
      <c r="P755" s="162">
        <v>-1785.7142857142858</v>
      </c>
      <c r="Q755" s="161">
        <v>0</v>
      </c>
      <c r="R755" s="161">
        <v>0</v>
      </c>
      <c r="S755" s="161">
        <v>0</v>
      </c>
      <c r="T755" s="161">
        <v>0</v>
      </c>
      <c r="U755" s="161">
        <v>0</v>
      </c>
      <c r="V755" s="161">
        <v>0</v>
      </c>
      <c r="W755" s="161">
        <f t="shared" si="67"/>
        <v>-436.63428571428585</v>
      </c>
      <c r="X755" s="161">
        <f t="shared" si="68"/>
        <v>0</v>
      </c>
      <c r="Y755" s="161">
        <f t="shared" si="69"/>
        <v>-436.63428571428585</v>
      </c>
      <c r="Z755" s="161">
        <v>0</v>
      </c>
      <c r="AA755" s="161">
        <f t="shared" si="70"/>
        <v>-436.63428571428585</v>
      </c>
      <c r="AB755" s="161">
        <f t="shared" si="71"/>
        <v>912.44571428571408</v>
      </c>
      <c r="AC755" s="158" t="s">
        <v>1028</v>
      </c>
      <c r="AD755" s="158"/>
    </row>
    <row r="756" spans="1:30" ht="12.75" customHeight="1" x14ac:dyDescent="0.3">
      <c r="A756" s="147">
        <v>37</v>
      </c>
      <c r="B756" s="158" t="s">
        <v>1051</v>
      </c>
      <c r="C756" s="158" t="s">
        <v>21</v>
      </c>
      <c r="D756" s="158" t="s">
        <v>20</v>
      </c>
      <c r="E756" s="160" t="s">
        <v>18</v>
      </c>
      <c r="F756" s="160" t="s">
        <v>18</v>
      </c>
      <c r="G756" s="158" t="s">
        <v>866</v>
      </c>
      <c r="H756" s="161">
        <v>4886.38</v>
      </c>
      <c r="I756" s="161">
        <v>-50.4</v>
      </c>
      <c r="J756" s="161">
        <v>0</v>
      </c>
      <c r="K756" s="161">
        <v>0</v>
      </c>
      <c r="L756" s="161">
        <v>-2044.65</v>
      </c>
      <c r="M756" s="161">
        <v>0</v>
      </c>
      <c r="N756" s="161">
        <v>0</v>
      </c>
      <c r="O756" s="162">
        <f t="shared" si="66"/>
        <v>2791.3300000000004</v>
      </c>
      <c r="P756" s="161">
        <v>-2500</v>
      </c>
      <c r="Q756" s="161">
        <v>0</v>
      </c>
      <c r="R756" s="161">
        <v>-500</v>
      </c>
      <c r="S756" s="161">
        <v>0</v>
      </c>
      <c r="T756" s="161">
        <v>0</v>
      </c>
      <c r="U756" s="161">
        <v>0</v>
      </c>
      <c r="V756" s="161">
        <v>0</v>
      </c>
      <c r="W756" s="161">
        <f t="shared" si="67"/>
        <v>-208.66999999999962</v>
      </c>
      <c r="X756" s="161">
        <f t="shared" si="68"/>
        <v>0</v>
      </c>
      <c r="Y756" s="161">
        <f t="shared" si="69"/>
        <v>-208.66999999999962</v>
      </c>
      <c r="Z756" s="162">
        <v>209</v>
      </c>
      <c r="AA756" s="161">
        <f t="shared" si="70"/>
        <v>0.33000000000038199</v>
      </c>
      <c r="AB756" s="161">
        <f t="shared" si="71"/>
        <v>3000.6600000000008</v>
      </c>
      <c r="AC756" s="158"/>
      <c r="AD756" s="158"/>
    </row>
    <row r="757" spans="1:30" ht="12.75" customHeight="1" x14ac:dyDescent="0.3">
      <c r="A757" s="147">
        <v>37</v>
      </c>
      <c r="B757" s="158" t="s">
        <v>880</v>
      </c>
      <c r="C757" s="158" t="s">
        <v>183</v>
      </c>
      <c r="D757" s="158" t="s">
        <v>887</v>
      </c>
      <c r="E757" s="158" t="s">
        <v>25</v>
      </c>
      <c r="F757" s="158" t="s">
        <v>25</v>
      </c>
      <c r="G757" s="160" t="s">
        <v>866</v>
      </c>
      <c r="H757" s="161">
        <v>5698.86</v>
      </c>
      <c r="I757" s="161">
        <v>-121.03</v>
      </c>
      <c r="J757" s="161">
        <v>0</v>
      </c>
      <c r="K757" s="161">
        <v>0</v>
      </c>
      <c r="L757" s="161">
        <v>-2581.64</v>
      </c>
      <c r="M757" s="161">
        <v>-67.349999999999994</v>
      </c>
      <c r="N757" s="161">
        <v>0</v>
      </c>
      <c r="O757" s="162">
        <f t="shared" si="66"/>
        <v>2928.84</v>
      </c>
      <c r="P757" s="162">
        <v>-2500</v>
      </c>
      <c r="Q757" s="161">
        <v>0</v>
      </c>
      <c r="R757" s="162">
        <v>0</v>
      </c>
      <c r="S757" s="162">
        <v>0</v>
      </c>
      <c r="T757" s="162">
        <v>-500</v>
      </c>
      <c r="U757" s="162">
        <v>-500</v>
      </c>
      <c r="V757" s="162">
        <v>0</v>
      </c>
      <c r="W757" s="161">
        <f t="shared" si="67"/>
        <v>-571.15999999999985</v>
      </c>
      <c r="X757" s="161">
        <f t="shared" si="68"/>
        <v>0</v>
      </c>
      <c r="Y757" s="161">
        <f t="shared" si="69"/>
        <v>-571.15999999999985</v>
      </c>
      <c r="Z757" s="162">
        <f>271+300</f>
        <v>571</v>
      </c>
      <c r="AA757" s="161">
        <f t="shared" si="70"/>
        <v>-0.15999999999985448</v>
      </c>
      <c r="AB757" s="161">
        <f t="shared" si="71"/>
        <v>3499.6800000000003</v>
      </c>
      <c r="AC757" s="158" t="s">
        <v>1043</v>
      </c>
      <c r="AD757" s="158"/>
    </row>
    <row r="758" spans="1:30" ht="12.75" customHeight="1" x14ac:dyDescent="0.3">
      <c r="A758" s="147">
        <v>37</v>
      </c>
      <c r="B758" s="158" t="s">
        <v>922</v>
      </c>
      <c r="C758" s="158" t="s">
        <v>36</v>
      </c>
      <c r="D758" s="158" t="s">
        <v>904</v>
      </c>
      <c r="E758" s="158" t="s">
        <v>25</v>
      </c>
      <c r="F758" s="158" t="s">
        <v>25</v>
      </c>
      <c r="G758" s="158" t="s">
        <v>866</v>
      </c>
      <c r="H758" s="161">
        <v>3213.92</v>
      </c>
      <c r="I758" s="161">
        <v>-53.3</v>
      </c>
      <c r="J758" s="161">
        <v>0</v>
      </c>
      <c r="K758" s="161">
        <v>0</v>
      </c>
      <c r="L758" s="161">
        <v>-164</v>
      </c>
      <c r="M758" s="161">
        <v>-32</v>
      </c>
      <c r="N758" s="161">
        <v>0</v>
      </c>
      <c r="O758" s="162">
        <f t="shared" si="66"/>
        <v>2964.62</v>
      </c>
      <c r="P758" s="162">
        <v>-2500</v>
      </c>
      <c r="Q758" s="161">
        <v>-1750</v>
      </c>
      <c r="R758" s="162">
        <v>0</v>
      </c>
      <c r="S758" s="162">
        <v>0</v>
      </c>
      <c r="T758" s="162">
        <v>0</v>
      </c>
      <c r="U758" s="162">
        <v>0</v>
      </c>
      <c r="V758" s="162">
        <v>0</v>
      </c>
      <c r="W758" s="161">
        <f t="shared" si="67"/>
        <v>-1285.3800000000001</v>
      </c>
      <c r="X758" s="161">
        <f t="shared" si="68"/>
        <v>0</v>
      </c>
      <c r="Y758" s="161">
        <f t="shared" si="69"/>
        <v>-1285.3800000000001</v>
      </c>
      <c r="Z758" s="162">
        <f>500+500</f>
        <v>1000</v>
      </c>
      <c r="AA758" s="161">
        <f t="shared" si="70"/>
        <v>-285.38000000000011</v>
      </c>
      <c r="AB758" s="161">
        <f t="shared" si="71"/>
        <v>3679.24</v>
      </c>
      <c r="AC758" s="158" t="s">
        <v>1028</v>
      </c>
      <c r="AD758" s="158"/>
    </row>
    <row r="759" spans="1:30" ht="12.75" customHeight="1" x14ac:dyDescent="0.3">
      <c r="A759" s="147">
        <v>37</v>
      </c>
      <c r="B759" s="158" t="s">
        <v>993</v>
      </c>
      <c r="C759" s="158" t="s">
        <v>347</v>
      </c>
      <c r="D759" s="158" t="s">
        <v>897</v>
      </c>
      <c r="E759" s="158" t="s">
        <v>25</v>
      </c>
      <c r="F759" s="158" t="s">
        <v>25</v>
      </c>
      <c r="G759" s="158" t="s">
        <v>866</v>
      </c>
      <c r="H759" s="161">
        <v>1521.38</v>
      </c>
      <c r="I759" s="161">
        <v>-25.77</v>
      </c>
      <c r="J759" s="161">
        <v>0</v>
      </c>
      <c r="K759" s="161">
        <v>0</v>
      </c>
      <c r="L759" s="161">
        <v>-529.84</v>
      </c>
      <c r="M759" s="161">
        <v>-38</v>
      </c>
      <c r="N759" s="161">
        <v>0</v>
      </c>
      <c r="O759" s="162">
        <f t="shared" si="66"/>
        <v>927.7700000000001</v>
      </c>
      <c r="P759" s="162">
        <v>-2500</v>
      </c>
      <c r="Q759" s="161">
        <v>0</v>
      </c>
      <c r="R759" s="162">
        <v>0</v>
      </c>
      <c r="S759" s="162">
        <v>0</v>
      </c>
      <c r="T759" s="162">
        <v>0</v>
      </c>
      <c r="U759" s="162">
        <v>0</v>
      </c>
      <c r="V759" s="162">
        <v>0</v>
      </c>
      <c r="W759" s="161">
        <f t="shared" si="67"/>
        <v>-1572.23</v>
      </c>
      <c r="X759" s="161">
        <f t="shared" si="68"/>
        <v>0</v>
      </c>
      <c r="Y759" s="161">
        <f t="shared" si="69"/>
        <v>-1572.23</v>
      </c>
      <c r="Z759" s="162">
        <f>1057+500</f>
        <v>1557</v>
      </c>
      <c r="AA759" s="161">
        <f t="shared" si="70"/>
        <v>-15.230000000000018</v>
      </c>
      <c r="AB759" s="161">
        <f t="shared" si="71"/>
        <v>2469.54</v>
      </c>
      <c r="AC759" s="158" t="s">
        <v>1027</v>
      </c>
      <c r="AD759" s="158"/>
    </row>
    <row r="760" spans="1:30" ht="12.75" customHeight="1" x14ac:dyDescent="0.3">
      <c r="A760" s="147">
        <v>37</v>
      </c>
      <c r="B760" s="158" t="s">
        <v>1048</v>
      </c>
      <c r="C760" s="158" t="s">
        <v>59</v>
      </c>
      <c r="D760" s="158" t="s">
        <v>895</v>
      </c>
      <c r="E760" s="158" t="s">
        <v>25</v>
      </c>
      <c r="F760" s="158" t="s">
        <v>25</v>
      </c>
      <c r="G760" s="158" t="s">
        <v>866</v>
      </c>
      <c r="H760" s="161">
        <v>2503.81</v>
      </c>
      <c r="I760" s="161">
        <v>-159.91</v>
      </c>
      <c r="J760" s="161">
        <v>0</v>
      </c>
      <c r="K760" s="161">
        <v>0</v>
      </c>
      <c r="L760" s="161">
        <v>-120</v>
      </c>
      <c r="M760" s="162">
        <v>-20</v>
      </c>
      <c r="N760" s="161">
        <v>0</v>
      </c>
      <c r="O760" s="162">
        <f t="shared" si="66"/>
        <v>2203.9</v>
      </c>
      <c r="P760" s="161">
        <v>-892.85</v>
      </c>
      <c r="Q760" s="161">
        <v>0</v>
      </c>
      <c r="R760" s="161">
        <v>-500</v>
      </c>
      <c r="S760" s="162">
        <v>0</v>
      </c>
      <c r="T760" s="162">
        <v>0</v>
      </c>
      <c r="U760" s="162">
        <v>0</v>
      </c>
      <c r="V760" s="162">
        <v>0</v>
      </c>
      <c r="W760" s="161">
        <f t="shared" si="67"/>
        <v>811.05000000000018</v>
      </c>
      <c r="X760" s="161">
        <f t="shared" si="68"/>
        <v>811.05000000000018</v>
      </c>
      <c r="Y760" s="161">
        <f t="shared" si="69"/>
        <v>0</v>
      </c>
      <c r="Z760" s="162">
        <v>0</v>
      </c>
      <c r="AA760" s="161">
        <f t="shared" si="70"/>
        <v>0</v>
      </c>
      <c r="AB760" s="161">
        <f t="shared" si="71"/>
        <v>1392.85</v>
      </c>
      <c r="AC760" s="158" t="s">
        <v>374</v>
      </c>
      <c r="AD760" s="158"/>
    </row>
    <row r="761" spans="1:30" ht="12.75" customHeight="1" x14ac:dyDescent="0.3">
      <c r="A761" s="147">
        <v>37</v>
      </c>
      <c r="B761" s="158" t="s">
        <v>1048</v>
      </c>
      <c r="C761" s="158" t="s">
        <v>55</v>
      </c>
      <c r="D761" s="158" t="s">
        <v>20</v>
      </c>
      <c r="E761" s="160" t="s">
        <v>25</v>
      </c>
      <c r="F761" s="158" t="s">
        <v>39</v>
      </c>
      <c r="G761" s="158" t="s">
        <v>866</v>
      </c>
      <c r="H761" s="161">
        <v>4530.0200000000004</v>
      </c>
      <c r="I761" s="161">
        <v>-72.66</v>
      </c>
      <c r="J761" s="161">
        <v>0</v>
      </c>
      <c r="K761" s="161">
        <v>0</v>
      </c>
      <c r="L761" s="161">
        <v>-989.46</v>
      </c>
      <c r="M761" s="162">
        <v>-15</v>
      </c>
      <c r="N761" s="161">
        <v>0</v>
      </c>
      <c r="O761" s="162">
        <f t="shared" si="66"/>
        <v>3452.9000000000005</v>
      </c>
      <c r="P761" s="161">
        <v>-892.85</v>
      </c>
      <c r="Q761" s="161">
        <v>0</v>
      </c>
      <c r="R761" s="161">
        <v>0</v>
      </c>
      <c r="S761" s="161">
        <v>0</v>
      </c>
      <c r="T761" s="161">
        <v>0</v>
      </c>
      <c r="U761" s="161">
        <v>0</v>
      </c>
      <c r="V761" s="161">
        <v>0</v>
      </c>
      <c r="W761" s="161">
        <f t="shared" si="67"/>
        <v>2560.0500000000006</v>
      </c>
      <c r="X761" s="161">
        <f t="shared" si="68"/>
        <v>2560.0500000000006</v>
      </c>
      <c r="Y761" s="161">
        <f t="shared" si="69"/>
        <v>0</v>
      </c>
      <c r="Z761" s="161">
        <v>0</v>
      </c>
      <c r="AA761" s="161">
        <f t="shared" si="70"/>
        <v>0</v>
      </c>
      <c r="AB761" s="161">
        <f t="shared" si="71"/>
        <v>892.84999999999991</v>
      </c>
      <c r="AC761" s="158" t="s">
        <v>1063</v>
      </c>
      <c r="AD761" s="158"/>
    </row>
    <row r="762" spans="1:30" ht="12.75" customHeight="1" x14ac:dyDescent="0.3">
      <c r="A762" s="147">
        <v>37</v>
      </c>
      <c r="B762" s="158" t="s">
        <v>1025</v>
      </c>
      <c r="C762" s="158" t="s">
        <v>51</v>
      </c>
      <c r="D762" s="158" t="s">
        <v>20</v>
      </c>
      <c r="E762" s="160" t="s">
        <v>25</v>
      </c>
      <c r="F762" s="158" t="s">
        <v>39</v>
      </c>
      <c r="G762" s="158" t="s">
        <v>866</v>
      </c>
      <c r="H762" s="161">
        <v>4054.77</v>
      </c>
      <c r="I762" s="161">
        <v>-63.55</v>
      </c>
      <c r="J762" s="161">
        <v>0</v>
      </c>
      <c r="K762" s="161">
        <v>0</v>
      </c>
      <c r="L762" s="161">
        <v>0</v>
      </c>
      <c r="M762" s="161">
        <v>-32</v>
      </c>
      <c r="N762" s="161">
        <v>0</v>
      </c>
      <c r="O762" s="162">
        <f t="shared" si="66"/>
        <v>3959.22</v>
      </c>
      <c r="P762" s="161">
        <v>-2500</v>
      </c>
      <c r="Q762" s="162">
        <v>0</v>
      </c>
      <c r="R762" s="161">
        <v>-500</v>
      </c>
      <c r="S762" s="161">
        <v>0</v>
      </c>
      <c r="T762" s="161">
        <v>0</v>
      </c>
      <c r="U762" s="162">
        <v>0</v>
      </c>
      <c r="V762" s="161">
        <v>0</v>
      </c>
      <c r="W762" s="161">
        <f t="shared" si="67"/>
        <v>959.2199999999998</v>
      </c>
      <c r="X762" s="161">
        <f t="shared" si="68"/>
        <v>959.2199999999998</v>
      </c>
      <c r="Y762" s="161">
        <f t="shared" si="69"/>
        <v>0</v>
      </c>
      <c r="Z762" s="162">
        <v>0</v>
      </c>
      <c r="AA762" s="161">
        <f t="shared" si="70"/>
        <v>0</v>
      </c>
      <c r="AB762" s="161">
        <f t="shared" si="71"/>
        <v>3000</v>
      </c>
      <c r="AC762" s="158" t="s">
        <v>1063</v>
      </c>
      <c r="AD762" s="158"/>
    </row>
    <row r="763" spans="1:30" ht="12.75" customHeight="1" x14ac:dyDescent="0.3">
      <c r="A763" s="147">
        <v>37</v>
      </c>
      <c r="B763" s="158" t="s">
        <v>1070</v>
      </c>
      <c r="C763" s="158" t="s">
        <v>1071</v>
      </c>
      <c r="D763" s="158" t="s">
        <v>20</v>
      </c>
      <c r="E763" s="160" t="s">
        <v>18</v>
      </c>
      <c r="F763" s="160" t="s">
        <v>18</v>
      </c>
      <c r="G763" s="158" t="s">
        <v>866</v>
      </c>
      <c r="H763" s="161">
        <v>1930.55</v>
      </c>
      <c r="I763" s="161">
        <v>0</v>
      </c>
      <c r="J763" s="161">
        <v>0</v>
      </c>
      <c r="K763" s="161">
        <v>0</v>
      </c>
      <c r="L763" s="161">
        <v>0</v>
      </c>
      <c r="M763" s="162">
        <v>0</v>
      </c>
      <c r="N763" s="161">
        <v>0</v>
      </c>
      <c r="O763" s="162">
        <f t="shared" si="66"/>
        <v>1930.55</v>
      </c>
      <c r="P763" s="161">
        <v>-1931</v>
      </c>
      <c r="Q763" s="161">
        <v>0</v>
      </c>
      <c r="R763" s="161">
        <v>0</v>
      </c>
      <c r="S763" s="161">
        <v>0</v>
      </c>
      <c r="T763" s="161">
        <v>0</v>
      </c>
      <c r="U763" s="161">
        <v>0</v>
      </c>
      <c r="V763" s="161">
        <v>0</v>
      </c>
      <c r="W763" s="161">
        <f t="shared" si="67"/>
        <v>-0.45000000000004547</v>
      </c>
      <c r="X763" s="161">
        <f t="shared" si="68"/>
        <v>0</v>
      </c>
      <c r="Y763" s="161">
        <f t="shared" si="69"/>
        <v>-0.45000000000004547</v>
      </c>
      <c r="Z763" s="162">
        <v>0</v>
      </c>
      <c r="AA763" s="161">
        <f t="shared" si="70"/>
        <v>-0.45000000000004547</v>
      </c>
      <c r="AB763" s="161">
        <f t="shared" si="71"/>
        <v>1930.1</v>
      </c>
      <c r="AC763" s="158"/>
      <c r="AD763" s="158"/>
    </row>
    <row r="764" spans="1:30" ht="12.75" customHeight="1" x14ac:dyDescent="0.3">
      <c r="A764" s="147">
        <v>37</v>
      </c>
      <c r="B764" s="158" t="s">
        <v>1003</v>
      </c>
      <c r="C764" s="158" t="s">
        <v>59</v>
      </c>
      <c r="D764" s="158" t="s">
        <v>895</v>
      </c>
      <c r="E764" s="158" t="s">
        <v>25</v>
      </c>
      <c r="F764" s="158" t="s">
        <v>25</v>
      </c>
      <c r="G764" s="158" t="s">
        <v>866</v>
      </c>
      <c r="H764" s="161">
        <v>795.62</v>
      </c>
      <c r="I764" s="161">
        <v>-14.84</v>
      </c>
      <c r="J764" s="161">
        <v>0</v>
      </c>
      <c r="K764" s="161">
        <v>0</v>
      </c>
      <c r="L764" s="161">
        <v>0</v>
      </c>
      <c r="M764" s="161">
        <v>-32</v>
      </c>
      <c r="N764" s="161">
        <v>0</v>
      </c>
      <c r="O764" s="162">
        <f t="shared" si="66"/>
        <v>748.78</v>
      </c>
      <c r="P764" s="161">
        <v>-1786</v>
      </c>
      <c r="Q764" s="161">
        <v>-2568</v>
      </c>
      <c r="R764" s="161">
        <v>0</v>
      </c>
      <c r="S764" s="161">
        <v>0</v>
      </c>
      <c r="T764" s="162">
        <v>0</v>
      </c>
      <c r="U764" s="162">
        <v>0</v>
      </c>
      <c r="V764" s="161">
        <v>0</v>
      </c>
      <c r="W764" s="161">
        <f t="shared" si="67"/>
        <v>-3605.2200000000003</v>
      </c>
      <c r="X764" s="161">
        <f t="shared" si="68"/>
        <v>0</v>
      </c>
      <c r="Y764" s="161">
        <f t="shared" si="69"/>
        <v>-3605.2200000000003</v>
      </c>
      <c r="Z764" s="162">
        <v>2000</v>
      </c>
      <c r="AA764" s="161">
        <f t="shared" si="70"/>
        <v>-1605.2200000000003</v>
      </c>
      <c r="AB764" s="161">
        <f t="shared" si="71"/>
        <v>1143.5599999999995</v>
      </c>
      <c r="AC764" s="158" t="s">
        <v>1027</v>
      </c>
      <c r="AD764" s="158"/>
    </row>
    <row r="765" spans="1:30" ht="12.75" customHeight="1" x14ac:dyDescent="0.3">
      <c r="A765" s="147">
        <v>38</v>
      </c>
      <c r="B765" s="158" t="s">
        <v>1062</v>
      </c>
      <c r="C765" s="158" t="s">
        <v>64</v>
      </c>
      <c r="D765" s="158" t="s">
        <v>895</v>
      </c>
      <c r="E765" s="158" t="s">
        <v>25</v>
      </c>
      <c r="F765" s="158" t="s">
        <v>25</v>
      </c>
      <c r="G765" s="158" t="s">
        <v>866</v>
      </c>
      <c r="H765" s="161">
        <v>5203.74</v>
      </c>
      <c r="I765" s="161">
        <v>-86.85</v>
      </c>
      <c r="J765" s="161">
        <v>0</v>
      </c>
      <c r="K765" s="161">
        <v>0</v>
      </c>
      <c r="L765" s="161">
        <v>-2622.4</v>
      </c>
      <c r="M765" s="161">
        <v>-38</v>
      </c>
      <c r="N765" s="161">
        <v>0</v>
      </c>
      <c r="O765" s="162">
        <f t="shared" si="66"/>
        <v>2456.4899999999993</v>
      </c>
      <c r="P765" s="161">
        <v>-2143</v>
      </c>
      <c r="Q765" s="161">
        <v>0</v>
      </c>
      <c r="R765" s="161">
        <v>-500</v>
      </c>
      <c r="S765" s="161">
        <v>0</v>
      </c>
      <c r="T765" s="161">
        <v>0</v>
      </c>
      <c r="U765" s="161">
        <v>68</v>
      </c>
      <c r="V765" s="161">
        <v>0</v>
      </c>
      <c r="W765" s="161">
        <f t="shared" si="67"/>
        <v>-118.51000000000067</v>
      </c>
      <c r="X765" s="161">
        <f t="shared" si="68"/>
        <v>0</v>
      </c>
      <c r="Y765" s="161">
        <f t="shared" si="69"/>
        <v>-118.51000000000067</v>
      </c>
      <c r="Z765" s="161">
        <v>119</v>
      </c>
      <c r="AA765" s="161">
        <f t="shared" si="70"/>
        <v>0.48999999999932697</v>
      </c>
      <c r="AB765" s="161">
        <f t="shared" si="71"/>
        <v>2575.9799999999987</v>
      </c>
      <c r="AC765" s="158" t="s">
        <v>1031</v>
      </c>
      <c r="AD765" s="158"/>
    </row>
    <row r="766" spans="1:30" ht="12.75" customHeight="1" x14ac:dyDescent="0.3">
      <c r="A766" s="147">
        <v>38</v>
      </c>
      <c r="B766" s="158" t="s">
        <v>585</v>
      </c>
      <c r="C766" s="158" t="s">
        <v>42</v>
      </c>
      <c r="D766" s="158" t="s">
        <v>948</v>
      </c>
      <c r="E766" s="158" t="s">
        <v>25</v>
      </c>
      <c r="F766" s="158" t="s">
        <v>25</v>
      </c>
      <c r="G766" s="160" t="s">
        <v>866</v>
      </c>
      <c r="H766" s="161">
        <v>0</v>
      </c>
      <c r="I766" s="161">
        <v>0</v>
      </c>
      <c r="J766" s="161">
        <v>0</v>
      </c>
      <c r="K766" s="161">
        <v>0</v>
      </c>
      <c r="L766" s="161">
        <v>0</v>
      </c>
      <c r="M766" s="161">
        <v>0</v>
      </c>
      <c r="N766" s="161">
        <v>0</v>
      </c>
      <c r="O766" s="162">
        <f t="shared" si="66"/>
        <v>0</v>
      </c>
      <c r="P766" s="162">
        <v>-2500</v>
      </c>
      <c r="Q766" s="161">
        <v>0</v>
      </c>
      <c r="R766" s="161">
        <v>0</v>
      </c>
      <c r="S766" s="161">
        <v>0</v>
      </c>
      <c r="T766" s="161">
        <v>0</v>
      </c>
      <c r="U766" s="161">
        <v>0</v>
      </c>
      <c r="V766" s="161">
        <v>0</v>
      </c>
      <c r="W766" s="161">
        <f t="shared" si="67"/>
        <v>-2500</v>
      </c>
      <c r="X766" s="161">
        <f t="shared" si="68"/>
        <v>0</v>
      </c>
      <c r="Y766" s="161">
        <f t="shared" si="69"/>
        <v>-2500</v>
      </c>
      <c r="Z766" s="161">
        <v>2500</v>
      </c>
      <c r="AA766" s="161">
        <f t="shared" si="70"/>
        <v>0</v>
      </c>
      <c r="AB766" s="161">
        <f t="shared" si="71"/>
        <v>2500</v>
      </c>
      <c r="AC766" s="158" t="s">
        <v>1072</v>
      </c>
      <c r="AD766" s="158"/>
    </row>
    <row r="767" spans="1:30" ht="12.75" customHeight="1" x14ac:dyDescent="0.3">
      <c r="A767" s="147">
        <v>38</v>
      </c>
      <c r="B767" s="158" t="s">
        <v>837</v>
      </c>
      <c r="C767" s="158" t="s">
        <v>409</v>
      </c>
      <c r="D767" s="158" t="s">
        <v>946</v>
      </c>
      <c r="E767" s="158" t="s">
        <v>25</v>
      </c>
      <c r="F767" s="158" t="s">
        <v>25</v>
      </c>
      <c r="G767" s="160" t="s">
        <v>866</v>
      </c>
      <c r="H767" s="161">
        <v>6769.77</v>
      </c>
      <c r="I767" s="161">
        <v>-103.94</v>
      </c>
      <c r="J767" s="161">
        <v>0</v>
      </c>
      <c r="K767" s="161">
        <v>0</v>
      </c>
      <c r="L767" s="161">
        <v>0</v>
      </c>
      <c r="M767" s="161">
        <v>-38</v>
      </c>
      <c r="N767" s="161">
        <v>0</v>
      </c>
      <c r="O767" s="162">
        <f t="shared" si="66"/>
        <v>6627.8300000000008</v>
      </c>
      <c r="P767" s="162">
        <v>-2500</v>
      </c>
      <c r="Q767" s="161">
        <v>0</v>
      </c>
      <c r="R767" s="161">
        <v>-500</v>
      </c>
      <c r="S767" s="161">
        <v>0</v>
      </c>
      <c r="T767" s="161">
        <v>0</v>
      </c>
      <c r="U767" s="161">
        <v>0</v>
      </c>
      <c r="V767" s="161">
        <v>0</v>
      </c>
      <c r="W767" s="161">
        <f t="shared" si="67"/>
        <v>3627.8300000000008</v>
      </c>
      <c r="X767" s="161">
        <f t="shared" si="68"/>
        <v>3627.8300000000008</v>
      </c>
      <c r="Y767" s="161">
        <f t="shared" si="69"/>
        <v>0</v>
      </c>
      <c r="Z767" s="161">
        <v>0</v>
      </c>
      <c r="AA767" s="161">
        <f t="shared" si="70"/>
        <v>0</v>
      </c>
      <c r="AB767" s="161">
        <f t="shared" si="71"/>
        <v>3000</v>
      </c>
      <c r="AC767" s="158" t="s">
        <v>374</v>
      </c>
      <c r="AD767" s="158"/>
    </row>
    <row r="768" spans="1:30" ht="12.75" customHeight="1" x14ac:dyDescent="0.3">
      <c r="A768" s="147">
        <v>38</v>
      </c>
      <c r="B768" s="158" t="s">
        <v>944</v>
      </c>
      <c r="C768" s="158" t="s">
        <v>372</v>
      </c>
      <c r="D768" s="158" t="s">
        <v>1004</v>
      </c>
      <c r="E768" s="158" t="s">
        <v>39</v>
      </c>
      <c r="F768" s="158" t="s">
        <v>39</v>
      </c>
      <c r="G768" s="158" t="s">
        <v>866</v>
      </c>
      <c r="H768" s="161">
        <v>5196.3900000000003</v>
      </c>
      <c r="I768" s="161">
        <v>-92</v>
      </c>
      <c r="J768" s="161">
        <v>0</v>
      </c>
      <c r="K768" s="161">
        <v>0</v>
      </c>
      <c r="L768" s="161">
        <v>-1278.81</v>
      </c>
      <c r="M768" s="161">
        <v>-42</v>
      </c>
      <c r="N768" s="161">
        <v>0</v>
      </c>
      <c r="O768" s="162">
        <f t="shared" si="66"/>
        <v>3783.5800000000004</v>
      </c>
      <c r="P768" s="162">
        <v>-2500</v>
      </c>
      <c r="Q768" s="161">
        <v>0</v>
      </c>
      <c r="R768" s="161">
        <v>0</v>
      </c>
      <c r="S768" s="161">
        <v>0</v>
      </c>
      <c r="T768" s="161">
        <v>-400</v>
      </c>
      <c r="U768" s="161">
        <v>0</v>
      </c>
      <c r="V768" s="161">
        <v>0</v>
      </c>
      <c r="W768" s="161">
        <f t="shared" si="67"/>
        <v>883.58000000000038</v>
      </c>
      <c r="X768" s="161">
        <f t="shared" si="68"/>
        <v>883.58000000000038</v>
      </c>
      <c r="Y768" s="161">
        <f t="shared" si="69"/>
        <v>0</v>
      </c>
      <c r="Z768" s="161">
        <v>0</v>
      </c>
      <c r="AA768" s="161">
        <f t="shared" si="70"/>
        <v>0</v>
      </c>
      <c r="AB768" s="161">
        <f t="shared" si="71"/>
        <v>2900</v>
      </c>
      <c r="AC768" s="158" t="s">
        <v>374</v>
      </c>
      <c r="AD768" s="158"/>
    </row>
    <row r="769" spans="1:30" ht="12.75" customHeight="1" x14ac:dyDescent="0.3">
      <c r="A769" s="147">
        <v>38</v>
      </c>
      <c r="B769" s="158" t="s">
        <v>604</v>
      </c>
      <c r="C769" s="158" t="s">
        <v>150</v>
      </c>
      <c r="D769" s="158" t="s">
        <v>877</v>
      </c>
      <c r="E769" s="158" t="s">
        <v>25</v>
      </c>
      <c r="F769" s="158" t="s">
        <v>25</v>
      </c>
      <c r="G769" s="158" t="s">
        <v>866</v>
      </c>
      <c r="H769" s="161">
        <v>3681.74</v>
      </c>
      <c r="I769" s="161">
        <v>-67.650000000000006</v>
      </c>
      <c r="J769" s="161">
        <v>0</v>
      </c>
      <c r="K769" s="161">
        <v>0</v>
      </c>
      <c r="L769" s="161">
        <v>0</v>
      </c>
      <c r="M769" s="161">
        <v>-35</v>
      </c>
      <c r="N769" s="161">
        <v>0</v>
      </c>
      <c r="O769" s="162">
        <f t="shared" si="66"/>
        <v>3579.0899999999997</v>
      </c>
      <c r="P769" s="161">
        <v>-2321</v>
      </c>
      <c r="Q769" s="161">
        <v>0</v>
      </c>
      <c r="R769" s="161">
        <v>-500</v>
      </c>
      <c r="S769" s="161">
        <v>0</v>
      </c>
      <c r="T769" s="161">
        <v>0</v>
      </c>
      <c r="U769" s="161">
        <v>-648</v>
      </c>
      <c r="V769" s="161">
        <v>0</v>
      </c>
      <c r="W769" s="161">
        <f t="shared" si="67"/>
        <v>110.08999999999969</v>
      </c>
      <c r="X769" s="161">
        <f t="shared" si="68"/>
        <v>110.08999999999969</v>
      </c>
      <c r="Y769" s="161">
        <f t="shared" si="69"/>
        <v>0</v>
      </c>
      <c r="Z769" s="161">
        <v>0</v>
      </c>
      <c r="AA769" s="161">
        <f t="shared" si="70"/>
        <v>0</v>
      </c>
      <c r="AB769" s="161">
        <f t="shared" si="71"/>
        <v>3469</v>
      </c>
      <c r="AC769" s="158" t="s">
        <v>374</v>
      </c>
      <c r="AD769" s="158"/>
    </row>
    <row r="770" spans="1:30" ht="12.75" customHeight="1" x14ac:dyDescent="0.3">
      <c r="A770" s="147">
        <v>38</v>
      </c>
      <c r="B770" s="158" t="s">
        <v>1029</v>
      </c>
      <c r="C770" s="158" t="s">
        <v>68</v>
      </c>
      <c r="D770" s="158" t="s">
        <v>869</v>
      </c>
      <c r="E770" s="158" t="s">
        <v>25</v>
      </c>
      <c r="F770" s="158" t="s">
        <v>25</v>
      </c>
      <c r="G770" s="158" t="s">
        <v>866</v>
      </c>
      <c r="H770" s="161">
        <v>6216.36</v>
      </c>
      <c r="I770" s="161">
        <v>-120.43</v>
      </c>
      <c r="J770" s="161">
        <v>0</v>
      </c>
      <c r="K770" s="161">
        <v>-45.94</v>
      </c>
      <c r="L770" s="161">
        <v>0</v>
      </c>
      <c r="M770" s="161">
        <v>-32</v>
      </c>
      <c r="N770" s="161">
        <v>0</v>
      </c>
      <c r="O770" s="162">
        <f t="shared" ref="O770:O833" si="72">SUM(H770:N770)</f>
        <v>6017.99</v>
      </c>
      <c r="P770" s="161">
        <v>-2321</v>
      </c>
      <c r="Q770" s="161">
        <v>0</v>
      </c>
      <c r="R770" s="161">
        <v>0</v>
      </c>
      <c r="S770" s="161">
        <v>0</v>
      </c>
      <c r="T770" s="161">
        <v>0</v>
      </c>
      <c r="U770" s="161">
        <v>-1000</v>
      </c>
      <c r="V770" s="161">
        <v>0</v>
      </c>
      <c r="W770" s="161">
        <f t="shared" ref="W770:W833" si="73">+O770+SUM(P770:V770)</f>
        <v>2696.99</v>
      </c>
      <c r="X770" s="161">
        <f t="shared" ref="X770:X833" si="74">IF(W770&gt;=0,W770,0)</f>
        <v>2696.99</v>
      </c>
      <c r="Y770" s="161">
        <f t="shared" ref="Y770:Y833" si="75">IF(W770&lt;=0,W770,0)</f>
        <v>0</v>
      </c>
      <c r="Z770" s="161">
        <v>0</v>
      </c>
      <c r="AA770" s="161">
        <f t="shared" ref="AA770:AA833" si="76">+Y770+Z770</f>
        <v>0</v>
      </c>
      <c r="AB770" s="161">
        <f t="shared" ref="AB770:AB833" si="77">+O770-X770+Z770+AA770</f>
        <v>3321</v>
      </c>
      <c r="AC770" s="158" t="s">
        <v>374</v>
      </c>
      <c r="AD770" s="158"/>
    </row>
    <row r="771" spans="1:30" ht="12.75" customHeight="1" x14ac:dyDescent="0.3">
      <c r="A771" s="147">
        <v>38</v>
      </c>
      <c r="B771" s="158" t="s">
        <v>1030</v>
      </c>
      <c r="C771" s="158" t="s">
        <v>195</v>
      </c>
      <c r="D771" s="158" t="s">
        <v>964</v>
      </c>
      <c r="E771" s="160" t="s">
        <v>871</v>
      </c>
      <c r="F771" s="158" t="s">
        <v>39</v>
      </c>
      <c r="G771" s="158" t="s">
        <v>866</v>
      </c>
      <c r="H771" s="161">
        <v>4940.6099999999997</v>
      </c>
      <c r="I771" s="161">
        <v>-86.27</v>
      </c>
      <c r="J771" s="161">
        <v>0</v>
      </c>
      <c r="K771" s="161">
        <v>0</v>
      </c>
      <c r="L771" s="161">
        <v>-2621.87</v>
      </c>
      <c r="M771" s="161">
        <v>-48</v>
      </c>
      <c r="N771" s="161">
        <v>0</v>
      </c>
      <c r="O771" s="162">
        <f t="shared" si="72"/>
        <v>2184.4699999999993</v>
      </c>
      <c r="P771" s="161">
        <v>-2500</v>
      </c>
      <c r="Q771" s="161">
        <v>0</v>
      </c>
      <c r="R771" s="161">
        <v>0</v>
      </c>
      <c r="S771" s="161">
        <v>0</v>
      </c>
      <c r="T771" s="161">
        <v>0</v>
      </c>
      <c r="U771" s="161">
        <v>0</v>
      </c>
      <c r="V771" s="161">
        <v>0</v>
      </c>
      <c r="W771" s="161">
        <f t="shared" si="73"/>
        <v>-315.53000000000065</v>
      </c>
      <c r="X771" s="161">
        <f t="shared" si="74"/>
        <v>0</v>
      </c>
      <c r="Y771" s="161">
        <f t="shared" si="75"/>
        <v>-315.53000000000065</v>
      </c>
      <c r="Z771" s="161">
        <v>316</v>
      </c>
      <c r="AA771" s="161">
        <f t="shared" si="76"/>
        <v>0.46999999999934516</v>
      </c>
      <c r="AB771" s="161">
        <f t="shared" si="77"/>
        <v>2500.9399999999987</v>
      </c>
      <c r="AC771" s="158" t="s">
        <v>1073</v>
      </c>
      <c r="AD771" s="158"/>
    </row>
    <row r="772" spans="1:30" ht="12.75" customHeight="1" x14ac:dyDescent="0.3">
      <c r="A772" s="147">
        <v>38</v>
      </c>
      <c r="B772" s="158" t="s">
        <v>913</v>
      </c>
      <c r="C772" s="158" t="s">
        <v>100</v>
      </c>
      <c r="D772" s="158" t="s">
        <v>953</v>
      </c>
      <c r="E772" s="158" t="s">
        <v>25</v>
      </c>
      <c r="F772" s="158" t="s">
        <v>25</v>
      </c>
      <c r="G772" s="158" t="s">
        <v>866</v>
      </c>
      <c r="H772" s="161">
        <v>1698.91</v>
      </c>
      <c r="I772" s="161">
        <v>-45.39</v>
      </c>
      <c r="J772" s="161">
        <v>0</v>
      </c>
      <c r="K772" s="161">
        <v>0</v>
      </c>
      <c r="L772" s="161">
        <v>-417.39</v>
      </c>
      <c r="M772" s="161">
        <v>-15</v>
      </c>
      <c r="N772" s="161">
        <v>0</v>
      </c>
      <c r="O772" s="162">
        <f t="shared" si="72"/>
        <v>1221.1300000000001</v>
      </c>
      <c r="P772" s="162">
        <v>-1785.71</v>
      </c>
      <c r="Q772" s="161">
        <v>-44</v>
      </c>
      <c r="R772" s="161">
        <v>0</v>
      </c>
      <c r="S772" s="161">
        <v>0</v>
      </c>
      <c r="T772" s="161">
        <v>0</v>
      </c>
      <c r="U772" s="161">
        <v>0</v>
      </c>
      <c r="V772" s="161">
        <v>0</v>
      </c>
      <c r="W772" s="161">
        <f t="shared" si="73"/>
        <v>-608.57999999999993</v>
      </c>
      <c r="X772" s="161">
        <f t="shared" si="74"/>
        <v>0</v>
      </c>
      <c r="Y772" s="161">
        <f t="shared" si="75"/>
        <v>-608.57999999999993</v>
      </c>
      <c r="Z772" s="161">
        <v>605</v>
      </c>
      <c r="AA772" s="161">
        <f t="shared" si="76"/>
        <v>-3.5799999999999272</v>
      </c>
      <c r="AB772" s="161">
        <f t="shared" si="77"/>
        <v>1822.5500000000002</v>
      </c>
      <c r="AC772" s="158" t="s">
        <v>1072</v>
      </c>
      <c r="AD772" s="158"/>
    </row>
    <row r="773" spans="1:30" ht="12.75" customHeight="1" x14ac:dyDescent="0.3">
      <c r="A773" s="147">
        <v>38</v>
      </c>
      <c r="B773" s="158" t="s">
        <v>913</v>
      </c>
      <c r="C773" s="158" t="s">
        <v>1065</v>
      </c>
      <c r="D773" s="158" t="s">
        <v>20</v>
      </c>
      <c r="E773" s="160" t="s">
        <v>25</v>
      </c>
      <c r="F773" s="158" t="s">
        <v>39</v>
      </c>
      <c r="G773" s="160" t="s">
        <v>866</v>
      </c>
      <c r="H773" s="161">
        <v>5175.95</v>
      </c>
      <c r="I773" s="161">
        <v>-81.77</v>
      </c>
      <c r="J773" s="161">
        <v>0</v>
      </c>
      <c r="K773" s="161">
        <v>0</v>
      </c>
      <c r="L773" s="161">
        <v>-4637.79</v>
      </c>
      <c r="M773" s="161">
        <v>-17</v>
      </c>
      <c r="N773" s="161">
        <v>0</v>
      </c>
      <c r="O773" s="162">
        <f t="shared" si="72"/>
        <v>439.38999999999942</v>
      </c>
      <c r="P773" s="162">
        <v>-714</v>
      </c>
      <c r="Q773" s="161">
        <v>0</v>
      </c>
      <c r="R773" s="161">
        <v>0</v>
      </c>
      <c r="S773" s="161">
        <v>0</v>
      </c>
      <c r="T773" s="161">
        <v>0</v>
      </c>
      <c r="U773" s="161">
        <v>0</v>
      </c>
      <c r="V773" s="161">
        <v>0</v>
      </c>
      <c r="W773" s="161">
        <f t="shared" si="73"/>
        <v>-274.61000000000058</v>
      </c>
      <c r="X773" s="161">
        <f t="shared" si="74"/>
        <v>0</v>
      </c>
      <c r="Y773" s="161">
        <f t="shared" si="75"/>
        <v>-274.61000000000058</v>
      </c>
      <c r="Z773" s="161">
        <v>275</v>
      </c>
      <c r="AA773" s="161">
        <f t="shared" si="76"/>
        <v>0.38999999999941792</v>
      </c>
      <c r="AB773" s="161">
        <f t="shared" si="77"/>
        <v>714.77999999999884</v>
      </c>
      <c r="AC773" s="158" t="s">
        <v>1073</v>
      </c>
      <c r="AD773" s="158"/>
    </row>
    <row r="774" spans="1:30" ht="12.75" customHeight="1" x14ac:dyDescent="0.3">
      <c r="A774" s="147">
        <v>38</v>
      </c>
      <c r="B774" s="158" t="s">
        <v>1074</v>
      </c>
      <c r="C774" s="158" t="s">
        <v>17</v>
      </c>
      <c r="D774" s="158" t="s">
        <v>20</v>
      </c>
      <c r="E774" s="160" t="s">
        <v>18</v>
      </c>
      <c r="F774" s="160" t="s">
        <v>18</v>
      </c>
      <c r="G774" s="158" t="s">
        <v>866</v>
      </c>
      <c r="H774" s="161">
        <v>0</v>
      </c>
      <c r="I774" s="161">
        <v>0</v>
      </c>
      <c r="J774" s="161">
        <v>0</v>
      </c>
      <c r="K774" s="161">
        <v>0</v>
      </c>
      <c r="L774" s="161">
        <v>0</v>
      </c>
      <c r="M774" s="162">
        <v>0</v>
      </c>
      <c r="N774" s="161">
        <v>0</v>
      </c>
      <c r="O774" s="162">
        <f t="shared" si="72"/>
        <v>0</v>
      </c>
      <c r="P774" s="161">
        <v>-2500</v>
      </c>
      <c r="Q774" s="161">
        <v>0</v>
      </c>
      <c r="R774" s="161">
        <v>0</v>
      </c>
      <c r="S774" s="161">
        <v>0</v>
      </c>
      <c r="T774" s="161">
        <v>0</v>
      </c>
      <c r="U774" s="161">
        <v>0</v>
      </c>
      <c r="V774" s="161">
        <v>0</v>
      </c>
      <c r="W774" s="161">
        <f t="shared" si="73"/>
        <v>-2500</v>
      </c>
      <c r="X774" s="161">
        <f t="shared" si="74"/>
        <v>0</v>
      </c>
      <c r="Y774" s="161">
        <f t="shared" si="75"/>
        <v>-2500</v>
      </c>
      <c r="Z774" s="161">
        <v>2500</v>
      </c>
      <c r="AA774" s="161">
        <f t="shared" si="76"/>
        <v>0</v>
      </c>
      <c r="AB774" s="161">
        <f t="shared" si="77"/>
        <v>2500</v>
      </c>
      <c r="AC774" s="158" t="s">
        <v>1075</v>
      </c>
      <c r="AD774" s="158"/>
    </row>
    <row r="775" spans="1:30" ht="12.75" customHeight="1" x14ac:dyDescent="0.3">
      <c r="A775" s="147">
        <v>38</v>
      </c>
      <c r="B775" s="158" t="s">
        <v>457</v>
      </c>
      <c r="C775" s="158" t="s">
        <v>573</v>
      </c>
      <c r="D775" s="158" t="s">
        <v>974</v>
      </c>
      <c r="E775" s="158" t="s">
        <v>25</v>
      </c>
      <c r="F775" s="158" t="s">
        <v>39</v>
      </c>
      <c r="G775" s="158" t="s">
        <v>866</v>
      </c>
      <c r="H775" s="161">
        <v>4894.91</v>
      </c>
      <c r="I775" s="161">
        <v>-91.99</v>
      </c>
      <c r="J775" s="161">
        <v>0</v>
      </c>
      <c r="K775" s="161">
        <v>0</v>
      </c>
      <c r="L775" s="161">
        <v>-1184.57</v>
      </c>
      <c r="M775" s="161">
        <v>-34</v>
      </c>
      <c r="N775" s="161">
        <v>0</v>
      </c>
      <c r="O775" s="162">
        <f t="shared" si="72"/>
        <v>3584.3500000000004</v>
      </c>
      <c r="P775" s="162">
        <v>-2500</v>
      </c>
      <c r="Q775" s="161">
        <v>-2578</v>
      </c>
      <c r="R775" s="161">
        <v>0</v>
      </c>
      <c r="S775" s="161">
        <v>0</v>
      </c>
      <c r="T775" s="161">
        <v>0</v>
      </c>
      <c r="U775" s="161">
        <v>0</v>
      </c>
      <c r="V775" s="161">
        <v>0</v>
      </c>
      <c r="W775" s="161">
        <f t="shared" si="73"/>
        <v>-1493.6499999999996</v>
      </c>
      <c r="X775" s="161">
        <f t="shared" si="74"/>
        <v>0</v>
      </c>
      <c r="Y775" s="161">
        <f t="shared" si="75"/>
        <v>-1493.6499999999996</v>
      </c>
      <c r="Z775" s="161">
        <v>0</v>
      </c>
      <c r="AA775" s="161">
        <f t="shared" si="76"/>
        <v>-1493.6499999999996</v>
      </c>
      <c r="AB775" s="161">
        <f t="shared" si="77"/>
        <v>2090.7000000000007</v>
      </c>
      <c r="AC775" s="158"/>
      <c r="AD775" s="158"/>
    </row>
    <row r="776" spans="1:30" ht="12.75" customHeight="1" x14ac:dyDescent="0.3">
      <c r="A776" s="147">
        <v>38</v>
      </c>
      <c r="B776" s="158" t="s">
        <v>1076</v>
      </c>
      <c r="C776" s="158" t="s">
        <v>80</v>
      </c>
      <c r="D776" s="158" t="s">
        <v>20</v>
      </c>
      <c r="E776" s="160" t="s">
        <v>18</v>
      </c>
      <c r="F776" s="160" t="s">
        <v>18</v>
      </c>
      <c r="G776" s="158" t="s">
        <v>866</v>
      </c>
      <c r="H776" s="161">
        <v>0</v>
      </c>
      <c r="I776" s="161">
        <v>0</v>
      </c>
      <c r="J776" s="161">
        <v>0</v>
      </c>
      <c r="K776" s="161">
        <v>0</v>
      </c>
      <c r="L776" s="161">
        <v>0</v>
      </c>
      <c r="M776" s="162">
        <v>0</v>
      </c>
      <c r="N776" s="161">
        <v>0</v>
      </c>
      <c r="O776" s="162">
        <f t="shared" si="72"/>
        <v>0</v>
      </c>
      <c r="P776" s="161">
        <v>-2500</v>
      </c>
      <c r="Q776" s="161">
        <v>0</v>
      </c>
      <c r="R776" s="161">
        <v>0</v>
      </c>
      <c r="S776" s="161">
        <v>0</v>
      </c>
      <c r="T776" s="161">
        <v>0</v>
      </c>
      <c r="U776" s="161">
        <v>0</v>
      </c>
      <c r="V776" s="161">
        <v>0</v>
      </c>
      <c r="W776" s="161">
        <f t="shared" si="73"/>
        <v>-2500</v>
      </c>
      <c r="X776" s="161">
        <f t="shared" si="74"/>
        <v>0</v>
      </c>
      <c r="Y776" s="161">
        <f t="shared" si="75"/>
        <v>-2500</v>
      </c>
      <c r="Z776" s="161">
        <v>2500</v>
      </c>
      <c r="AA776" s="161">
        <f t="shared" si="76"/>
        <v>0</v>
      </c>
      <c r="AB776" s="161">
        <f t="shared" si="77"/>
        <v>2500</v>
      </c>
      <c r="AC776" s="158" t="s">
        <v>1015</v>
      </c>
      <c r="AD776" s="158"/>
    </row>
    <row r="777" spans="1:30" ht="12.75" customHeight="1" x14ac:dyDescent="0.3">
      <c r="A777" s="147">
        <v>38</v>
      </c>
      <c r="B777" s="158" t="s">
        <v>620</v>
      </c>
      <c r="C777" s="158" t="s">
        <v>571</v>
      </c>
      <c r="D777" s="158" t="s">
        <v>974</v>
      </c>
      <c r="E777" s="158" t="s">
        <v>25</v>
      </c>
      <c r="F777" s="158" t="s">
        <v>25</v>
      </c>
      <c r="G777" s="158" t="s">
        <v>866</v>
      </c>
      <c r="H777" s="161">
        <v>2511.16</v>
      </c>
      <c r="I777" s="161">
        <v>-44.46</v>
      </c>
      <c r="J777" s="161">
        <v>0</v>
      </c>
      <c r="K777" s="161">
        <v>0</v>
      </c>
      <c r="L777" s="161">
        <v>-1604.39</v>
      </c>
      <c r="M777" s="161">
        <v>-35</v>
      </c>
      <c r="N777" s="161">
        <v>0</v>
      </c>
      <c r="O777" s="162">
        <f t="shared" si="72"/>
        <v>827.30999999999972</v>
      </c>
      <c r="P777" s="161">
        <v>-2500</v>
      </c>
      <c r="Q777" s="161">
        <v>0</v>
      </c>
      <c r="R777" s="161">
        <v>-500</v>
      </c>
      <c r="S777" s="161">
        <v>0</v>
      </c>
      <c r="T777" s="161">
        <v>0</v>
      </c>
      <c r="U777" s="161">
        <v>0</v>
      </c>
      <c r="V777" s="161">
        <v>0</v>
      </c>
      <c r="W777" s="161">
        <f t="shared" si="73"/>
        <v>-2172.6900000000005</v>
      </c>
      <c r="X777" s="161">
        <f t="shared" si="74"/>
        <v>0</v>
      </c>
      <c r="Y777" s="161">
        <f t="shared" si="75"/>
        <v>-2172.6900000000005</v>
      </c>
      <c r="Z777" s="161">
        <v>2173</v>
      </c>
      <c r="AA777" s="161">
        <f t="shared" si="76"/>
        <v>0.30999999999949068</v>
      </c>
      <c r="AB777" s="161">
        <f t="shared" si="77"/>
        <v>3000.619999999999</v>
      </c>
      <c r="AC777" s="158" t="s">
        <v>1031</v>
      </c>
      <c r="AD777" s="158"/>
    </row>
    <row r="778" spans="1:30" ht="12.75" customHeight="1" x14ac:dyDescent="0.3">
      <c r="A778" s="147">
        <v>38</v>
      </c>
      <c r="B778" s="158" t="s">
        <v>1058</v>
      </c>
      <c r="C778" s="158" t="s">
        <v>17</v>
      </c>
      <c r="D778" s="158" t="s">
        <v>20</v>
      </c>
      <c r="E778" s="160" t="s">
        <v>18</v>
      </c>
      <c r="F778" s="160" t="s">
        <v>18</v>
      </c>
      <c r="G778" s="158" t="s">
        <v>866</v>
      </c>
      <c r="H778" s="161">
        <v>0</v>
      </c>
      <c r="I778" s="161">
        <v>0</v>
      </c>
      <c r="J778" s="161">
        <v>0</v>
      </c>
      <c r="K778" s="161">
        <v>0</v>
      </c>
      <c r="L778" s="161">
        <v>0</v>
      </c>
      <c r="M778" s="161">
        <v>0</v>
      </c>
      <c r="N778" s="161">
        <v>0</v>
      </c>
      <c r="O778" s="162">
        <f t="shared" si="72"/>
        <v>0</v>
      </c>
      <c r="P778" s="161">
        <v>0</v>
      </c>
      <c r="Q778" s="161">
        <v>200</v>
      </c>
      <c r="R778" s="161">
        <v>0</v>
      </c>
      <c r="S778" s="161">
        <v>0</v>
      </c>
      <c r="T778" s="161">
        <v>0</v>
      </c>
      <c r="U778" s="161">
        <v>0</v>
      </c>
      <c r="V778" s="161">
        <v>0</v>
      </c>
      <c r="W778" s="161">
        <f t="shared" si="73"/>
        <v>200</v>
      </c>
      <c r="X778" s="161">
        <f t="shared" si="74"/>
        <v>200</v>
      </c>
      <c r="Y778" s="161">
        <f t="shared" si="75"/>
        <v>0</v>
      </c>
      <c r="Z778" s="161">
        <v>0</v>
      </c>
      <c r="AA778" s="161">
        <f t="shared" si="76"/>
        <v>0</v>
      </c>
      <c r="AB778" s="161">
        <f t="shared" si="77"/>
        <v>-200</v>
      </c>
      <c r="AC778" s="158" t="s">
        <v>1077</v>
      </c>
      <c r="AD778" s="158"/>
    </row>
    <row r="779" spans="1:30" ht="12.75" customHeight="1" x14ac:dyDescent="0.3">
      <c r="A779" s="147">
        <v>38</v>
      </c>
      <c r="B779" s="158" t="s">
        <v>1078</v>
      </c>
      <c r="C779" s="158" t="s">
        <v>53</v>
      </c>
      <c r="D779" s="158" t="s">
        <v>20</v>
      </c>
      <c r="E779" s="160" t="s">
        <v>25</v>
      </c>
      <c r="F779" s="158" t="s">
        <v>39</v>
      </c>
      <c r="G779" s="158" t="s">
        <v>866</v>
      </c>
      <c r="H779" s="161">
        <v>2715.99</v>
      </c>
      <c r="I779" s="161">
        <v>-43.02</v>
      </c>
      <c r="J779" s="161">
        <v>0</v>
      </c>
      <c r="K779" s="161">
        <v>0</v>
      </c>
      <c r="L779" s="161">
        <v>-1479.71</v>
      </c>
      <c r="M779" s="162">
        <v>-25</v>
      </c>
      <c r="N779" s="161">
        <v>0</v>
      </c>
      <c r="O779" s="162">
        <f t="shared" si="72"/>
        <v>1168.2599999999998</v>
      </c>
      <c r="P779" s="161">
        <v>-1250</v>
      </c>
      <c r="Q779" s="161">
        <v>0</v>
      </c>
      <c r="R779" s="161">
        <f>-250-2000</f>
        <v>-2250</v>
      </c>
      <c r="S779" s="161">
        <v>0</v>
      </c>
      <c r="T779" s="161">
        <v>0</v>
      </c>
      <c r="U779" s="161">
        <v>0</v>
      </c>
      <c r="V779" s="161">
        <v>0</v>
      </c>
      <c r="W779" s="161">
        <f t="shared" si="73"/>
        <v>-2331.7400000000002</v>
      </c>
      <c r="X779" s="161">
        <f t="shared" si="74"/>
        <v>0</v>
      </c>
      <c r="Y779" s="161">
        <f t="shared" si="75"/>
        <v>-2331.7400000000002</v>
      </c>
      <c r="Z779" s="161">
        <v>2332</v>
      </c>
      <c r="AA779" s="161">
        <f t="shared" si="76"/>
        <v>0.25999999999976353</v>
      </c>
      <c r="AB779" s="161">
        <f t="shared" si="77"/>
        <v>3500.5199999999995</v>
      </c>
      <c r="AC779" s="158" t="s">
        <v>1031</v>
      </c>
      <c r="AD779" s="158"/>
    </row>
    <row r="780" spans="1:30" ht="12.75" customHeight="1" x14ac:dyDescent="0.3">
      <c r="A780" s="147">
        <v>38</v>
      </c>
      <c r="B780" s="158" t="s">
        <v>872</v>
      </c>
      <c r="C780" s="158" t="s">
        <v>256</v>
      </c>
      <c r="D780" s="158" t="s">
        <v>997</v>
      </c>
      <c r="E780" s="160" t="s">
        <v>871</v>
      </c>
      <c r="F780" s="158" t="s">
        <v>39</v>
      </c>
      <c r="G780" s="158" t="s">
        <v>866</v>
      </c>
      <c r="H780" s="161">
        <v>6336.55</v>
      </c>
      <c r="I780" s="161">
        <v>-114.21</v>
      </c>
      <c r="J780" s="161">
        <v>0</v>
      </c>
      <c r="K780" s="161">
        <v>-71.2</v>
      </c>
      <c r="L780" s="161">
        <v>-3052.22</v>
      </c>
      <c r="M780" s="161">
        <v>-32</v>
      </c>
      <c r="N780" s="161">
        <v>0</v>
      </c>
      <c r="O780" s="162">
        <f t="shared" si="72"/>
        <v>3066.9200000000005</v>
      </c>
      <c r="P780" s="162">
        <v>-2500</v>
      </c>
      <c r="Q780" s="161">
        <v>0</v>
      </c>
      <c r="R780" s="161">
        <v>0</v>
      </c>
      <c r="S780" s="161">
        <v>0</v>
      </c>
      <c r="T780" s="161">
        <v>0</v>
      </c>
      <c r="U780" s="161">
        <v>0</v>
      </c>
      <c r="V780" s="161">
        <v>0</v>
      </c>
      <c r="W780" s="161">
        <f t="shared" si="73"/>
        <v>566.92000000000053</v>
      </c>
      <c r="X780" s="161">
        <f t="shared" si="74"/>
        <v>566.92000000000053</v>
      </c>
      <c r="Y780" s="161">
        <f t="shared" si="75"/>
        <v>0</v>
      </c>
      <c r="Z780" s="161">
        <v>0</v>
      </c>
      <c r="AA780" s="161">
        <f t="shared" si="76"/>
        <v>0</v>
      </c>
      <c r="AB780" s="161">
        <f t="shared" si="77"/>
        <v>2500</v>
      </c>
      <c r="AC780" s="158" t="s">
        <v>374</v>
      </c>
      <c r="AD780" s="158"/>
    </row>
    <row r="781" spans="1:30" ht="12.75" customHeight="1" x14ac:dyDescent="0.3">
      <c r="A781" s="147">
        <v>38</v>
      </c>
      <c r="B781" s="158" t="s">
        <v>921</v>
      </c>
      <c r="C781" s="158" t="s">
        <v>257</v>
      </c>
      <c r="D781" s="158" t="s">
        <v>943</v>
      </c>
      <c r="E781" s="158" t="s">
        <v>25</v>
      </c>
      <c r="F781" s="158" t="s">
        <v>25</v>
      </c>
      <c r="G781" s="158" t="s">
        <v>866</v>
      </c>
      <c r="H781" s="161">
        <v>6854.22</v>
      </c>
      <c r="I781" s="161">
        <v>-113.88</v>
      </c>
      <c r="J781" s="161">
        <v>0</v>
      </c>
      <c r="K781" s="161">
        <v>0</v>
      </c>
      <c r="L781" s="161">
        <v>-2676.51</v>
      </c>
      <c r="M781" s="161">
        <v>-32</v>
      </c>
      <c r="N781" s="161">
        <v>0</v>
      </c>
      <c r="O781" s="162">
        <f t="shared" si="72"/>
        <v>4031.83</v>
      </c>
      <c r="P781" s="162">
        <v>-2500</v>
      </c>
      <c r="Q781" s="161">
        <v>0</v>
      </c>
      <c r="R781" s="161">
        <v>0</v>
      </c>
      <c r="S781" s="161">
        <v>0</v>
      </c>
      <c r="T781" s="161">
        <v>0</v>
      </c>
      <c r="U781" s="161">
        <v>0</v>
      </c>
      <c r="V781" s="161">
        <v>0</v>
      </c>
      <c r="W781" s="161">
        <f t="shared" si="73"/>
        <v>1531.83</v>
      </c>
      <c r="X781" s="161">
        <f t="shared" si="74"/>
        <v>1531.83</v>
      </c>
      <c r="Y781" s="161">
        <f t="shared" si="75"/>
        <v>0</v>
      </c>
      <c r="Z781" s="161">
        <v>0</v>
      </c>
      <c r="AA781" s="161">
        <f t="shared" si="76"/>
        <v>0</v>
      </c>
      <c r="AB781" s="161">
        <f t="shared" si="77"/>
        <v>2500</v>
      </c>
      <c r="AC781" s="158" t="s">
        <v>374</v>
      </c>
      <c r="AD781" s="158"/>
    </row>
    <row r="782" spans="1:30" ht="12.75" customHeight="1" x14ac:dyDescent="0.3">
      <c r="A782" s="147">
        <v>38</v>
      </c>
      <c r="B782" s="158" t="s">
        <v>874</v>
      </c>
      <c r="C782" s="158" t="s">
        <v>110</v>
      </c>
      <c r="D782" s="158" t="s">
        <v>1036</v>
      </c>
      <c r="E782" s="160" t="s">
        <v>18</v>
      </c>
      <c r="F782" s="160" t="s">
        <v>18</v>
      </c>
      <c r="G782" s="158" t="s">
        <v>737</v>
      </c>
      <c r="H782" s="161">
        <v>0</v>
      </c>
      <c r="I782" s="161">
        <v>0</v>
      </c>
      <c r="J782" s="161">
        <v>0</v>
      </c>
      <c r="K782" s="161">
        <v>0</v>
      </c>
      <c r="L782" s="161">
        <v>0</v>
      </c>
      <c r="M782" s="161">
        <v>0</v>
      </c>
      <c r="N782" s="161">
        <v>0</v>
      </c>
      <c r="O782" s="162">
        <f t="shared" si="72"/>
        <v>0</v>
      </c>
      <c r="P782" s="161">
        <v>-2500</v>
      </c>
      <c r="Q782" s="161">
        <v>0</v>
      </c>
      <c r="R782" s="161">
        <v>-500</v>
      </c>
      <c r="S782" s="161">
        <v>0</v>
      </c>
      <c r="T782" s="161">
        <v>0</v>
      </c>
      <c r="U782" s="161">
        <v>0</v>
      </c>
      <c r="V782" s="161">
        <v>0</v>
      </c>
      <c r="W782" s="161">
        <f t="shared" si="73"/>
        <v>-3000</v>
      </c>
      <c r="X782" s="161">
        <f t="shared" si="74"/>
        <v>0</v>
      </c>
      <c r="Y782" s="161">
        <f t="shared" si="75"/>
        <v>-3000</v>
      </c>
      <c r="Z782" s="161">
        <f>2500+500</f>
        <v>3000</v>
      </c>
      <c r="AA782" s="161">
        <f t="shared" si="76"/>
        <v>0</v>
      </c>
      <c r="AB782" s="161">
        <f t="shared" si="77"/>
        <v>3000</v>
      </c>
      <c r="AC782" s="158" t="s">
        <v>1002</v>
      </c>
      <c r="AD782" s="158"/>
    </row>
    <row r="783" spans="1:30" ht="12.75" customHeight="1" x14ac:dyDescent="0.3">
      <c r="A783" s="147">
        <v>38</v>
      </c>
      <c r="B783" s="158" t="s">
        <v>1013</v>
      </c>
      <c r="C783" s="158" t="s">
        <v>101</v>
      </c>
      <c r="D783" s="158" t="s">
        <v>945</v>
      </c>
      <c r="E783" s="158" t="s">
        <v>25</v>
      </c>
      <c r="F783" s="158" t="s">
        <v>25</v>
      </c>
      <c r="G783" s="158" t="s">
        <v>866</v>
      </c>
      <c r="H783" s="161">
        <v>4365.84</v>
      </c>
      <c r="I783" s="161">
        <v>-61.74</v>
      </c>
      <c r="J783" s="161">
        <v>0</v>
      </c>
      <c r="K783" s="161">
        <v>0</v>
      </c>
      <c r="L783" s="161">
        <v>-2464.6799999999998</v>
      </c>
      <c r="M783" s="161">
        <v>-38</v>
      </c>
      <c r="N783" s="161">
        <v>0</v>
      </c>
      <c r="O783" s="162">
        <f t="shared" si="72"/>
        <v>1801.4200000000005</v>
      </c>
      <c r="P783" s="161">
        <v>-2500</v>
      </c>
      <c r="Q783" s="161">
        <v>0</v>
      </c>
      <c r="R783" s="161">
        <v>-500</v>
      </c>
      <c r="S783" s="161">
        <v>0</v>
      </c>
      <c r="T783" s="161">
        <v>0</v>
      </c>
      <c r="U783" s="161">
        <v>0</v>
      </c>
      <c r="V783" s="161">
        <v>0</v>
      </c>
      <c r="W783" s="161">
        <f t="shared" si="73"/>
        <v>-1198.5799999999995</v>
      </c>
      <c r="X783" s="161">
        <f t="shared" si="74"/>
        <v>0</v>
      </c>
      <c r="Y783" s="161">
        <f t="shared" si="75"/>
        <v>-1198.5799999999995</v>
      </c>
      <c r="Z783" s="161">
        <v>0</v>
      </c>
      <c r="AA783" s="161">
        <f t="shared" si="76"/>
        <v>-1198.5799999999995</v>
      </c>
      <c r="AB783" s="161">
        <f t="shared" si="77"/>
        <v>602.84000000000106</v>
      </c>
      <c r="AC783" s="158" t="s">
        <v>1028</v>
      </c>
      <c r="AD783" s="158"/>
    </row>
    <row r="784" spans="1:30" ht="12.75" customHeight="1" x14ac:dyDescent="0.3">
      <c r="A784" s="147">
        <v>38</v>
      </c>
      <c r="B784" s="158" t="s">
        <v>918</v>
      </c>
      <c r="C784" s="158" t="s">
        <v>120</v>
      </c>
      <c r="D784" s="158" t="s">
        <v>950</v>
      </c>
      <c r="E784" s="158" t="s">
        <v>25</v>
      </c>
      <c r="F784" s="158" t="s">
        <v>25</v>
      </c>
      <c r="G784" s="158" t="s">
        <v>866</v>
      </c>
      <c r="H784" s="161">
        <v>5885.26</v>
      </c>
      <c r="I784" s="161">
        <v>-96.85</v>
      </c>
      <c r="J784" s="161">
        <v>0</v>
      </c>
      <c r="K784" s="161">
        <v>0</v>
      </c>
      <c r="L784" s="161">
        <v>-1228.3</v>
      </c>
      <c r="M784" s="161">
        <v>-32</v>
      </c>
      <c r="N784" s="161">
        <v>0</v>
      </c>
      <c r="O784" s="162">
        <f t="shared" si="72"/>
        <v>4528.1099999999997</v>
      </c>
      <c r="P784" s="162">
        <v>-2500</v>
      </c>
      <c r="Q784" s="161">
        <v>0</v>
      </c>
      <c r="R784" s="161">
        <v>0</v>
      </c>
      <c r="S784" s="161">
        <v>0</v>
      </c>
      <c r="T784" s="161">
        <v>0</v>
      </c>
      <c r="U784" s="161">
        <v>0</v>
      </c>
      <c r="V784" s="161">
        <v>0</v>
      </c>
      <c r="W784" s="161">
        <f t="shared" si="73"/>
        <v>2028.1099999999997</v>
      </c>
      <c r="X784" s="161">
        <f t="shared" si="74"/>
        <v>2028.1099999999997</v>
      </c>
      <c r="Y784" s="161">
        <f t="shared" si="75"/>
        <v>0</v>
      </c>
      <c r="Z784" s="161">
        <v>0</v>
      </c>
      <c r="AA784" s="161">
        <f t="shared" si="76"/>
        <v>0</v>
      </c>
      <c r="AB784" s="161">
        <f t="shared" si="77"/>
        <v>2500</v>
      </c>
      <c r="AC784" s="158" t="s">
        <v>374</v>
      </c>
      <c r="AD784" s="158"/>
    </row>
    <row r="785" spans="1:30" ht="12.75" customHeight="1" x14ac:dyDescent="0.3">
      <c r="A785" s="147">
        <v>38</v>
      </c>
      <c r="B785" s="158" t="s">
        <v>484</v>
      </c>
      <c r="C785" s="158" t="s">
        <v>426</v>
      </c>
      <c r="D785" s="158" t="s">
        <v>903</v>
      </c>
      <c r="E785" s="158" t="s">
        <v>25</v>
      </c>
      <c r="F785" s="158" t="s">
        <v>25</v>
      </c>
      <c r="G785" s="158" t="s">
        <v>866</v>
      </c>
      <c r="H785" s="161">
        <v>4583.3999999999996</v>
      </c>
      <c r="I785" s="161">
        <v>-132.36000000000001</v>
      </c>
      <c r="J785" s="161">
        <v>-9.7899999999999991</v>
      </c>
      <c r="K785" s="161">
        <v>0</v>
      </c>
      <c r="L785" s="161">
        <v>-3434.15</v>
      </c>
      <c r="M785" s="161">
        <v>-15</v>
      </c>
      <c r="N785" s="161">
        <v>0</v>
      </c>
      <c r="O785" s="162">
        <f t="shared" si="72"/>
        <v>992.09999999999991</v>
      </c>
      <c r="P785" s="162">
        <v>-1428.57</v>
      </c>
      <c r="Q785" s="161">
        <v>-38</v>
      </c>
      <c r="R785" s="161">
        <v>0</v>
      </c>
      <c r="S785" s="161">
        <v>0</v>
      </c>
      <c r="T785" s="161">
        <v>0</v>
      </c>
      <c r="U785" s="161">
        <v>0</v>
      </c>
      <c r="V785" s="161">
        <v>0</v>
      </c>
      <c r="W785" s="161">
        <f t="shared" si="73"/>
        <v>-474.47</v>
      </c>
      <c r="X785" s="161">
        <f t="shared" si="74"/>
        <v>0</v>
      </c>
      <c r="Y785" s="161">
        <f t="shared" si="75"/>
        <v>-474.47</v>
      </c>
      <c r="Z785" s="161">
        <v>0</v>
      </c>
      <c r="AA785" s="161">
        <f t="shared" si="76"/>
        <v>-474.47</v>
      </c>
      <c r="AB785" s="161">
        <f t="shared" si="77"/>
        <v>517.62999999999988</v>
      </c>
      <c r="AC785" s="158" t="s">
        <v>1028</v>
      </c>
      <c r="AD785" s="158"/>
    </row>
    <row r="786" spans="1:30" ht="12.75" customHeight="1" x14ac:dyDescent="0.3">
      <c r="A786" s="147">
        <v>38</v>
      </c>
      <c r="B786" s="158" t="s">
        <v>484</v>
      </c>
      <c r="C786" s="158" t="s">
        <v>1065</v>
      </c>
      <c r="D786" s="158" t="s">
        <v>903</v>
      </c>
      <c r="E786" s="158" t="s">
        <v>25</v>
      </c>
      <c r="F786" s="158" t="s">
        <v>39</v>
      </c>
      <c r="G786" s="158" t="s">
        <v>866</v>
      </c>
      <c r="H786" s="161">
        <v>1662.24</v>
      </c>
      <c r="I786" s="161">
        <v>-30.39</v>
      </c>
      <c r="J786" s="161">
        <v>0</v>
      </c>
      <c r="K786" s="161">
        <v>0</v>
      </c>
      <c r="L786" s="161">
        <v>-1193.0999999999999</v>
      </c>
      <c r="M786" s="161">
        <v>-17</v>
      </c>
      <c r="N786" s="161">
        <v>0</v>
      </c>
      <c r="O786" s="162">
        <f t="shared" si="72"/>
        <v>421.75</v>
      </c>
      <c r="P786" s="162">
        <v>-714.28</v>
      </c>
      <c r="Q786" s="161">
        <v>0</v>
      </c>
      <c r="R786" s="161">
        <v>0</v>
      </c>
      <c r="S786" s="161">
        <v>0</v>
      </c>
      <c r="T786" s="161">
        <v>0</v>
      </c>
      <c r="U786" s="161">
        <v>0</v>
      </c>
      <c r="V786" s="161">
        <v>0</v>
      </c>
      <c r="W786" s="161">
        <f t="shared" si="73"/>
        <v>-292.52999999999997</v>
      </c>
      <c r="X786" s="161">
        <f t="shared" si="74"/>
        <v>0</v>
      </c>
      <c r="Y786" s="161">
        <f t="shared" si="75"/>
        <v>-292.52999999999997</v>
      </c>
      <c r="Z786" s="161">
        <v>0</v>
      </c>
      <c r="AA786" s="161">
        <f t="shared" si="76"/>
        <v>-292.52999999999997</v>
      </c>
      <c r="AB786" s="161">
        <f t="shared" si="77"/>
        <v>129.22000000000003</v>
      </c>
      <c r="AC786" s="158" t="s">
        <v>1028</v>
      </c>
      <c r="AD786" s="158"/>
    </row>
    <row r="787" spans="1:30" ht="12.75" customHeight="1" x14ac:dyDescent="0.3">
      <c r="A787" s="147">
        <v>38</v>
      </c>
      <c r="B787" s="158" t="s">
        <v>408</v>
      </c>
      <c r="C787" s="158" t="s">
        <v>334</v>
      </c>
      <c r="D787" s="158" t="s">
        <v>20</v>
      </c>
      <c r="E787" s="160" t="s">
        <v>25</v>
      </c>
      <c r="F787" s="158" t="s">
        <v>39</v>
      </c>
      <c r="G787" s="158" t="s">
        <v>866</v>
      </c>
      <c r="H787" s="161">
        <v>4757.8900000000003</v>
      </c>
      <c r="I787" s="161">
        <v>-156.22999999999999</v>
      </c>
      <c r="J787" s="161">
        <v>0</v>
      </c>
      <c r="K787" s="161">
        <v>0</v>
      </c>
      <c r="L787" s="161">
        <v>-2013.18</v>
      </c>
      <c r="M787" s="161">
        <v>-38</v>
      </c>
      <c r="N787" s="161">
        <v>0</v>
      </c>
      <c r="O787" s="162">
        <f t="shared" si="72"/>
        <v>2550.4800000000005</v>
      </c>
      <c r="P787" s="162">
        <v>-2500</v>
      </c>
      <c r="Q787" s="161">
        <v>-93</v>
      </c>
      <c r="R787" s="161">
        <v>0</v>
      </c>
      <c r="S787" s="161">
        <v>0</v>
      </c>
      <c r="T787" s="161">
        <v>0</v>
      </c>
      <c r="U787" s="161">
        <v>0</v>
      </c>
      <c r="V787" s="161">
        <v>0</v>
      </c>
      <c r="W787" s="161">
        <f t="shared" si="73"/>
        <v>-42.519999999999527</v>
      </c>
      <c r="X787" s="161">
        <f t="shared" si="74"/>
        <v>0</v>
      </c>
      <c r="Y787" s="161">
        <f t="shared" si="75"/>
        <v>-42.519999999999527</v>
      </c>
      <c r="Z787" s="161">
        <v>0</v>
      </c>
      <c r="AA787" s="161">
        <f t="shared" si="76"/>
        <v>-42.519999999999527</v>
      </c>
      <c r="AB787" s="161">
        <f t="shared" si="77"/>
        <v>2507.9600000000009</v>
      </c>
      <c r="AC787" s="158" t="s">
        <v>1028</v>
      </c>
      <c r="AD787" s="158"/>
    </row>
    <row r="788" spans="1:30" ht="12.75" customHeight="1" x14ac:dyDescent="0.3">
      <c r="A788" s="147">
        <v>38</v>
      </c>
      <c r="B788" s="158" t="s">
        <v>1067</v>
      </c>
      <c r="C788" s="158" t="s">
        <v>46</v>
      </c>
      <c r="D788" s="158" t="s">
        <v>915</v>
      </c>
      <c r="E788" s="158" t="s">
        <v>25</v>
      </c>
      <c r="F788" s="158" t="s">
        <v>25</v>
      </c>
      <c r="G788" s="158" t="s">
        <v>866</v>
      </c>
      <c r="H788" s="161">
        <v>5078.75</v>
      </c>
      <c r="I788" s="161">
        <v>-80.19</v>
      </c>
      <c r="J788" s="161">
        <v>-60.77</v>
      </c>
      <c r="K788" s="161">
        <v>0</v>
      </c>
      <c r="L788" s="161">
        <v>-2122.7399999999998</v>
      </c>
      <c r="M788" s="162">
        <v>-38</v>
      </c>
      <c r="N788" s="161">
        <v>0</v>
      </c>
      <c r="O788" s="162">
        <f t="shared" si="72"/>
        <v>2777.05</v>
      </c>
      <c r="P788" s="161">
        <v>-2500</v>
      </c>
      <c r="Q788" s="161">
        <v>0</v>
      </c>
      <c r="R788" s="161">
        <v>-500</v>
      </c>
      <c r="S788" s="161">
        <v>0</v>
      </c>
      <c r="T788" s="161">
        <v>0</v>
      </c>
      <c r="U788" s="161">
        <v>0</v>
      </c>
      <c r="V788" s="161">
        <v>0</v>
      </c>
      <c r="W788" s="161">
        <f t="shared" si="73"/>
        <v>-222.94999999999982</v>
      </c>
      <c r="X788" s="161">
        <f t="shared" si="74"/>
        <v>0</v>
      </c>
      <c r="Y788" s="161">
        <f t="shared" si="75"/>
        <v>-222.94999999999982</v>
      </c>
      <c r="Z788" s="161">
        <v>223</v>
      </c>
      <c r="AA788" s="161">
        <f t="shared" si="76"/>
        <v>5.0000000000181899E-2</v>
      </c>
      <c r="AB788" s="161">
        <f t="shared" si="77"/>
        <v>3000.1000000000004</v>
      </c>
      <c r="AC788" s="158" t="s">
        <v>1031</v>
      </c>
      <c r="AD788" s="158"/>
    </row>
    <row r="789" spans="1:30" ht="12.75" customHeight="1" x14ac:dyDescent="0.3">
      <c r="A789" s="147">
        <v>38</v>
      </c>
      <c r="B789" s="158" t="s">
        <v>992</v>
      </c>
      <c r="C789" s="158" t="s">
        <v>169</v>
      </c>
      <c r="D789" s="158" t="s">
        <v>967</v>
      </c>
      <c r="E789" s="160" t="s">
        <v>871</v>
      </c>
      <c r="F789" s="158" t="s">
        <v>39</v>
      </c>
      <c r="G789" s="160" t="s">
        <v>866</v>
      </c>
      <c r="H789" s="161">
        <v>3968.19</v>
      </c>
      <c r="I789" s="161">
        <v>-69.150000000000006</v>
      </c>
      <c r="J789" s="161">
        <v>0</v>
      </c>
      <c r="K789" s="161">
        <v>0</v>
      </c>
      <c r="L789" s="161">
        <v>-827.51</v>
      </c>
      <c r="M789" s="161">
        <v>-32</v>
      </c>
      <c r="N789" s="161">
        <v>0</v>
      </c>
      <c r="O789" s="162">
        <f t="shared" si="72"/>
        <v>3039.5299999999997</v>
      </c>
      <c r="P789" s="162">
        <v>-2500</v>
      </c>
      <c r="Q789" s="161">
        <v>0</v>
      </c>
      <c r="R789" s="161">
        <v>0</v>
      </c>
      <c r="S789" s="161">
        <v>0</v>
      </c>
      <c r="T789" s="161">
        <v>0</v>
      </c>
      <c r="U789" s="161">
        <v>0</v>
      </c>
      <c r="V789" s="161">
        <v>0</v>
      </c>
      <c r="W789" s="161">
        <f t="shared" si="73"/>
        <v>539.52999999999975</v>
      </c>
      <c r="X789" s="161">
        <f t="shared" si="74"/>
        <v>539.52999999999975</v>
      </c>
      <c r="Y789" s="161">
        <f t="shared" si="75"/>
        <v>0</v>
      </c>
      <c r="Z789" s="161">
        <v>0</v>
      </c>
      <c r="AA789" s="161">
        <f t="shared" si="76"/>
        <v>0</v>
      </c>
      <c r="AB789" s="161">
        <f t="shared" si="77"/>
        <v>2500</v>
      </c>
      <c r="AC789" s="158" t="s">
        <v>374</v>
      </c>
      <c r="AD789" s="158"/>
    </row>
    <row r="790" spans="1:30" ht="12.75" customHeight="1" x14ac:dyDescent="0.3">
      <c r="A790" s="147">
        <v>38</v>
      </c>
      <c r="B790" s="158" t="s">
        <v>1069</v>
      </c>
      <c r="C790" s="182" t="s">
        <v>213</v>
      </c>
      <c r="D790" s="158" t="s">
        <v>881</v>
      </c>
      <c r="E790" s="158" t="s">
        <v>39</v>
      </c>
      <c r="F790" s="158" t="s">
        <v>39</v>
      </c>
      <c r="G790" s="160" t="s">
        <v>866</v>
      </c>
      <c r="H790" s="161">
        <v>2368.15</v>
      </c>
      <c r="I790" s="161">
        <v>-44.84</v>
      </c>
      <c r="J790" s="161">
        <v>0</v>
      </c>
      <c r="K790" s="161">
        <v>0</v>
      </c>
      <c r="L790" s="161">
        <v>0</v>
      </c>
      <c r="M790" s="162">
        <v>-28</v>
      </c>
      <c r="N790" s="161">
        <v>0</v>
      </c>
      <c r="O790" s="162">
        <f t="shared" si="72"/>
        <v>2295.31</v>
      </c>
      <c r="P790" s="162">
        <v>-2500</v>
      </c>
      <c r="Q790" s="161">
        <v>-490</v>
      </c>
      <c r="R790" s="161">
        <v>0</v>
      </c>
      <c r="S790" s="161">
        <v>0</v>
      </c>
      <c r="T790" s="161">
        <v>0</v>
      </c>
      <c r="U790" s="161">
        <v>0</v>
      </c>
      <c r="V790" s="161">
        <v>0</v>
      </c>
      <c r="W790" s="161">
        <f t="shared" si="73"/>
        <v>-694.69</v>
      </c>
      <c r="X790" s="161">
        <f t="shared" si="74"/>
        <v>0</v>
      </c>
      <c r="Y790" s="161">
        <f t="shared" si="75"/>
        <v>-694.69</v>
      </c>
      <c r="Z790" s="161">
        <v>0</v>
      </c>
      <c r="AA790" s="161">
        <f t="shared" si="76"/>
        <v>-694.69</v>
      </c>
      <c r="AB790" s="161">
        <f t="shared" si="77"/>
        <v>1600.62</v>
      </c>
      <c r="AC790" s="158" t="s">
        <v>1028</v>
      </c>
      <c r="AD790" s="158"/>
    </row>
    <row r="791" spans="1:30" ht="12.75" customHeight="1" x14ac:dyDescent="0.3">
      <c r="A791" s="147">
        <v>38</v>
      </c>
      <c r="B791" s="158" t="s">
        <v>1051</v>
      </c>
      <c r="C791" s="158" t="s">
        <v>21</v>
      </c>
      <c r="D791" s="158" t="s">
        <v>20</v>
      </c>
      <c r="E791" s="160" t="s">
        <v>18</v>
      </c>
      <c r="F791" s="160" t="s">
        <v>18</v>
      </c>
      <c r="G791" s="158" t="s">
        <v>866</v>
      </c>
      <c r="H791" s="161">
        <v>5147.17</v>
      </c>
      <c r="I791" s="161">
        <v>-99.9</v>
      </c>
      <c r="J791" s="161">
        <v>-9.7899999999999991</v>
      </c>
      <c r="K791" s="161">
        <v>0</v>
      </c>
      <c r="L791" s="161">
        <v>-1592.92</v>
      </c>
      <c r="M791" s="161">
        <v>0</v>
      </c>
      <c r="N791" s="161">
        <v>0</v>
      </c>
      <c r="O791" s="162">
        <f t="shared" si="72"/>
        <v>3444.5600000000004</v>
      </c>
      <c r="P791" s="161">
        <v>-2500</v>
      </c>
      <c r="Q791" s="161">
        <v>0</v>
      </c>
      <c r="R791" s="161">
        <v>-500</v>
      </c>
      <c r="S791" s="161">
        <v>0</v>
      </c>
      <c r="T791" s="161">
        <v>0</v>
      </c>
      <c r="U791" s="161">
        <v>0</v>
      </c>
      <c r="V791" s="161">
        <v>0</v>
      </c>
      <c r="W791" s="161">
        <f t="shared" si="73"/>
        <v>444.5600000000004</v>
      </c>
      <c r="X791" s="161">
        <f t="shared" si="74"/>
        <v>444.5600000000004</v>
      </c>
      <c r="Y791" s="161">
        <f t="shared" si="75"/>
        <v>0</v>
      </c>
      <c r="Z791" s="161">
        <v>0</v>
      </c>
      <c r="AA791" s="161">
        <f t="shared" si="76"/>
        <v>0</v>
      </c>
      <c r="AB791" s="161">
        <f t="shared" si="77"/>
        <v>3000</v>
      </c>
      <c r="AC791" s="158" t="s">
        <v>1024</v>
      </c>
      <c r="AD791" s="158"/>
    </row>
    <row r="792" spans="1:30" ht="12.75" customHeight="1" x14ac:dyDescent="0.3">
      <c r="A792" s="147">
        <v>38</v>
      </c>
      <c r="B792" s="158" t="s">
        <v>880</v>
      </c>
      <c r="C792" s="158" t="s">
        <v>183</v>
      </c>
      <c r="D792" s="158" t="s">
        <v>887</v>
      </c>
      <c r="E792" s="158" t="s">
        <v>25</v>
      </c>
      <c r="F792" s="158" t="s">
        <v>25</v>
      </c>
      <c r="G792" s="160" t="s">
        <v>866</v>
      </c>
      <c r="H792" s="161">
        <v>4619.87</v>
      </c>
      <c r="I792" s="161">
        <v>-71.290000000000006</v>
      </c>
      <c r="J792" s="161">
        <v>-6.18</v>
      </c>
      <c r="K792" s="161">
        <v>0</v>
      </c>
      <c r="L792" s="161">
        <v>-1173.73</v>
      </c>
      <c r="M792" s="161">
        <v>-45</v>
      </c>
      <c r="N792" s="161">
        <v>-41</v>
      </c>
      <c r="O792" s="162">
        <f t="shared" si="72"/>
        <v>3282.6699999999996</v>
      </c>
      <c r="P792" s="162">
        <v>-2500</v>
      </c>
      <c r="Q792" s="161">
        <v>0</v>
      </c>
      <c r="R792" s="161">
        <v>0</v>
      </c>
      <c r="S792" s="161">
        <v>0</v>
      </c>
      <c r="T792" s="161">
        <v>-500</v>
      </c>
      <c r="U792" s="161">
        <v>-500</v>
      </c>
      <c r="V792" s="161">
        <v>0</v>
      </c>
      <c r="W792" s="161">
        <f t="shared" si="73"/>
        <v>-217.33000000000038</v>
      </c>
      <c r="X792" s="161">
        <f t="shared" si="74"/>
        <v>0</v>
      </c>
      <c r="Y792" s="161">
        <f t="shared" si="75"/>
        <v>-217.33000000000038</v>
      </c>
      <c r="Z792" s="161">
        <v>217</v>
      </c>
      <c r="AA792" s="161">
        <f t="shared" si="76"/>
        <v>-0.33000000000038199</v>
      </c>
      <c r="AB792" s="161">
        <f t="shared" si="77"/>
        <v>3499.3399999999992</v>
      </c>
      <c r="AC792" s="158" t="s">
        <v>1031</v>
      </c>
      <c r="AD792" s="158"/>
    </row>
    <row r="793" spans="1:30" ht="12.75" customHeight="1" x14ac:dyDescent="0.3">
      <c r="A793" s="147">
        <v>38</v>
      </c>
      <c r="B793" s="158" t="s">
        <v>922</v>
      </c>
      <c r="C793" s="158" t="s">
        <v>36</v>
      </c>
      <c r="D793" s="158" t="s">
        <v>904</v>
      </c>
      <c r="E793" s="158" t="s">
        <v>25</v>
      </c>
      <c r="F793" s="158" t="s">
        <v>25</v>
      </c>
      <c r="G793" s="158" t="s">
        <v>866</v>
      </c>
      <c r="H793" s="161">
        <v>2120.5700000000002</v>
      </c>
      <c r="I793" s="161">
        <v>-34.46</v>
      </c>
      <c r="J793" s="161">
        <v>0</v>
      </c>
      <c r="K793" s="161">
        <v>0</v>
      </c>
      <c r="L793" s="161">
        <v>0</v>
      </c>
      <c r="M793" s="161">
        <v>-32</v>
      </c>
      <c r="N793" s="161">
        <v>0</v>
      </c>
      <c r="O793" s="162">
        <f t="shared" si="72"/>
        <v>2054.11</v>
      </c>
      <c r="P793" s="162">
        <v>-2500</v>
      </c>
      <c r="Q793" s="161">
        <v>-319</v>
      </c>
      <c r="R793" s="161">
        <v>0</v>
      </c>
      <c r="S793" s="161">
        <v>0</v>
      </c>
      <c r="T793" s="161">
        <v>0</v>
      </c>
      <c r="U793" s="161">
        <v>0</v>
      </c>
      <c r="V793" s="161">
        <v>0</v>
      </c>
      <c r="W793" s="161">
        <f t="shared" si="73"/>
        <v>-764.88999999999987</v>
      </c>
      <c r="X793" s="161">
        <f t="shared" si="74"/>
        <v>0</v>
      </c>
      <c r="Y793" s="161">
        <f t="shared" si="75"/>
        <v>-764.88999999999987</v>
      </c>
      <c r="Z793" s="161">
        <v>700</v>
      </c>
      <c r="AA793" s="161">
        <f t="shared" si="76"/>
        <v>-64.889999999999873</v>
      </c>
      <c r="AB793" s="161">
        <f t="shared" si="77"/>
        <v>2689.2200000000003</v>
      </c>
      <c r="AC793" s="158" t="s">
        <v>1031</v>
      </c>
      <c r="AD793" s="158"/>
    </row>
    <row r="794" spans="1:30" ht="12.75" customHeight="1" x14ac:dyDescent="0.3">
      <c r="A794" s="147">
        <v>38</v>
      </c>
      <c r="B794" s="158" t="s">
        <v>993</v>
      </c>
      <c r="C794" s="158" t="s">
        <v>347</v>
      </c>
      <c r="D794" s="158" t="s">
        <v>897</v>
      </c>
      <c r="E794" s="158" t="s">
        <v>25</v>
      </c>
      <c r="F794" s="158" t="s">
        <v>25</v>
      </c>
      <c r="G794" s="158" t="s">
        <v>866</v>
      </c>
      <c r="H794" s="161">
        <v>1434.16</v>
      </c>
      <c r="I794" s="161">
        <v>-22.88</v>
      </c>
      <c r="J794" s="161">
        <v>0</v>
      </c>
      <c r="K794" s="161">
        <v>0</v>
      </c>
      <c r="L794" s="161">
        <v>-551.23</v>
      </c>
      <c r="M794" s="161">
        <v>-38</v>
      </c>
      <c r="N794" s="161">
        <v>0</v>
      </c>
      <c r="O794" s="162">
        <f t="shared" si="72"/>
        <v>822.05</v>
      </c>
      <c r="P794" s="162">
        <v>-2500</v>
      </c>
      <c r="Q794" s="161">
        <v>-17</v>
      </c>
      <c r="R794" s="161">
        <v>0</v>
      </c>
      <c r="S794" s="161">
        <v>0</v>
      </c>
      <c r="T794" s="161">
        <v>0</v>
      </c>
      <c r="U794" s="161">
        <v>0</v>
      </c>
      <c r="V794" s="161">
        <v>0</v>
      </c>
      <c r="W794" s="161">
        <f t="shared" si="73"/>
        <v>-1694.95</v>
      </c>
      <c r="X794" s="161">
        <f t="shared" si="74"/>
        <v>0</v>
      </c>
      <c r="Y794" s="161">
        <f t="shared" si="75"/>
        <v>-1694.95</v>
      </c>
      <c r="Z794" s="161">
        <f>1262+600</f>
        <v>1862</v>
      </c>
      <c r="AA794" s="161">
        <f t="shared" si="76"/>
        <v>167.04999999999995</v>
      </c>
      <c r="AB794" s="161">
        <f t="shared" si="77"/>
        <v>2851.1000000000004</v>
      </c>
      <c r="AC794" s="158" t="s">
        <v>1079</v>
      </c>
      <c r="AD794" s="158"/>
    </row>
    <row r="795" spans="1:30" ht="12.75" customHeight="1" x14ac:dyDescent="0.3">
      <c r="A795" s="147">
        <v>38</v>
      </c>
      <c r="B795" s="158" t="s">
        <v>1048</v>
      </c>
      <c r="C795" s="158" t="s">
        <v>55</v>
      </c>
      <c r="D795" s="158" t="s">
        <v>20</v>
      </c>
      <c r="E795" s="160" t="s">
        <v>25</v>
      </c>
      <c r="F795" s="158" t="s">
        <v>39</v>
      </c>
      <c r="G795" s="158" t="s">
        <v>866</v>
      </c>
      <c r="H795" s="161">
        <v>9987.52</v>
      </c>
      <c r="I795" s="161">
        <v>-176.04</v>
      </c>
      <c r="J795" s="161">
        <v>0</v>
      </c>
      <c r="K795" s="161">
        <v>0</v>
      </c>
      <c r="L795" s="161">
        <v>-1243.03</v>
      </c>
      <c r="M795" s="162">
        <v>-38</v>
      </c>
      <c r="N795" s="161">
        <v>0</v>
      </c>
      <c r="O795" s="162">
        <f t="shared" si="72"/>
        <v>8530.4499999999989</v>
      </c>
      <c r="P795" s="161">
        <v>-2500</v>
      </c>
      <c r="Q795" s="161">
        <v>0</v>
      </c>
      <c r="R795" s="161">
        <v>-500</v>
      </c>
      <c r="S795" s="161">
        <v>0</v>
      </c>
      <c r="T795" s="161">
        <v>0</v>
      </c>
      <c r="U795" s="161">
        <v>0</v>
      </c>
      <c r="V795" s="161">
        <v>0</v>
      </c>
      <c r="W795" s="161">
        <f t="shared" si="73"/>
        <v>5530.4499999999989</v>
      </c>
      <c r="X795" s="161">
        <f t="shared" si="74"/>
        <v>5530.4499999999989</v>
      </c>
      <c r="Y795" s="161">
        <f t="shared" si="75"/>
        <v>0</v>
      </c>
      <c r="Z795" s="161">
        <v>0</v>
      </c>
      <c r="AA795" s="161">
        <f t="shared" si="76"/>
        <v>0</v>
      </c>
      <c r="AB795" s="161">
        <f t="shared" si="77"/>
        <v>3000</v>
      </c>
      <c r="AC795" s="158" t="s">
        <v>374</v>
      </c>
      <c r="AD795" s="158"/>
    </row>
    <row r="796" spans="1:30" ht="12.75" customHeight="1" x14ac:dyDescent="0.3">
      <c r="A796" s="147">
        <v>38</v>
      </c>
      <c r="B796" s="158" t="s">
        <v>1025</v>
      </c>
      <c r="C796" s="158" t="s">
        <v>51</v>
      </c>
      <c r="D796" s="158" t="s">
        <v>20</v>
      </c>
      <c r="E796" s="160" t="s">
        <v>25</v>
      </c>
      <c r="F796" s="158" t="s">
        <v>39</v>
      </c>
      <c r="G796" s="158" t="s">
        <v>866</v>
      </c>
      <c r="H796" s="161">
        <v>5268.04</v>
      </c>
      <c r="I796" s="161">
        <v>-86.54</v>
      </c>
      <c r="J796" s="161">
        <v>0</v>
      </c>
      <c r="K796" s="161">
        <v>0</v>
      </c>
      <c r="L796" s="161">
        <v>0</v>
      </c>
      <c r="M796" s="161">
        <v>-32</v>
      </c>
      <c r="N796" s="161">
        <v>0</v>
      </c>
      <c r="O796" s="162">
        <f t="shared" si="72"/>
        <v>5149.5</v>
      </c>
      <c r="P796" s="161">
        <v>-2500</v>
      </c>
      <c r="Q796" s="161">
        <v>0</v>
      </c>
      <c r="R796" s="161">
        <v>-500</v>
      </c>
      <c r="S796" s="161">
        <v>0</v>
      </c>
      <c r="T796" s="161">
        <v>0</v>
      </c>
      <c r="U796" s="161">
        <v>0</v>
      </c>
      <c r="V796" s="161">
        <v>0</v>
      </c>
      <c r="W796" s="161">
        <f t="shared" si="73"/>
        <v>2149.5</v>
      </c>
      <c r="X796" s="161">
        <f t="shared" si="74"/>
        <v>2149.5</v>
      </c>
      <c r="Y796" s="161">
        <f t="shared" si="75"/>
        <v>0</v>
      </c>
      <c r="Z796" s="161">
        <v>0</v>
      </c>
      <c r="AA796" s="161">
        <f t="shared" si="76"/>
        <v>0</v>
      </c>
      <c r="AB796" s="161">
        <f t="shared" si="77"/>
        <v>3000</v>
      </c>
      <c r="AC796" s="158" t="s">
        <v>374</v>
      </c>
      <c r="AD796" s="158"/>
    </row>
    <row r="797" spans="1:30" ht="12.75" customHeight="1" x14ac:dyDescent="0.3">
      <c r="A797" s="147">
        <v>38</v>
      </c>
      <c r="B797" s="158" t="s">
        <v>1070</v>
      </c>
      <c r="C797" s="158" t="s">
        <v>1071</v>
      </c>
      <c r="D797" s="158" t="s">
        <v>20</v>
      </c>
      <c r="E797" s="160" t="s">
        <v>18</v>
      </c>
      <c r="F797" s="160" t="s">
        <v>18</v>
      </c>
      <c r="G797" s="158" t="s">
        <v>866</v>
      </c>
      <c r="H797" s="161">
        <v>7516.44</v>
      </c>
      <c r="I797" s="161">
        <v>0</v>
      </c>
      <c r="J797" s="161">
        <v>-16</v>
      </c>
      <c r="K797" s="161">
        <v>0</v>
      </c>
      <c r="L797" s="161">
        <v>-1561.11</v>
      </c>
      <c r="M797" s="162">
        <v>0</v>
      </c>
      <c r="N797" s="161">
        <v>0</v>
      </c>
      <c r="O797" s="162">
        <f t="shared" si="72"/>
        <v>5939.33</v>
      </c>
      <c r="P797" s="161">
        <v>-2500</v>
      </c>
      <c r="Q797" s="161">
        <v>0</v>
      </c>
      <c r="R797" s="161">
        <v>0</v>
      </c>
      <c r="S797" s="161">
        <v>0</v>
      </c>
      <c r="T797" s="161">
        <v>0</v>
      </c>
      <c r="U797" s="161">
        <v>0</v>
      </c>
      <c r="V797" s="161">
        <v>0</v>
      </c>
      <c r="W797" s="161">
        <f t="shared" si="73"/>
        <v>3439.33</v>
      </c>
      <c r="X797" s="161">
        <f t="shared" si="74"/>
        <v>3439.33</v>
      </c>
      <c r="Y797" s="161">
        <f t="shared" si="75"/>
        <v>0</v>
      </c>
      <c r="Z797" s="161">
        <v>0</v>
      </c>
      <c r="AA797" s="161">
        <f t="shared" si="76"/>
        <v>0</v>
      </c>
      <c r="AB797" s="161">
        <f t="shared" si="77"/>
        <v>2500</v>
      </c>
      <c r="AC797" s="158" t="s">
        <v>1024</v>
      </c>
      <c r="AD797" s="158"/>
    </row>
    <row r="798" spans="1:30" ht="12.75" customHeight="1" x14ac:dyDescent="0.3">
      <c r="A798" s="147">
        <v>38</v>
      </c>
      <c r="B798" s="158" t="s">
        <v>1003</v>
      </c>
      <c r="C798" s="158" t="s">
        <v>59</v>
      </c>
      <c r="D798" s="158" t="s">
        <v>895</v>
      </c>
      <c r="E798" s="158" t="s">
        <v>25</v>
      </c>
      <c r="F798" s="158" t="s">
        <v>25</v>
      </c>
      <c r="G798" s="158" t="s">
        <v>866</v>
      </c>
      <c r="H798" s="161">
        <v>653.85</v>
      </c>
      <c r="I798" s="161">
        <v>-12.21</v>
      </c>
      <c r="J798" s="161">
        <v>0</v>
      </c>
      <c r="K798" s="161">
        <v>0</v>
      </c>
      <c r="L798" s="161">
        <v>0</v>
      </c>
      <c r="M798" s="161">
        <v>-32</v>
      </c>
      <c r="N798" s="161">
        <v>0</v>
      </c>
      <c r="O798" s="162">
        <f t="shared" si="72"/>
        <v>609.64</v>
      </c>
      <c r="P798" s="161">
        <v>-2500</v>
      </c>
      <c r="Q798" s="161">
        <v>-1798</v>
      </c>
      <c r="R798" s="161">
        <v>0</v>
      </c>
      <c r="S798" s="161">
        <v>0</v>
      </c>
      <c r="T798" s="161">
        <v>0</v>
      </c>
      <c r="U798" s="161">
        <v>0</v>
      </c>
      <c r="V798" s="161">
        <v>0</v>
      </c>
      <c r="W798" s="161">
        <f t="shared" si="73"/>
        <v>-3688.36</v>
      </c>
      <c r="X798" s="161">
        <f t="shared" si="74"/>
        <v>0</v>
      </c>
      <c r="Y798" s="161">
        <f t="shared" si="75"/>
        <v>-3688.36</v>
      </c>
      <c r="Z798" s="161">
        <v>0</v>
      </c>
      <c r="AA798" s="161">
        <f t="shared" si="76"/>
        <v>-3688.36</v>
      </c>
      <c r="AB798" s="161">
        <f t="shared" si="77"/>
        <v>-3078.7200000000003</v>
      </c>
      <c r="AC798" s="158" t="s">
        <v>1080</v>
      </c>
      <c r="AD798" s="158"/>
    </row>
    <row r="799" spans="1:30" ht="12.75" customHeight="1" x14ac:dyDescent="0.3">
      <c r="A799" s="147">
        <v>39</v>
      </c>
      <c r="B799" s="158" t="s">
        <v>1062</v>
      </c>
      <c r="C799" s="158" t="s">
        <v>64</v>
      </c>
      <c r="D799" s="158" t="s">
        <v>895</v>
      </c>
      <c r="E799" s="158" t="s">
        <v>25</v>
      </c>
      <c r="F799" s="158" t="s">
        <v>25</v>
      </c>
      <c r="G799" s="158" t="s">
        <v>866</v>
      </c>
      <c r="H799" s="161">
        <v>8269.02</v>
      </c>
      <c r="I799" s="161">
        <v>-128.82</v>
      </c>
      <c r="J799" s="161">
        <v>9.7899999999999991</v>
      </c>
      <c r="K799" s="161">
        <v>0</v>
      </c>
      <c r="L799" s="161">
        <v>-3869.29</v>
      </c>
      <c r="M799" s="161">
        <v>-32</v>
      </c>
      <c r="N799" s="161">
        <v>0</v>
      </c>
      <c r="O799" s="162">
        <f t="shared" si="72"/>
        <v>4248.7000000000007</v>
      </c>
      <c r="P799" s="161">
        <v>-2143</v>
      </c>
      <c r="Q799" s="161">
        <v>0</v>
      </c>
      <c r="R799" s="161">
        <v>-500</v>
      </c>
      <c r="S799" s="161">
        <v>0</v>
      </c>
      <c r="T799" s="161">
        <v>0</v>
      </c>
      <c r="U799" s="161">
        <v>0</v>
      </c>
      <c r="V799" s="161">
        <v>0</v>
      </c>
      <c r="W799" s="161">
        <f t="shared" si="73"/>
        <v>1605.7000000000007</v>
      </c>
      <c r="X799" s="161">
        <f t="shared" si="74"/>
        <v>1605.7000000000007</v>
      </c>
      <c r="Y799" s="161">
        <f t="shared" si="75"/>
        <v>0</v>
      </c>
      <c r="Z799" s="161">
        <v>0</v>
      </c>
      <c r="AA799" s="161">
        <f t="shared" si="76"/>
        <v>0</v>
      </c>
      <c r="AB799" s="161">
        <f t="shared" si="77"/>
        <v>2643</v>
      </c>
      <c r="AC799" s="158" t="s">
        <v>374</v>
      </c>
      <c r="AD799" s="158"/>
    </row>
    <row r="800" spans="1:30" ht="12.75" customHeight="1" x14ac:dyDescent="0.3">
      <c r="A800" s="147">
        <v>39</v>
      </c>
      <c r="B800" s="158" t="s">
        <v>585</v>
      </c>
      <c r="C800" s="158" t="s">
        <v>42</v>
      </c>
      <c r="D800" s="158" t="s">
        <v>948</v>
      </c>
      <c r="E800" s="158" t="s">
        <v>25</v>
      </c>
      <c r="F800" s="158" t="s">
        <v>25</v>
      </c>
      <c r="G800" s="158" t="s">
        <v>866</v>
      </c>
      <c r="H800" s="161">
        <v>0</v>
      </c>
      <c r="I800" s="161">
        <v>0</v>
      </c>
      <c r="J800" s="161">
        <v>0</v>
      </c>
      <c r="K800" s="161">
        <v>0</v>
      </c>
      <c r="L800" s="161">
        <v>0</v>
      </c>
      <c r="M800" s="161">
        <v>0</v>
      </c>
      <c r="N800" s="161">
        <v>0</v>
      </c>
      <c r="O800" s="162">
        <f t="shared" si="72"/>
        <v>0</v>
      </c>
      <c r="P800" s="161">
        <v>-2500</v>
      </c>
      <c r="Q800" s="161">
        <v>0</v>
      </c>
      <c r="R800" s="161">
        <v>0</v>
      </c>
      <c r="S800" s="161">
        <v>0</v>
      </c>
      <c r="T800" s="161">
        <v>0</v>
      </c>
      <c r="U800" s="161">
        <v>0</v>
      </c>
      <c r="V800" s="161">
        <v>0</v>
      </c>
      <c r="W800" s="161">
        <f t="shared" si="73"/>
        <v>-2500</v>
      </c>
      <c r="X800" s="161">
        <f t="shared" si="74"/>
        <v>0</v>
      </c>
      <c r="Y800" s="161">
        <f t="shared" si="75"/>
        <v>-2500</v>
      </c>
      <c r="Z800" s="161">
        <v>2500</v>
      </c>
      <c r="AA800" s="161">
        <f t="shared" si="76"/>
        <v>0</v>
      </c>
      <c r="AB800" s="161">
        <f t="shared" si="77"/>
        <v>2500</v>
      </c>
      <c r="AC800" s="158" t="s">
        <v>1072</v>
      </c>
      <c r="AD800" s="158"/>
    </row>
    <row r="801" spans="1:30" ht="12.75" customHeight="1" x14ac:dyDescent="0.3">
      <c r="A801" s="147">
        <v>39</v>
      </c>
      <c r="B801" s="158" t="s">
        <v>837</v>
      </c>
      <c r="C801" s="158" t="s">
        <v>409</v>
      </c>
      <c r="D801" s="158" t="s">
        <v>946</v>
      </c>
      <c r="E801" s="158" t="s">
        <v>25</v>
      </c>
      <c r="F801" s="158" t="s">
        <v>25</v>
      </c>
      <c r="G801" s="158" t="s">
        <v>866</v>
      </c>
      <c r="H801" s="161">
        <v>6363.3</v>
      </c>
      <c r="I801" s="161">
        <v>-92.76</v>
      </c>
      <c r="J801" s="161">
        <v>10.9</v>
      </c>
      <c r="K801" s="161">
        <v>0</v>
      </c>
      <c r="L801" s="161">
        <v>0</v>
      </c>
      <c r="M801" s="161">
        <v>-34</v>
      </c>
      <c r="N801" s="161">
        <v>0</v>
      </c>
      <c r="O801" s="162">
        <f t="shared" si="72"/>
        <v>6247.44</v>
      </c>
      <c r="P801" s="161">
        <v>-2500</v>
      </c>
      <c r="Q801" s="161">
        <v>0</v>
      </c>
      <c r="R801" s="161">
        <v>-500</v>
      </c>
      <c r="S801" s="161">
        <v>0</v>
      </c>
      <c r="T801" s="161">
        <v>0</v>
      </c>
      <c r="U801" s="161">
        <v>0</v>
      </c>
      <c r="V801" s="161">
        <v>0</v>
      </c>
      <c r="W801" s="161">
        <f t="shared" si="73"/>
        <v>3247.4399999999996</v>
      </c>
      <c r="X801" s="161">
        <f t="shared" si="74"/>
        <v>3247.4399999999996</v>
      </c>
      <c r="Y801" s="161">
        <f t="shared" si="75"/>
        <v>0</v>
      </c>
      <c r="Z801" s="161">
        <v>0</v>
      </c>
      <c r="AA801" s="161">
        <f t="shared" si="76"/>
        <v>0</v>
      </c>
      <c r="AB801" s="161">
        <f t="shared" si="77"/>
        <v>3000</v>
      </c>
      <c r="AC801" s="158" t="s">
        <v>374</v>
      </c>
      <c r="AD801" s="158"/>
    </row>
    <row r="802" spans="1:30" ht="12.75" customHeight="1" x14ac:dyDescent="0.3">
      <c r="A802" s="147">
        <v>39</v>
      </c>
      <c r="B802" s="158" t="s">
        <v>944</v>
      </c>
      <c r="C802" s="158" t="s">
        <v>372</v>
      </c>
      <c r="D802" s="158" t="s">
        <v>1004</v>
      </c>
      <c r="E802" s="158" t="s">
        <v>39</v>
      </c>
      <c r="F802" s="158" t="s">
        <v>39</v>
      </c>
      <c r="G802" s="158" t="s">
        <v>866</v>
      </c>
      <c r="H802" s="161">
        <v>5355.4</v>
      </c>
      <c r="I802" s="161">
        <v>-79.11</v>
      </c>
      <c r="J802" s="161">
        <v>-162.61000000000001</v>
      </c>
      <c r="K802" s="161">
        <v>0</v>
      </c>
      <c r="L802" s="161">
        <v>-1496.86</v>
      </c>
      <c r="M802" s="161">
        <v>-42</v>
      </c>
      <c r="N802" s="161">
        <v>0</v>
      </c>
      <c r="O802" s="162">
        <f t="shared" si="72"/>
        <v>3574.8200000000006</v>
      </c>
      <c r="P802" s="162">
        <v>-2500</v>
      </c>
      <c r="Q802" s="161">
        <v>0</v>
      </c>
      <c r="R802" s="161">
        <v>0</v>
      </c>
      <c r="S802" s="161">
        <v>0</v>
      </c>
      <c r="T802" s="161">
        <v>0</v>
      </c>
      <c r="U802" s="161">
        <v>0</v>
      </c>
      <c r="V802" s="161">
        <v>0</v>
      </c>
      <c r="W802" s="161">
        <f t="shared" si="73"/>
        <v>1074.8200000000006</v>
      </c>
      <c r="X802" s="161">
        <f t="shared" si="74"/>
        <v>1074.8200000000006</v>
      </c>
      <c r="Y802" s="161">
        <f t="shared" si="75"/>
        <v>0</v>
      </c>
      <c r="Z802" s="161">
        <v>0</v>
      </c>
      <c r="AA802" s="161">
        <f t="shared" si="76"/>
        <v>0</v>
      </c>
      <c r="AB802" s="161">
        <f t="shared" si="77"/>
        <v>2500</v>
      </c>
      <c r="AC802" s="158" t="s">
        <v>374</v>
      </c>
      <c r="AD802" s="158"/>
    </row>
    <row r="803" spans="1:30" ht="12.75" customHeight="1" x14ac:dyDescent="0.3">
      <c r="A803" s="147">
        <v>39</v>
      </c>
      <c r="B803" s="158" t="s">
        <v>604</v>
      </c>
      <c r="C803" s="158" t="s">
        <v>123</v>
      </c>
      <c r="D803" s="158" t="s">
        <v>20</v>
      </c>
      <c r="E803" s="160" t="s">
        <v>871</v>
      </c>
      <c r="F803" s="158" t="s">
        <v>39</v>
      </c>
      <c r="G803" s="158" t="s">
        <v>866</v>
      </c>
      <c r="H803" s="161">
        <v>5781.81</v>
      </c>
      <c r="I803" s="161">
        <v>-98.18</v>
      </c>
      <c r="J803" s="161">
        <v>0</v>
      </c>
      <c r="K803" s="161">
        <v>0</v>
      </c>
      <c r="L803" s="161">
        <v>0</v>
      </c>
      <c r="M803" s="161">
        <v>-32</v>
      </c>
      <c r="N803" s="161">
        <v>0</v>
      </c>
      <c r="O803" s="162">
        <f t="shared" si="72"/>
        <v>5651.63</v>
      </c>
      <c r="P803" s="161">
        <v>-2500</v>
      </c>
      <c r="Q803" s="161">
        <v>0</v>
      </c>
      <c r="R803" s="161">
        <v>-500</v>
      </c>
      <c r="S803" s="161">
        <v>0</v>
      </c>
      <c r="T803" s="161">
        <v>0</v>
      </c>
      <c r="U803" s="161">
        <v>0</v>
      </c>
      <c r="V803" s="161">
        <v>0</v>
      </c>
      <c r="W803" s="161">
        <f t="shared" si="73"/>
        <v>2651.63</v>
      </c>
      <c r="X803" s="161">
        <f t="shared" si="74"/>
        <v>2651.63</v>
      </c>
      <c r="Y803" s="161">
        <f t="shared" si="75"/>
        <v>0</v>
      </c>
      <c r="Z803" s="161">
        <v>0</v>
      </c>
      <c r="AA803" s="161">
        <f t="shared" si="76"/>
        <v>0</v>
      </c>
      <c r="AB803" s="161">
        <f t="shared" si="77"/>
        <v>3000</v>
      </c>
      <c r="AC803" s="158" t="s">
        <v>374</v>
      </c>
      <c r="AD803" s="158"/>
    </row>
    <row r="804" spans="1:30" ht="12.75" customHeight="1" x14ac:dyDescent="0.3">
      <c r="A804" s="147">
        <v>39</v>
      </c>
      <c r="B804" s="158" t="s">
        <v>1029</v>
      </c>
      <c r="C804" s="158" t="s">
        <v>68</v>
      </c>
      <c r="D804" s="158" t="s">
        <v>869</v>
      </c>
      <c r="E804" s="158" t="s">
        <v>25</v>
      </c>
      <c r="F804" s="158" t="s">
        <v>25</v>
      </c>
      <c r="G804" s="158" t="s">
        <v>866</v>
      </c>
      <c r="H804" s="161">
        <v>8852.7099999999991</v>
      </c>
      <c r="I804" s="161">
        <v>-195.36</v>
      </c>
      <c r="J804" s="161">
        <v>0</v>
      </c>
      <c r="K804" s="161">
        <v>-73.14</v>
      </c>
      <c r="L804" s="161">
        <v>0</v>
      </c>
      <c r="M804" s="161">
        <v>-38</v>
      </c>
      <c r="N804" s="161">
        <v>0</v>
      </c>
      <c r="O804" s="162">
        <f t="shared" si="72"/>
        <v>8546.2099999999991</v>
      </c>
      <c r="P804" s="161">
        <v>-2500</v>
      </c>
      <c r="Q804" s="161">
        <v>0</v>
      </c>
      <c r="R804" s="161">
        <v>0</v>
      </c>
      <c r="S804" s="161">
        <v>0</v>
      </c>
      <c r="T804" s="161">
        <v>0</v>
      </c>
      <c r="U804" s="161">
        <v>-1000</v>
      </c>
      <c r="V804" s="161">
        <v>0</v>
      </c>
      <c r="W804" s="161">
        <f t="shared" si="73"/>
        <v>5046.2099999999991</v>
      </c>
      <c r="X804" s="161">
        <f t="shared" si="74"/>
        <v>5046.2099999999991</v>
      </c>
      <c r="Y804" s="161">
        <f t="shared" si="75"/>
        <v>0</v>
      </c>
      <c r="Z804" s="161">
        <v>0</v>
      </c>
      <c r="AA804" s="161">
        <f t="shared" si="76"/>
        <v>0</v>
      </c>
      <c r="AB804" s="161">
        <f t="shared" si="77"/>
        <v>3500</v>
      </c>
      <c r="AC804" s="158" t="s">
        <v>374</v>
      </c>
      <c r="AD804" s="158"/>
    </row>
    <row r="805" spans="1:30" ht="12.75" customHeight="1" x14ac:dyDescent="0.3">
      <c r="A805" s="147">
        <v>39</v>
      </c>
      <c r="B805" s="158" t="s">
        <v>1030</v>
      </c>
      <c r="C805" s="158" t="s">
        <v>195</v>
      </c>
      <c r="D805" s="158" t="s">
        <v>964</v>
      </c>
      <c r="E805" s="160" t="s">
        <v>871</v>
      </c>
      <c r="F805" s="158" t="s">
        <v>39</v>
      </c>
      <c r="G805" s="158" t="s">
        <v>866</v>
      </c>
      <c r="H805" s="161">
        <v>3606.34</v>
      </c>
      <c r="I805" s="161">
        <v>-70.87</v>
      </c>
      <c r="J805" s="161">
        <v>0</v>
      </c>
      <c r="K805" s="161">
        <v>0</v>
      </c>
      <c r="L805" s="161">
        <v>-2023.86</v>
      </c>
      <c r="M805" s="161">
        <v>-32</v>
      </c>
      <c r="N805" s="161">
        <v>0</v>
      </c>
      <c r="O805" s="162">
        <f t="shared" si="72"/>
        <v>1479.6100000000004</v>
      </c>
      <c r="P805" s="161">
        <v>-1964</v>
      </c>
      <c r="Q805" s="161">
        <v>0</v>
      </c>
      <c r="R805" s="161">
        <v>484</v>
      </c>
      <c r="S805" s="161">
        <v>0</v>
      </c>
      <c r="T805" s="161">
        <v>0</v>
      </c>
      <c r="U805" s="161">
        <v>0</v>
      </c>
      <c r="V805" s="161">
        <v>0</v>
      </c>
      <c r="W805" s="161">
        <f t="shared" si="73"/>
        <v>-0.3899999999996453</v>
      </c>
      <c r="X805" s="161">
        <f t="shared" si="74"/>
        <v>0</v>
      </c>
      <c r="Y805" s="161">
        <f t="shared" si="75"/>
        <v>-0.3899999999996453</v>
      </c>
      <c r="Z805" s="161">
        <v>0</v>
      </c>
      <c r="AA805" s="161">
        <f t="shared" si="76"/>
        <v>-0.3899999999996453</v>
      </c>
      <c r="AB805" s="161">
        <f t="shared" si="77"/>
        <v>1479.2200000000007</v>
      </c>
      <c r="AC805" s="158" t="s">
        <v>1081</v>
      </c>
      <c r="AD805" s="158"/>
    </row>
    <row r="806" spans="1:30" ht="12.75" customHeight="1" x14ac:dyDescent="0.3">
      <c r="A806" s="147">
        <v>39</v>
      </c>
      <c r="B806" s="158" t="s">
        <v>1082</v>
      </c>
      <c r="C806" s="158" t="s">
        <v>150</v>
      </c>
      <c r="D806" s="158" t="s">
        <v>877</v>
      </c>
      <c r="E806" s="158" t="s">
        <v>25</v>
      </c>
      <c r="F806" s="158" t="s">
        <v>25</v>
      </c>
      <c r="G806" s="158" t="s">
        <v>866</v>
      </c>
      <c r="H806" s="161">
        <v>323.02999999999997</v>
      </c>
      <c r="I806" s="161">
        <v>-14.08</v>
      </c>
      <c r="J806" s="161">
        <v>0</v>
      </c>
      <c r="K806" s="161">
        <v>0</v>
      </c>
      <c r="L806" s="161">
        <v>0</v>
      </c>
      <c r="M806" s="161">
        <v>-38</v>
      </c>
      <c r="N806" s="161">
        <v>0</v>
      </c>
      <c r="O806" s="162">
        <f t="shared" si="72"/>
        <v>270.95</v>
      </c>
      <c r="P806" s="161">
        <v>-1964</v>
      </c>
      <c r="Q806" s="161">
        <v>0</v>
      </c>
      <c r="R806" s="161">
        <v>-392.28</v>
      </c>
      <c r="S806" s="161">
        <v>0</v>
      </c>
      <c r="T806" s="161">
        <v>0</v>
      </c>
      <c r="U806" s="161">
        <v>29</v>
      </c>
      <c r="V806" s="161">
        <v>0</v>
      </c>
      <c r="W806" s="161">
        <f t="shared" si="73"/>
        <v>-2056.33</v>
      </c>
      <c r="X806" s="161">
        <f t="shared" si="74"/>
        <v>0</v>
      </c>
      <c r="Y806" s="161">
        <f t="shared" si="75"/>
        <v>-2056.33</v>
      </c>
      <c r="Z806" s="161">
        <v>2056</v>
      </c>
      <c r="AA806" s="161">
        <f t="shared" si="76"/>
        <v>-0.32999999999992724</v>
      </c>
      <c r="AB806" s="161">
        <f t="shared" si="77"/>
        <v>2326.62</v>
      </c>
      <c r="AC806" s="158" t="s">
        <v>1031</v>
      </c>
      <c r="AD806" s="158"/>
    </row>
    <row r="807" spans="1:30" ht="12.75" customHeight="1" x14ac:dyDescent="0.3">
      <c r="A807" s="147">
        <v>39</v>
      </c>
      <c r="B807" s="158" t="s">
        <v>913</v>
      </c>
      <c r="C807" s="158" t="s">
        <v>100</v>
      </c>
      <c r="D807" s="158" t="s">
        <v>953</v>
      </c>
      <c r="E807" s="158" t="s">
        <v>25</v>
      </c>
      <c r="F807" s="158" t="s">
        <v>25</v>
      </c>
      <c r="G807" s="158" t="s">
        <v>866</v>
      </c>
      <c r="H807" s="161">
        <v>7882.39</v>
      </c>
      <c r="I807" s="161">
        <v>-153.22</v>
      </c>
      <c r="J807" s="161">
        <v>0</v>
      </c>
      <c r="K807" s="161">
        <v>0</v>
      </c>
      <c r="L807" s="161">
        <v>-5597.5</v>
      </c>
      <c r="M807" s="161">
        <v>-34</v>
      </c>
      <c r="N807" s="161">
        <v>0</v>
      </c>
      <c r="O807" s="162">
        <f t="shared" si="72"/>
        <v>2097.67</v>
      </c>
      <c r="P807" s="161">
        <v>-2500</v>
      </c>
      <c r="Q807" s="161">
        <v>-4</v>
      </c>
      <c r="R807" s="161">
        <v>0</v>
      </c>
      <c r="S807" s="161">
        <v>0</v>
      </c>
      <c r="T807" s="161">
        <v>0</v>
      </c>
      <c r="U807" s="161">
        <v>0</v>
      </c>
      <c r="V807" s="161">
        <v>0</v>
      </c>
      <c r="W807" s="161">
        <f t="shared" si="73"/>
        <v>-406.32999999999993</v>
      </c>
      <c r="X807" s="161">
        <f t="shared" si="74"/>
        <v>0</v>
      </c>
      <c r="Y807" s="161">
        <f t="shared" si="75"/>
        <v>-406.32999999999993</v>
      </c>
      <c r="Z807" s="161">
        <v>400</v>
      </c>
      <c r="AA807" s="161">
        <f t="shared" si="76"/>
        <v>-6.3299999999999272</v>
      </c>
      <c r="AB807" s="161">
        <f t="shared" si="77"/>
        <v>2491.34</v>
      </c>
      <c r="AC807" s="158" t="s">
        <v>1072</v>
      </c>
      <c r="AD807" s="158"/>
    </row>
    <row r="808" spans="1:30" ht="12.75" customHeight="1" x14ac:dyDescent="0.3">
      <c r="A808" s="147">
        <v>39</v>
      </c>
      <c r="B808" s="158" t="s">
        <v>457</v>
      </c>
      <c r="C808" s="158" t="s">
        <v>573</v>
      </c>
      <c r="D808" s="158" t="s">
        <v>974</v>
      </c>
      <c r="E808" s="158" t="s">
        <v>25</v>
      </c>
      <c r="F808" s="158" t="s">
        <v>39</v>
      </c>
      <c r="G808" s="158" t="s">
        <v>866</v>
      </c>
      <c r="H808" s="161">
        <v>5661.26</v>
      </c>
      <c r="I808" s="161">
        <v>-100.96899999999999</v>
      </c>
      <c r="J808" s="161">
        <v>0</v>
      </c>
      <c r="K808" s="161">
        <v>0</v>
      </c>
      <c r="L808" s="161">
        <v>-1992.11</v>
      </c>
      <c r="M808" s="161">
        <v>-38</v>
      </c>
      <c r="N808" s="161">
        <v>0</v>
      </c>
      <c r="O808" s="162">
        <f t="shared" si="72"/>
        <v>3530.1810000000005</v>
      </c>
      <c r="P808" s="162">
        <v>-2500</v>
      </c>
      <c r="Q808" s="161">
        <v>-1673</v>
      </c>
      <c r="R808" s="161">
        <v>0</v>
      </c>
      <c r="S808" s="161">
        <v>0</v>
      </c>
      <c r="T808" s="161">
        <v>0</v>
      </c>
      <c r="U808" s="161">
        <v>0</v>
      </c>
      <c r="V808" s="161">
        <v>0</v>
      </c>
      <c r="W808" s="161">
        <f t="shared" si="73"/>
        <v>-642.81899999999951</v>
      </c>
      <c r="X808" s="161">
        <f t="shared" si="74"/>
        <v>0</v>
      </c>
      <c r="Y808" s="161">
        <f t="shared" si="75"/>
        <v>-642.81899999999951</v>
      </c>
      <c r="Z808" s="161">
        <v>0</v>
      </c>
      <c r="AA808" s="161">
        <f t="shared" si="76"/>
        <v>-642.81899999999951</v>
      </c>
      <c r="AB808" s="161">
        <f t="shared" si="77"/>
        <v>2887.362000000001</v>
      </c>
      <c r="AC808" s="158" t="s">
        <v>1028</v>
      </c>
      <c r="AD808" s="158"/>
    </row>
    <row r="809" spans="1:30" ht="12.75" customHeight="1" x14ac:dyDescent="0.3">
      <c r="A809" s="147">
        <v>39</v>
      </c>
      <c r="B809" s="158" t="s">
        <v>1076</v>
      </c>
      <c r="C809" s="158" t="s">
        <v>80</v>
      </c>
      <c r="D809" s="158" t="s">
        <v>20</v>
      </c>
      <c r="E809" s="160" t="s">
        <v>18</v>
      </c>
      <c r="F809" s="160" t="s">
        <v>18</v>
      </c>
      <c r="G809" s="158" t="s">
        <v>737</v>
      </c>
      <c r="H809" s="161">
        <v>7467</v>
      </c>
      <c r="I809" s="161">
        <v>0</v>
      </c>
      <c r="J809" s="161">
        <v>0</v>
      </c>
      <c r="K809" s="161">
        <v>0</v>
      </c>
      <c r="L809" s="161">
        <v>-5248</v>
      </c>
      <c r="M809" s="161">
        <v>0</v>
      </c>
      <c r="N809" s="161">
        <v>0</v>
      </c>
      <c r="O809" s="162">
        <f t="shared" si="72"/>
        <v>2219</v>
      </c>
      <c r="P809" s="161">
        <v>-2414.2857142857142</v>
      </c>
      <c r="Q809" s="161">
        <v>0</v>
      </c>
      <c r="R809" s="161">
        <v>-464</v>
      </c>
      <c r="S809" s="161">
        <v>0</v>
      </c>
      <c r="T809" s="161">
        <v>0</v>
      </c>
      <c r="U809" s="161">
        <v>0</v>
      </c>
      <c r="V809" s="161">
        <v>0</v>
      </c>
      <c r="W809" s="161">
        <f t="shared" si="73"/>
        <v>-659.28571428571422</v>
      </c>
      <c r="X809" s="161">
        <f t="shared" si="74"/>
        <v>0</v>
      </c>
      <c r="Y809" s="161">
        <f t="shared" si="75"/>
        <v>-659.28571428571422</v>
      </c>
      <c r="Z809" s="161">
        <v>659</v>
      </c>
      <c r="AA809" s="161">
        <f t="shared" si="76"/>
        <v>-0.28571428571422075</v>
      </c>
      <c r="AB809" s="161">
        <f t="shared" si="77"/>
        <v>2877.7142857142858</v>
      </c>
      <c r="AC809" s="158" t="s">
        <v>1083</v>
      </c>
      <c r="AD809" s="158"/>
    </row>
    <row r="810" spans="1:30" ht="12.75" customHeight="1" x14ac:dyDescent="0.3">
      <c r="A810" s="147">
        <v>39</v>
      </c>
      <c r="B810" s="158" t="s">
        <v>620</v>
      </c>
      <c r="C810" s="158" t="s">
        <v>571</v>
      </c>
      <c r="D810" s="158" t="s">
        <v>974</v>
      </c>
      <c r="E810" s="158" t="s">
        <v>25</v>
      </c>
      <c r="F810" s="158" t="s">
        <v>25</v>
      </c>
      <c r="G810" s="158" t="s">
        <v>866</v>
      </c>
      <c r="H810" s="161">
        <v>5613.28</v>
      </c>
      <c r="I810" s="161">
        <v>-90.06</v>
      </c>
      <c r="J810" s="161">
        <v>0</v>
      </c>
      <c r="K810" s="161">
        <v>0</v>
      </c>
      <c r="L810" s="161">
        <v>-3847.81</v>
      </c>
      <c r="M810" s="161">
        <v>-32</v>
      </c>
      <c r="N810" s="161">
        <v>0</v>
      </c>
      <c r="O810" s="162">
        <f t="shared" si="72"/>
        <v>1643.4099999999994</v>
      </c>
      <c r="P810" s="161">
        <v>-2500</v>
      </c>
      <c r="Q810" s="161">
        <v>0</v>
      </c>
      <c r="R810" s="161">
        <v>-500</v>
      </c>
      <c r="S810" s="161">
        <v>0</v>
      </c>
      <c r="T810" s="161">
        <v>0</v>
      </c>
      <c r="U810" s="161">
        <v>0</v>
      </c>
      <c r="V810" s="161">
        <v>0</v>
      </c>
      <c r="W810" s="161">
        <f t="shared" si="73"/>
        <v>-1356.5900000000006</v>
      </c>
      <c r="X810" s="161">
        <f t="shared" si="74"/>
        <v>0</v>
      </c>
      <c r="Y810" s="161">
        <f t="shared" si="75"/>
        <v>-1356.5900000000006</v>
      </c>
      <c r="Z810" s="161">
        <v>1357</v>
      </c>
      <c r="AA810" s="161">
        <f t="shared" si="76"/>
        <v>0.40999999999939973</v>
      </c>
      <c r="AB810" s="161">
        <f t="shared" si="77"/>
        <v>3000.8199999999988</v>
      </c>
      <c r="AC810" s="158" t="s">
        <v>1031</v>
      </c>
      <c r="AD810" s="158"/>
    </row>
    <row r="811" spans="1:30" ht="12.75" customHeight="1" x14ac:dyDescent="0.3">
      <c r="A811" s="148">
        <v>39</v>
      </c>
      <c r="B811" s="168" t="s">
        <v>1058</v>
      </c>
      <c r="C811" s="168" t="s">
        <v>17</v>
      </c>
      <c r="D811" s="158" t="s">
        <v>20</v>
      </c>
      <c r="E811" s="160" t="s">
        <v>18</v>
      </c>
      <c r="F811" s="160" t="s">
        <v>18</v>
      </c>
      <c r="G811" s="158" t="s">
        <v>866</v>
      </c>
      <c r="H811" s="161">
        <v>0</v>
      </c>
      <c r="I811" s="161">
        <v>0</v>
      </c>
      <c r="J811" s="161">
        <v>0</v>
      </c>
      <c r="K811" s="161">
        <v>0</v>
      </c>
      <c r="L811" s="161">
        <v>0</v>
      </c>
      <c r="M811" s="161">
        <v>0</v>
      </c>
      <c r="N811" s="161">
        <v>0</v>
      </c>
      <c r="O811" s="162">
        <f t="shared" si="72"/>
        <v>0</v>
      </c>
      <c r="P811" s="161">
        <v>0</v>
      </c>
      <c r="Q811" s="161">
        <v>200</v>
      </c>
      <c r="R811" s="161">
        <v>0</v>
      </c>
      <c r="S811" s="161">
        <v>0</v>
      </c>
      <c r="T811" s="161">
        <v>0</v>
      </c>
      <c r="U811" s="161">
        <v>0</v>
      </c>
      <c r="V811" s="161">
        <v>0</v>
      </c>
      <c r="W811" s="161">
        <f t="shared" si="73"/>
        <v>200</v>
      </c>
      <c r="X811" s="161">
        <f t="shared" si="74"/>
        <v>200</v>
      </c>
      <c r="Y811" s="161">
        <f t="shared" si="75"/>
        <v>0</v>
      </c>
      <c r="Z811" s="161">
        <v>0</v>
      </c>
      <c r="AA811" s="161">
        <f t="shared" si="76"/>
        <v>0</v>
      </c>
      <c r="AB811" s="161">
        <f t="shared" si="77"/>
        <v>-200</v>
      </c>
      <c r="AC811" s="158" t="s">
        <v>1084</v>
      </c>
      <c r="AD811" s="158"/>
    </row>
    <row r="812" spans="1:30" ht="12.75" customHeight="1" x14ac:dyDescent="0.3">
      <c r="A812" s="147">
        <v>39</v>
      </c>
      <c r="B812" s="158" t="s">
        <v>1078</v>
      </c>
      <c r="C812" s="158" t="s">
        <v>53</v>
      </c>
      <c r="D812" s="158" t="s">
        <v>20</v>
      </c>
      <c r="E812" s="160" t="s">
        <v>25</v>
      </c>
      <c r="F812" s="158" t="s">
        <v>39</v>
      </c>
      <c r="G812" s="158" t="s">
        <v>866</v>
      </c>
      <c r="H812" s="161">
        <v>3740.93</v>
      </c>
      <c r="I812" s="161">
        <v>-60.04</v>
      </c>
      <c r="J812" s="161">
        <v>0</v>
      </c>
      <c r="K812" s="161">
        <v>0</v>
      </c>
      <c r="L812" s="161">
        <v>-2725.26</v>
      </c>
      <c r="M812" s="161">
        <v>-34</v>
      </c>
      <c r="N812" s="161">
        <v>0</v>
      </c>
      <c r="O812" s="162">
        <f t="shared" si="72"/>
        <v>921.62999999999965</v>
      </c>
      <c r="P812" s="161">
        <v>-2500</v>
      </c>
      <c r="Q812" s="161">
        <v>0</v>
      </c>
      <c r="R812" s="161">
        <v>0</v>
      </c>
      <c r="S812" s="161">
        <v>0</v>
      </c>
      <c r="T812" s="161">
        <v>0</v>
      </c>
      <c r="U812" s="161">
        <v>0</v>
      </c>
      <c r="V812" s="161">
        <v>0</v>
      </c>
      <c r="W812" s="161">
        <f t="shared" si="73"/>
        <v>-1578.3700000000003</v>
      </c>
      <c r="X812" s="161">
        <f t="shared" si="74"/>
        <v>0</v>
      </c>
      <c r="Y812" s="161">
        <f t="shared" si="75"/>
        <v>-1578.3700000000003</v>
      </c>
      <c r="Z812" s="161">
        <v>0</v>
      </c>
      <c r="AA812" s="161">
        <f t="shared" si="76"/>
        <v>-1578.3700000000003</v>
      </c>
      <c r="AB812" s="161">
        <f t="shared" si="77"/>
        <v>-656.74000000000069</v>
      </c>
      <c r="AC812" s="158"/>
      <c r="AD812" s="158"/>
    </row>
    <row r="813" spans="1:30" ht="12.75" customHeight="1" x14ac:dyDescent="0.3">
      <c r="A813" s="147">
        <v>39</v>
      </c>
      <c r="B813" s="158" t="s">
        <v>872</v>
      </c>
      <c r="C813" s="158" t="s">
        <v>256</v>
      </c>
      <c r="D813" s="158" t="s">
        <v>997</v>
      </c>
      <c r="E813" s="160" t="s">
        <v>871</v>
      </c>
      <c r="F813" s="158" t="s">
        <v>39</v>
      </c>
      <c r="G813" s="158" t="s">
        <v>866</v>
      </c>
      <c r="H813" s="161">
        <v>8259.6299999999992</v>
      </c>
      <c r="I813" s="161">
        <v>-178.06</v>
      </c>
      <c r="J813" s="161">
        <v>0</v>
      </c>
      <c r="K813" s="161">
        <v>-75.06</v>
      </c>
      <c r="L813" s="161">
        <v>-4361.6400000000003</v>
      </c>
      <c r="M813" s="161">
        <v>-34</v>
      </c>
      <c r="N813" s="161">
        <v>0</v>
      </c>
      <c r="O813" s="162">
        <f t="shared" si="72"/>
        <v>3610.8699999999981</v>
      </c>
      <c r="P813" s="161">
        <v>-2500</v>
      </c>
      <c r="Q813" s="161">
        <v>0</v>
      </c>
      <c r="R813" s="161">
        <v>0</v>
      </c>
      <c r="S813" s="161">
        <v>0</v>
      </c>
      <c r="T813" s="161">
        <v>0</v>
      </c>
      <c r="U813" s="161">
        <v>0</v>
      </c>
      <c r="V813" s="161">
        <v>0</v>
      </c>
      <c r="W813" s="161">
        <f t="shared" si="73"/>
        <v>1110.8699999999981</v>
      </c>
      <c r="X813" s="161">
        <f t="shared" si="74"/>
        <v>1110.8699999999981</v>
      </c>
      <c r="Y813" s="161">
        <f t="shared" si="75"/>
        <v>0</v>
      </c>
      <c r="Z813" s="161">
        <v>0</v>
      </c>
      <c r="AA813" s="161">
        <f t="shared" si="76"/>
        <v>0</v>
      </c>
      <c r="AB813" s="161">
        <f t="shared" si="77"/>
        <v>2500</v>
      </c>
      <c r="AC813" s="158" t="s">
        <v>374</v>
      </c>
      <c r="AD813" s="158"/>
    </row>
    <row r="814" spans="1:30" ht="12.75" customHeight="1" x14ac:dyDescent="0.3">
      <c r="A814" s="147">
        <v>39</v>
      </c>
      <c r="B814" s="158" t="s">
        <v>921</v>
      </c>
      <c r="C814" s="158" t="s">
        <v>257</v>
      </c>
      <c r="D814" s="158" t="s">
        <v>943</v>
      </c>
      <c r="E814" s="158" t="s">
        <v>25</v>
      </c>
      <c r="F814" s="158" t="s">
        <v>25</v>
      </c>
      <c r="G814" s="158" t="s">
        <v>866</v>
      </c>
      <c r="H814" s="161">
        <v>5217.58</v>
      </c>
      <c r="I814" s="161">
        <v>-119.26</v>
      </c>
      <c r="J814" s="161">
        <v>657.1</v>
      </c>
      <c r="K814" s="161">
        <v>0</v>
      </c>
      <c r="L814" s="161">
        <v>-1467.42</v>
      </c>
      <c r="M814" s="161">
        <v>-32</v>
      </c>
      <c r="N814" s="161">
        <v>0</v>
      </c>
      <c r="O814" s="162">
        <f t="shared" si="72"/>
        <v>4256</v>
      </c>
      <c r="P814" s="161">
        <v>-2500</v>
      </c>
      <c r="Q814" s="161">
        <v>0</v>
      </c>
      <c r="R814" s="161">
        <v>0</v>
      </c>
      <c r="S814" s="161">
        <v>0</v>
      </c>
      <c r="T814" s="161">
        <v>0</v>
      </c>
      <c r="U814" s="161">
        <v>0</v>
      </c>
      <c r="V814" s="161">
        <v>0</v>
      </c>
      <c r="W814" s="161">
        <f t="shared" si="73"/>
        <v>1756</v>
      </c>
      <c r="X814" s="161">
        <f t="shared" si="74"/>
        <v>1756</v>
      </c>
      <c r="Y814" s="161">
        <f t="shared" si="75"/>
        <v>0</v>
      </c>
      <c r="Z814" s="161">
        <v>0</v>
      </c>
      <c r="AA814" s="161">
        <f t="shared" si="76"/>
        <v>0</v>
      </c>
      <c r="AB814" s="161">
        <f t="shared" si="77"/>
        <v>2500</v>
      </c>
      <c r="AC814" s="158" t="s">
        <v>374</v>
      </c>
      <c r="AD814" s="158"/>
    </row>
    <row r="815" spans="1:30" ht="12.75" customHeight="1" x14ac:dyDescent="0.3">
      <c r="A815" s="147">
        <v>39</v>
      </c>
      <c r="B815" s="158" t="s">
        <v>874</v>
      </c>
      <c r="C815" s="158" t="s">
        <v>17</v>
      </c>
      <c r="D815" s="158" t="s">
        <v>20</v>
      </c>
      <c r="E815" s="160" t="s">
        <v>18</v>
      </c>
      <c r="F815" s="160" t="s">
        <v>18</v>
      </c>
      <c r="G815" s="158" t="s">
        <v>737</v>
      </c>
      <c r="H815" s="161">
        <v>0</v>
      </c>
      <c r="I815" s="161">
        <v>0</v>
      </c>
      <c r="J815" s="161">
        <v>0</v>
      </c>
      <c r="K815" s="161">
        <v>0</v>
      </c>
      <c r="L815" s="161">
        <v>0</v>
      </c>
      <c r="M815" s="161">
        <v>0</v>
      </c>
      <c r="N815" s="161">
        <v>0</v>
      </c>
      <c r="O815" s="162">
        <f t="shared" si="72"/>
        <v>0</v>
      </c>
      <c r="P815" s="161">
        <v>-2500</v>
      </c>
      <c r="Q815" s="161">
        <v>0</v>
      </c>
      <c r="R815" s="161">
        <v>-500</v>
      </c>
      <c r="S815" s="161">
        <v>0</v>
      </c>
      <c r="T815" s="161">
        <v>0</v>
      </c>
      <c r="U815" s="161">
        <v>0</v>
      </c>
      <c r="V815" s="161">
        <v>0</v>
      </c>
      <c r="W815" s="161">
        <f t="shared" si="73"/>
        <v>-3000</v>
      </c>
      <c r="X815" s="161">
        <f t="shared" si="74"/>
        <v>0</v>
      </c>
      <c r="Y815" s="161">
        <f t="shared" si="75"/>
        <v>-3000</v>
      </c>
      <c r="Z815" s="161">
        <f>2500+500</f>
        <v>3000</v>
      </c>
      <c r="AA815" s="161">
        <f t="shared" si="76"/>
        <v>0</v>
      </c>
      <c r="AB815" s="161">
        <f t="shared" si="77"/>
        <v>3000</v>
      </c>
      <c r="AC815" s="158" t="s">
        <v>1015</v>
      </c>
      <c r="AD815" s="158"/>
    </row>
    <row r="816" spans="1:30" ht="12.75" customHeight="1" x14ac:dyDescent="0.3">
      <c r="A816" s="147">
        <v>39</v>
      </c>
      <c r="B816" s="158" t="s">
        <v>1013</v>
      </c>
      <c r="C816" s="158" t="s">
        <v>101</v>
      </c>
      <c r="D816" s="158" t="s">
        <v>945</v>
      </c>
      <c r="E816" s="158" t="s">
        <v>25</v>
      </c>
      <c r="F816" s="158" t="s">
        <v>25</v>
      </c>
      <c r="G816" s="158" t="s">
        <v>866</v>
      </c>
      <c r="H816" s="161">
        <v>7208.12</v>
      </c>
      <c r="I816" s="161">
        <v>-127.91</v>
      </c>
      <c r="J816" s="161">
        <v>0</v>
      </c>
      <c r="K816" s="161">
        <v>0</v>
      </c>
      <c r="L816" s="161">
        <v>-2471.79</v>
      </c>
      <c r="M816" s="161">
        <v>-38</v>
      </c>
      <c r="N816" s="161">
        <v>0</v>
      </c>
      <c r="O816" s="162">
        <f t="shared" si="72"/>
        <v>4570.42</v>
      </c>
      <c r="P816" s="161">
        <v>-2500</v>
      </c>
      <c r="Q816" s="161">
        <v>-1343</v>
      </c>
      <c r="R816" s="161">
        <v>-393</v>
      </c>
      <c r="S816" s="161">
        <v>0</v>
      </c>
      <c r="T816" s="161">
        <v>0</v>
      </c>
      <c r="U816" s="161">
        <v>0</v>
      </c>
      <c r="V816" s="161">
        <v>0</v>
      </c>
      <c r="W816" s="161">
        <f t="shared" si="73"/>
        <v>334.42000000000007</v>
      </c>
      <c r="X816" s="161">
        <f t="shared" si="74"/>
        <v>334.42000000000007</v>
      </c>
      <c r="Y816" s="161">
        <f t="shared" si="75"/>
        <v>0</v>
      </c>
      <c r="Z816" s="161">
        <v>0</v>
      </c>
      <c r="AA816" s="161">
        <f t="shared" si="76"/>
        <v>0</v>
      </c>
      <c r="AB816" s="161">
        <f t="shared" si="77"/>
        <v>4236</v>
      </c>
      <c r="AC816" s="158" t="s">
        <v>374</v>
      </c>
      <c r="AD816" s="158"/>
    </row>
    <row r="817" spans="1:30" ht="12.75" customHeight="1" x14ac:dyDescent="0.3">
      <c r="A817" s="147">
        <v>39</v>
      </c>
      <c r="B817" s="158" t="s">
        <v>918</v>
      </c>
      <c r="C817" s="158" t="s">
        <v>120</v>
      </c>
      <c r="D817" s="158" t="s">
        <v>950</v>
      </c>
      <c r="E817" s="158" t="s">
        <v>25</v>
      </c>
      <c r="F817" s="158" t="s">
        <v>25</v>
      </c>
      <c r="G817" s="158" t="s">
        <v>866</v>
      </c>
      <c r="H817" s="161">
        <v>8411.14</v>
      </c>
      <c r="I817" s="161">
        <v>-176.46</v>
      </c>
      <c r="J817" s="161">
        <v>27</v>
      </c>
      <c r="K817" s="161">
        <v>0</v>
      </c>
      <c r="L817" s="161">
        <v>-2034.21</v>
      </c>
      <c r="M817" s="161">
        <v>-32</v>
      </c>
      <c r="N817" s="161">
        <v>0</v>
      </c>
      <c r="O817" s="162">
        <f t="shared" si="72"/>
        <v>6195.47</v>
      </c>
      <c r="P817" s="161">
        <v>-2500</v>
      </c>
      <c r="Q817" s="161">
        <v>0</v>
      </c>
      <c r="R817" s="161">
        <v>0</v>
      </c>
      <c r="S817" s="161">
        <v>0</v>
      </c>
      <c r="T817" s="161">
        <v>0</v>
      </c>
      <c r="U817" s="161">
        <v>0</v>
      </c>
      <c r="V817" s="161">
        <v>0</v>
      </c>
      <c r="W817" s="161">
        <f t="shared" si="73"/>
        <v>3695.4700000000003</v>
      </c>
      <c r="X817" s="161">
        <f t="shared" si="74"/>
        <v>3695.4700000000003</v>
      </c>
      <c r="Y817" s="161">
        <f t="shared" si="75"/>
        <v>0</v>
      </c>
      <c r="Z817" s="161">
        <v>0</v>
      </c>
      <c r="AA817" s="161">
        <f t="shared" si="76"/>
        <v>0</v>
      </c>
      <c r="AB817" s="161">
        <f t="shared" si="77"/>
        <v>2500</v>
      </c>
      <c r="AC817" s="158" t="s">
        <v>374</v>
      </c>
      <c r="AD817" s="158"/>
    </row>
    <row r="818" spans="1:30" ht="12.75" customHeight="1" x14ac:dyDescent="0.3">
      <c r="A818" s="147">
        <v>39</v>
      </c>
      <c r="B818" s="158" t="s">
        <v>484</v>
      </c>
      <c r="C818" s="158" t="s">
        <v>1065</v>
      </c>
      <c r="D818" s="158" t="s">
        <v>903</v>
      </c>
      <c r="E818" s="158" t="s">
        <v>25</v>
      </c>
      <c r="F818" s="158" t="s">
        <v>39</v>
      </c>
      <c r="G818" s="158" t="s">
        <v>866</v>
      </c>
      <c r="H818" s="161">
        <v>8414.8700000000008</v>
      </c>
      <c r="I818" s="161">
        <v>-268.74</v>
      </c>
      <c r="J818" s="161">
        <v>0</v>
      </c>
      <c r="K818" s="161">
        <v>0</v>
      </c>
      <c r="L818" s="161">
        <v>-5192.4399999999996</v>
      </c>
      <c r="M818" s="161">
        <v>-32</v>
      </c>
      <c r="N818" s="161">
        <v>0</v>
      </c>
      <c r="O818" s="162">
        <f t="shared" si="72"/>
        <v>2921.6900000000014</v>
      </c>
      <c r="P818" s="161">
        <v>-2500</v>
      </c>
      <c r="Q818" s="161">
        <v>-328.16</v>
      </c>
      <c r="R818" s="161">
        <v>0</v>
      </c>
      <c r="S818" s="161">
        <v>0</v>
      </c>
      <c r="T818" s="161">
        <v>0</v>
      </c>
      <c r="U818" s="161">
        <v>0</v>
      </c>
      <c r="V818" s="161">
        <v>0</v>
      </c>
      <c r="W818" s="161">
        <f t="shared" si="73"/>
        <v>93.530000000001564</v>
      </c>
      <c r="X818" s="161">
        <f t="shared" si="74"/>
        <v>93.530000000001564</v>
      </c>
      <c r="Y818" s="161">
        <f t="shared" si="75"/>
        <v>0</v>
      </c>
      <c r="Z818" s="161">
        <v>0</v>
      </c>
      <c r="AA818" s="161">
        <f t="shared" si="76"/>
        <v>0</v>
      </c>
      <c r="AB818" s="161">
        <f t="shared" si="77"/>
        <v>2828.16</v>
      </c>
      <c r="AC818" s="158" t="s">
        <v>1085</v>
      </c>
      <c r="AD818" s="158"/>
    </row>
    <row r="819" spans="1:30" ht="12.75" customHeight="1" x14ac:dyDescent="0.3">
      <c r="A819" s="147">
        <v>39</v>
      </c>
      <c r="B819" s="158" t="s">
        <v>484</v>
      </c>
      <c r="C819" s="158" t="s">
        <v>426</v>
      </c>
      <c r="D819" s="158" t="s">
        <v>20</v>
      </c>
      <c r="E819" s="160" t="s">
        <v>25</v>
      </c>
      <c r="F819" s="158" t="s">
        <v>25</v>
      </c>
      <c r="G819" s="158" t="s">
        <v>866</v>
      </c>
      <c r="H819" s="161">
        <v>0</v>
      </c>
      <c r="I819" s="161">
        <v>0</v>
      </c>
      <c r="J819" s="161">
        <v>0</v>
      </c>
      <c r="K819" s="161">
        <v>0</v>
      </c>
      <c r="L819" s="161">
        <v>0</v>
      </c>
      <c r="M819" s="161">
        <v>0</v>
      </c>
      <c r="N819" s="161">
        <v>0</v>
      </c>
      <c r="O819" s="162">
        <f t="shared" si="72"/>
        <v>0</v>
      </c>
      <c r="P819" s="161">
        <v>0</v>
      </c>
      <c r="Q819" s="161">
        <v>-530.88</v>
      </c>
      <c r="R819" s="161">
        <v>0</v>
      </c>
      <c r="S819" s="161">
        <v>0</v>
      </c>
      <c r="T819" s="161">
        <v>0</v>
      </c>
      <c r="U819" s="161">
        <v>0</v>
      </c>
      <c r="V819" s="161">
        <v>0</v>
      </c>
      <c r="W819" s="161">
        <f t="shared" si="73"/>
        <v>-530.88</v>
      </c>
      <c r="X819" s="161">
        <f t="shared" si="74"/>
        <v>0</v>
      </c>
      <c r="Y819" s="161">
        <f t="shared" si="75"/>
        <v>-530.88</v>
      </c>
      <c r="Z819" s="161">
        <f>94+400</f>
        <v>494</v>
      </c>
      <c r="AA819" s="161">
        <f t="shared" si="76"/>
        <v>-36.879999999999995</v>
      </c>
      <c r="AB819" s="161">
        <f t="shared" si="77"/>
        <v>457.12</v>
      </c>
      <c r="AC819" s="158" t="s">
        <v>1073</v>
      </c>
      <c r="AD819" s="158"/>
    </row>
    <row r="820" spans="1:30" ht="12.75" customHeight="1" x14ac:dyDescent="0.3">
      <c r="A820" s="147">
        <v>39</v>
      </c>
      <c r="B820" s="158" t="s">
        <v>408</v>
      </c>
      <c r="C820" s="158" t="s">
        <v>334</v>
      </c>
      <c r="D820" s="158" t="s">
        <v>20</v>
      </c>
      <c r="E820" s="160" t="s">
        <v>25</v>
      </c>
      <c r="F820" s="158" t="s">
        <v>39</v>
      </c>
      <c r="G820" s="158" t="s">
        <v>866</v>
      </c>
      <c r="H820" s="161">
        <v>3283.14</v>
      </c>
      <c r="I820" s="161">
        <v>-51.58</v>
      </c>
      <c r="J820" s="161">
        <v>0</v>
      </c>
      <c r="K820" s="161">
        <v>0</v>
      </c>
      <c r="L820" s="161">
        <v>-1230.93</v>
      </c>
      <c r="M820" s="161">
        <v>-38</v>
      </c>
      <c r="N820" s="161">
        <v>0</v>
      </c>
      <c r="O820" s="162">
        <f t="shared" si="72"/>
        <v>1962.6299999999999</v>
      </c>
      <c r="P820" s="161">
        <v>-2500</v>
      </c>
      <c r="Q820" s="161">
        <v>0</v>
      </c>
      <c r="R820" s="161">
        <v>0</v>
      </c>
      <c r="S820" s="161">
        <v>0</v>
      </c>
      <c r="T820" s="161">
        <v>0</v>
      </c>
      <c r="U820" s="161">
        <v>0</v>
      </c>
      <c r="V820" s="161">
        <v>0</v>
      </c>
      <c r="W820" s="161">
        <f t="shared" si="73"/>
        <v>-537.37000000000012</v>
      </c>
      <c r="X820" s="161">
        <f t="shared" si="74"/>
        <v>0</v>
      </c>
      <c r="Y820" s="161">
        <f t="shared" si="75"/>
        <v>-537.37000000000012</v>
      </c>
      <c r="Z820" s="161">
        <v>0</v>
      </c>
      <c r="AA820" s="161">
        <f t="shared" si="76"/>
        <v>-537.37000000000012</v>
      </c>
      <c r="AB820" s="161">
        <f t="shared" si="77"/>
        <v>1425.2599999999998</v>
      </c>
      <c r="AC820" s="158" t="s">
        <v>1028</v>
      </c>
      <c r="AD820" s="158"/>
    </row>
    <row r="821" spans="1:30" ht="12.75" customHeight="1" x14ac:dyDescent="0.3">
      <c r="A821" s="147">
        <v>39</v>
      </c>
      <c r="B821" s="158" t="s">
        <v>1067</v>
      </c>
      <c r="C821" s="158" t="s">
        <v>46</v>
      </c>
      <c r="D821" s="158" t="s">
        <v>915</v>
      </c>
      <c r="E821" s="158" t="s">
        <v>25</v>
      </c>
      <c r="F821" s="158" t="s">
        <v>25</v>
      </c>
      <c r="G821" s="158" t="s">
        <v>866</v>
      </c>
      <c r="H821" s="161">
        <v>5362.89</v>
      </c>
      <c r="I821" s="161">
        <v>-79.209999999999994</v>
      </c>
      <c r="J821" s="161">
        <v>0</v>
      </c>
      <c r="K821" s="161">
        <v>0</v>
      </c>
      <c r="L821" s="161">
        <v>-2735.2</v>
      </c>
      <c r="M821" s="161">
        <v>-34</v>
      </c>
      <c r="N821" s="161">
        <v>0</v>
      </c>
      <c r="O821" s="162">
        <f t="shared" si="72"/>
        <v>2514.4800000000005</v>
      </c>
      <c r="P821" s="161">
        <v>-2500</v>
      </c>
      <c r="Q821" s="161">
        <v>0</v>
      </c>
      <c r="R821" s="161">
        <v>-500</v>
      </c>
      <c r="S821" s="161">
        <v>0</v>
      </c>
      <c r="T821" s="161">
        <v>0</v>
      </c>
      <c r="U821" s="161">
        <v>0</v>
      </c>
      <c r="V821" s="161">
        <v>0</v>
      </c>
      <c r="W821" s="161">
        <f t="shared" si="73"/>
        <v>-485.51999999999953</v>
      </c>
      <c r="X821" s="161">
        <f t="shared" si="74"/>
        <v>0</v>
      </c>
      <c r="Y821" s="161">
        <f t="shared" si="75"/>
        <v>-485.51999999999953</v>
      </c>
      <c r="Z821" s="161">
        <v>486</v>
      </c>
      <c r="AA821" s="161">
        <f t="shared" si="76"/>
        <v>0.48000000000047294</v>
      </c>
      <c r="AB821" s="161">
        <f t="shared" si="77"/>
        <v>3000.9600000000009</v>
      </c>
      <c r="AC821" s="158"/>
      <c r="AD821" s="158"/>
    </row>
    <row r="822" spans="1:30" ht="12.75" customHeight="1" x14ac:dyDescent="0.3">
      <c r="A822" s="147">
        <v>39</v>
      </c>
      <c r="B822" s="158" t="s">
        <v>992</v>
      </c>
      <c r="C822" s="158" t="s">
        <v>169</v>
      </c>
      <c r="D822" s="158" t="s">
        <v>967</v>
      </c>
      <c r="E822" s="160" t="s">
        <v>871</v>
      </c>
      <c r="F822" s="158" t="s">
        <v>39</v>
      </c>
      <c r="G822" s="158" t="s">
        <v>866</v>
      </c>
      <c r="H822" s="161">
        <v>4149.55</v>
      </c>
      <c r="I822" s="161">
        <v>-67.09</v>
      </c>
      <c r="J822" s="161">
        <v>0</v>
      </c>
      <c r="K822" s="161">
        <v>0</v>
      </c>
      <c r="L822" s="161">
        <v>-1507.42</v>
      </c>
      <c r="M822" s="161">
        <v>-32</v>
      </c>
      <c r="N822" s="161">
        <v>0</v>
      </c>
      <c r="O822" s="162">
        <f t="shared" si="72"/>
        <v>2543.04</v>
      </c>
      <c r="P822" s="161">
        <v>-2500</v>
      </c>
      <c r="Q822" s="161">
        <v>0</v>
      </c>
      <c r="R822" s="161">
        <v>0</v>
      </c>
      <c r="S822" s="161">
        <v>0</v>
      </c>
      <c r="T822" s="161">
        <v>0</v>
      </c>
      <c r="U822" s="161">
        <v>-625</v>
      </c>
      <c r="V822" s="161">
        <v>0</v>
      </c>
      <c r="W822" s="161">
        <f t="shared" si="73"/>
        <v>-581.96</v>
      </c>
      <c r="X822" s="161">
        <f t="shared" si="74"/>
        <v>0</v>
      </c>
      <c r="Y822" s="161">
        <f t="shared" si="75"/>
        <v>-581.96</v>
      </c>
      <c r="Z822" s="161">
        <v>582</v>
      </c>
      <c r="AA822" s="161">
        <f t="shared" si="76"/>
        <v>3.999999999996362E-2</v>
      </c>
      <c r="AB822" s="161">
        <f t="shared" si="77"/>
        <v>3125.08</v>
      </c>
      <c r="AC822" s="158" t="s">
        <v>927</v>
      </c>
      <c r="AD822" s="158"/>
    </row>
    <row r="823" spans="1:30" ht="12.75" customHeight="1" x14ac:dyDescent="0.3">
      <c r="A823" s="148">
        <v>39</v>
      </c>
      <c r="B823" s="168" t="s">
        <v>1069</v>
      </c>
      <c r="C823" s="182" t="s">
        <v>213</v>
      </c>
      <c r="D823" s="158" t="s">
        <v>881</v>
      </c>
      <c r="E823" s="158" t="s">
        <v>39</v>
      </c>
      <c r="F823" s="158" t="s">
        <v>39</v>
      </c>
      <c r="G823" s="160" t="s">
        <v>866</v>
      </c>
      <c r="H823" s="161">
        <v>0</v>
      </c>
      <c r="I823" s="161">
        <v>0</v>
      </c>
      <c r="J823" s="161">
        <v>0</v>
      </c>
      <c r="K823" s="161">
        <v>0</v>
      </c>
      <c r="L823" s="161">
        <v>0</v>
      </c>
      <c r="M823" s="161">
        <v>0</v>
      </c>
      <c r="N823" s="161">
        <v>0</v>
      </c>
      <c r="O823" s="162">
        <f t="shared" si="72"/>
        <v>0</v>
      </c>
      <c r="P823" s="161">
        <v>0</v>
      </c>
      <c r="Q823" s="161">
        <v>-779</v>
      </c>
      <c r="R823" s="161">
        <v>0</v>
      </c>
      <c r="S823" s="161">
        <v>0</v>
      </c>
      <c r="T823" s="161">
        <v>0</v>
      </c>
      <c r="U823" s="161">
        <v>0</v>
      </c>
      <c r="V823" s="161">
        <v>0</v>
      </c>
      <c r="W823" s="161">
        <f t="shared" si="73"/>
        <v>-779</v>
      </c>
      <c r="X823" s="161">
        <f t="shared" si="74"/>
        <v>0</v>
      </c>
      <c r="Y823" s="161">
        <f t="shared" si="75"/>
        <v>-779</v>
      </c>
      <c r="Z823" s="161">
        <v>0</v>
      </c>
      <c r="AA823" s="161">
        <f t="shared" si="76"/>
        <v>-779</v>
      </c>
      <c r="AB823" s="161">
        <f t="shared" si="77"/>
        <v>-779</v>
      </c>
      <c r="AC823" s="158" t="s">
        <v>1086</v>
      </c>
      <c r="AD823" s="158"/>
    </row>
    <row r="824" spans="1:30" ht="12.75" customHeight="1" x14ac:dyDescent="0.3">
      <c r="A824" s="147">
        <v>39</v>
      </c>
      <c r="B824" s="179" t="s">
        <v>1069</v>
      </c>
      <c r="C824" s="179" t="s">
        <v>104</v>
      </c>
      <c r="D824" s="179" t="s">
        <v>881</v>
      </c>
      <c r="E824" s="179" t="s">
        <v>25</v>
      </c>
      <c r="F824" s="179" t="s">
        <v>25</v>
      </c>
      <c r="G824" s="158" t="s">
        <v>866</v>
      </c>
      <c r="H824" s="161">
        <v>655.57</v>
      </c>
      <c r="I824" s="161">
        <v>-12.19</v>
      </c>
      <c r="J824" s="161">
        <v>0</v>
      </c>
      <c r="K824" s="161">
        <v>0</v>
      </c>
      <c r="L824" s="161">
        <v>0</v>
      </c>
      <c r="M824" s="161">
        <v>-34</v>
      </c>
      <c r="N824" s="161">
        <v>0</v>
      </c>
      <c r="O824" s="162">
        <f t="shared" si="72"/>
        <v>609.38</v>
      </c>
      <c r="P824" s="161">
        <v>-1964</v>
      </c>
      <c r="Q824" s="161">
        <v>0</v>
      </c>
      <c r="R824" s="161">
        <v>0</v>
      </c>
      <c r="S824" s="161">
        <v>0</v>
      </c>
      <c r="T824" s="161">
        <v>0</v>
      </c>
      <c r="U824" s="161">
        <v>-1000</v>
      </c>
      <c r="V824" s="161">
        <v>0</v>
      </c>
      <c r="W824" s="161">
        <f t="shared" si="73"/>
        <v>-2354.62</v>
      </c>
      <c r="X824" s="161">
        <f t="shared" si="74"/>
        <v>0</v>
      </c>
      <c r="Y824" s="161">
        <f t="shared" si="75"/>
        <v>-2354.62</v>
      </c>
      <c r="Z824" s="161">
        <v>2355</v>
      </c>
      <c r="AA824" s="161">
        <f t="shared" si="76"/>
        <v>0.38000000000010914</v>
      </c>
      <c r="AB824" s="161">
        <f t="shared" si="77"/>
        <v>2964.76</v>
      </c>
      <c r="AC824" s="158" t="s">
        <v>1086</v>
      </c>
      <c r="AD824" s="158"/>
    </row>
    <row r="825" spans="1:30" ht="12.75" customHeight="1" x14ac:dyDescent="0.3">
      <c r="A825" s="147">
        <v>39</v>
      </c>
      <c r="B825" s="158" t="s">
        <v>1051</v>
      </c>
      <c r="C825" s="158" t="s">
        <v>21</v>
      </c>
      <c r="D825" s="158" t="s">
        <v>20</v>
      </c>
      <c r="E825" s="160" t="s">
        <v>18</v>
      </c>
      <c r="F825" s="160" t="s">
        <v>18</v>
      </c>
      <c r="G825" s="158" t="s">
        <v>866</v>
      </c>
      <c r="H825" s="161">
        <v>3044.87</v>
      </c>
      <c r="I825" s="161">
        <v>-46.19</v>
      </c>
      <c r="J825" s="161">
        <v>-10.71</v>
      </c>
      <c r="K825" s="161">
        <v>0</v>
      </c>
      <c r="L825" s="161">
        <v>-944.39</v>
      </c>
      <c r="M825" s="161">
        <v>0</v>
      </c>
      <c r="N825" s="161">
        <v>0</v>
      </c>
      <c r="O825" s="162">
        <f t="shared" si="72"/>
        <v>2043.58</v>
      </c>
      <c r="P825" s="161">
        <v>-2500</v>
      </c>
      <c r="Q825" s="161">
        <v>0</v>
      </c>
      <c r="R825" s="161">
        <v>-500</v>
      </c>
      <c r="S825" s="161">
        <v>0</v>
      </c>
      <c r="T825" s="161">
        <v>0</v>
      </c>
      <c r="U825" s="161">
        <v>0</v>
      </c>
      <c r="V825" s="161">
        <v>0</v>
      </c>
      <c r="W825" s="161">
        <f t="shared" si="73"/>
        <v>-956.42000000000007</v>
      </c>
      <c r="X825" s="161">
        <f t="shared" si="74"/>
        <v>0</v>
      </c>
      <c r="Y825" s="161">
        <f t="shared" si="75"/>
        <v>-956.42000000000007</v>
      </c>
      <c r="Z825" s="161">
        <v>0</v>
      </c>
      <c r="AA825" s="161">
        <f t="shared" si="76"/>
        <v>-956.42000000000007</v>
      </c>
      <c r="AB825" s="161">
        <f t="shared" si="77"/>
        <v>1087.1599999999999</v>
      </c>
      <c r="AC825" s="158" t="s">
        <v>1087</v>
      </c>
      <c r="AD825" s="158"/>
    </row>
    <row r="826" spans="1:30" ht="12.75" customHeight="1" x14ac:dyDescent="0.3">
      <c r="A826" s="147">
        <v>39</v>
      </c>
      <c r="B826" s="158" t="s">
        <v>880</v>
      </c>
      <c r="C826" s="158" t="s">
        <v>183</v>
      </c>
      <c r="D826" s="158" t="s">
        <v>887</v>
      </c>
      <c r="E826" s="158" t="s">
        <v>25</v>
      </c>
      <c r="F826" s="158" t="s">
        <v>25</v>
      </c>
      <c r="G826" s="158" t="s">
        <v>866</v>
      </c>
      <c r="H826" s="161">
        <v>3485.27</v>
      </c>
      <c r="I826" s="161">
        <v>-53.16</v>
      </c>
      <c r="J826" s="161">
        <v>-7.14</v>
      </c>
      <c r="K826" s="161">
        <v>0</v>
      </c>
      <c r="L826" s="161">
        <v>-1671.29</v>
      </c>
      <c r="M826" s="161">
        <v>-38</v>
      </c>
      <c r="N826" s="161">
        <v>0</v>
      </c>
      <c r="O826" s="162">
        <f t="shared" si="72"/>
        <v>1715.6800000000003</v>
      </c>
      <c r="P826" s="161">
        <v>-2500</v>
      </c>
      <c r="Q826" s="161">
        <v>0</v>
      </c>
      <c r="R826" s="161">
        <v>0</v>
      </c>
      <c r="S826" s="161">
        <v>0</v>
      </c>
      <c r="T826" s="161">
        <v>-500</v>
      </c>
      <c r="U826" s="161">
        <v>-500</v>
      </c>
      <c r="V826" s="161">
        <v>0</v>
      </c>
      <c r="W826" s="161">
        <f t="shared" si="73"/>
        <v>-1784.3199999999997</v>
      </c>
      <c r="X826" s="161">
        <f t="shared" si="74"/>
        <v>0</v>
      </c>
      <c r="Y826" s="161">
        <f t="shared" si="75"/>
        <v>-1784.3199999999997</v>
      </c>
      <c r="Z826" s="161">
        <v>1284</v>
      </c>
      <c r="AA826" s="161">
        <f t="shared" si="76"/>
        <v>-500.31999999999971</v>
      </c>
      <c r="AB826" s="161">
        <f t="shared" si="77"/>
        <v>2499.3600000000006</v>
      </c>
      <c r="AC826" s="158" t="s">
        <v>1031</v>
      </c>
      <c r="AD826" s="158"/>
    </row>
    <row r="827" spans="1:30" ht="12.75" customHeight="1" x14ac:dyDescent="0.3">
      <c r="A827" s="147">
        <v>39</v>
      </c>
      <c r="B827" s="158" t="s">
        <v>922</v>
      </c>
      <c r="C827" s="158" t="s">
        <v>36</v>
      </c>
      <c r="D827" s="158" t="s">
        <v>904</v>
      </c>
      <c r="E827" s="158" t="s">
        <v>25</v>
      </c>
      <c r="F827" s="158" t="s">
        <v>25</v>
      </c>
      <c r="G827" s="158" t="s">
        <v>866</v>
      </c>
      <c r="H827" s="161">
        <v>3100.48</v>
      </c>
      <c r="I827" s="161">
        <v>-53.1</v>
      </c>
      <c r="J827" s="161">
        <v>0</v>
      </c>
      <c r="K827" s="161">
        <v>0</v>
      </c>
      <c r="L827" s="161">
        <v>-906.69</v>
      </c>
      <c r="M827" s="161">
        <v>-32</v>
      </c>
      <c r="N827" s="161">
        <v>0</v>
      </c>
      <c r="O827" s="162">
        <f t="shared" si="72"/>
        <v>2108.69</v>
      </c>
      <c r="P827" s="161">
        <v>-2500</v>
      </c>
      <c r="Q827" s="161">
        <v>-73</v>
      </c>
      <c r="R827" s="161">
        <v>0</v>
      </c>
      <c r="S827" s="161">
        <v>0</v>
      </c>
      <c r="T827" s="161">
        <v>0</v>
      </c>
      <c r="U827" s="161">
        <v>0</v>
      </c>
      <c r="V827" s="161">
        <v>0</v>
      </c>
      <c r="W827" s="161">
        <f t="shared" si="73"/>
        <v>-464.30999999999995</v>
      </c>
      <c r="X827" s="161">
        <f t="shared" si="74"/>
        <v>0</v>
      </c>
      <c r="Y827" s="161">
        <f t="shared" si="75"/>
        <v>-464.30999999999995</v>
      </c>
      <c r="Z827" s="161">
        <v>250</v>
      </c>
      <c r="AA827" s="161">
        <f t="shared" si="76"/>
        <v>-214.30999999999995</v>
      </c>
      <c r="AB827" s="161">
        <f t="shared" si="77"/>
        <v>2144.38</v>
      </c>
      <c r="AC827" s="158" t="s">
        <v>1031</v>
      </c>
      <c r="AD827" s="158"/>
    </row>
    <row r="828" spans="1:30" ht="12.75" customHeight="1" x14ac:dyDescent="0.3">
      <c r="A828" s="147">
        <v>39</v>
      </c>
      <c r="B828" s="158" t="s">
        <v>515</v>
      </c>
      <c r="C828" s="158" t="s">
        <v>110</v>
      </c>
      <c r="D828" s="158" t="s">
        <v>1036</v>
      </c>
      <c r="E828" s="158" t="s">
        <v>18</v>
      </c>
      <c r="F828" s="160" t="s">
        <v>18</v>
      </c>
      <c r="G828" s="158" t="s">
        <v>866</v>
      </c>
      <c r="H828" s="161">
        <v>4951.38</v>
      </c>
      <c r="I828" s="161">
        <v>-117.75</v>
      </c>
      <c r="J828" s="161">
        <v>0</v>
      </c>
      <c r="K828" s="161">
        <v>0</v>
      </c>
      <c r="L828" s="161">
        <v>0</v>
      </c>
      <c r="M828" s="161">
        <v>0</v>
      </c>
      <c r="N828" s="161">
        <v>0</v>
      </c>
      <c r="O828" s="162">
        <f t="shared" si="72"/>
        <v>4833.63</v>
      </c>
      <c r="P828" s="161">
        <v>-1607.14</v>
      </c>
      <c r="Q828" s="161">
        <v>0</v>
      </c>
      <c r="R828" s="161">
        <v>-321.42</v>
      </c>
      <c r="S828" s="161">
        <v>0</v>
      </c>
      <c r="T828" s="161">
        <v>0</v>
      </c>
      <c r="U828" s="161">
        <v>0</v>
      </c>
      <c r="V828" s="161">
        <v>0</v>
      </c>
      <c r="W828" s="161">
        <f t="shared" si="73"/>
        <v>2905.0699999999997</v>
      </c>
      <c r="X828" s="161">
        <f t="shared" si="74"/>
        <v>2905.0699999999997</v>
      </c>
      <c r="Y828" s="161">
        <f t="shared" si="75"/>
        <v>0</v>
      </c>
      <c r="Z828" s="161">
        <v>0</v>
      </c>
      <c r="AA828" s="161">
        <f t="shared" si="76"/>
        <v>0</v>
      </c>
      <c r="AB828" s="161">
        <f t="shared" si="77"/>
        <v>1928.5600000000004</v>
      </c>
      <c r="AC828" s="158" t="s">
        <v>1002</v>
      </c>
      <c r="AD828" s="158"/>
    </row>
    <row r="829" spans="1:30" ht="12.75" customHeight="1" x14ac:dyDescent="0.3">
      <c r="A829" s="147">
        <v>39</v>
      </c>
      <c r="B829" s="158" t="s">
        <v>993</v>
      </c>
      <c r="C829" s="158" t="s">
        <v>347</v>
      </c>
      <c r="D829" s="158" t="s">
        <v>897</v>
      </c>
      <c r="E829" s="158" t="s">
        <v>25</v>
      </c>
      <c r="F829" s="158" t="s">
        <v>25</v>
      </c>
      <c r="G829" s="158" t="s">
        <v>866</v>
      </c>
      <c r="H829" s="161">
        <v>1635.26</v>
      </c>
      <c r="I829" s="161">
        <v>-27.49</v>
      </c>
      <c r="J829" s="161">
        <v>0</v>
      </c>
      <c r="K829" s="161">
        <v>0</v>
      </c>
      <c r="L829" s="161">
        <v>-858.01</v>
      </c>
      <c r="M829" s="161">
        <v>-34</v>
      </c>
      <c r="N829" s="161">
        <v>0</v>
      </c>
      <c r="O829" s="162">
        <f t="shared" si="72"/>
        <v>715.76</v>
      </c>
      <c r="P829" s="161">
        <v>-2500</v>
      </c>
      <c r="Q829" s="161">
        <v>167</v>
      </c>
      <c r="R829" s="161">
        <v>0</v>
      </c>
      <c r="S829" s="161">
        <v>0</v>
      </c>
      <c r="T829" s="161">
        <v>0</v>
      </c>
      <c r="U829" s="161">
        <v>0</v>
      </c>
      <c r="V829" s="161">
        <v>0</v>
      </c>
      <c r="W829" s="161">
        <f t="shared" si="73"/>
        <v>-1617.24</v>
      </c>
      <c r="X829" s="161">
        <f t="shared" si="74"/>
        <v>0</v>
      </c>
      <c r="Y829" s="161">
        <f t="shared" si="75"/>
        <v>-1617.24</v>
      </c>
      <c r="Z829" s="161">
        <f>1000+600</f>
        <v>1600</v>
      </c>
      <c r="AA829" s="161">
        <f t="shared" si="76"/>
        <v>-17.240000000000009</v>
      </c>
      <c r="AB829" s="161">
        <f t="shared" si="77"/>
        <v>2298.5200000000004</v>
      </c>
      <c r="AC829" s="158" t="s">
        <v>1072</v>
      </c>
      <c r="AD829" s="158"/>
    </row>
    <row r="830" spans="1:30" ht="12.75" customHeight="1" x14ac:dyDescent="0.3">
      <c r="A830" s="147">
        <v>39</v>
      </c>
      <c r="B830" s="158" t="s">
        <v>1048</v>
      </c>
      <c r="C830" s="158" t="s">
        <v>55</v>
      </c>
      <c r="D830" s="158" t="s">
        <v>20</v>
      </c>
      <c r="E830" s="160" t="s">
        <v>25</v>
      </c>
      <c r="F830" s="158" t="s">
        <v>39</v>
      </c>
      <c r="G830" s="158" t="s">
        <v>866</v>
      </c>
      <c r="H830" s="161">
        <v>1756.45</v>
      </c>
      <c r="I830" s="161">
        <v>-30.15</v>
      </c>
      <c r="J830" s="161">
        <v>0</v>
      </c>
      <c r="K830" s="161">
        <v>0</v>
      </c>
      <c r="L830" s="161">
        <v>0</v>
      </c>
      <c r="M830" s="161">
        <v>-34</v>
      </c>
      <c r="N830" s="161">
        <v>0</v>
      </c>
      <c r="O830" s="162">
        <f t="shared" si="72"/>
        <v>1692.3</v>
      </c>
      <c r="P830" s="161">
        <v>-893</v>
      </c>
      <c r="Q830" s="161">
        <v>0</v>
      </c>
      <c r="R830" s="161">
        <v>0</v>
      </c>
      <c r="S830" s="161">
        <v>0</v>
      </c>
      <c r="T830" s="161">
        <v>0</v>
      </c>
      <c r="U830" s="161">
        <v>0</v>
      </c>
      <c r="V830" s="161">
        <v>0</v>
      </c>
      <c r="W830" s="161">
        <f t="shared" si="73"/>
        <v>799.3</v>
      </c>
      <c r="X830" s="161">
        <f t="shared" si="74"/>
        <v>799.3</v>
      </c>
      <c r="Y830" s="161">
        <f t="shared" si="75"/>
        <v>0</v>
      </c>
      <c r="Z830" s="161">
        <v>0</v>
      </c>
      <c r="AA830" s="161">
        <f t="shared" si="76"/>
        <v>0</v>
      </c>
      <c r="AB830" s="161">
        <f t="shared" si="77"/>
        <v>893</v>
      </c>
      <c r="AC830" s="158" t="s">
        <v>374</v>
      </c>
      <c r="AD830" s="158"/>
    </row>
    <row r="831" spans="1:30" ht="12.75" customHeight="1" x14ac:dyDescent="0.3">
      <c r="A831" s="147">
        <v>39</v>
      </c>
      <c r="B831" s="158" t="s">
        <v>1048</v>
      </c>
      <c r="C831" s="158" t="s">
        <v>1071</v>
      </c>
      <c r="D831" s="158" t="s">
        <v>20</v>
      </c>
      <c r="E831" s="160" t="s">
        <v>18</v>
      </c>
      <c r="F831" s="160" t="s">
        <v>18</v>
      </c>
      <c r="G831" s="158" t="s">
        <v>866</v>
      </c>
      <c r="H831" s="161">
        <v>4982.28</v>
      </c>
      <c r="I831" s="161">
        <v>-66.430000000000007</v>
      </c>
      <c r="J831" s="161">
        <v>0</v>
      </c>
      <c r="K831" s="161">
        <v>0</v>
      </c>
      <c r="L831" s="161">
        <v>0</v>
      </c>
      <c r="M831" s="161">
        <v>0</v>
      </c>
      <c r="N831" s="161">
        <v>0</v>
      </c>
      <c r="O831" s="162">
        <f t="shared" si="72"/>
        <v>4915.8499999999995</v>
      </c>
      <c r="P831" s="161">
        <v>-893</v>
      </c>
      <c r="Q831" s="161">
        <v>0</v>
      </c>
      <c r="R831" s="161">
        <v>0</v>
      </c>
      <c r="S831" s="161">
        <v>0</v>
      </c>
      <c r="T831" s="161">
        <v>0</v>
      </c>
      <c r="U831" s="161">
        <v>0</v>
      </c>
      <c r="V831" s="161">
        <v>0</v>
      </c>
      <c r="W831" s="161">
        <f t="shared" si="73"/>
        <v>4022.8499999999995</v>
      </c>
      <c r="X831" s="161">
        <f t="shared" si="74"/>
        <v>4022.8499999999995</v>
      </c>
      <c r="Y831" s="161">
        <f t="shared" si="75"/>
        <v>0</v>
      </c>
      <c r="Z831" s="161">
        <v>0</v>
      </c>
      <c r="AA831" s="161">
        <f t="shared" si="76"/>
        <v>0</v>
      </c>
      <c r="AB831" s="161">
        <f t="shared" si="77"/>
        <v>893</v>
      </c>
      <c r="AC831" s="158" t="s">
        <v>1002</v>
      </c>
      <c r="AD831" s="158"/>
    </row>
    <row r="832" spans="1:30" ht="12.75" customHeight="1" x14ac:dyDescent="0.3">
      <c r="A832" s="147">
        <v>39</v>
      </c>
      <c r="B832" s="158" t="s">
        <v>1025</v>
      </c>
      <c r="C832" s="158" t="s">
        <v>51</v>
      </c>
      <c r="D832" s="158" t="s">
        <v>20</v>
      </c>
      <c r="E832" s="160" t="s">
        <v>25</v>
      </c>
      <c r="F832" s="158" t="s">
        <v>39</v>
      </c>
      <c r="G832" s="158" t="s">
        <v>866</v>
      </c>
      <c r="H832" s="161">
        <v>4714.22</v>
      </c>
      <c r="I832" s="161">
        <v>-77.56</v>
      </c>
      <c r="J832" s="161">
        <v>-196.53</v>
      </c>
      <c r="K832" s="161">
        <v>0</v>
      </c>
      <c r="L832" s="161">
        <v>-878.69</v>
      </c>
      <c r="M832" s="161">
        <v>-38</v>
      </c>
      <c r="N832" s="161">
        <v>0</v>
      </c>
      <c r="O832" s="162">
        <f t="shared" si="72"/>
        <v>3523.44</v>
      </c>
      <c r="P832" s="161">
        <v>-2500</v>
      </c>
      <c r="Q832" s="161">
        <v>0</v>
      </c>
      <c r="R832" s="161">
        <v>0</v>
      </c>
      <c r="S832" s="161">
        <v>0</v>
      </c>
      <c r="T832" s="161">
        <v>0</v>
      </c>
      <c r="U832" s="161">
        <v>0</v>
      </c>
      <c r="V832" s="161">
        <v>0</v>
      </c>
      <c r="W832" s="161">
        <f t="shared" si="73"/>
        <v>1023.44</v>
      </c>
      <c r="X832" s="161">
        <f t="shared" si="74"/>
        <v>1023.44</v>
      </c>
      <c r="Y832" s="161">
        <f t="shared" si="75"/>
        <v>0</v>
      </c>
      <c r="Z832" s="161">
        <v>0</v>
      </c>
      <c r="AA832" s="161">
        <f t="shared" si="76"/>
        <v>0</v>
      </c>
      <c r="AB832" s="161">
        <f t="shared" si="77"/>
        <v>2500</v>
      </c>
      <c r="AC832" s="158" t="s">
        <v>374</v>
      </c>
      <c r="AD832" s="158"/>
    </row>
    <row r="833" spans="1:30" ht="12.75" customHeight="1" x14ac:dyDescent="0.3">
      <c r="A833" s="147">
        <v>39</v>
      </c>
      <c r="B833" s="158" t="s">
        <v>1070</v>
      </c>
      <c r="C833" s="158" t="s">
        <v>1071</v>
      </c>
      <c r="D833" s="158" t="s">
        <v>20</v>
      </c>
      <c r="E833" s="160" t="s">
        <v>18</v>
      </c>
      <c r="F833" s="160" t="s">
        <v>18</v>
      </c>
      <c r="G833" s="158" t="s">
        <v>866</v>
      </c>
      <c r="H833" s="161">
        <v>3216.77</v>
      </c>
      <c r="I833" s="161">
        <v>-59.05</v>
      </c>
      <c r="J833" s="161">
        <v>-12.08</v>
      </c>
      <c r="K833" s="161">
        <v>0</v>
      </c>
      <c r="L833" s="161">
        <v>0</v>
      </c>
      <c r="M833" s="161">
        <v>0</v>
      </c>
      <c r="N833" s="161">
        <v>0</v>
      </c>
      <c r="O833" s="162">
        <f t="shared" si="72"/>
        <v>3145.64</v>
      </c>
      <c r="P833" s="161">
        <v>-2500</v>
      </c>
      <c r="Q833" s="161">
        <v>0</v>
      </c>
      <c r="R833" s="161">
        <v>0</v>
      </c>
      <c r="S833" s="161">
        <v>0</v>
      </c>
      <c r="T833" s="161">
        <v>0</v>
      </c>
      <c r="U833" s="161">
        <v>0</v>
      </c>
      <c r="V833" s="161">
        <v>0</v>
      </c>
      <c r="W833" s="161">
        <f t="shared" si="73"/>
        <v>645.63999999999987</v>
      </c>
      <c r="X833" s="161">
        <f t="shared" si="74"/>
        <v>645.63999999999987</v>
      </c>
      <c r="Y833" s="161">
        <f t="shared" si="75"/>
        <v>0</v>
      </c>
      <c r="Z833" s="161">
        <v>0</v>
      </c>
      <c r="AA833" s="161">
        <f t="shared" si="76"/>
        <v>0</v>
      </c>
      <c r="AB833" s="161">
        <f t="shared" si="77"/>
        <v>2500</v>
      </c>
      <c r="AC833" s="158" t="s">
        <v>1002</v>
      </c>
      <c r="AD833" s="158"/>
    </row>
    <row r="834" spans="1:30" ht="12.75" customHeight="1" x14ac:dyDescent="0.3">
      <c r="A834" s="147">
        <v>39</v>
      </c>
      <c r="B834" s="158" t="s">
        <v>1088</v>
      </c>
      <c r="C834" s="182" t="s">
        <v>213</v>
      </c>
      <c r="D834" s="158" t="s">
        <v>881</v>
      </c>
      <c r="E834" s="158" t="s">
        <v>39</v>
      </c>
      <c r="F834" s="158" t="s">
        <v>39</v>
      </c>
      <c r="G834" s="160" t="s">
        <v>866</v>
      </c>
      <c r="H834" s="161">
        <v>2844</v>
      </c>
      <c r="I834" s="161">
        <v>-67.53</v>
      </c>
      <c r="J834" s="161">
        <v>0</v>
      </c>
      <c r="K834" s="161">
        <v>0</v>
      </c>
      <c r="L834" s="161">
        <v>0</v>
      </c>
      <c r="M834" s="161">
        <v>-25</v>
      </c>
      <c r="N834" s="161">
        <v>0</v>
      </c>
      <c r="O834" s="162">
        <f t="shared" ref="O834:O897" si="78">SUM(H834:N834)</f>
        <v>2751.47</v>
      </c>
      <c r="P834" s="161">
        <v>-1072</v>
      </c>
      <c r="Q834" s="161">
        <v>0</v>
      </c>
      <c r="R834" s="161">
        <v>-214</v>
      </c>
      <c r="S834" s="161">
        <v>0</v>
      </c>
      <c r="T834" s="161">
        <v>0</v>
      </c>
      <c r="U834" s="161">
        <v>0</v>
      </c>
      <c r="V834" s="161">
        <v>0</v>
      </c>
      <c r="W834" s="161">
        <f t="shared" ref="W834:W897" si="79">+O834+SUM(P834:V834)</f>
        <v>1465.4699999999998</v>
      </c>
      <c r="X834" s="161">
        <f t="shared" ref="X834:X897" si="80">IF(W834&gt;=0,W834,0)</f>
        <v>1465.4699999999998</v>
      </c>
      <c r="Y834" s="161">
        <f t="shared" ref="Y834:Y897" si="81">IF(W834&lt;=0,W834,0)</f>
        <v>0</v>
      </c>
      <c r="Z834" s="161">
        <v>0</v>
      </c>
      <c r="AA834" s="161">
        <f t="shared" ref="AA834:AA897" si="82">+Y834+Z834</f>
        <v>0</v>
      </c>
      <c r="AB834" s="161">
        <f t="shared" ref="AB834:AB897" si="83">+O834-X834+Z834+AA834</f>
        <v>1286</v>
      </c>
      <c r="AC834" s="158" t="s">
        <v>374</v>
      </c>
      <c r="AD834" s="158"/>
    </row>
    <row r="835" spans="1:30" ht="12.75" customHeight="1" x14ac:dyDescent="0.3">
      <c r="A835" s="147">
        <v>39</v>
      </c>
      <c r="B835" s="158" t="s">
        <v>1003</v>
      </c>
      <c r="C835" s="158" t="s">
        <v>59</v>
      </c>
      <c r="D835" s="158" t="s">
        <v>895</v>
      </c>
      <c r="E835" s="158" t="s">
        <v>25</v>
      </c>
      <c r="F835" s="158" t="s">
        <v>25</v>
      </c>
      <c r="G835" s="158" t="s">
        <v>866</v>
      </c>
      <c r="H835" s="161">
        <v>2458.29</v>
      </c>
      <c r="I835" s="161">
        <v>-37.22</v>
      </c>
      <c r="J835" s="161">
        <v>0</v>
      </c>
      <c r="K835" s="161">
        <v>0</v>
      </c>
      <c r="L835" s="161">
        <v>0</v>
      </c>
      <c r="M835" s="161">
        <v>-83</v>
      </c>
      <c r="N835" s="161">
        <v>-194</v>
      </c>
      <c r="O835" s="162">
        <f t="shared" si="78"/>
        <v>2144.0700000000002</v>
      </c>
      <c r="P835" s="161">
        <v>-1786</v>
      </c>
      <c r="Q835" s="161">
        <v>-4130</v>
      </c>
      <c r="R835" s="161">
        <v>0</v>
      </c>
      <c r="S835" s="161">
        <v>0</v>
      </c>
      <c r="T835" s="161">
        <v>0</v>
      </c>
      <c r="U835" s="161">
        <v>0</v>
      </c>
      <c r="V835" s="161">
        <v>0</v>
      </c>
      <c r="W835" s="161">
        <f t="shared" si="79"/>
        <v>-3771.93</v>
      </c>
      <c r="X835" s="161">
        <f t="shared" si="80"/>
        <v>0</v>
      </c>
      <c r="Y835" s="161">
        <f t="shared" si="81"/>
        <v>-3771.93</v>
      </c>
      <c r="Z835" s="161">
        <v>1850</v>
      </c>
      <c r="AA835" s="161">
        <f t="shared" si="82"/>
        <v>-1921.9299999999998</v>
      </c>
      <c r="AB835" s="161">
        <f t="shared" si="83"/>
        <v>2072.1400000000003</v>
      </c>
      <c r="AC835" s="158" t="s">
        <v>1089</v>
      </c>
      <c r="AD835" s="158"/>
    </row>
    <row r="836" spans="1:30" ht="12.75" customHeight="1" x14ac:dyDescent="0.3">
      <c r="A836" s="147">
        <v>40</v>
      </c>
      <c r="B836" s="158" t="s">
        <v>1062</v>
      </c>
      <c r="C836" s="158" t="s">
        <v>64</v>
      </c>
      <c r="D836" s="158" t="s">
        <v>895</v>
      </c>
      <c r="E836" s="158" t="s">
        <v>25</v>
      </c>
      <c r="F836" s="158" t="s">
        <v>25</v>
      </c>
      <c r="G836" s="158" t="s">
        <v>866</v>
      </c>
      <c r="H836" s="161">
        <v>6140.97</v>
      </c>
      <c r="I836" s="161">
        <v>-118.46</v>
      </c>
      <c r="J836" s="161">
        <v>0</v>
      </c>
      <c r="K836" s="161">
        <v>0</v>
      </c>
      <c r="L836" s="161">
        <v>-2160</v>
      </c>
      <c r="M836" s="161">
        <v>-38</v>
      </c>
      <c r="N836" s="161">
        <v>0</v>
      </c>
      <c r="O836" s="162">
        <f t="shared" si="78"/>
        <v>3824.51</v>
      </c>
      <c r="P836" s="161">
        <v>-1780.71</v>
      </c>
      <c r="Q836" s="161">
        <v>0</v>
      </c>
      <c r="R836" s="161">
        <v>-500</v>
      </c>
      <c r="S836" s="161">
        <v>0</v>
      </c>
      <c r="T836" s="161">
        <v>0</v>
      </c>
      <c r="U836" s="161">
        <v>0</v>
      </c>
      <c r="V836" s="161">
        <v>0</v>
      </c>
      <c r="W836" s="161">
        <f t="shared" si="79"/>
        <v>1543.8000000000002</v>
      </c>
      <c r="X836" s="161">
        <f t="shared" si="80"/>
        <v>1543.8000000000002</v>
      </c>
      <c r="Y836" s="161">
        <f t="shared" si="81"/>
        <v>0</v>
      </c>
      <c r="Z836" s="161">
        <v>0</v>
      </c>
      <c r="AA836" s="161">
        <f t="shared" si="82"/>
        <v>0</v>
      </c>
      <c r="AB836" s="161">
        <f t="shared" si="83"/>
        <v>2280.71</v>
      </c>
      <c r="AC836" s="158"/>
      <c r="AD836" s="158"/>
    </row>
    <row r="837" spans="1:30" ht="12.75" customHeight="1" x14ac:dyDescent="0.3">
      <c r="A837" s="147">
        <v>40</v>
      </c>
      <c r="B837" s="158" t="s">
        <v>1062</v>
      </c>
      <c r="C837" s="182" t="s">
        <v>213</v>
      </c>
      <c r="D837" s="158" t="s">
        <v>881</v>
      </c>
      <c r="E837" s="158" t="s">
        <v>39</v>
      </c>
      <c r="F837" s="158" t="s">
        <v>39</v>
      </c>
      <c r="G837" s="158" t="s">
        <v>866</v>
      </c>
      <c r="H837" s="161">
        <v>1512.27</v>
      </c>
      <c r="I837" s="161">
        <v>-23.92</v>
      </c>
      <c r="J837" s="161">
        <v>0</v>
      </c>
      <c r="K837" s="161">
        <v>0</v>
      </c>
      <c r="L837" s="161">
        <v>-744.52</v>
      </c>
      <c r="M837" s="162">
        <v>-25</v>
      </c>
      <c r="N837" s="161">
        <v>0</v>
      </c>
      <c r="O837" s="162">
        <f t="shared" si="78"/>
        <v>718.82999999999993</v>
      </c>
      <c r="P837" s="161">
        <v>-719</v>
      </c>
      <c r="Q837" s="161">
        <v>0</v>
      </c>
      <c r="R837" s="161">
        <v>0</v>
      </c>
      <c r="S837" s="161">
        <v>0</v>
      </c>
      <c r="T837" s="161">
        <v>0</v>
      </c>
      <c r="U837" s="161">
        <v>0</v>
      </c>
      <c r="V837" s="161">
        <v>0</v>
      </c>
      <c r="W837" s="161">
        <f t="shared" si="79"/>
        <v>-0.17000000000007276</v>
      </c>
      <c r="X837" s="161">
        <f t="shared" si="80"/>
        <v>0</v>
      </c>
      <c r="Y837" s="161">
        <f t="shared" si="81"/>
        <v>-0.17000000000007276</v>
      </c>
      <c r="Z837" s="161">
        <v>0</v>
      </c>
      <c r="AA837" s="161">
        <f t="shared" si="82"/>
        <v>-0.17000000000007276</v>
      </c>
      <c r="AB837" s="161">
        <f t="shared" si="83"/>
        <v>718.65999999999985</v>
      </c>
      <c r="AC837" s="158"/>
      <c r="AD837" s="158"/>
    </row>
    <row r="838" spans="1:30" ht="12.75" customHeight="1" x14ac:dyDescent="0.3">
      <c r="A838" s="147">
        <v>40</v>
      </c>
      <c r="B838" s="158" t="s">
        <v>585</v>
      </c>
      <c r="C838" s="158" t="s">
        <v>42</v>
      </c>
      <c r="D838" s="158" t="s">
        <v>948</v>
      </c>
      <c r="E838" s="158" t="s">
        <v>25</v>
      </c>
      <c r="F838" s="158" t="s">
        <v>25</v>
      </c>
      <c r="G838" s="158" t="s">
        <v>866</v>
      </c>
      <c r="H838" s="161">
        <v>0</v>
      </c>
      <c r="I838" s="161">
        <v>0</v>
      </c>
      <c r="J838" s="161">
        <v>0</v>
      </c>
      <c r="K838" s="161">
        <v>0</v>
      </c>
      <c r="L838" s="161">
        <v>0</v>
      </c>
      <c r="M838" s="161">
        <v>0</v>
      </c>
      <c r="N838" s="161">
        <v>0</v>
      </c>
      <c r="O838" s="162">
        <f t="shared" si="78"/>
        <v>0</v>
      </c>
      <c r="P838" s="161">
        <v>-2500</v>
      </c>
      <c r="Q838" s="161">
        <v>0</v>
      </c>
      <c r="R838" s="161">
        <v>0</v>
      </c>
      <c r="S838" s="161">
        <v>0</v>
      </c>
      <c r="T838" s="161">
        <v>0</v>
      </c>
      <c r="U838" s="161">
        <v>0</v>
      </c>
      <c r="V838" s="161">
        <v>0</v>
      </c>
      <c r="W838" s="161">
        <f t="shared" si="79"/>
        <v>-2500</v>
      </c>
      <c r="X838" s="161">
        <f t="shared" si="80"/>
        <v>0</v>
      </c>
      <c r="Y838" s="161">
        <f t="shared" si="81"/>
        <v>-2500</v>
      </c>
      <c r="Z838" s="161">
        <v>2500</v>
      </c>
      <c r="AA838" s="161">
        <f t="shared" si="82"/>
        <v>0</v>
      </c>
      <c r="AB838" s="161">
        <f t="shared" si="83"/>
        <v>2500</v>
      </c>
      <c r="AC838" s="158"/>
      <c r="AD838" s="158"/>
    </row>
    <row r="839" spans="1:30" ht="12.75" customHeight="1" x14ac:dyDescent="0.3">
      <c r="A839" s="147">
        <v>40</v>
      </c>
      <c r="B839" s="158" t="s">
        <v>837</v>
      </c>
      <c r="C839" s="158" t="s">
        <v>409</v>
      </c>
      <c r="D839" s="158" t="s">
        <v>946</v>
      </c>
      <c r="E839" s="158" t="s">
        <v>25</v>
      </c>
      <c r="F839" s="158" t="s">
        <v>25</v>
      </c>
      <c r="G839" s="158" t="s">
        <v>866</v>
      </c>
      <c r="H839" s="161">
        <v>10278.959999999999</v>
      </c>
      <c r="I839" s="161">
        <v>-281.60000000000002</v>
      </c>
      <c r="J839" s="161">
        <v>117.68</v>
      </c>
      <c r="K839" s="161">
        <v>0</v>
      </c>
      <c r="L839" s="161">
        <v>0</v>
      </c>
      <c r="M839" s="161">
        <v>-22</v>
      </c>
      <c r="N839" s="161">
        <v>0</v>
      </c>
      <c r="O839" s="162">
        <f t="shared" si="78"/>
        <v>10093.039999999999</v>
      </c>
      <c r="P839" s="161">
        <v>-2500</v>
      </c>
      <c r="Q839" s="161">
        <v>0</v>
      </c>
      <c r="R839" s="161">
        <v>-500</v>
      </c>
      <c r="S839" s="161">
        <v>0</v>
      </c>
      <c r="T839" s="161">
        <v>0</v>
      </c>
      <c r="U839" s="161">
        <v>0</v>
      </c>
      <c r="V839" s="161">
        <v>0</v>
      </c>
      <c r="W839" s="161">
        <f t="shared" si="79"/>
        <v>7093.0399999999991</v>
      </c>
      <c r="X839" s="161">
        <f t="shared" si="80"/>
        <v>7093.0399999999991</v>
      </c>
      <c r="Y839" s="161">
        <f t="shared" si="81"/>
        <v>0</v>
      </c>
      <c r="Z839" s="161">
        <v>0</v>
      </c>
      <c r="AA839" s="161">
        <f t="shared" si="82"/>
        <v>0</v>
      </c>
      <c r="AB839" s="161">
        <f t="shared" si="83"/>
        <v>3000</v>
      </c>
      <c r="AC839" s="158"/>
      <c r="AD839" s="158"/>
    </row>
    <row r="840" spans="1:30" ht="12.75" customHeight="1" x14ac:dyDescent="0.3">
      <c r="A840" s="147">
        <v>40</v>
      </c>
      <c r="B840" s="158" t="s">
        <v>944</v>
      </c>
      <c r="C840" s="158" t="s">
        <v>372</v>
      </c>
      <c r="D840" s="158" t="s">
        <v>1004</v>
      </c>
      <c r="E840" s="158" t="s">
        <v>39</v>
      </c>
      <c r="F840" s="158" t="s">
        <v>39</v>
      </c>
      <c r="G840" s="158" t="s">
        <v>866</v>
      </c>
      <c r="H840" s="161">
        <v>5128.26</v>
      </c>
      <c r="I840" s="161">
        <v>-78.900000000000006</v>
      </c>
      <c r="J840" s="161">
        <v>0</v>
      </c>
      <c r="K840" s="161">
        <v>0</v>
      </c>
      <c r="L840" s="161">
        <v>-1073</v>
      </c>
      <c r="M840" s="161">
        <v>-48</v>
      </c>
      <c r="N840" s="161">
        <v>0</v>
      </c>
      <c r="O840" s="162">
        <f t="shared" si="78"/>
        <v>3928.3600000000006</v>
      </c>
      <c r="P840" s="162">
        <v>-2500</v>
      </c>
      <c r="Q840" s="161">
        <v>0</v>
      </c>
      <c r="R840" s="161">
        <v>0</v>
      </c>
      <c r="S840" s="161">
        <v>0</v>
      </c>
      <c r="T840" s="161">
        <v>0</v>
      </c>
      <c r="U840" s="161">
        <v>0</v>
      </c>
      <c r="V840" s="161">
        <v>0</v>
      </c>
      <c r="W840" s="161">
        <f t="shared" si="79"/>
        <v>1428.3600000000006</v>
      </c>
      <c r="X840" s="161">
        <f t="shared" si="80"/>
        <v>1428.3600000000006</v>
      </c>
      <c r="Y840" s="161">
        <f t="shared" si="81"/>
        <v>0</v>
      </c>
      <c r="Z840" s="161">
        <v>0</v>
      </c>
      <c r="AA840" s="161">
        <f t="shared" si="82"/>
        <v>0</v>
      </c>
      <c r="AB840" s="161">
        <f t="shared" si="83"/>
        <v>2500</v>
      </c>
      <c r="AC840" s="158"/>
      <c r="AD840" s="158"/>
    </row>
    <row r="841" spans="1:30" ht="12.75" customHeight="1" x14ac:dyDescent="0.3">
      <c r="A841" s="147">
        <v>40</v>
      </c>
      <c r="B841" s="158" t="s">
        <v>604</v>
      </c>
      <c r="C841" s="158" t="s">
        <v>123</v>
      </c>
      <c r="D841" s="158" t="s">
        <v>20</v>
      </c>
      <c r="E841" s="160" t="s">
        <v>871</v>
      </c>
      <c r="F841" s="158" t="s">
        <v>39</v>
      </c>
      <c r="G841" s="158" t="s">
        <v>866</v>
      </c>
      <c r="H841" s="161">
        <v>7976.02</v>
      </c>
      <c r="I841" s="161">
        <v>-135.51</v>
      </c>
      <c r="J841" s="161">
        <v>0</v>
      </c>
      <c r="K841" s="161">
        <v>0</v>
      </c>
      <c r="L841" s="161">
        <v>0</v>
      </c>
      <c r="M841" s="162">
        <v>-36</v>
      </c>
      <c r="N841" s="161">
        <v>0</v>
      </c>
      <c r="O841" s="162">
        <f t="shared" si="78"/>
        <v>7804.51</v>
      </c>
      <c r="P841" s="161">
        <v>-2500</v>
      </c>
      <c r="Q841" s="161">
        <v>0</v>
      </c>
      <c r="R841" s="161">
        <v>0</v>
      </c>
      <c r="S841" s="161">
        <v>0</v>
      </c>
      <c r="T841" s="161">
        <v>0</v>
      </c>
      <c r="U841" s="161">
        <v>250</v>
      </c>
      <c r="V841" s="161">
        <v>0</v>
      </c>
      <c r="W841" s="161">
        <f t="shared" si="79"/>
        <v>5554.51</v>
      </c>
      <c r="X841" s="161">
        <f t="shared" si="80"/>
        <v>5554.51</v>
      </c>
      <c r="Y841" s="161">
        <f t="shared" si="81"/>
        <v>0</v>
      </c>
      <c r="Z841" s="161">
        <v>0</v>
      </c>
      <c r="AA841" s="161">
        <f t="shared" si="82"/>
        <v>0</v>
      </c>
      <c r="AB841" s="161">
        <f t="shared" si="83"/>
        <v>2250</v>
      </c>
      <c r="AC841" s="158"/>
      <c r="AD841" s="158"/>
    </row>
    <row r="842" spans="1:30" ht="12.75" customHeight="1" x14ac:dyDescent="0.3">
      <c r="A842" s="147">
        <v>40</v>
      </c>
      <c r="B842" s="158" t="s">
        <v>1029</v>
      </c>
      <c r="C842" s="158" t="s">
        <v>68</v>
      </c>
      <c r="D842" s="158" t="s">
        <v>869</v>
      </c>
      <c r="E842" s="158" t="s">
        <v>25</v>
      </c>
      <c r="F842" s="158" t="s">
        <v>25</v>
      </c>
      <c r="G842" s="158" t="s">
        <v>866</v>
      </c>
      <c r="H842" s="161">
        <v>4940</v>
      </c>
      <c r="I842" s="161">
        <v>-74.290000000000006</v>
      </c>
      <c r="J842" s="161">
        <v>0</v>
      </c>
      <c r="K842" s="161">
        <v>-39.54</v>
      </c>
      <c r="L842" s="161">
        <v>-100</v>
      </c>
      <c r="M842" s="161">
        <v>-38</v>
      </c>
      <c r="N842" s="161">
        <v>0</v>
      </c>
      <c r="O842" s="162">
        <f t="shared" si="78"/>
        <v>4688.17</v>
      </c>
      <c r="P842" s="161">
        <v>-2143</v>
      </c>
      <c r="Q842" s="161">
        <v>0</v>
      </c>
      <c r="R842" s="161">
        <v>0</v>
      </c>
      <c r="S842" s="161">
        <v>0</v>
      </c>
      <c r="T842" s="161">
        <v>0</v>
      </c>
      <c r="U842" s="161">
        <v>-1000</v>
      </c>
      <c r="V842" s="161">
        <v>0</v>
      </c>
      <c r="W842" s="161">
        <f t="shared" si="79"/>
        <v>1545.17</v>
      </c>
      <c r="X842" s="161">
        <f t="shared" si="80"/>
        <v>1545.17</v>
      </c>
      <c r="Y842" s="161">
        <f t="shared" si="81"/>
        <v>0</v>
      </c>
      <c r="Z842" s="161">
        <v>0</v>
      </c>
      <c r="AA842" s="161">
        <f t="shared" si="82"/>
        <v>0</v>
      </c>
      <c r="AB842" s="161">
        <f t="shared" si="83"/>
        <v>3143</v>
      </c>
      <c r="AC842" s="158"/>
      <c r="AD842" s="158"/>
    </row>
    <row r="843" spans="1:30" ht="12.75" customHeight="1" x14ac:dyDescent="0.3">
      <c r="A843" s="147">
        <v>40</v>
      </c>
      <c r="B843" s="158" t="s">
        <v>1082</v>
      </c>
      <c r="C843" s="158" t="s">
        <v>150</v>
      </c>
      <c r="D843" s="158" t="s">
        <v>877</v>
      </c>
      <c r="E843" s="158" t="s">
        <v>25</v>
      </c>
      <c r="F843" s="158" t="s">
        <v>25</v>
      </c>
      <c r="G843" s="158" t="s">
        <v>866</v>
      </c>
      <c r="H843" s="161">
        <v>357.27</v>
      </c>
      <c r="I843" s="161">
        <v>-4.92</v>
      </c>
      <c r="J843" s="161">
        <v>0</v>
      </c>
      <c r="K843" s="161">
        <v>0</v>
      </c>
      <c r="L843" s="161">
        <v>0</v>
      </c>
      <c r="M843" s="161">
        <v>-20</v>
      </c>
      <c r="N843" s="161">
        <v>0</v>
      </c>
      <c r="O843" s="162">
        <f t="shared" si="78"/>
        <v>332.34999999999997</v>
      </c>
      <c r="P843" s="161">
        <v>-714.28</v>
      </c>
      <c r="Q843" s="161">
        <v>0</v>
      </c>
      <c r="R843" s="161">
        <v>0</v>
      </c>
      <c r="S843" s="161">
        <v>0</v>
      </c>
      <c r="T843" s="161">
        <v>0</v>
      </c>
      <c r="U843" s="161">
        <v>0</v>
      </c>
      <c r="V843" s="161">
        <v>0</v>
      </c>
      <c r="W843" s="161">
        <f t="shared" si="79"/>
        <v>-381.93</v>
      </c>
      <c r="X843" s="161">
        <f t="shared" si="80"/>
        <v>0</v>
      </c>
      <c r="Y843" s="161">
        <f t="shared" si="81"/>
        <v>-381.93</v>
      </c>
      <c r="Z843" s="161">
        <v>382</v>
      </c>
      <c r="AA843" s="161">
        <f t="shared" si="82"/>
        <v>6.9999999999993179E-2</v>
      </c>
      <c r="AB843" s="161">
        <f t="shared" si="83"/>
        <v>714.41999999999985</v>
      </c>
      <c r="AC843" s="158"/>
      <c r="AD843" s="158"/>
    </row>
    <row r="844" spans="1:30" ht="12.75" customHeight="1" x14ac:dyDescent="0.3">
      <c r="A844" s="147">
        <v>40</v>
      </c>
      <c r="B844" s="158" t="s">
        <v>1082</v>
      </c>
      <c r="C844" s="158" t="s">
        <v>152</v>
      </c>
      <c r="D844" s="158" t="s">
        <v>20</v>
      </c>
      <c r="E844" s="160" t="s">
        <v>25</v>
      </c>
      <c r="F844" s="158" t="s">
        <v>39</v>
      </c>
      <c r="G844" s="158" t="s">
        <v>866</v>
      </c>
      <c r="H844" s="161">
        <v>3572.93</v>
      </c>
      <c r="I844" s="161">
        <v>-55.3</v>
      </c>
      <c r="J844" s="161">
        <v>0</v>
      </c>
      <c r="K844" s="161">
        <v>0</v>
      </c>
      <c r="L844" s="161">
        <v>-1453.92</v>
      </c>
      <c r="M844" s="162">
        <v>-38</v>
      </c>
      <c r="N844" s="161">
        <v>0</v>
      </c>
      <c r="O844" s="162">
        <f t="shared" si="78"/>
        <v>2025.7099999999996</v>
      </c>
      <c r="P844" s="161">
        <v>-1785.7</v>
      </c>
      <c r="Q844" s="161">
        <v>0</v>
      </c>
      <c r="R844" s="161">
        <v>-500</v>
      </c>
      <c r="S844" s="161">
        <v>0</v>
      </c>
      <c r="T844" s="161">
        <v>0</v>
      </c>
      <c r="U844" s="161">
        <v>0</v>
      </c>
      <c r="V844" s="161">
        <v>0</v>
      </c>
      <c r="W844" s="161">
        <f t="shared" si="79"/>
        <v>-259.99000000000024</v>
      </c>
      <c r="X844" s="161">
        <f t="shared" si="80"/>
        <v>0</v>
      </c>
      <c r="Y844" s="161">
        <f t="shared" si="81"/>
        <v>-259.99000000000024</v>
      </c>
      <c r="Z844" s="161">
        <v>260</v>
      </c>
      <c r="AA844" s="161">
        <f t="shared" si="82"/>
        <v>9.9999999997635314E-3</v>
      </c>
      <c r="AB844" s="161">
        <f t="shared" si="83"/>
        <v>2285.7199999999993</v>
      </c>
      <c r="AC844" s="158"/>
      <c r="AD844" s="158"/>
    </row>
    <row r="845" spans="1:30" ht="12.75" customHeight="1" x14ac:dyDescent="0.3">
      <c r="A845" s="147">
        <v>40</v>
      </c>
      <c r="B845" s="158" t="s">
        <v>913</v>
      </c>
      <c r="C845" s="158" t="s">
        <v>100</v>
      </c>
      <c r="D845" s="158" t="s">
        <v>953</v>
      </c>
      <c r="E845" s="158" t="s">
        <v>25</v>
      </c>
      <c r="F845" s="158" t="s">
        <v>25</v>
      </c>
      <c r="G845" s="158" t="s">
        <v>866</v>
      </c>
      <c r="H845" s="161">
        <v>6081.44</v>
      </c>
      <c r="I845" s="161">
        <v>-96.76</v>
      </c>
      <c r="J845" s="161">
        <v>9.7899999999999991</v>
      </c>
      <c r="K845" s="161">
        <v>0</v>
      </c>
      <c r="L845" s="161">
        <v>-5040.1000000000004</v>
      </c>
      <c r="M845" s="161">
        <v>-32</v>
      </c>
      <c r="N845" s="161">
        <v>0</v>
      </c>
      <c r="O845" s="162">
        <f t="shared" si="78"/>
        <v>922.36999999999898</v>
      </c>
      <c r="P845" s="161">
        <v>-2500</v>
      </c>
      <c r="Q845" s="161">
        <v>-7</v>
      </c>
      <c r="R845" s="161">
        <v>0</v>
      </c>
      <c r="S845" s="161">
        <v>0</v>
      </c>
      <c r="T845" s="161">
        <v>-500</v>
      </c>
      <c r="U845" s="161">
        <v>0</v>
      </c>
      <c r="V845" s="161">
        <v>0</v>
      </c>
      <c r="W845" s="161">
        <f t="shared" si="79"/>
        <v>-2084.630000000001</v>
      </c>
      <c r="X845" s="161">
        <f t="shared" si="80"/>
        <v>0</v>
      </c>
      <c r="Y845" s="161">
        <f t="shared" si="81"/>
        <v>-2084.630000000001</v>
      </c>
      <c r="Z845" s="161">
        <v>1583</v>
      </c>
      <c r="AA845" s="161">
        <f t="shared" si="82"/>
        <v>-501.63000000000102</v>
      </c>
      <c r="AB845" s="161">
        <f t="shared" si="83"/>
        <v>2003.739999999998</v>
      </c>
      <c r="AC845" s="158"/>
      <c r="AD845" s="158"/>
    </row>
    <row r="846" spans="1:30" ht="12.75" customHeight="1" x14ac:dyDescent="0.3">
      <c r="A846" s="147">
        <v>40</v>
      </c>
      <c r="B846" s="158" t="s">
        <v>457</v>
      </c>
      <c r="C846" s="158" t="s">
        <v>573</v>
      </c>
      <c r="D846" s="158" t="s">
        <v>974</v>
      </c>
      <c r="E846" s="158" t="s">
        <v>25</v>
      </c>
      <c r="F846" s="158" t="s">
        <v>39</v>
      </c>
      <c r="G846" s="158" t="s">
        <v>866</v>
      </c>
      <c r="H846" s="161">
        <v>3460.09</v>
      </c>
      <c r="I846" s="161">
        <v>-57.55</v>
      </c>
      <c r="J846" s="161">
        <v>0</v>
      </c>
      <c r="K846" s="161">
        <v>0</v>
      </c>
      <c r="L846" s="161">
        <v>-1158.05</v>
      </c>
      <c r="M846" s="161">
        <v>-32</v>
      </c>
      <c r="N846" s="161">
        <v>0</v>
      </c>
      <c r="O846" s="162">
        <f t="shared" si="78"/>
        <v>2212.4899999999998</v>
      </c>
      <c r="P846" s="162">
        <v>-2143</v>
      </c>
      <c r="Q846" s="161">
        <v>-720</v>
      </c>
      <c r="R846" s="161">
        <v>0</v>
      </c>
      <c r="S846" s="161">
        <v>0</v>
      </c>
      <c r="T846" s="161">
        <v>0</v>
      </c>
      <c r="U846" s="161">
        <v>100</v>
      </c>
      <c r="V846" s="161">
        <v>0</v>
      </c>
      <c r="W846" s="161">
        <f t="shared" si="79"/>
        <v>-550.51000000000022</v>
      </c>
      <c r="X846" s="161">
        <f t="shared" si="80"/>
        <v>0</v>
      </c>
      <c r="Y846" s="161">
        <f t="shared" si="81"/>
        <v>-550.51000000000022</v>
      </c>
      <c r="Z846" s="161">
        <v>0</v>
      </c>
      <c r="AA846" s="161">
        <f t="shared" si="82"/>
        <v>-550.51000000000022</v>
      </c>
      <c r="AB846" s="161">
        <f t="shared" si="83"/>
        <v>1661.9799999999996</v>
      </c>
      <c r="AC846" s="158"/>
      <c r="AD846" s="158"/>
    </row>
    <row r="847" spans="1:30" ht="12.75" customHeight="1" x14ac:dyDescent="0.3">
      <c r="A847" s="147">
        <v>40</v>
      </c>
      <c r="B847" s="158" t="s">
        <v>1076</v>
      </c>
      <c r="C847" s="158" t="s">
        <v>80</v>
      </c>
      <c r="D847" s="158" t="s">
        <v>20</v>
      </c>
      <c r="E847" s="160" t="s">
        <v>18</v>
      </c>
      <c r="F847" s="160" t="s">
        <v>18</v>
      </c>
      <c r="G847" s="158" t="s">
        <v>737</v>
      </c>
      <c r="H847" s="161">
        <v>8394.85</v>
      </c>
      <c r="I847" s="161">
        <v>0</v>
      </c>
      <c r="J847" s="161">
        <v>0</v>
      </c>
      <c r="K847" s="161">
        <v>0</v>
      </c>
      <c r="L847" s="161">
        <v>-5925</v>
      </c>
      <c r="M847" s="158">
        <v>0</v>
      </c>
      <c r="N847" s="161">
        <v>0</v>
      </c>
      <c r="O847" s="162">
        <f t="shared" si="78"/>
        <v>2469.8500000000004</v>
      </c>
      <c r="P847" s="161">
        <v>-2600</v>
      </c>
      <c r="Q847" s="161">
        <v>0</v>
      </c>
      <c r="R847" s="161">
        <v>-500</v>
      </c>
      <c r="S847" s="161">
        <v>0</v>
      </c>
      <c r="T847" s="161">
        <v>0</v>
      </c>
      <c r="U847" s="161">
        <v>0</v>
      </c>
      <c r="V847" s="161">
        <v>0</v>
      </c>
      <c r="W847" s="161">
        <f t="shared" si="79"/>
        <v>-630.14999999999964</v>
      </c>
      <c r="X847" s="161">
        <f t="shared" si="80"/>
        <v>0</v>
      </c>
      <c r="Y847" s="161">
        <f t="shared" si="81"/>
        <v>-630.14999999999964</v>
      </c>
      <c r="Z847" s="161">
        <v>630</v>
      </c>
      <c r="AA847" s="161">
        <f t="shared" si="82"/>
        <v>-0.1499999999996362</v>
      </c>
      <c r="AB847" s="161">
        <f t="shared" si="83"/>
        <v>3099.7000000000007</v>
      </c>
      <c r="AC847" s="158" t="s">
        <v>1090</v>
      </c>
      <c r="AD847" s="158"/>
    </row>
    <row r="848" spans="1:30" ht="12.75" customHeight="1" x14ac:dyDescent="0.3">
      <c r="A848" s="147">
        <v>40</v>
      </c>
      <c r="B848" s="158" t="s">
        <v>620</v>
      </c>
      <c r="C848" s="158" t="s">
        <v>571</v>
      </c>
      <c r="D848" s="158" t="s">
        <v>974</v>
      </c>
      <c r="E848" s="158" t="s">
        <v>25</v>
      </c>
      <c r="F848" s="158" t="s">
        <v>25</v>
      </c>
      <c r="G848" s="158" t="s">
        <v>866</v>
      </c>
      <c r="H848" s="161">
        <v>5546</v>
      </c>
      <c r="I848" s="161">
        <v>-94.61</v>
      </c>
      <c r="J848" s="161">
        <v>302.99</v>
      </c>
      <c r="K848" s="161">
        <v>0</v>
      </c>
      <c r="L848" s="161">
        <v>-3604.66</v>
      </c>
      <c r="M848" s="161">
        <v>-38</v>
      </c>
      <c r="N848" s="161">
        <v>0</v>
      </c>
      <c r="O848" s="162">
        <f t="shared" si="78"/>
        <v>2111.7200000000003</v>
      </c>
      <c r="P848" s="161">
        <v>-2500</v>
      </c>
      <c r="Q848" s="161">
        <v>0</v>
      </c>
      <c r="R848" s="161">
        <v>-500</v>
      </c>
      <c r="S848" s="161">
        <v>0</v>
      </c>
      <c r="T848" s="161">
        <v>0</v>
      </c>
      <c r="U848" s="161">
        <v>0</v>
      </c>
      <c r="V848" s="161">
        <v>0</v>
      </c>
      <c r="W848" s="161">
        <f t="shared" si="79"/>
        <v>-888.27999999999975</v>
      </c>
      <c r="X848" s="161">
        <f t="shared" si="80"/>
        <v>0</v>
      </c>
      <c r="Y848" s="161">
        <f t="shared" si="81"/>
        <v>-888.27999999999975</v>
      </c>
      <c r="Z848" s="161">
        <v>888</v>
      </c>
      <c r="AA848" s="161">
        <f t="shared" si="82"/>
        <v>-0.27999999999974534</v>
      </c>
      <c r="AB848" s="161">
        <f t="shared" si="83"/>
        <v>2999.4400000000005</v>
      </c>
      <c r="AC848" s="158"/>
      <c r="AD848" s="158"/>
    </row>
    <row r="849" spans="1:30" ht="12.75" customHeight="1" x14ac:dyDescent="0.3">
      <c r="A849" s="147">
        <v>40</v>
      </c>
      <c r="B849" s="158" t="s">
        <v>1056</v>
      </c>
      <c r="C849" s="158" t="s">
        <v>152</v>
      </c>
      <c r="D849" s="158" t="s">
        <v>20</v>
      </c>
      <c r="E849" s="160" t="s">
        <v>25</v>
      </c>
      <c r="F849" s="158" t="s">
        <v>39</v>
      </c>
      <c r="G849" s="158" t="s">
        <v>866</v>
      </c>
      <c r="H849" s="161">
        <v>1780.34</v>
      </c>
      <c r="I849" s="161">
        <v>-29.93</v>
      </c>
      <c r="J849" s="161">
        <v>0</v>
      </c>
      <c r="K849" s="161">
        <v>0</v>
      </c>
      <c r="L849" s="161">
        <v>-138.07</v>
      </c>
      <c r="M849" s="162">
        <v>0</v>
      </c>
      <c r="N849" s="161">
        <v>0</v>
      </c>
      <c r="O849" s="162">
        <f t="shared" si="78"/>
        <v>1612.34</v>
      </c>
      <c r="P849" s="161">
        <v>-1612</v>
      </c>
      <c r="Q849" s="161">
        <v>0</v>
      </c>
      <c r="R849" s="161">
        <v>0</v>
      </c>
      <c r="S849" s="161">
        <v>0</v>
      </c>
      <c r="T849" s="161">
        <v>0</v>
      </c>
      <c r="U849" s="161">
        <v>0</v>
      </c>
      <c r="V849" s="161">
        <v>0</v>
      </c>
      <c r="W849" s="161">
        <f t="shared" si="79"/>
        <v>0.33999999999991815</v>
      </c>
      <c r="X849" s="161">
        <f t="shared" si="80"/>
        <v>0.33999999999991815</v>
      </c>
      <c r="Y849" s="161">
        <f t="shared" si="81"/>
        <v>0</v>
      </c>
      <c r="Z849" s="161">
        <v>0</v>
      </c>
      <c r="AA849" s="161">
        <f t="shared" si="82"/>
        <v>0</v>
      </c>
      <c r="AB849" s="161">
        <f t="shared" si="83"/>
        <v>1612</v>
      </c>
      <c r="AC849" s="158" t="s">
        <v>1057</v>
      </c>
      <c r="AD849" s="158"/>
    </row>
    <row r="850" spans="1:30" ht="12.75" customHeight="1" x14ac:dyDescent="0.3">
      <c r="A850" s="147">
        <v>40</v>
      </c>
      <c r="B850" s="158" t="s">
        <v>1058</v>
      </c>
      <c r="C850" s="158" t="s">
        <v>17</v>
      </c>
      <c r="D850" s="158" t="s">
        <v>20</v>
      </c>
      <c r="E850" s="160" t="s">
        <v>18</v>
      </c>
      <c r="F850" s="160" t="s">
        <v>18</v>
      </c>
      <c r="G850" s="158" t="s">
        <v>866</v>
      </c>
      <c r="H850" s="161">
        <v>0</v>
      </c>
      <c r="I850" s="161">
        <v>0</v>
      </c>
      <c r="J850" s="161">
        <v>0</v>
      </c>
      <c r="K850" s="161">
        <v>0</v>
      </c>
      <c r="L850" s="161">
        <v>0</v>
      </c>
      <c r="M850" s="161">
        <v>0</v>
      </c>
      <c r="N850" s="161">
        <v>0</v>
      </c>
      <c r="O850" s="162">
        <f t="shared" si="78"/>
        <v>0</v>
      </c>
      <c r="P850" s="161">
        <v>0</v>
      </c>
      <c r="Q850" s="161">
        <v>200</v>
      </c>
      <c r="R850" s="161">
        <v>0</v>
      </c>
      <c r="S850" s="161">
        <v>0</v>
      </c>
      <c r="T850" s="161">
        <v>0</v>
      </c>
      <c r="U850" s="161">
        <v>0</v>
      </c>
      <c r="V850" s="161">
        <v>0</v>
      </c>
      <c r="W850" s="161">
        <f t="shared" si="79"/>
        <v>200</v>
      </c>
      <c r="X850" s="161">
        <f t="shared" si="80"/>
        <v>200</v>
      </c>
      <c r="Y850" s="161">
        <f t="shared" si="81"/>
        <v>0</v>
      </c>
      <c r="Z850" s="161">
        <v>0</v>
      </c>
      <c r="AA850" s="161">
        <f t="shared" si="82"/>
        <v>0</v>
      </c>
      <c r="AB850" s="161">
        <f t="shared" si="83"/>
        <v>-200</v>
      </c>
      <c r="AC850" s="158" t="s">
        <v>1091</v>
      </c>
      <c r="AD850" s="158"/>
    </row>
    <row r="851" spans="1:30" ht="12.75" customHeight="1" x14ac:dyDescent="0.3">
      <c r="A851" s="147">
        <v>40</v>
      </c>
      <c r="B851" s="158" t="s">
        <v>1078</v>
      </c>
      <c r="C851" s="158" t="s">
        <v>53</v>
      </c>
      <c r="D851" s="158" t="s">
        <v>20</v>
      </c>
      <c r="E851" s="160" t="s">
        <v>25</v>
      </c>
      <c r="F851" s="158" t="s">
        <v>39</v>
      </c>
      <c r="G851" s="158" t="s">
        <v>866</v>
      </c>
      <c r="H851" s="161">
        <v>2896.63</v>
      </c>
      <c r="I851" s="161">
        <v>-52.45</v>
      </c>
      <c r="J851" s="161">
        <v>0</v>
      </c>
      <c r="K851" s="161">
        <v>0</v>
      </c>
      <c r="L851" s="161">
        <v>-2947.14</v>
      </c>
      <c r="M851" s="161">
        <v>-42</v>
      </c>
      <c r="N851" s="161">
        <v>0</v>
      </c>
      <c r="O851" s="162">
        <f t="shared" si="78"/>
        <v>-144.95999999999958</v>
      </c>
      <c r="P851" s="161">
        <v>-2500</v>
      </c>
      <c r="Q851" s="161">
        <v>-1767.36</v>
      </c>
      <c r="R851" s="161">
        <v>0</v>
      </c>
      <c r="S851" s="161">
        <v>0</v>
      </c>
      <c r="T851" s="161">
        <v>0</v>
      </c>
      <c r="U851" s="161">
        <v>0</v>
      </c>
      <c r="V851" s="161">
        <v>0</v>
      </c>
      <c r="W851" s="161">
        <f t="shared" si="79"/>
        <v>-4412.32</v>
      </c>
      <c r="X851" s="161">
        <f t="shared" si="80"/>
        <v>0</v>
      </c>
      <c r="Y851" s="161">
        <f t="shared" si="81"/>
        <v>-4412.32</v>
      </c>
      <c r="Z851" s="161">
        <v>2300</v>
      </c>
      <c r="AA851" s="161">
        <f t="shared" si="82"/>
        <v>-2112.3199999999997</v>
      </c>
      <c r="AB851" s="161">
        <f t="shared" si="83"/>
        <v>42.720000000000709</v>
      </c>
      <c r="AC851" s="158"/>
      <c r="AD851" s="158"/>
    </row>
    <row r="852" spans="1:30" ht="12.75" customHeight="1" x14ac:dyDescent="0.3">
      <c r="A852" s="147">
        <v>40</v>
      </c>
      <c r="B852" s="158" t="s">
        <v>872</v>
      </c>
      <c r="C852" s="158" t="s">
        <v>256</v>
      </c>
      <c r="D852" s="158" t="s">
        <v>997</v>
      </c>
      <c r="E852" s="160" t="s">
        <v>871</v>
      </c>
      <c r="F852" s="158" t="s">
        <v>39</v>
      </c>
      <c r="G852" s="158" t="s">
        <v>866</v>
      </c>
      <c r="H852" s="161">
        <v>5630.03</v>
      </c>
      <c r="I852" s="161">
        <v>-95.37</v>
      </c>
      <c r="J852" s="161">
        <v>0</v>
      </c>
      <c r="K852" s="161">
        <v>-59.84</v>
      </c>
      <c r="L852" s="161">
        <v>-2797.42</v>
      </c>
      <c r="M852" s="161">
        <v>-72</v>
      </c>
      <c r="N852" s="161">
        <v>-95</v>
      </c>
      <c r="O852" s="162">
        <f t="shared" si="78"/>
        <v>2510.3999999999996</v>
      </c>
      <c r="P852" s="161">
        <v>-2500</v>
      </c>
      <c r="Q852" s="161">
        <v>0</v>
      </c>
      <c r="R852" s="161">
        <v>0</v>
      </c>
      <c r="S852" s="161">
        <v>0</v>
      </c>
      <c r="T852" s="161">
        <v>0</v>
      </c>
      <c r="U852" s="161">
        <v>0</v>
      </c>
      <c r="V852" s="161">
        <v>0</v>
      </c>
      <c r="W852" s="161">
        <f t="shared" si="79"/>
        <v>10.399999999999636</v>
      </c>
      <c r="X852" s="161">
        <f t="shared" si="80"/>
        <v>10.399999999999636</v>
      </c>
      <c r="Y852" s="161">
        <f t="shared" si="81"/>
        <v>0</v>
      </c>
      <c r="Z852" s="161">
        <v>0</v>
      </c>
      <c r="AA852" s="161">
        <f t="shared" si="82"/>
        <v>0</v>
      </c>
      <c r="AB852" s="161">
        <f t="shared" si="83"/>
        <v>2500</v>
      </c>
      <c r="AC852" s="158"/>
      <c r="AD852" s="158"/>
    </row>
    <row r="853" spans="1:30" ht="12.75" customHeight="1" x14ac:dyDescent="0.3">
      <c r="A853" s="147">
        <v>40</v>
      </c>
      <c r="B853" s="158" t="s">
        <v>921</v>
      </c>
      <c r="C853" s="158" t="s">
        <v>257</v>
      </c>
      <c r="D853" s="158" t="s">
        <v>943</v>
      </c>
      <c r="E853" s="158" t="s">
        <v>25</v>
      </c>
      <c r="F853" s="158" t="s">
        <v>25</v>
      </c>
      <c r="G853" s="158" t="s">
        <v>866</v>
      </c>
      <c r="H853" s="161">
        <v>7622.94</v>
      </c>
      <c r="I853" s="161">
        <v>-156.6</v>
      </c>
      <c r="J853" s="161">
        <v>0</v>
      </c>
      <c r="K853" s="161">
        <v>0</v>
      </c>
      <c r="L853" s="161">
        <v>-4421.68</v>
      </c>
      <c r="M853" s="161">
        <v>-34</v>
      </c>
      <c r="N853" s="161">
        <v>0</v>
      </c>
      <c r="O853" s="162">
        <f t="shared" si="78"/>
        <v>3010.6599999999989</v>
      </c>
      <c r="P853" s="161">
        <v>-2500</v>
      </c>
      <c r="Q853" s="161">
        <v>0</v>
      </c>
      <c r="R853" s="161">
        <v>0</v>
      </c>
      <c r="S853" s="161">
        <v>0</v>
      </c>
      <c r="T853" s="161">
        <v>0</v>
      </c>
      <c r="U853" s="161">
        <v>0</v>
      </c>
      <c r="V853" s="161">
        <v>0</v>
      </c>
      <c r="W853" s="161">
        <f t="shared" si="79"/>
        <v>510.65999999999894</v>
      </c>
      <c r="X853" s="161">
        <f t="shared" si="80"/>
        <v>510.65999999999894</v>
      </c>
      <c r="Y853" s="161">
        <f t="shared" si="81"/>
        <v>0</v>
      </c>
      <c r="Z853" s="161">
        <v>0</v>
      </c>
      <c r="AA853" s="161">
        <f t="shared" si="82"/>
        <v>0</v>
      </c>
      <c r="AB853" s="161">
        <f t="shared" si="83"/>
        <v>2500</v>
      </c>
      <c r="AC853" s="158"/>
      <c r="AD853" s="158"/>
    </row>
    <row r="854" spans="1:30" ht="12.75" customHeight="1" x14ac:dyDescent="0.3">
      <c r="A854" s="147">
        <v>40</v>
      </c>
      <c r="B854" s="158" t="s">
        <v>874</v>
      </c>
      <c r="C854" s="158" t="s">
        <v>1071</v>
      </c>
      <c r="D854" s="158" t="s">
        <v>20</v>
      </c>
      <c r="E854" s="160" t="s">
        <v>18</v>
      </c>
      <c r="F854" s="160" t="s">
        <v>18</v>
      </c>
      <c r="G854" s="158" t="s">
        <v>737</v>
      </c>
      <c r="H854" s="161">
        <v>2500</v>
      </c>
      <c r="I854" s="161">
        <v>0</v>
      </c>
      <c r="J854" s="161">
        <v>0</v>
      </c>
      <c r="K854" s="161">
        <v>0</v>
      </c>
      <c r="L854" s="161">
        <v>0</v>
      </c>
      <c r="M854" s="161">
        <v>0</v>
      </c>
      <c r="N854" s="161">
        <v>0</v>
      </c>
      <c r="O854" s="162">
        <f t="shared" si="78"/>
        <v>2500</v>
      </c>
      <c r="P854" s="161">
        <v>-2500</v>
      </c>
      <c r="Q854" s="161">
        <v>0</v>
      </c>
      <c r="R854" s="161">
        <v>-500</v>
      </c>
      <c r="S854" s="161">
        <v>0</v>
      </c>
      <c r="T854" s="161">
        <v>0</v>
      </c>
      <c r="U854" s="161">
        <v>0</v>
      </c>
      <c r="V854" s="161">
        <v>0</v>
      </c>
      <c r="W854" s="161">
        <f t="shared" si="79"/>
        <v>-500</v>
      </c>
      <c r="X854" s="161">
        <f t="shared" si="80"/>
        <v>0</v>
      </c>
      <c r="Y854" s="161">
        <f t="shared" si="81"/>
        <v>-500</v>
      </c>
      <c r="Z854" s="161">
        <v>0</v>
      </c>
      <c r="AA854" s="161">
        <f t="shared" si="82"/>
        <v>-500</v>
      </c>
      <c r="AB854" s="161">
        <f t="shared" si="83"/>
        <v>2000</v>
      </c>
      <c r="AC854" s="158" t="s">
        <v>1092</v>
      </c>
      <c r="AD854" s="158"/>
    </row>
    <row r="855" spans="1:30" ht="12.75" customHeight="1" x14ac:dyDescent="0.3">
      <c r="A855" s="147">
        <v>40</v>
      </c>
      <c r="B855" s="158" t="s">
        <v>1093</v>
      </c>
      <c r="C855" s="158" t="s">
        <v>150</v>
      </c>
      <c r="D855" s="158" t="s">
        <v>877</v>
      </c>
      <c r="E855" s="158" t="s">
        <v>25</v>
      </c>
      <c r="F855" s="158" t="s">
        <v>25</v>
      </c>
      <c r="G855" s="158" t="s">
        <v>866</v>
      </c>
      <c r="H855" s="161">
        <v>3927.57</v>
      </c>
      <c r="I855" s="161">
        <v>-60.26</v>
      </c>
      <c r="J855" s="161">
        <v>0</v>
      </c>
      <c r="K855" s="161">
        <v>0</v>
      </c>
      <c r="L855" s="161">
        <v>-900.3</v>
      </c>
      <c r="M855" s="162">
        <v>-35</v>
      </c>
      <c r="N855" s="161">
        <v>0</v>
      </c>
      <c r="O855" s="162">
        <f t="shared" si="78"/>
        <v>2932.01</v>
      </c>
      <c r="P855" s="161">
        <v>-1428.57</v>
      </c>
      <c r="Q855" s="161"/>
      <c r="R855" s="161">
        <v>-285.70999999999998</v>
      </c>
      <c r="S855" s="161">
        <v>0</v>
      </c>
      <c r="T855" s="161">
        <v>0</v>
      </c>
      <c r="U855" s="161">
        <v>0</v>
      </c>
      <c r="V855" s="161">
        <v>0</v>
      </c>
      <c r="W855" s="161">
        <f t="shared" si="79"/>
        <v>1217.7300000000002</v>
      </c>
      <c r="X855" s="161">
        <f t="shared" si="80"/>
        <v>1217.7300000000002</v>
      </c>
      <c r="Y855" s="161">
        <f t="shared" si="81"/>
        <v>0</v>
      </c>
      <c r="Z855" s="161">
        <v>0</v>
      </c>
      <c r="AA855" s="161">
        <f t="shared" si="82"/>
        <v>0</v>
      </c>
      <c r="AB855" s="161">
        <f t="shared" si="83"/>
        <v>1714.28</v>
      </c>
      <c r="AC855" s="158"/>
      <c r="AD855" s="158"/>
    </row>
    <row r="856" spans="1:30" ht="12.75" customHeight="1" x14ac:dyDescent="0.3">
      <c r="A856" s="147">
        <v>40</v>
      </c>
      <c r="B856" s="158" t="s">
        <v>1013</v>
      </c>
      <c r="C856" s="158" t="s">
        <v>101</v>
      </c>
      <c r="D856" s="158" t="s">
        <v>945</v>
      </c>
      <c r="E856" s="158" t="s">
        <v>25</v>
      </c>
      <c r="F856" s="158" t="s">
        <v>25</v>
      </c>
      <c r="G856" s="158" t="s">
        <v>866</v>
      </c>
      <c r="H856" s="161">
        <v>3513.34</v>
      </c>
      <c r="I856" s="161">
        <v>-45.83</v>
      </c>
      <c r="J856" s="161">
        <v>0</v>
      </c>
      <c r="K856" s="161">
        <v>0</v>
      </c>
      <c r="L856" s="161">
        <v>-2009.88</v>
      </c>
      <c r="M856" s="161">
        <v>-36</v>
      </c>
      <c r="N856" s="161">
        <v>0</v>
      </c>
      <c r="O856" s="162">
        <f t="shared" si="78"/>
        <v>1421.63</v>
      </c>
      <c r="P856" s="161">
        <v>-2500</v>
      </c>
      <c r="Q856" s="161">
        <v>0</v>
      </c>
      <c r="R856" s="161">
        <v>0</v>
      </c>
      <c r="S856" s="161">
        <v>0</v>
      </c>
      <c r="T856" s="161">
        <v>0</v>
      </c>
      <c r="U856" s="161">
        <v>0</v>
      </c>
      <c r="V856" s="161">
        <v>0</v>
      </c>
      <c r="W856" s="161">
        <f t="shared" si="79"/>
        <v>-1078.3699999999999</v>
      </c>
      <c r="X856" s="161">
        <f t="shared" si="80"/>
        <v>0</v>
      </c>
      <c r="Y856" s="161">
        <f t="shared" si="81"/>
        <v>-1078.3699999999999</v>
      </c>
      <c r="Z856" s="161">
        <v>1078</v>
      </c>
      <c r="AA856" s="161">
        <f t="shared" si="82"/>
        <v>-0.36999999999989086</v>
      </c>
      <c r="AB856" s="161">
        <f t="shared" si="83"/>
        <v>2499.2600000000002</v>
      </c>
      <c r="AC856" s="158"/>
      <c r="AD856" s="158"/>
    </row>
    <row r="857" spans="1:30" ht="12.75" customHeight="1" x14ac:dyDescent="0.3">
      <c r="A857" s="147">
        <v>40</v>
      </c>
      <c r="B857" s="158" t="s">
        <v>484</v>
      </c>
      <c r="C857" s="158" t="s">
        <v>1065</v>
      </c>
      <c r="D857" s="158" t="s">
        <v>903</v>
      </c>
      <c r="E857" s="158" t="s">
        <v>25</v>
      </c>
      <c r="F857" s="158" t="s">
        <v>39</v>
      </c>
      <c r="G857" s="158" t="s">
        <v>866</v>
      </c>
      <c r="H857" s="161">
        <v>8238.4</v>
      </c>
      <c r="I857" s="161">
        <v>-265.14</v>
      </c>
      <c r="J857" s="161">
        <v>9.7899999999999991</v>
      </c>
      <c r="K857" s="161">
        <v>0</v>
      </c>
      <c r="L857" s="161">
        <v>-5388.48</v>
      </c>
      <c r="M857" s="161">
        <v>-34</v>
      </c>
      <c r="N857" s="161">
        <v>0</v>
      </c>
      <c r="O857" s="162">
        <f t="shared" si="78"/>
        <v>2560.5699999999997</v>
      </c>
      <c r="P857" s="161">
        <v>-2500</v>
      </c>
      <c r="Q857" s="161">
        <v>-42</v>
      </c>
      <c r="R857" s="161">
        <v>0</v>
      </c>
      <c r="S857" s="161">
        <v>0</v>
      </c>
      <c r="T857" s="161">
        <v>0</v>
      </c>
      <c r="U857" s="161">
        <v>0</v>
      </c>
      <c r="V857" s="161">
        <v>0</v>
      </c>
      <c r="W857" s="161">
        <f t="shared" si="79"/>
        <v>18.569999999999709</v>
      </c>
      <c r="X857" s="161">
        <f t="shared" si="80"/>
        <v>18.569999999999709</v>
      </c>
      <c r="Y857" s="161">
        <f t="shared" si="81"/>
        <v>0</v>
      </c>
      <c r="Z857" s="161">
        <v>0</v>
      </c>
      <c r="AA857" s="161">
        <f t="shared" si="82"/>
        <v>0</v>
      </c>
      <c r="AB857" s="161">
        <f t="shared" si="83"/>
        <v>2542</v>
      </c>
      <c r="AC857" s="158"/>
      <c r="AD857" s="158"/>
    </row>
    <row r="858" spans="1:30" ht="12.75" customHeight="1" x14ac:dyDescent="0.3">
      <c r="A858" s="147">
        <v>40</v>
      </c>
      <c r="B858" s="158" t="s">
        <v>408</v>
      </c>
      <c r="C858" s="158" t="s">
        <v>334</v>
      </c>
      <c r="D858" s="158" t="s">
        <v>20</v>
      </c>
      <c r="E858" s="160" t="s">
        <v>25</v>
      </c>
      <c r="F858" s="158" t="s">
        <v>39</v>
      </c>
      <c r="G858" s="158" t="s">
        <v>866</v>
      </c>
      <c r="H858" s="161">
        <v>3120.41</v>
      </c>
      <c r="I858" s="161">
        <v>-46.36</v>
      </c>
      <c r="J858" s="161">
        <v>0</v>
      </c>
      <c r="K858" s="161">
        <v>0</v>
      </c>
      <c r="L858" s="161">
        <v>-148.26</v>
      </c>
      <c r="M858" s="161">
        <v>-42</v>
      </c>
      <c r="N858" s="161">
        <v>0</v>
      </c>
      <c r="O858" s="162">
        <f t="shared" si="78"/>
        <v>2883.79</v>
      </c>
      <c r="P858" s="161">
        <v>-2500</v>
      </c>
      <c r="Q858" s="161">
        <v>-601.44000000000005</v>
      </c>
      <c r="R858" s="161">
        <v>0</v>
      </c>
      <c r="S858" s="161">
        <v>0</v>
      </c>
      <c r="T858" s="161">
        <v>0</v>
      </c>
      <c r="U858" s="161">
        <v>0</v>
      </c>
      <c r="V858" s="161">
        <v>0</v>
      </c>
      <c r="W858" s="161">
        <f t="shared" si="79"/>
        <v>-217.65000000000009</v>
      </c>
      <c r="X858" s="161">
        <f t="shared" si="80"/>
        <v>0</v>
      </c>
      <c r="Y858" s="161">
        <f t="shared" si="81"/>
        <v>-217.65000000000009</v>
      </c>
      <c r="Z858" s="161">
        <v>200</v>
      </c>
      <c r="AA858" s="161">
        <f t="shared" si="82"/>
        <v>-17.650000000000091</v>
      </c>
      <c r="AB858" s="161">
        <f t="shared" si="83"/>
        <v>3066.14</v>
      </c>
      <c r="AC858" s="158"/>
      <c r="AD858" s="158"/>
    </row>
    <row r="859" spans="1:30" ht="12.75" customHeight="1" x14ac:dyDescent="0.3">
      <c r="A859" s="147">
        <v>40</v>
      </c>
      <c r="B859" s="158" t="s">
        <v>1067</v>
      </c>
      <c r="C859" s="158" t="s">
        <v>46</v>
      </c>
      <c r="D859" s="158" t="s">
        <v>915</v>
      </c>
      <c r="E859" s="158" t="s">
        <v>25</v>
      </c>
      <c r="F859" s="158" t="s">
        <v>25</v>
      </c>
      <c r="G859" s="158" t="s">
        <v>866</v>
      </c>
      <c r="H859" s="161">
        <v>5106.75</v>
      </c>
      <c r="I859" s="161">
        <v>-80.92</v>
      </c>
      <c r="J859" s="161">
        <v>0</v>
      </c>
      <c r="K859" s="161">
        <v>0</v>
      </c>
      <c r="L859" s="161">
        <v>-1637.56</v>
      </c>
      <c r="M859" s="161">
        <v>-32</v>
      </c>
      <c r="N859" s="161">
        <v>0</v>
      </c>
      <c r="O859" s="162">
        <f t="shared" si="78"/>
        <v>3356.27</v>
      </c>
      <c r="P859" s="161">
        <v>-2500</v>
      </c>
      <c r="Q859" s="161">
        <v>0</v>
      </c>
      <c r="R859" s="161">
        <v>-500</v>
      </c>
      <c r="S859" s="161">
        <v>0</v>
      </c>
      <c r="T859" s="161">
        <v>0</v>
      </c>
      <c r="U859" s="161">
        <v>0</v>
      </c>
      <c r="V859" s="161">
        <v>0</v>
      </c>
      <c r="W859" s="161">
        <f t="shared" si="79"/>
        <v>356.27</v>
      </c>
      <c r="X859" s="161">
        <f t="shared" si="80"/>
        <v>356.27</v>
      </c>
      <c r="Y859" s="161">
        <f t="shared" si="81"/>
        <v>0</v>
      </c>
      <c r="Z859" s="161">
        <v>0</v>
      </c>
      <c r="AA859" s="161">
        <f t="shared" si="82"/>
        <v>0</v>
      </c>
      <c r="AB859" s="161">
        <f t="shared" si="83"/>
        <v>3000</v>
      </c>
      <c r="AC859" s="158"/>
      <c r="AD859" s="158"/>
    </row>
    <row r="860" spans="1:30" ht="12.75" customHeight="1" x14ac:dyDescent="0.3">
      <c r="A860" s="147">
        <v>40</v>
      </c>
      <c r="B860" s="158" t="s">
        <v>992</v>
      </c>
      <c r="C860" s="158" t="s">
        <v>169</v>
      </c>
      <c r="D860" s="158" t="s">
        <v>967</v>
      </c>
      <c r="E860" s="160" t="s">
        <v>871</v>
      </c>
      <c r="F860" s="158" t="s">
        <v>39</v>
      </c>
      <c r="G860" s="158" t="s">
        <v>866</v>
      </c>
      <c r="H860" s="161">
        <v>3881.68</v>
      </c>
      <c r="I860" s="161">
        <v>-58.04</v>
      </c>
      <c r="J860" s="161">
        <v>0</v>
      </c>
      <c r="K860" s="161">
        <v>0</v>
      </c>
      <c r="L860" s="161">
        <v>-219.79</v>
      </c>
      <c r="M860" s="161">
        <v>-36</v>
      </c>
      <c r="N860" s="161">
        <v>0</v>
      </c>
      <c r="O860" s="162">
        <f t="shared" si="78"/>
        <v>3567.85</v>
      </c>
      <c r="P860" s="161">
        <v>-2500</v>
      </c>
      <c r="Q860" s="161">
        <v>0</v>
      </c>
      <c r="R860" s="161">
        <v>0</v>
      </c>
      <c r="S860" s="161">
        <v>0</v>
      </c>
      <c r="T860" s="161">
        <v>0</v>
      </c>
      <c r="U860" s="161">
        <v>-625</v>
      </c>
      <c r="V860" s="161">
        <v>0</v>
      </c>
      <c r="W860" s="161">
        <f t="shared" si="79"/>
        <v>442.84999999999991</v>
      </c>
      <c r="X860" s="161">
        <f t="shared" si="80"/>
        <v>442.84999999999991</v>
      </c>
      <c r="Y860" s="161">
        <f t="shared" si="81"/>
        <v>0</v>
      </c>
      <c r="Z860" s="161">
        <v>0</v>
      </c>
      <c r="AA860" s="161">
        <f t="shared" si="82"/>
        <v>0</v>
      </c>
      <c r="AB860" s="161">
        <f t="shared" si="83"/>
        <v>3125</v>
      </c>
      <c r="AC860" s="158"/>
      <c r="AD860" s="158"/>
    </row>
    <row r="861" spans="1:30" ht="12.75" customHeight="1" x14ac:dyDescent="0.3">
      <c r="A861" s="147">
        <v>40</v>
      </c>
      <c r="B861" s="158" t="s">
        <v>1051</v>
      </c>
      <c r="C861" s="158" t="s">
        <v>21</v>
      </c>
      <c r="D861" s="158" t="s">
        <v>20</v>
      </c>
      <c r="E861" s="160" t="s">
        <v>18</v>
      </c>
      <c r="F861" s="160" t="s">
        <v>18</v>
      </c>
      <c r="G861" s="158" t="s">
        <v>866</v>
      </c>
      <c r="H861" s="161">
        <v>5178.8</v>
      </c>
      <c r="I861" s="161">
        <v>-106.11</v>
      </c>
      <c r="J861" s="161">
        <v>0</v>
      </c>
      <c r="K861" s="161">
        <v>0</v>
      </c>
      <c r="L861" s="161">
        <v>-1731.52</v>
      </c>
      <c r="M861" s="161">
        <v>0</v>
      </c>
      <c r="N861" s="161">
        <v>0</v>
      </c>
      <c r="O861" s="162">
        <f t="shared" si="78"/>
        <v>3341.1700000000005</v>
      </c>
      <c r="P861" s="161">
        <v>-2500</v>
      </c>
      <c r="Q861" s="161">
        <v>-956</v>
      </c>
      <c r="R861" s="161">
        <v>-500</v>
      </c>
      <c r="S861" s="161">
        <v>0</v>
      </c>
      <c r="T861" s="161">
        <v>0</v>
      </c>
      <c r="U861" s="161">
        <v>0</v>
      </c>
      <c r="V861" s="161">
        <v>0</v>
      </c>
      <c r="W861" s="161">
        <f t="shared" si="79"/>
        <v>-614.82999999999947</v>
      </c>
      <c r="X861" s="161">
        <f t="shared" si="80"/>
        <v>0</v>
      </c>
      <c r="Y861" s="161">
        <f t="shared" si="81"/>
        <v>-614.82999999999947</v>
      </c>
      <c r="Z861" s="161">
        <f>500+115</f>
        <v>615</v>
      </c>
      <c r="AA861" s="161">
        <f t="shared" si="82"/>
        <v>0.17000000000052751</v>
      </c>
      <c r="AB861" s="161">
        <f t="shared" si="83"/>
        <v>3956.3400000000011</v>
      </c>
      <c r="AC861" s="158" t="s">
        <v>1015</v>
      </c>
      <c r="AD861" s="158"/>
    </row>
    <row r="862" spans="1:30" ht="12.75" customHeight="1" x14ac:dyDescent="0.3">
      <c r="A862" s="147">
        <v>40</v>
      </c>
      <c r="B862" s="158" t="s">
        <v>880</v>
      </c>
      <c r="C862" s="158" t="s">
        <v>183</v>
      </c>
      <c r="D862" s="158" t="s">
        <v>887</v>
      </c>
      <c r="E862" s="158" t="s">
        <v>25</v>
      </c>
      <c r="F862" s="158" t="s">
        <v>25</v>
      </c>
      <c r="G862" s="158" t="s">
        <v>866</v>
      </c>
      <c r="H862" s="161">
        <v>1384.79</v>
      </c>
      <c r="I862" s="161">
        <v>-20.95</v>
      </c>
      <c r="J862" s="161">
        <v>0</v>
      </c>
      <c r="K862" s="161">
        <v>0</v>
      </c>
      <c r="L862" s="161">
        <v>-581</v>
      </c>
      <c r="M862" s="161">
        <v>-34</v>
      </c>
      <c r="N862" s="161">
        <v>0</v>
      </c>
      <c r="O862" s="162">
        <f t="shared" si="78"/>
        <v>748.83999999999992</v>
      </c>
      <c r="P862" s="161">
        <v>-2143</v>
      </c>
      <c r="Q862" s="161">
        <v>-560</v>
      </c>
      <c r="R862" s="161">
        <v>0</v>
      </c>
      <c r="S862" s="161">
        <v>0</v>
      </c>
      <c r="T862" s="161">
        <v>0</v>
      </c>
      <c r="U862" s="161">
        <v>-500</v>
      </c>
      <c r="V862" s="161">
        <v>0</v>
      </c>
      <c r="W862" s="161">
        <f t="shared" si="79"/>
        <v>-2454.16</v>
      </c>
      <c r="X862" s="161">
        <f t="shared" si="80"/>
        <v>0</v>
      </c>
      <c r="Y862" s="161">
        <f t="shared" si="81"/>
        <v>-2454.16</v>
      </c>
      <c r="Z862" s="161">
        <v>2454</v>
      </c>
      <c r="AA862" s="161">
        <f t="shared" si="82"/>
        <v>-0.15999999999985448</v>
      </c>
      <c r="AB862" s="161">
        <f t="shared" si="83"/>
        <v>3202.6800000000003</v>
      </c>
      <c r="AC862" s="158"/>
      <c r="AD862" s="158"/>
    </row>
    <row r="863" spans="1:30" ht="12.75" customHeight="1" x14ac:dyDescent="0.3">
      <c r="A863" s="147">
        <v>40</v>
      </c>
      <c r="B863" s="158" t="s">
        <v>922</v>
      </c>
      <c r="C863" s="158" t="s">
        <v>36</v>
      </c>
      <c r="D863" s="158" t="s">
        <v>904</v>
      </c>
      <c r="E863" s="158" t="s">
        <v>25</v>
      </c>
      <c r="F863" s="158" t="s">
        <v>25</v>
      </c>
      <c r="G863" s="158" t="s">
        <v>866</v>
      </c>
      <c r="H863" s="161">
        <v>1329.07</v>
      </c>
      <c r="I863" s="161">
        <v>-21.84</v>
      </c>
      <c r="J863" s="161">
        <v>0</v>
      </c>
      <c r="K863" s="161">
        <v>0</v>
      </c>
      <c r="L863" s="161">
        <v>-332.31</v>
      </c>
      <c r="M863" s="161">
        <v>-42</v>
      </c>
      <c r="N863" s="161">
        <v>0</v>
      </c>
      <c r="O863" s="162">
        <f t="shared" si="78"/>
        <v>932.92000000000007</v>
      </c>
      <c r="P863" s="161">
        <v>-2500</v>
      </c>
      <c r="Q863" s="161">
        <v>-240</v>
      </c>
      <c r="R863" s="161">
        <v>0</v>
      </c>
      <c r="S863" s="161">
        <v>0</v>
      </c>
      <c r="T863" s="161">
        <v>0</v>
      </c>
      <c r="U863" s="161">
        <v>0</v>
      </c>
      <c r="V863" s="161">
        <v>0</v>
      </c>
      <c r="W863" s="161">
        <f t="shared" si="79"/>
        <v>-1807.08</v>
      </c>
      <c r="X863" s="161">
        <f t="shared" si="80"/>
        <v>0</v>
      </c>
      <c r="Y863" s="161">
        <f t="shared" si="81"/>
        <v>-1807.08</v>
      </c>
      <c r="Z863" s="161">
        <f>900+400+257</f>
        <v>1557</v>
      </c>
      <c r="AA863" s="161">
        <f t="shared" si="82"/>
        <v>-250.07999999999993</v>
      </c>
      <c r="AB863" s="161">
        <f t="shared" si="83"/>
        <v>2239.84</v>
      </c>
      <c r="AC863" s="158"/>
      <c r="AD863" s="158"/>
    </row>
    <row r="864" spans="1:30" ht="12.75" customHeight="1" x14ac:dyDescent="0.3">
      <c r="A864" s="147">
        <v>40</v>
      </c>
      <c r="B864" s="158" t="s">
        <v>515</v>
      </c>
      <c r="C864" s="158" t="s">
        <v>110</v>
      </c>
      <c r="D864" s="158" t="s">
        <v>1036</v>
      </c>
      <c r="E864" s="158" t="s">
        <v>18</v>
      </c>
      <c r="F864" s="160" t="s">
        <v>18</v>
      </c>
      <c r="G864" s="158" t="s">
        <v>866</v>
      </c>
      <c r="H864" s="161">
        <v>5899.73</v>
      </c>
      <c r="I864" s="161">
        <v>-145.72</v>
      </c>
      <c r="J864" s="161">
        <v>164.99</v>
      </c>
      <c r="K864" s="161">
        <v>0</v>
      </c>
      <c r="L864" s="161">
        <v>-268.69</v>
      </c>
      <c r="M864" s="161">
        <v>0</v>
      </c>
      <c r="N864" s="161">
        <v>0</v>
      </c>
      <c r="O864" s="162">
        <f t="shared" si="78"/>
        <v>5650.3099999999995</v>
      </c>
      <c r="P864" s="161">
        <v>-2500</v>
      </c>
      <c r="Q864" s="161">
        <v>0</v>
      </c>
      <c r="R864" s="161">
        <v>-500</v>
      </c>
      <c r="S864" s="161">
        <v>0</v>
      </c>
      <c r="T864" s="161">
        <v>0</v>
      </c>
      <c r="U864" s="161">
        <v>0</v>
      </c>
      <c r="V864" s="161">
        <v>0</v>
      </c>
      <c r="W864" s="161">
        <f t="shared" si="79"/>
        <v>2650.3099999999995</v>
      </c>
      <c r="X864" s="161">
        <f t="shared" si="80"/>
        <v>2650.3099999999995</v>
      </c>
      <c r="Y864" s="161">
        <f t="shared" si="81"/>
        <v>0</v>
      </c>
      <c r="Z864" s="161">
        <v>0</v>
      </c>
      <c r="AA864" s="161">
        <f t="shared" si="82"/>
        <v>0</v>
      </c>
      <c r="AB864" s="161">
        <f t="shared" si="83"/>
        <v>3000</v>
      </c>
      <c r="AC864" s="158"/>
      <c r="AD864" s="158"/>
    </row>
    <row r="865" spans="1:30" ht="12.75" customHeight="1" x14ac:dyDescent="0.3">
      <c r="A865" s="147">
        <v>40</v>
      </c>
      <c r="B865" s="158" t="s">
        <v>993</v>
      </c>
      <c r="C865" s="158" t="s">
        <v>347</v>
      </c>
      <c r="D865" s="158" t="s">
        <v>897</v>
      </c>
      <c r="E865" s="158" t="s">
        <v>25</v>
      </c>
      <c r="F865" s="158" t="s">
        <v>25</v>
      </c>
      <c r="G865" s="158" t="s">
        <v>866</v>
      </c>
      <c r="H865" s="161">
        <v>0</v>
      </c>
      <c r="I865" s="161">
        <v>0</v>
      </c>
      <c r="J865" s="161">
        <v>0</v>
      </c>
      <c r="K865" s="161">
        <v>0</v>
      </c>
      <c r="L865" s="161">
        <v>0</v>
      </c>
      <c r="M865" s="161">
        <v>0</v>
      </c>
      <c r="N865" s="161">
        <v>0</v>
      </c>
      <c r="O865" s="162">
        <f t="shared" si="78"/>
        <v>0</v>
      </c>
      <c r="P865" s="161">
        <v>-2500</v>
      </c>
      <c r="Q865" s="161">
        <v>-19</v>
      </c>
      <c r="R865" s="161">
        <v>0</v>
      </c>
      <c r="S865" s="161">
        <v>0</v>
      </c>
      <c r="T865" s="161">
        <v>0</v>
      </c>
      <c r="U865" s="161">
        <v>0</v>
      </c>
      <c r="V865" s="161">
        <v>0</v>
      </c>
      <c r="W865" s="161">
        <f t="shared" si="79"/>
        <v>-2519</v>
      </c>
      <c r="X865" s="161">
        <f t="shared" si="80"/>
        <v>0</v>
      </c>
      <c r="Y865" s="161">
        <f t="shared" si="81"/>
        <v>-2519</v>
      </c>
      <c r="Z865" s="161">
        <v>2150</v>
      </c>
      <c r="AA865" s="161">
        <f t="shared" si="82"/>
        <v>-369</v>
      </c>
      <c r="AB865" s="161">
        <f t="shared" si="83"/>
        <v>1781</v>
      </c>
      <c r="AC865" s="158" t="s">
        <v>1094</v>
      </c>
      <c r="AD865" s="158"/>
    </row>
    <row r="866" spans="1:30" ht="12.75" customHeight="1" x14ac:dyDescent="0.3">
      <c r="A866" s="147">
        <v>40</v>
      </c>
      <c r="B866" s="158" t="s">
        <v>1048</v>
      </c>
      <c r="C866" s="158" t="s">
        <v>55</v>
      </c>
      <c r="D866" s="158" t="s">
        <v>20</v>
      </c>
      <c r="E866" s="160" t="s">
        <v>25</v>
      </c>
      <c r="F866" s="158" t="s">
        <v>39</v>
      </c>
      <c r="G866" s="158" t="s">
        <v>866</v>
      </c>
      <c r="H866" s="161">
        <v>3436.58</v>
      </c>
      <c r="I866" s="161">
        <v>-56.73</v>
      </c>
      <c r="J866" s="161">
        <v>0</v>
      </c>
      <c r="K866" s="161">
        <v>0</v>
      </c>
      <c r="L866" s="161">
        <v>0</v>
      </c>
      <c r="M866" s="161">
        <v>-35</v>
      </c>
      <c r="N866" s="161">
        <v>0</v>
      </c>
      <c r="O866" s="162">
        <f t="shared" si="78"/>
        <v>3344.85</v>
      </c>
      <c r="P866" s="161">
        <v>-714.28</v>
      </c>
      <c r="Q866" s="161">
        <v>0</v>
      </c>
      <c r="R866" s="161">
        <v>0</v>
      </c>
      <c r="S866" s="161">
        <v>0</v>
      </c>
      <c r="T866" s="161">
        <v>0</v>
      </c>
      <c r="U866" s="161">
        <v>0</v>
      </c>
      <c r="V866" s="161">
        <v>0</v>
      </c>
      <c r="W866" s="161">
        <f t="shared" si="79"/>
        <v>2630.5699999999997</v>
      </c>
      <c r="X866" s="161">
        <f t="shared" si="80"/>
        <v>2630.5699999999997</v>
      </c>
      <c r="Y866" s="161">
        <f t="shared" si="81"/>
        <v>0</v>
      </c>
      <c r="Z866" s="161">
        <v>0</v>
      </c>
      <c r="AA866" s="161">
        <f t="shared" si="82"/>
        <v>0</v>
      </c>
      <c r="AB866" s="161">
        <f t="shared" si="83"/>
        <v>714.2800000000002</v>
      </c>
      <c r="AC866" s="158"/>
      <c r="AD866" s="158"/>
    </row>
    <row r="867" spans="1:30" ht="12.75" customHeight="1" x14ac:dyDescent="0.3">
      <c r="A867" s="147">
        <v>40</v>
      </c>
      <c r="B867" s="158" t="s">
        <v>1048</v>
      </c>
      <c r="C867" s="158" t="s">
        <v>1071</v>
      </c>
      <c r="D867" s="158" t="s">
        <v>20</v>
      </c>
      <c r="E867" s="160" t="s">
        <v>18</v>
      </c>
      <c r="F867" s="160" t="s">
        <v>18</v>
      </c>
      <c r="G867" s="158" t="s">
        <v>866</v>
      </c>
      <c r="H867" s="161">
        <v>2094.2399999999998</v>
      </c>
      <c r="I867" s="161">
        <v>-32.909999999999997</v>
      </c>
      <c r="J867" s="161">
        <v>0</v>
      </c>
      <c r="K867" s="161">
        <v>0</v>
      </c>
      <c r="L867" s="161">
        <v>0</v>
      </c>
      <c r="M867" s="162">
        <v>0</v>
      </c>
      <c r="N867" s="161">
        <v>0</v>
      </c>
      <c r="O867" s="162">
        <f t="shared" si="78"/>
        <v>2061.33</v>
      </c>
      <c r="P867" s="161">
        <v>-1071.1400000000001</v>
      </c>
      <c r="Q867" s="161">
        <v>0</v>
      </c>
      <c r="R867" s="161">
        <v>0</v>
      </c>
      <c r="S867" s="161">
        <v>0</v>
      </c>
      <c r="T867" s="161">
        <v>0</v>
      </c>
      <c r="U867" s="161">
        <v>0</v>
      </c>
      <c r="V867" s="161">
        <v>0</v>
      </c>
      <c r="W867" s="161">
        <f t="shared" si="79"/>
        <v>990.18999999999983</v>
      </c>
      <c r="X867" s="161">
        <f t="shared" si="80"/>
        <v>990.18999999999983</v>
      </c>
      <c r="Y867" s="161">
        <f t="shared" si="81"/>
        <v>0</v>
      </c>
      <c r="Z867" s="161">
        <v>0</v>
      </c>
      <c r="AA867" s="161">
        <f t="shared" si="82"/>
        <v>0</v>
      </c>
      <c r="AB867" s="161">
        <f t="shared" si="83"/>
        <v>1071.1400000000001</v>
      </c>
      <c r="AC867" s="158" t="s">
        <v>1095</v>
      </c>
      <c r="AD867" s="158"/>
    </row>
    <row r="868" spans="1:30" ht="12.75" customHeight="1" x14ac:dyDescent="0.3">
      <c r="A868" s="147">
        <v>40</v>
      </c>
      <c r="B868" s="158" t="s">
        <v>1025</v>
      </c>
      <c r="C868" s="158" t="s">
        <v>51</v>
      </c>
      <c r="D868" s="158" t="s">
        <v>20</v>
      </c>
      <c r="E868" s="160" t="s">
        <v>25</v>
      </c>
      <c r="F868" s="158" t="s">
        <v>39</v>
      </c>
      <c r="G868" s="158" t="s">
        <v>866</v>
      </c>
      <c r="H868" s="161">
        <v>2464.69</v>
      </c>
      <c r="I868" s="161">
        <v>-38.549999999999997</v>
      </c>
      <c r="J868" s="161">
        <v>0</v>
      </c>
      <c r="K868" s="161">
        <v>0</v>
      </c>
      <c r="L868" s="161">
        <v>-488.49</v>
      </c>
      <c r="M868" s="161">
        <v>-87</v>
      </c>
      <c r="N868" s="161">
        <v>-221</v>
      </c>
      <c r="O868" s="162">
        <f t="shared" si="78"/>
        <v>1629.6499999999999</v>
      </c>
      <c r="P868" s="161">
        <v>-2500</v>
      </c>
      <c r="Q868" s="161">
        <v>0</v>
      </c>
      <c r="R868" s="161">
        <v>0</v>
      </c>
      <c r="S868" s="161">
        <v>0</v>
      </c>
      <c r="T868" s="161">
        <v>0</v>
      </c>
      <c r="U868" s="161">
        <v>0</v>
      </c>
      <c r="V868" s="161">
        <v>0</v>
      </c>
      <c r="W868" s="161">
        <f t="shared" si="79"/>
        <v>-870.35000000000014</v>
      </c>
      <c r="X868" s="161">
        <f t="shared" si="80"/>
        <v>0</v>
      </c>
      <c r="Y868" s="161">
        <f t="shared" si="81"/>
        <v>-870.35000000000014</v>
      </c>
      <c r="Z868" s="161">
        <v>870</v>
      </c>
      <c r="AA868" s="161">
        <f t="shared" si="82"/>
        <v>-0.35000000000013642</v>
      </c>
      <c r="AB868" s="161">
        <f t="shared" si="83"/>
        <v>2499.2999999999993</v>
      </c>
      <c r="AC868" s="158"/>
      <c r="AD868" s="158"/>
    </row>
    <row r="869" spans="1:30" ht="12.75" customHeight="1" x14ac:dyDescent="0.3">
      <c r="A869" s="147">
        <v>40</v>
      </c>
      <c r="B869" s="158" t="s">
        <v>1070</v>
      </c>
      <c r="C869" s="158" t="s">
        <v>1071</v>
      </c>
      <c r="D869" s="158" t="s">
        <v>20</v>
      </c>
      <c r="E869" s="160" t="s">
        <v>18</v>
      </c>
      <c r="F869" s="158" t="s">
        <v>25</v>
      </c>
      <c r="G869" s="158" t="s">
        <v>866</v>
      </c>
      <c r="H869" s="161">
        <v>574.54999999999995</v>
      </c>
      <c r="I869" s="161">
        <v>-8.18</v>
      </c>
      <c r="J869" s="161">
        <v>0</v>
      </c>
      <c r="K869" s="161">
        <v>0</v>
      </c>
      <c r="L869" s="161">
        <v>0</v>
      </c>
      <c r="M869" s="162">
        <v>0</v>
      </c>
      <c r="N869" s="161">
        <v>0</v>
      </c>
      <c r="O869" s="162">
        <f t="shared" si="78"/>
        <v>566.37</v>
      </c>
      <c r="P869" s="161">
        <v>-566</v>
      </c>
      <c r="Q869" s="161">
        <v>0</v>
      </c>
      <c r="R869" s="161">
        <v>0</v>
      </c>
      <c r="S869" s="161">
        <v>0</v>
      </c>
      <c r="T869" s="161">
        <v>0</v>
      </c>
      <c r="U869" s="161">
        <v>0</v>
      </c>
      <c r="V869" s="161">
        <v>0</v>
      </c>
      <c r="W869" s="161">
        <f t="shared" si="79"/>
        <v>0.37000000000000455</v>
      </c>
      <c r="X869" s="161">
        <f t="shared" si="80"/>
        <v>0.37000000000000455</v>
      </c>
      <c r="Y869" s="161">
        <f t="shared" si="81"/>
        <v>0</v>
      </c>
      <c r="Z869" s="161">
        <v>0</v>
      </c>
      <c r="AA869" s="161">
        <f t="shared" si="82"/>
        <v>0</v>
      </c>
      <c r="AB869" s="161">
        <f t="shared" si="83"/>
        <v>566</v>
      </c>
      <c r="AC869" s="158"/>
      <c r="AD869" s="158"/>
    </row>
    <row r="870" spans="1:30" ht="12.75" customHeight="1" x14ac:dyDescent="0.3">
      <c r="A870" s="147">
        <v>40</v>
      </c>
      <c r="B870" s="158" t="s">
        <v>1088</v>
      </c>
      <c r="C870" s="182" t="s">
        <v>213</v>
      </c>
      <c r="D870" s="158" t="s">
        <v>881</v>
      </c>
      <c r="E870" s="158" t="s">
        <v>39</v>
      </c>
      <c r="F870" s="158" t="s">
        <v>39</v>
      </c>
      <c r="G870" s="158" t="s">
        <v>866</v>
      </c>
      <c r="H870" s="161">
        <v>5144.1000000000004</v>
      </c>
      <c r="I870" s="161">
        <v>-85.25</v>
      </c>
      <c r="J870" s="161">
        <v>0</v>
      </c>
      <c r="K870" s="161">
        <v>0</v>
      </c>
      <c r="L870" s="161">
        <v>0</v>
      </c>
      <c r="M870" s="161">
        <v>-34</v>
      </c>
      <c r="N870" s="161">
        <v>0</v>
      </c>
      <c r="O870" s="162">
        <f t="shared" si="78"/>
        <v>5024.8500000000004</v>
      </c>
      <c r="P870" s="161">
        <v>-2500</v>
      </c>
      <c r="Q870" s="161">
        <v>0</v>
      </c>
      <c r="R870" s="161">
        <v>-500</v>
      </c>
      <c r="S870" s="161">
        <v>0</v>
      </c>
      <c r="T870" s="161">
        <v>0</v>
      </c>
      <c r="U870" s="161">
        <v>0</v>
      </c>
      <c r="V870" s="161">
        <v>0</v>
      </c>
      <c r="W870" s="161">
        <f t="shared" si="79"/>
        <v>2024.8500000000004</v>
      </c>
      <c r="X870" s="161">
        <f t="shared" si="80"/>
        <v>2024.8500000000004</v>
      </c>
      <c r="Y870" s="161">
        <f t="shared" si="81"/>
        <v>0</v>
      </c>
      <c r="Z870" s="161">
        <v>0</v>
      </c>
      <c r="AA870" s="161">
        <f t="shared" si="82"/>
        <v>0</v>
      </c>
      <c r="AB870" s="161">
        <f t="shared" si="83"/>
        <v>3000</v>
      </c>
      <c r="AC870" s="158"/>
      <c r="AD870" s="158"/>
    </row>
    <row r="871" spans="1:30" ht="12.75" customHeight="1" x14ac:dyDescent="0.3">
      <c r="A871" s="147">
        <v>40</v>
      </c>
      <c r="B871" s="158" t="s">
        <v>1003</v>
      </c>
      <c r="C871" s="158" t="s">
        <v>59</v>
      </c>
      <c r="D871" s="158" t="s">
        <v>895</v>
      </c>
      <c r="E871" s="158" t="s">
        <v>25</v>
      </c>
      <c r="F871" s="158" t="s">
        <v>25</v>
      </c>
      <c r="G871" s="158" t="s">
        <v>866</v>
      </c>
      <c r="H871" s="161">
        <v>953.02</v>
      </c>
      <c r="I871" s="161">
        <v>-22.59</v>
      </c>
      <c r="J871" s="161">
        <v>103.96</v>
      </c>
      <c r="K871" s="161">
        <v>0</v>
      </c>
      <c r="L871" s="161">
        <v>0</v>
      </c>
      <c r="M871" s="161">
        <v>-36</v>
      </c>
      <c r="N871" s="161">
        <v>0</v>
      </c>
      <c r="O871" s="162">
        <f t="shared" si="78"/>
        <v>998.38999999999987</v>
      </c>
      <c r="P871" s="161">
        <v>-2500</v>
      </c>
      <c r="Q871" s="161">
        <v>-2153</v>
      </c>
      <c r="R871" s="161">
        <v>0</v>
      </c>
      <c r="S871" s="161">
        <v>0</v>
      </c>
      <c r="T871" s="161">
        <v>0</v>
      </c>
      <c r="U871" s="161">
        <v>0</v>
      </c>
      <c r="V871" s="161">
        <v>0</v>
      </c>
      <c r="W871" s="161">
        <f t="shared" si="79"/>
        <v>-3654.61</v>
      </c>
      <c r="X871" s="161">
        <f t="shared" si="80"/>
        <v>0</v>
      </c>
      <c r="Y871" s="161">
        <f t="shared" si="81"/>
        <v>-3654.61</v>
      </c>
      <c r="Z871" s="161">
        <f>3000+655</f>
        <v>3655</v>
      </c>
      <c r="AA871" s="161">
        <f t="shared" si="82"/>
        <v>0.38999999999987267</v>
      </c>
      <c r="AB871" s="161">
        <f t="shared" si="83"/>
        <v>4653.7799999999988</v>
      </c>
      <c r="AC871" s="158" t="s">
        <v>1072</v>
      </c>
      <c r="AD871" s="158"/>
    </row>
    <row r="872" spans="1:30" ht="12.75" customHeight="1" x14ac:dyDescent="0.3">
      <c r="A872" s="147">
        <v>41</v>
      </c>
      <c r="B872" s="158" t="s">
        <v>1062</v>
      </c>
      <c r="C872" s="182" t="s">
        <v>213</v>
      </c>
      <c r="D872" s="158" t="s">
        <v>881</v>
      </c>
      <c r="E872" s="158" t="s">
        <v>39</v>
      </c>
      <c r="F872" s="158" t="s">
        <v>39</v>
      </c>
      <c r="G872" s="158" t="s">
        <v>866</v>
      </c>
      <c r="H872" s="161">
        <v>7754.16</v>
      </c>
      <c r="I872" s="161">
        <v>-117.77</v>
      </c>
      <c r="J872" s="161">
        <v>0</v>
      </c>
      <c r="K872" s="161">
        <v>0</v>
      </c>
      <c r="L872" s="161">
        <v>-2811.08</v>
      </c>
      <c r="M872" s="161">
        <v>-34</v>
      </c>
      <c r="N872" s="161">
        <v>0</v>
      </c>
      <c r="O872" s="162">
        <f t="shared" si="78"/>
        <v>4791.3099999999995</v>
      </c>
      <c r="P872" s="161">
        <v>-2500</v>
      </c>
      <c r="Q872" s="161">
        <v>0</v>
      </c>
      <c r="R872" s="161">
        <v>-500</v>
      </c>
      <c r="S872" s="161">
        <v>0</v>
      </c>
      <c r="T872" s="161">
        <v>0</v>
      </c>
      <c r="U872" s="161">
        <v>0</v>
      </c>
      <c r="V872" s="161">
        <v>0</v>
      </c>
      <c r="W872" s="161">
        <f t="shared" si="79"/>
        <v>1791.3099999999995</v>
      </c>
      <c r="X872" s="161">
        <f t="shared" si="80"/>
        <v>1791.3099999999995</v>
      </c>
      <c r="Y872" s="161">
        <f t="shared" si="81"/>
        <v>0</v>
      </c>
      <c r="Z872" s="161">
        <v>0</v>
      </c>
      <c r="AA872" s="161">
        <f t="shared" si="82"/>
        <v>0</v>
      </c>
      <c r="AB872" s="161">
        <f t="shared" si="83"/>
        <v>3000</v>
      </c>
      <c r="AC872" s="158" t="s">
        <v>374</v>
      </c>
      <c r="AD872" s="158"/>
    </row>
    <row r="873" spans="1:30" ht="12.75" customHeight="1" x14ac:dyDescent="0.3">
      <c r="A873" s="147">
        <v>41</v>
      </c>
      <c r="B873" s="158" t="s">
        <v>585</v>
      </c>
      <c r="C873" s="158" t="s">
        <v>42</v>
      </c>
      <c r="D873" s="158" t="s">
        <v>948</v>
      </c>
      <c r="E873" s="158" t="s">
        <v>25</v>
      </c>
      <c r="F873" s="158" t="s">
        <v>25</v>
      </c>
      <c r="G873" s="158" t="s">
        <v>866</v>
      </c>
      <c r="H873" s="161">
        <v>855.73</v>
      </c>
      <c r="I873" s="161">
        <v>-18.98</v>
      </c>
      <c r="J873" s="161">
        <v>0</v>
      </c>
      <c r="K873" s="161">
        <v>0</v>
      </c>
      <c r="L873" s="161">
        <v>-390.9</v>
      </c>
      <c r="M873" s="161">
        <v>-32</v>
      </c>
      <c r="N873" s="161">
        <v>0</v>
      </c>
      <c r="O873" s="162">
        <f t="shared" si="78"/>
        <v>413.85</v>
      </c>
      <c r="P873" s="161">
        <v>-2500</v>
      </c>
      <c r="Q873" s="161">
        <v>0</v>
      </c>
      <c r="R873" s="161">
        <v>0</v>
      </c>
      <c r="S873" s="161">
        <v>0</v>
      </c>
      <c r="T873" s="161">
        <v>0</v>
      </c>
      <c r="U873" s="161">
        <v>0</v>
      </c>
      <c r="V873" s="161">
        <v>0</v>
      </c>
      <c r="W873" s="161">
        <f t="shared" si="79"/>
        <v>-2086.15</v>
      </c>
      <c r="X873" s="161">
        <f t="shared" si="80"/>
        <v>0</v>
      </c>
      <c r="Y873" s="161">
        <f t="shared" si="81"/>
        <v>-2086.15</v>
      </c>
      <c r="Z873" s="161">
        <v>2086</v>
      </c>
      <c r="AA873" s="161">
        <f t="shared" si="82"/>
        <v>-0.15000000000009095</v>
      </c>
      <c r="AB873" s="161">
        <f t="shared" si="83"/>
        <v>2499.6999999999998</v>
      </c>
      <c r="AC873" s="158"/>
      <c r="AD873" s="158"/>
    </row>
    <row r="874" spans="1:30" ht="12.75" customHeight="1" x14ac:dyDescent="0.3">
      <c r="A874" s="147">
        <v>41</v>
      </c>
      <c r="B874" s="158" t="s">
        <v>837</v>
      </c>
      <c r="C874" s="158" t="s">
        <v>409</v>
      </c>
      <c r="D874" s="158" t="s">
        <v>946</v>
      </c>
      <c r="E874" s="158" t="s">
        <v>25</v>
      </c>
      <c r="F874" s="158" t="s">
        <v>25</v>
      </c>
      <c r="G874" s="158" t="s">
        <v>866</v>
      </c>
      <c r="H874" s="161">
        <v>7574.57</v>
      </c>
      <c r="I874" s="161">
        <f>-152.74-1.06</f>
        <v>-153.80000000000001</v>
      </c>
      <c r="J874" s="161">
        <v>131.07</v>
      </c>
      <c r="K874" s="161">
        <v>0</v>
      </c>
      <c r="L874" s="161">
        <v>0</v>
      </c>
      <c r="M874" s="161">
        <v>-32</v>
      </c>
      <c r="N874" s="161">
        <v>0</v>
      </c>
      <c r="O874" s="162">
        <f t="shared" si="78"/>
        <v>7519.8399999999992</v>
      </c>
      <c r="P874" s="161">
        <v>-2500</v>
      </c>
      <c r="Q874" s="161">
        <v>0</v>
      </c>
      <c r="R874" s="161">
        <v>-500</v>
      </c>
      <c r="S874" s="161">
        <v>0</v>
      </c>
      <c r="T874" s="161">
        <v>0</v>
      </c>
      <c r="U874" s="161">
        <v>0</v>
      </c>
      <c r="V874" s="161">
        <v>0</v>
      </c>
      <c r="W874" s="161">
        <f t="shared" si="79"/>
        <v>4519.8399999999992</v>
      </c>
      <c r="X874" s="161">
        <f t="shared" si="80"/>
        <v>4519.8399999999992</v>
      </c>
      <c r="Y874" s="161">
        <f t="shared" si="81"/>
        <v>0</v>
      </c>
      <c r="Z874" s="161">
        <v>0</v>
      </c>
      <c r="AA874" s="161">
        <f t="shared" si="82"/>
        <v>0</v>
      </c>
      <c r="AB874" s="161">
        <f t="shared" si="83"/>
        <v>3000</v>
      </c>
      <c r="AC874" s="158" t="s">
        <v>374</v>
      </c>
      <c r="AD874" s="158"/>
    </row>
    <row r="875" spans="1:30" ht="12.75" customHeight="1" x14ac:dyDescent="0.3">
      <c r="A875" s="147">
        <v>41</v>
      </c>
      <c r="B875" s="158" t="s">
        <v>944</v>
      </c>
      <c r="C875" s="158" t="s">
        <v>372</v>
      </c>
      <c r="D875" s="158" t="s">
        <v>1004</v>
      </c>
      <c r="E875" s="158" t="s">
        <v>39</v>
      </c>
      <c r="F875" s="158" t="s">
        <v>39</v>
      </c>
      <c r="G875" s="158" t="s">
        <v>866</v>
      </c>
      <c r="H875" s="161">
        <v>5074.79</v>
      </c>
      <c r="I875" s="161">
        <v>-76.12</v>
      </c>
      <c r="J875" s="161">
        <v>0</v>
      </c>
      <c r="K875" s="161">
        <v>0</v>
      </c>
      <c r="L875" s="161">
        <v>-1723.41</v>
      </c>
      <c r="M875" s="161">
        <v>-42</v>
      </c>
      <c r="N875" s="161">
        <v>0</v>
      </c>
      <c r="O875" s="162">
        <f t="shared" si="78"/>
        <v>3233.26</v>
      </c>
      <c r="P875" s="161">
        <v>-2500</v>
      </c>
      <c r="Q875" s="161">
        <v>0</v>
      </c>
      <c r="R875" s="161">
        <v>0</v>
      </c>
      <c r="S875" s="161">
        <v>0</v>
      </c>
      <c r="T875" s="161">
        <v>0</v>
      </c>
      <c r="U875" s="161">
        <v>0</v>
      </c>
      <c r="V875" s="161">
        <v>0</v>
      </c>
      <c r="W875" s="161">
        <f t="shared" si="79"/>
        <v>733.26000000000022</v>
      </c>
      <c r="X875" s="161">
        <f t="shared" si="80"/>
        <v>733.26000000000022</v>
      </c>
      <c r="Y875" s="161">
        <f t="shared" si="81"/>
        <v>0</v>
      </c>
      <c r="Z875" s="161">
        <v>0</v>
      </c>
      <c r="AA875" s="161">
        <f t="shared" si="82"/>
        <v>0</v>
      </c>
      <c r="AB875" s="161">
        <f t="shared" si="83"/>
        <v>2500</v>
      </c>
      <c r="AC875" s="158" t="s">
        <v>374</v>
      </c>
      <c r="AD875" s="158"/>
    </row>
    <row r="876" spans="1:30" ht="12.75" customHeight="1" x14ac:dyDescent="0.3">
      <c r="A876" s="147">
        <v>41</v>
      </c>
      <c r="B876" s="158" t="s">
        <v>604</v>
      </c>
      <c r="C876" s="158" t="s">
        <v>123</v>
      </c>
      <c r="D876" s="158" t="s">
        <v>20</v>
      </c>
      <c r="E876" s="160" t="s">
        <v>871</v>
      </c>
      <c r="F876" s="158" t="s">
        <v>39</v>
      </c>
      <c r="G876" s="158" t="s">
        <v>866</v>
      </c>
      <c r="H876" s="161">
        <v>3335.4</v>
      </c>
      <c r="I876" s="161">
        <v>-57.38</v>
      </c>
      <c r="J876" s="161">
        <v>19.579999999999998</v>
      </c>
      <c r="K876" s="161">
        <v>0</v>
      </c>
      <c r="L876" s="161">
        <v>0</v>
      </c>
      <c r="M876" s="161">
        <v>-38</v>
      </c>
      <c r="N876" s="161">
        <v>0</v>
      </c>
      <c r="O876" s="162">
        <f t="shared" si="78"/>
        <v>3259.6</v>
      </c>
      <c r="P876" s="161">
        <v>-2500</v>
      </c>
      <c r="Q876" s="161">
        <v>0</v>
      </c>
      <c r="R876" s="161">
        <v>0</v>
      </c>
      <c r="S876" s="161">
        <v>0</v>
      </c>
      <c r="T876" s="161">
        <v>0</v>
      </c>
      <c r="U876" s="161">
        <f>100-100-50-550</f>
        <v>-600</v>
      </c>
      <c r="V876" s="161">
        <v>0</v>
      </c>
      <c r="W876" s="161">
        <f t="shared" si="79"/>
        <v>159.59999999999991</v>
      </c>
      <c r="X876" s="161">
        <f t="shared" si="80"/>
        <v>159.59999999999991</v>
      </c>
      <c r="Y876" s="161">
        <f t="shared" si="81"/>
        <v>0</v>
      </c>
      <c r="Z876" s="161">
        <v>0</v>
      </c>
      <c r="AA876" s="161">
        <f t="shared" si="82"/>
        <v>0</v>
      </c>
      <c r="AB876" s="161">
        <f t="shared" si="83"/>
        <v>3100</v>
      </c>
      <c r="AC876" s="158" t="s">
        <v>374</v>
      </c>
      <c r="AD876" s="158"/>
    </row>
    <row r="877" spans="1:30" ht="12.75" customHeight="1" x14ac:dyDescent="0.3">
      <c r="A877" s="147">
        <v>41</v>
      </c>
      <c r="B877" s="158" t="s">
        <v>1029</v>
      </c>
      <c r="C877" s="158" t="s">
        <v>68</v>
      </c>
      <c r="D877" s="158" t="s">
        <v>869</v>
      </c>
      <c r="E877" s="158" t="s">
        <v>25</v>
      </c>
      <c r="F877" s="158" t="s">
        <v>25</v>
      </c>
      <c r="G877" s="158" t="s">
        <v>866</v>
      </c>
      <c r="H877" s="161">
        <v>3423.13</v>
      </c>
      <c r="I877" s="161">
        <v>-40.6</v>
      </c>
      <c r="J877" s="161">
        <v>0</v>
      </c>
      <c r="K877" s="161">
        <v>-20.16</v>
      </c>
      <c r="L877" s="161">
        <v>0</v>
      </c>
      <c r="M877" s="161">
        <v>-34</v>
      </c>
      <c r="N877" s="161">
        <v>0</v>
      </c>
      <c r="O877" s="162">
        <f t="shared" si="78"/>
        <v>3328.3700000000003</v>
      </c>
      <c r="P877" s="161">
        <v>-892.85</v>
      </c>
      <c r="Q877" s="161">
        <v>0</v>
      </c>
      <c r="R877" s="161">
        <v>0</v>
      </c>
      <c r="S877" s="161">
        <v>0</v>
      </c>
      <c r="T877" s="161">
        <v>0</v>
      </c>
      <c r="U877" s="161">
        <v>-1000</v>
      </c>
      <c r="V877" s="161">
        <v>0</v>
      </c>
      <c r="W877" s="161">
        <f t="shared" si="79"/>
        <v>1435.5200000000004</v>
      </c>
      <c r="X877" s="161">
        <f t="shared" si="80"/>
        <v>1435.5200000000004</v>
      </c>
      <c r="Y877" s="161">
        <f t="shared" si="81"/>
        <v>0</v>
      </c>
      <c r="Z877" s="161">
        <v>0</v>
      </c>
      <c r="AA877" s="161">
        <f t="shared" si="82"/>
        <v>0</v>
      </c>
      <c r="AB877" s="161">
        <f t="shared" si="83"/>
        <v>1892.85</v>
      </c>
      <c r="AC877" s="158" t="s">
        <v>374</v>
      </c>
      <c r="AD877" s="158"/>
    </row>
    <row r="878" spans="1:30" ht="12.75" customHeight="1" x14ac:dyDescent="0.3">
      <c r="A878" s="147">
        <v>41</v>
      </c>
      <c r="B878" s="158" t="s">
        <v>1082</v>
      </c>
      <c r="C878" s="158" t="s">
        <v>152</v>
      </c>
      <c r="D878" s="158" t="s">
        <v>20</v>
      </c>
      <c r="E878" s="160" t="s">
        <v>25</v>
      </c>
      <c r="F878" s="158" t="s">
        <v>39</v>
      </c>
      <c r="G878" s="158" t="s">
        <v>866</v>
      </c>
      <c r="H878" s="161">
        <v>2234.9</v>
      </c>
      <c r="I878" s="161">
        <v>-33.979999999999997</v>
      </c>
      <c r="J878" s="161">
        <v>0</v>
      </c>
      <c r="K878" s="161">
        <v>0</v>
      </c>
      <c r="L878" s="161">
        <v>-967.47</v>
      </c>
      <c r="M878" s="161">
        <v>-30</v>
      </c>
      <c r="N878" s="161">
        <v>0</v>
      </c>
      <c r="O878" s="162">
        <f t="shared" si="78"/>
        <v>1203.45</v>
      </c>
      <c r="P878" s="161">
        <v>-2500</v>
      </c>
      <c r="Q878" s="161">
        <v>0</v>
      </c>
      <c r="R878" s="161">
        <v>-500</v>
      </c>
      <c r="S878" s="161">
        <v>0</v>
      </c>
      <c r="T878" s="161">
        <v>0</v>
      </c>
      <c r="U878" s="161">
        <v>0</v>
      </c>
      <c r="V878" s="161">
        <v>0</v>
      </c>
      <c r="W878" s="161">
        <f t="shared" si="79"/>
        <v>-1796.55</v>
      </c>
      <c r="X878" s="161">
        <f t="shared" si="80"/>
        <v>0</v>
      </c>
      <c r="Y878" s="161">
        <f t="shared" si="81"/>
        <v>-1796.55</v>
      </c>
      <c r="Z878" s="161">
        <v>1797</v>
      </c>
      <c r="AA878" s="161">
        <f t="shared" si="82"/>
        <v>0.45000000000004547</v>
      </c>
      <c r="AB878" s="161">
        <f t="shared" si="83"/>
        <v>3000.8999999999996</v>
      </c>
      <c r="AC878" s="158"/>
      <c r="AD878" s="158"/>
    </row>
    <row r="879" spans="1:30" ht="12.75" customHeight="1" x14ac:dyDescent="0.3">
      <c r="A879" s="147">
        <v>41</v>
      </c>
      <c r="B879" s="158" t="s">
        <v>913</v>
      </c>
      <c r="C879" s="158" t="s">
        <v>120</v>
      </c>
      <c r="D879" s="158" t="s">
        <v>950</v>
      </c>
      <c r="E879" s="158" t="s">
        <v>25</v>
      </c>
      <c r="F879" s="158" t="s">
        <v>25</v>
      </c>
      <c r="G879" s="158" t="s">
        <v>866</v>
      </c>
      <c r="H879" s="161">
        <v>7075.24</v>
      </c>
      <c r="I879" s="161">
        <v>-156.97999999999999</v>
      </c>
      <c r="J879" s="161">
        <v>0</v>
      </c>
      <c r="K879" s="161">
        <v>0</v>
      </c>
      <c r="L879" s="161">
        <v>-5844.93</v>
      </c>
      <c r="M879" s="161">
        <v>-32</v>
      </c>
      <c r="N879" s="161">
        <v>0</v>
      </c>
      <c r="O879" s="162">
        <f t="shared" si="78"/>
        <v>1041.33</v>
      </c>
      <c r="P879" s="161">
        <f>-2500+357</f>
        <v>-2143</v>
      </c>
      <c r="Q879" s="161">
        <v>-562.24</v>
      </c>
      <c r="R879" s="161">
        <v>0</v>
      </c>
      <c r="S879" s="161">
        <v>0</v>
      </c>
      <c r="T879" s="161">
        <v>-500</v>
      </c>
      <c r="U879" s="161">
        <v>0</v>
      </c>
      <c r="V879" s="161">
        <v>0</v>
      </c>
      <c r="W879" s="161">
        <f t="shared" si="79"/>
        <v>-2163.91</v>
      </c>
      <c r="X879" s="161">
        <f t="shared" si="80"/>
        <v>0</v>
      </c>
      <c r="Y879" s="161">
        <f t="shared" si="81"/>
        <v>-2163.91</v>
      </c>
      <c r="Z879" s="161">
        <f>1900+264</f>
        <v>2164</v>
      </c>
      <c r="AA879" s="161">
        <f t="shared" si="82"/>
        <v>9.0000000000145519E-2</v>
      </c>
      <c r="AB879" s="161">
        <f t="shared" si="83"/>
        <v>3205.42</v>
      </c>
      <c r="AC879" s="158"/>
      <c r="AD879" s="158"/>
    </row>
    <row r="880" spans="1:30" ht="12.75" customHeight="1" x14ac:dyDescent="0.3">
      <c r="A880" s="147">
        <v>41</v>
      </c>
      <c r="B880" s="158" t="s">
        <v>457</v>
      </c>
      <c r="C880" s="158" t="s">
        <v>573</v>
      </c>
      <c r="D880" s="158" t="s">
        <v>974</v>
      </c>
      <c r="E880" s="158" t="s">
        <v>25</v>
      </c>
      <c r="F880" s="158" t="s">
        <v>39</v>
      </c>
      <c r="G880" s="158" t="s">
        <v>866</v>
      </c>
      <c r="H880" s="161">
        <v>6554.3</v>
      </c>
      <c r="I880" s="161">
        <v>-111.28</v>
      </c>
      <c r="J880" s="161">
        <v>0</v>
      </c>
      <c r="K880" s="161">
        <v>0</v>
      </c>
      <c r="L880" s="161">
        <v>-2306.5500000000002</v>
      </c>
      <c r="M880" s="161">
        <v>-28</v>
      </c>
      <c r="N880" s="161">
        <v>0</v>
      </c>
      <c r="O880" s="162">
        <f t="shared" si="78"/>
        <v>4108.47</v>
      </c>
      <c r="P880" s="161">
        <v>-2500</v>
      </c>
      <c r="Q880" s="161">
        <v>-617.12</v>
      </c>
      <c r="R880" s="161">
        <v>0</v>
      </c>
      <c r="S880" s="161">
        <v>0</v>
      </c>
      <c r="T880" s="161">
        <v>0</v>
      </c>
      <c r="U880" s="161">
        <v>0</v>
      </c>
      <c r="V880" s="161">
        <v>0</v>
      </c>
      <c r="W880" s="161">
        <f t="shared" si="79"/>
        <v>991.35000000000036</v>
      </c>
      <c r="X880" s="161">
        <f t="shared" si="80"/>
        <v>991.35000000000036</v>
      </c>
      <c r="Y880" s="161">
        <f t="shared" si="81"/>
        <v>0</v>
      </c>
      <c r="Z880" s="161">
        <v>0</v>
      </c>
      <c r="AA880" s="161">
        <f t="shared" si="82"/>
        <v>0</v>
      </c>
      <c r="AB880" s="161">
        <f t="shared" si="83"/>
        <v>3117.12</v>
      </c>
      <c r="AC880" s="158" t="s">
        <v>374</v>
      </c>
      <c r="AD880" s="158"/>
    </row>
    <row r="881" spans="1:30" ht="12.75" customHeight="1" x14ac:dyDescent="0.3">
      <c r="A881" s="147">
        <v>41</v>
      </c>
      <c r="B881" s="158" t="s">
        <v>1076</v>
      </c>
      <c r="C881" s="158" t="s">
        <v>80</v>
      </c>
      <c r="D881" s="158" t="s">
        <v>20</v>
      </c>
      <c r="E881" s="160" t="s">
        <v>18</v>
      </c>
      <c r="F881" s="160" t="s">
        <v>18</v>
      </c>
      <c r="G881" s="158" t="s">
        <v>737</v>
      </c>
      <c r="H881" s="161">
        <v>7394.36</v>
      </c>
      <c r="I881" s="161">
        <v>0</v>
      </c>
      <c r="J881" s="161">
        <v>0</v>
      </c>
      <c r="K881" s="161">
        <v>0</v>
      </c>
      <c r="L881" s="161">
        <v>-5192.96</v>
      </c>
      <c r="M881" s="161">
        <v>0</v>
      </c>
      <c r="N881" s="161">
        <v>0</v>
      </c>
      <c r="O881" s="162">
        <f t="shared" si="78"/>
        <v>2201.3999999999996</v>
      </c>
      <c r="P881" s="161">
        <v>-2600</v>
      </c>
      <c r="Q881" s="161">
        <v>0</v>
      </c>
      <c r="R881" s="161">
        <v>-500</v>
      </c>
      <c r="S881" s="161">
        <v>0</v>
      </c>
      <c r="T881" s="161">
        <v>0</v>
      </c>
      <c r="U881" s="161">
        <v>0</v>
      </c>
      <c r="V881" s="161">
        <v>0</v>
      </c>
      <c r="W881" s="161">
        <f t="shared" si="79"/>
        <v>-898.60000000000036</v>
      </c>
      <c r="X881" s="161">
        <f t="shared" si="80"/>
        <v>0</v>
      </c>
      <c r="Y881" s="161">
        <f t="shared" si="81"/>
        <v>-898.60000000000036</v>
      </c>
      <c r="Z881" s="161">
        <v>900</v>
      </c>
      <c r="AA881" s="161">
        <f t="shared" si="82"/>
        <v>1.3999999999996362</v>
      </c>
      <c r="AB881" s="161">
        <f t="shared" si="83"/>
        <v>3102.7999999999993</v>
      </c>
      <c r="AC881" s="158" t="s">
        <v>1096</v>
      </c>
      <c r="AD881" s="158"/>
    </row>
    <row r="882" spans="1:30" ht="12.75" customHeight="1" x14ac:dyDescent="0.3">
      <c r="A882" s="147">
        <v>41</v>
      </c>
      <c r="B882" s="158" t="s">
        <v>620</v>
      </c>
      <c r="C882" s="158" t="s">
        <v>571</v>
      </c>
      <c r="D882" s="158" t="s">
        <v>974</v>
      </c>
      <c r="E882" s="158" t="s">
        <v>25</v>
      </c>
      <c r="F882" s="158" t="s">
        <v>25</v>
      </c>
      <c r="G882" s="158" t="s">
        <v>866</v>
      </c>
      <c r="H882" s="161">
        <v>5635</v>
      </c>
      <c r="I882" s="161">
        <v>-90.44</v>
      </c>
      <c r="J882" s="161">
        <v>0</v>
      </c>
      <c r="K882" s="161">
        <v>0</v>
      </c>
      <c r="L882" s="161">
        <v>-3399.02</v>
      </c>
      <c r="M882" s="161">
        <v>-38</v>
      </c>
      <c r="N882" s="161">
        <v>0</v>
      </c>
      <c r="O882" s="162">
        <f t="shared" si="78"/>
        <v>2107.5400000000004</v>
      </c>
      <c r="P882" s="161">
        <v>-2500</v>
      </c>
      <c r="Q882" s="161">
        <v>0</v>
      </c>
      <c r="R882" s="161">
        <v>-500</v>
      </c>
      <c r="S882" s="161">
        <v>0</v>
      </c>
      <c r="T882" s="161">
        <v>0</v>
      </c>
      <c r="U882" s="161">
        <v>0</v>
      </c>
      <c r="V882" s="161">
        <v>0</v>
      </c>
      <c r="W882" s="161">
        <f t="shared" si="79"/>
        <v>-892.45999999999958</v>
      </c>
      <c r="X882" s="161">
        <f t="shared" si="80"/>
        <v>0</v>
      </c>
      <c r="Y882" s="161">
        <f t="shared" si="81"/>
        <v>-892.45999999999958</v>
      </c>
      <c r="Z882" s="161">
        <f>500+392</f>
        <v>892</v>
      </c>
      <c r="AA882" s="161">
        <f t="shared" si="82"/>
        <v>-0.45999999999958163</v>
      </c>
      <c r="AB882" s="161">
        <f t="shared" si="83"/>
        <v>2999.0800000000008</v>
      </c>
      <c r="AC882" s="158"/>
      <c r="AD882" s="158"/>
    </row>
    <row r="883" spans="1:30" ht="12.75" customHeight="1" x14ac:dyDescent="0.3">
      <c r="A883" s="147">
        <v>41</v>
      </c>
      <c r="B883" s="158" t="s">
        <v>1056</v>
      </c>
      <c r="C883" s="158" t="s">
        <v>152</v>
      </c>
      <c r="D883" s="158" t="s">
        <v>20</v>
      </c>
      <c r="E883" s="160" t="s">
        <v>25</v>
      </c>
      <c r="F883" s="158" t="s">
        <v>39</v>
      </c>
      <c r="G883" s="158" t="s">
        <v>866</v>
      </c>
      <c r="H883" s="161">
        <v>702.3</v>
      </c>
      <c r="I883" s="161">
        <v>-13.16</v>
      </c>
      <c r="J883" s="161">
        <v>9.7899999999999991</v>
      </c>
      <c r="K883" s="161">
        <v>0</v>
      </c>
      <c r="L883" s="161">
        <v>-59.91</v>
      </c>
      <c r="M883" s="161">
        <v>0</v>
      </c>
      <c r="N883" s="161">
        <v>0</v>
      </c>
      <c r="O883" s="162">
        <f t="shared" si="78"/>
        <v>639.02</v>
      </c>
      <c r="P883" s="161">
        <v>-639</v>
      </c>
      <c r="Q883" s="161">
        <v>0</v>
      </c>
      <c r="R883" s="161">
        <v>0</v>
      </c>
      <c r="S883" s="161">
        <v>0</v>
      </c>
      <c r="T883" s="161">
        <v>0</v>
      </c>
      <c r="U883" s="161">
        <v>0</v>
      </c>
      <c r="V883" s="161">
        <v>0</v>
      </c>
      <c r="W883" s="161">
        <f t="shared" si="79"/>
        <v>1.999999999998181E-2</v>
      </c>
      <c r="X883" s="161">
        <f t="shared" si="80"/>
        <v>1.999999999998181E-2</v>
      </c>
      <c r="Y883" s="161">
        <f t="shared" si="81"/>
        <v>0</v>
      </c>
      <c r="Z883" s="161">
        <v>0</v>
      </c>
      <c r="AA883" s="161">
        <f t="shared" si="82"/>
        <v>0</v>
      </c>
      <c r="AB883" s="161">
        <f t="shared" si="83"/>
        <v>639</v>
      </c>
      <c r="AC883" s="158" t="s">
        <v>1057</v>
      </c>
      <c r="AD883" s="158"/>
    </row>
    <row r="884" spans="1:30" ht="12.75" customHeight="1" x14ac:dyDescent="0.3">
      <c r="A884" s="147">
        <v>41</v>
      </c>
      <c r="B884" s="158" t="s">
        <v>874</v>
      </c>
      <c r="C884" s="158" t="s">
        <v>1071</v>
      </c>
      <c r="D884" s="158" t="s">
        <v>20</v>
      </c>
      <c r="E884" s="160" t="s">
        <v>18</v>
      </c>
      <c r="F884" s="160" t="s">
        <v>18</v>
      </c>
      <c r="G884" s="158" t="s">
        <v>737</v>
      </c>
      <c r="H884" s="161">
        <v>0</v>
      </c>
      <c r="I884" s="161">
        <v>0</v>
      </c>
      <c r="J884" s="161">
        <v>0</v>
      </c>
      <c r="K884" s="161">
        <v>0</v>
      </c>
      <c r="L884" s="161">
        <v>0</v>
      </c>
      <c r="M884" s="161">
        <v>0</v>
      </c>
      <c r="N884" s="161">
        <v>0</v>
      </c>
      <c r="O884" s="162">
        <f t="shared" si="78"/>
        <v>0</v>
      </c>
      <c r="P884" s="161">
        <v>-2500</v>
      </c>
      <c r="Q884" s="161">
        <v>0</v>
      </c>
      <c r="R884" s="161">
        <v>-500</v>
      </c>
      <c r="S884" s="161">
        <v>0</v>
      </c>
      <c r="T884" s="161">
        <v>0</v>
      </c>
      <c r="U884" s="161">
        <v>0</v>
      </c>
      <c r="V884" s="161">
        <v>0</v>
      </c>
      <c r="W884" s="161">
        <f t="shared" si="79"/>
        <v>-3000</v>
      </c>
      <c r="X884" s="161">
        <f t="shared" si="80"/>
        <v>0</v>
      </c>
      <c r="Y884" s="161">
        <f t="shared" si="81"/>
        <v>-3000</v>
      </c>
      <c r="Z884" s="161">
        <v>500</v>
      </c>
      <c r="AA884" s="161">
        <f t="shared" si="82"/>
        <v>-2500</v>
      </c>
      <c r="AB884" s="161">
        <f t="shared" si="83"/>
        <v>-2000</v>
      </c>
      <c r="AC884" s="158"/>
      <c r="AD884" s="158"/>
    </row>
    <row r="885" spans="1:30" ht="12.75" customHeight="1" x14ac:dyDescent="0.3">
      <c r="A885" s="147">
        <v>41</v>
      </c>
      <c r="B885" s="158" t="s">
        <v>1078</v>
      </c>
      <c r="C885" s="158" t="s">
        <v>53</v>
      </c>
      <c r="D885" s="158" t="s">
        <v>20</v>
      </c>
      <c r="E885" s="160" t="s">
        <v>25</v>
      </c>
      <c r="F885" s="158" t="s">
        <v>39</v>
      </c>
      <c r="G885" s="158" t="s">
        <v>866</v>
      </c>
      <c r="H885" s="161">
        <v>984.01</v>
      </c>
      <c r="I885" s="161">
        <v>-27.77</v>
      </c>
      <c r="J885" s="161">
        <v>0</v>
      </c>
      <c r="K885" s="161">
        <v>0</v>
      </c>
      <c r="L885" s="161">
        <v>0</v>
      </c>
      <c r="M885" s="161">
        <v>-32</v>
      </c>
      <c r="N885" s="161">
        <v>0</v>
      </c>
      <c r="O885" s="162">
        <f t="shared" si="78"/>
        <v>924.24</v>
      </c>
      <c r="P885" s="161">
        <v>-1428.57</v>
      </c>
      <c r="Q885" s="161">
        <v>-2365.44</v>
      </c>
      <c r="R885" s="161">
        <f>2000+250</f>
        <v>2250</v>
      </c>
      <c r="S885" s="161">
        <v>0</v>
      </c>
      <c r="T885" s="161">
        <v>0</v>
      </c>
      <c r="U885" s="161">
        <v>0</v>
      </c>
      <c r="V885" s="161">
        <v>0</v>
      </c>
      <c r="W885" s="161">
        <f t="shared" si="79"/>
        <v>-619.77000000000021</v>
      </c>
      <c r="X885" s="161">
        <f t="shared" si="80"/>
        <v>0</v>
      </c>
      <c r="Y885" s="161">
        <f t="shared" si="81"/>
        <v>-619.77000000000021</v>
      </c>
      <c r="Z885" s="161">
        <v>0</v>
      </c>
      <c r="AA885" s="161">
        <f t="shared" si="82"/>
        <v>-619.77000000000021</v>
      </c>
      <c r="AB885" s="161">
        <f t="shared" si="83"/>
        <v>304.4699999999998</v>
      </c>
      <c r="AC885" s="158"/>
      <c r="AD885" s="158"/>
    </row>
    <row r="886" spans="1:30" ht="12.75" customHeight="1" x14ac:dyDescent="0.3">
      <c r="A886" s="147">
        <v>41</v>
      </c>
      <c r="B886" s="158" t="s">
        <v>872</v>
      </c>
      <c r="C886" s="158" t="s">
        <v>256</v>
      </c>
      <c r="D886" s="158" t="s">
        <v>997</v>
      </c>
      <c r="E886" s="160" t="s">
        <v>871</v>
      </c>
      <c r="F886" s="158" t="s">
        <v>39</v>
      </c>
      <c r="G886" s="158" t="s">
        <v>866</v>
      </c>
      <c r="H886" s="161">
        <v>6818.7</v>
      </c>
      <c r="I886" s="161">
        <v>-141.44</v>
      </c>
      <c r="J886" s="161">
        <v>0</v>
      </c>
      <c r="K886" s="161">
        <v>-64.14</v>
      </c>
      <c r="L886" s="161">
        <v>-3925.06</v>
      </c>
      <c r="M886" s="161">
        <f>-34-47.85</f>
        <v>-81.849999999999994</v>
      </c>
      <c r="N886" s="161">
        <v>-191.46</v>
      </c>
      <c r="O886" s="162">
        <f t="shared" si="78"/>
        <v>2414.75</v>
      </c>
      <c r="P886" s="161">
        <v>-2500</v>
      </c>
      <c r="Q886" s="161">
        <v>0</v>
      </c>
      <c r="R886" s="161">
        <v>0</v>
      </c>
      <c r="S886" s="161">
        <v>0</v>
      </c>
      <c r="T886" s="161">
        <v>0</v>
      </c>
      <c r="U886" s="161">
        <v>0</v>
      </c>
      <c r="V886" s="161">
        <v>0</v>
      </c>
      <c r="W886" s="161">
        <f t="shared" si="79"/>
        <v>-85.25</v>
      </c>
      <c r="X886" s="161">
        <f t="shared" si="80"/>
        <v>0</v>
      </c>
      <c r="Y886" s="161">
        <f t="shared" si="81"/>
        <v>-85.25</v>
      </c>
      <c r="Z886" s="161">
        <v>0</v>
      </c>
      <c r="AA886" s="161">
        <f t="shared" si="82"/>
        <v>-85.25</v>
      </c>
      <c r="AB886" s="161">
        <f t="shared" si="83"/>
        <v>2329.5</v>
      </c>
      <c r="AC886" s="158" t="s">
        <v>1097</v>
      </c>
      <c r="AD886" s="158"/>
    </row>
    <row r="887" spans="1:30" ht="12.75" customHeight="1" x14ac:dyDescent="0.3">
      <c r="A887" s="147">
        <v>41</v>
      </c>
      <c r="B887" s="158" t="s">
        <v>921</v>
      </c>
      <c r="C887" s="158" t="s">
        <v>257</v>
      </c>
      <c r="D887" s="158" t="s">
        <v>943</v>
      </c>
      <c r="E887" s="158" t="s">
        <v>25</v>
      </c>
      <c r="F887" s="158" t="s">
        <v>25</v>
      </c>
      <c r="G887" s="158" t="s">
        <v>866</v>
      </c>
      <c r="H887" s="161">
        <v>7330.6</v>
      </c>
      <c r="I887" s="161">
        <v>-125.37</v>
      </c>
      <c r="J887" s="161">
        <v>0</v>
      </c>
      <c r="K887" s="161">
        <v>0</v>
      </c>
      <c r="L887" s="161">
        <v>-2332.4899999999998</v>
      </c>
      <c r="M887" s="161">
        <v>-34</v>
      </c>
      <c r="N887" s="161">
        <v>0</v>
      </c>
      <c r="O887" s="162">
        <f t="shared" si="78"/>
        <v>4838.7400000000007</v>
      </c>
      <c r="P887" s="161">
        <v>-2500</v>
      </c>
      <c r="Q887" s="161">
        <v>0</v>
      </c>
      <c r="R887" s="161">
        <v>0</v>
      </c>
      <c r="S887" s="161">
        <v>0</v>
      </c>
      <c r="T887" s="161">
        <v>0</v>
      </c>
      <c r="U887" s="161">
        <v>0</v>
      </c>
      <c r="V887" s="161">
        <v>0</v>
      </c>
      <c r="W887" s="161">
        <f t="shared" si="79"/>
        <v>2338.7400000000007</v>
      </c>
      <c r="X887" s="161">
        <f t="shared" si="80"/>
        <v>2338.7400000000007</v>
      </c>
      <c r="Y887" s="161">
        <f t="shared" si="81"/>
        <v>0</v>
      </c>
      <c r="Z887" s="161">
        <v>0</v>
      </c>
      <c r="AA887" s="161">
        <f t="shared" si="82"/>
        <v>0</v>
      </c>
      <c r="AB887" s="161">
        <f t="shared" si="83"/>
        <v>2500</v>
      </c>
      <c r="AC887" s="158" t="s">
        <v>374</v>
      </c>
      <c r="AD887" s="158"/>
    </row>
    <row r="888" spans="1:30" ht="12.75" customHeight="1" x14ac:dyDescent="0.3">
      <c r="A888" s="147">
        <v>41</v>
      </c>
      <c r="B888" s="158" t="s">
        <v>1058</v>
      </c>
      <c r="C888" s="158" t="s">
        <v>17</v>
      </c>
      <c r="D888" s="158" t="s">
        <v>20</v>
      </c>
      <c r="E888" s="160" t="s">
        <v>18</v>
      </c>
      <c r="F888" s="160" t="s">
        <v>18</v>
      </c>
      <c r="G888" s="158" t="s">
        <v>866</v>
      </c>
      <c r="H888" s="161">
        <v>0</v>
      </c>
      <c r="I888" s="161">
        <v>0</v>
      </c>
      <c r="J888" s="161">
        <v>0</v>
      </c>
      <c r="K888" s="161">
        <v>0</v>
      </c>
      <c r="L888" s="161">
        <v>0</v>
      </c>
      <c r="M888" s="161">
        <v>0</v>
      </c>
      <c r="N888" s="161">
        <v>0</v>
      </c>
      <c r="O888" s="162">
        <f t="shared" si="78"/>
        <v>0</v>
      </c>
      <c r="P888" s="161">
        <v>0</v>
      </c>
      <c r="Q888" s="161">
        <v>200</v>
      </c>
      <c r="R888" s="161">
        <v>0</v>
      </c>
      <c r="S888" s="161">
        <v>0</v>
      </c>
      <c r="T888" s="161">
        <v>0</v>
      </c>
      <c r="U888" s="161">
        <v>0</v>
      </c>
      <c r="V888" s="161">
        <v>0</v>
      </c>
      <c r="W888" s="161">
        <f t="shared" si="79"/>
        <v>200</v>
      </c>
      <c r="X888" s="161">
        <f t="shared" si="80"/>
        <v>200</v>
      </c>
      <c r="Y888" s="161">
        <f t="shared" si="81"/>
        <v>0</v>
      </c>
      <c r="Z888" s="161">
        <v>0</v>
      </c>
      <c r="AA888" s="161">
        <f t="shared" si="82"/>
        <v>0</v>
      </c>
      <c r="AB888" s="161">
        <f t="shared" si="83"/>
        <v>-200</v>
      </c>
      <c r="AC888" s="158" t="s">
        <v>1098</v>
      </c>
      <c r="AD888" s="158"/>
    </row>
    <row r="889" spans="1:30" ht="12.75" customHeight="1" x14ac:dyDescent="0.3">
      <c r="A889" s="147">
        <v>41</v>
      </c>
      <c r="B889" s="158" t="s">
        <v>1093</v>
      </c>
      <c r="C889" s="158" t="s">
        <v>150</v>
      </c>
      <c r="D889" s="158" t="s">
        <v>877</v>
      </c>
      <c r="E889" s="158" t="s">
        <v>25</v>
      </c>
      <c r="F889" s="158" t="s">
        <v>25</v>
      </c>
      <c r="G889" s="158" t="s">
        <v>866</v>
      </c>
      <c r="H889" s="161">
        <v>891.26</v>
      </c>
      <c r="I889" s="161">
        <v>-14.36</v>
      </c>
      <c r="J889" s="161">
        <v>0</v>
      </c>
      <c r="K889" s="161">
        <v>0</v>
      </c>
      <c r="L889" s="161">
        <v>-206.42</v>
      </c>
      <c r="M889" s="161">
        <v>-42</v>
      </c>
      <c r="N889" s="161">
        <v>0</v>
      </c>
      <c r="O889" s="162">
        <f t="shared" si="78"/>
        <v>628.48</v>
      </c>
      <c r="P889" s="161">
        <v>-2500</v>
      </c>
      <c r="Q889" s="161">
        <v>0</v>
      </c>
      <c r="R889" s="161">
        <v>-500</v>
      </c>
      <c r="S889" s="161">
        <v>0</v>
      </c>
      <c r="T889" s="161">
        <v>0</v>
      </c>
      <c r="U889" s="161">
        <v>0</v>
      </c>
      <c r="V889" s="161">
        <v>0</v>
      </c>
      <c r="W889" s="161">
        <f t="shared" si="79"/>
        <v>-2371.52</v>
      </c>
      <c r="X889" s="161">
        <f t="shared" si="80"/>
        <v>0</v>
      </c>
      <c r="Y889" s="161">
        <f t="shared" si="81"/>
        <v>-2371.52</v>
      </c>
      <c r="Z889" s="161">
        <v>2300</v>
      </c>
      <c r="AA889" s="161">
        <f t="shared" si="82"/>
        <v>-71.519999999999982</v>
      </c>
      <c r="AB889" s="161">
        <f t="shared" si="83"/>
        <v>2856.96</v>
      </c>
      <c r="AC889" s="158"/>
      <c r="AD889" s="158"/>
    </row>
    <row r="890" spans="1:30" ht="12.75" customHeight="1" x14ac:dyDescent="0.3">
      <c r="A890" s="147">
        <v>41</v>
      </c>
      <c r="B890" s="158" t="s">
        <v>1013</v>
      </c>
      <c r="C890" s="158" t="s">
        <v>101</v>
      </c>
      <c r="D890" s="158" t="s">
        <v>945</v>
      </c>
      <c r="E890" s="158" t="s">
        <v>25</v>
      </c>
      <c r="F890" s="158" t="s">
        <v>25</v>
      </c>
      <c r="G890" s="158" t="s">
        <v>866</v>
      </c>
      <c r="H890" s="161">
        <v>6613.04</v>
      </c>
      <c r="I890" s="161">
        <v>-102.15</v>
      </c>
      <c r="J890" s="161">
        <v>0</v>
      </c>
      <c r="K890" s="161">
        <v>0</v>
      </c>
      <c r="L890" s="161">
        <v>-4157.2</v>
      </c>
      <c r="M890" s="161">
        <v>-38</v>
      </c>
      <c r="N890" s="161">
        <v>0</v>
      </c>
      <c r="O890" s="162">
        <f t="shared" si="78"/>
        <v>2315.6900000000005</v>
      </c>
      <c r="P890" s="161">
        <v>-2500</v>
      </c>
      <c r="Q890" s="161">
        <v>0</v>
      </c>
      <c r="R890" s="161">
        <v>0</v>
      </c>
      <c r="S890" s="161">
        <v>0</v>
      </c>
      <c r="T890" s="161">
        <v>0</v>
      </c>
      <c r="U890" s="161">
        <v>0</v>
      </c>
      <c r="V890" s="161">
        <v>0</v>
      </c>
      <c r="W890" s="161">
        <f t="shared" si="79"/>
        <v>-184.30999999999949</v>
      </c>
      <c r="X890" s="161">
        <f t="shared" si="80"/>
        <v>0</v>
      </c>
      <c r="Y890" s="161">
        <f t="shared" si="81"/>
        <v>-184.30999999999949</v>
      </c>
      <c r="Z890" s="161">
        <v>184</v>
      </c>
      <c r="AA890" s="161">
        <f t="shared" si="82"/>
        <v>-0.30999999999949068</v>
      </c>
      <c r="AB890" s="161">
        <f t="shared" si="83"/>
        <v>2499.380000000001</v>
      </c>
      <c r="AC890" s="158"/>
      <c r="AD890" s="158"/>
    </row>
    <row r="891" spans="1:30" ht="12.75" customHeight="1" x14ac:dyDescent="0.3">
      <c r="A891" s="147">
        <v>41</v>
      </c>
      <c r="B891" s="158" t="s">
        <v>484</v>
      </c>
      <c r="C891" s="158" t="s">
        <v>1065</v>
      </c>
      <c r="D891" s="158" t="s">
        <v>903</v>
      </c>
      <c r="E891" s="158" t="s">
        <v>25</v>
      </c>
      <c r="F891" s="158" t="s">
        <v>39</v>
      </c>
      <c r="G891" s="158" t="s">
        <v>866</v>
      </c>
      <c r="H891" s="161">
        <v>8516.49</v>
      </c>
      <c r="I891" s="161">
        <v>-240.6</v>
      </c>
      <c r="J891" s="161">
        <v>0</v>
      </c>
      <c r="K891" s="161">
        <v>0</v>
      </c>
      <c r="L891" s="161">
        <v>-5699.04</v>
      </c>
      <c r="M891" s="161">
        <f>-38-50</f>
        <v>-88</v>
      </c>
      <c r="N891" s="161">
        <v>0</v>
      </c>
      <c r="O891" s="162">
        <f t="shared" si="78"/>
        <v>2488.8499999999995</v>
      </c>
      <c r="P891" s="161">
        <v>-2500</v>
      </c>
      <c r="Q891" s="161">
        <v>19</v>
      </c>
      <c r="R891" s="161">
        <v>0</v>
      </c>
      <c r="S891" s="161">
        <v>0</v>
      </c>
      <c r="T891" s="161">
        <v>0</v>
      </c>
      <c r="U891" s="161">
        <v>0</v>
      </c>
      <c r="V891" s="161">
        <v>0</v>
      </c>
      <c r="W891" s="161">
        <f t="shared" si="79"/>
        <v>7.8499999999994543</v>
      </c>
      <c r="X891" s="161">
        <f t="shared" si="80"/>
        <v>7.8499999999994543</v>
      </c>
      <c r="Y891" s="161">
        <f t="shared" si="81"/>
        <v>0</v>
      </c>
      <c r="Z891" s="161">
        <v>0</v>
      </c>
      <c r="AA891" s="161">
        <f t="shared" si="82"/>
        <v>0</v>
      </c>
      <c r="AB891" s="161">
        <f t="shared" si="83"/>
        <v>2481</v>
      </c>
      <c r="AC891" s="158"/>
      <c r="AD891" s="158"/>
    </row>
    <row r="892" spans="1:30" ht="12.75" customHeight="1" x14ac:dyDescent="0.3">
      <c r="A892" s="147">
        <v>41</v>
      </c>
      <c r="B892" s="158" t="s">
        <v>408</v>
      </c>
      <c r="C892" s="158" t="s">
        <v>334</v>
      </c>
      <c r="D892" s="158" t="s">
        <v>20</v>
      </c>
      <c r="E892" s="160" t="s">
        <v>25</v>
      </c>
      <c r="F892" s="158" t="s">
        <v>39</v>
      </c>
      <c r="G892" s="158" t="s">
        <v>866</v>
      </c>
      <c r="H892" s="161">
        <v>289.64999999999998</v>
      </c>
      <c r="I892" s="161">
        <v>-4.3099999999999996</v>
      </c>
      <c r="J892" s="161">
        <v>0</v>
      </c>
      <c r="K892" s="161">
        <v>0</v>
      </c>
      <c r="L892" s="161">
        <v>-89.88</v>
      </c>
      <c r="M892" s="161">
        <v>-42</v>
      </c>
      <c r="N892" s="161">
        <v>0</v>
      </c>
      <c r="O892" s="162">
        <f t="shared" si="78"/>
        <v>153.45999999999998</v>
      </c>
      <c r="P892" s="161">
        <v>-2500</v>
      </c>
      <c r="Q892" s="161">
        <v>-20.16</v>
      </c>
      <c r="R892" s="161">
        <v>0</v>
      </c>
      <c r="S892" s="161">
        <v>0</v>
      </c>
      <c r="T892" s="161">
        <v>0</v>
      </c>
      <c r="U892" s="161">
        <v>0</v>
      </c>
      <c r="V892" s="161">
        <v>0</v>
      </c>
      <c r="W892" s="161">
        <f t="shared" si="79"/>
        <v>-2366.6999999999998</v>
      </c>
      <c r="X892" s="161">
        <f t="shared" si="80"/>
        <v>0</v>
      </c>
      <c r="Y892" s="161">
        <f t="shared" si="81"/>
        <v>-2366.6999999999998</v>
      </c>
      <c r="Z892" s="161">
        <v>0</v>
      </c>
      <c r="AA892" s="161">
        <f t="shared" si="82"/>
        <v>-2366.6999999999998</v>
      </c>
      <c r="AB892" s="161">
        <f t="shared" si="83"/>
        <v>-2213.2399999999998</v>
      </c>
      <c r="AC892" s="158"/>
      <c r="AD892" s="158"/>
    </row>
    <row r="893" spans="1:30" ht="12.75" customHeight="1" x14ac:dyDescent="0.3">
      <c r="A893" s="147">
        <v>41</v>
      </c>
      <c r="B893" s="158" t="s">
        <v>1067</v>
      </c>
      <c r="C893" s="158" t="s">
        <v>46</v>
      </c>
      <c r="D893" s="158" t="s">
        <v>915</v>
      </c>
      <c r="E893" s="158" t="s">
        <v>25</v>
      </c>
      <c r="F893" s="158" t="s">
        <v>25</v>
      </c>
      <c r="G893" s="158" t="s">
        <v>866</v>
      </c>
      <c r="H893" s="161">
        <v>3376.82</v>
      </c>
      <c r="I893" s="161">
        <f>-47.35-5.73</f>
        <v>-53.08</v>
      </c>
      <c r="J893" s="161">
        <v>512.13199999999995</v>
      </c>
      <c r="K893" s="161">
        <v>0</v>
      </c>
      <c r="L893" s="161">
        <v>-520.46</v>
      </c>
      <c r="M893" s="161">
        <v>-38</v>
      </c>
      <c r="N893" s="161">
        <v>0</v>
      </c>
      <c r="O893" s="162">
        <f t="shared" si="78"/>
        <v>3277.4120000000003</v>
      </c>
      <c r="P893" s="161">
        <v>-2500</v>
      </c>
      <c r="Q893" s="161">
        <v>0</v>
      </c>
      <c r="R893" s="161">
        <v>-500</v>
      </c>
      <c r="S893" s="161">
        <v>-566</v>
      </c>
      <c r="T893" s="161">
        <v>0</v>
      </c>
      <c r="U893" s="161">
        <v>0</v>
      </c>
      <c r="V893" s="161">
        <v>0</v>
      </c>
      <c r="W893" s="161">
        <f t="shared" si="79"/>
        <v>-288.58799999999974</v>
      </c>
      <c r="X893" s="161">
        <f t="shared" si="80"/>
        <v>0</v>
      </c>
      <c r="Y893" s="161">
        <f t="shared" si="81"/>
        <v>-288.58799999999974</v>
      </c>
      <c r="Z893" s="161">
        <v>289</v>
      </c>
      <c r="AA893" s="161">
        <f t="shared" si="82"/>
        <v>0.41200000000026193</v>
      </c>
      <c r="AB893" s="161">
        <f t="shared" si="83"/>
        <v>3566.8240000000005</v>
      </c>
      <c r="AC893" s="158"/>
      <c r="AD893" s="158"/>
    </row>
    <row r="894" spans="1:30" ht="12.75" customHeight="1" x14ac:dyDescent="0.3">
      <c r="A894" s="147">
        <v>41</v>
      </c>
      <c r="B894" s="158" t="s">
        <v>992</v>
      </c>
      <c r="C894" s="158" t="s">
        <v>169</v>
      </c>
      <c r="D894" s="158" t="s">
        <v>967</v>
      </c>
      <c r="E894" s="160" t="s">
        <v>871</v>
      </c>
      <c r="F894" s="158" t="s">
        <v>39</v>
      </c>
      <c r="G894" s="158" t="s">
        <v>866</v>
      </c>
      <c r="H894" s="161">
        <v>0</v>
      </c>
      <c r="I894" s="161">
        <v>0</v>
      </c>
      <c r="J894" s="161">
        <v>14.69</v>
      </c>
      <c r="K894" s="161">
        <v>0</v>
      </c>
      <c r="L894" s="161">
        <v>0</v>
      </c>
      <c r="M894" s="161">
        <v>0</v>
      </c>
      <c r="N894" s="161">
        <v>0</v>
      </c>
      <c r="O894" s="162">
        <f t="shared" si="78"/>
        <v>14.69</v>
      </c>
      <c r="P894" s="161">
        <v>-15</v>
      </c>
      <c r="Q894" s="161">
        <v>0</v>
      </c>
      <c r="R894" s="161">
        <v>0</v>
      </c>
      <c r="S894" s="161">
        <v>0</v>
      </c>
      <c r="T894" s="161">
        <v>0</v>
      </c>
      <c r="U894" s="161">
        <v>0</v>
      </c>
      <c r="V894" s="161">
        <v>0</v>
      </c>
      <c r="W894" s="161">
        <f t="shared" si="79"/>
        <v>-0.3100000000000005</v>
      </c>
      <c r="X894" s="161">
        <f t="shared" si="80"/>
        <v>0</v>
      </c>
      <c r="Y894" s="161">
        <f t="shared" si="81"/>
        <v>-0.3100000000000005</v>
      </c>
      <c r="Z894" s="161">
        <v>0</v>
      </c>
      <c r="AA894" s="161">
        <f t="shared" si="82"/>
        <v>-0.3100000000000005</v>
      </c>
      <c r="AB894" s="161">
        <f t="shared" si="83"/>
        <v>14.379999999999999</v>
      </c>
      <c r="AC894" s="158"/>
      <c r="AD894" s="158"/>
    </row>
    <row r="895" spans="1:30" ht="12.75" customHeight="1" x14ac:dyDescent="0.3">
      <c r="A895" s="147">
        <v>41</v>
      </c>
      <c r="B895" s="158" t="s">
        <v>1051</v>
      </c>
      <c r="C895" s="158" t="s">
        <v>21</v>
      </c>
      <c r="D895" s="158" t="s">
        <v>20</v>
      </c>
      <c r="E895" s="160" t="s">
        <v>18</v>
      </c>
      <c r="F895" s="160" t="s">
        <v>18</v>
      </c>
      <c r="G895" s="158" t="s">
        <v>866</v>
      </c>
      <c r="H895" s="161">
        <v>3788.94</v>
      </c>
      <c r="I895" s="161">
        <v>-56.78</v>
      </c>
      <c r="J895" s="161">
        <v>0</v>
      </c>
      <c r="K895" s="161">
        <v>0</v>
      </c>
      <c r="L895" s="161">
        <v>-1983.07</v>
      </c>
      <c r="M895" s="161">
        <v>0</v>
      </c>
      <c r="N895" s="161">
        <v>0</v>
      </c>
      <c r="O895" s="162">
        <f t="shared" si="78"/>
        <v>1749.09</v>
      </c>
      <c r="P895" s="161">
        <v>-2500</v>
      </c>
      <c r="Q895" s="161">
        <v>0</v>
      </c>
      <c r="R895" s="161">
        <v>-500</v>
      </c>
      <c r="S895" s="161">
        <v>0</v>
      </c>
      <c r="T895" s="161">
        <v>0</v>
      </c>
      <c r="U895" s="161">
        <v>0</v>
      </c>
      <c r="V895" s="161">
        <v>0</v>
      </c>
      <c r="W895" s="161">
        <f t="shared" si="79"/>
        <v>-1250.9100000000001</v>
      </c>
      <c r="X895" s="161">
        <f t="shared" si="80"/>
        <v>0</v>
      </c>
      <c r="Y895" s="161">
        <f t="shared" si="81"/>
        <v>-1250.9100000000001</v>
      </c>
      <c r="Z895" s="161">
        <f>1000+251</f>
        <v>1251</v>
      </c>
      <c r="AA895" s="161">
        <f t="shared" si="82"/>
        <v>8.9999999999918145E-2</v>
      </c>
      <c r="AB895" s="161">
        <f t="shared" si="83"/>
        <v>3000.1800000000003</v>
      </c>
      <c r="AC895" s="158"/>
      <c r="AD895" s="158"/>
    </row>
    <row r="896" spans="1:30" ht="12.75" customHeight="1" x14ac:dyDescent="0.3">
      <c r="A896" s="147">
        <v>41</v>
      </c>
      <c r="B896" s="158" t="s">
        <v>880</v>
      </c>
      <c r="C896" s="158" t="s">
        <v>183</v>
      </c>
      <c r="D896" s="158" t="s">
        <v>887</v>
      </c>
      <c r="E896" s="158" t="s">
        <v>25</v>
      </c>
      <c r="F896" s="158" t="s">
        <v>25</v>
      </c>
      <c r="G896" s="158" t="s">
        <v>866</v>
      </c>
      <c r="H896" s="161">
        <v>3999.76</v>
      </c>
      <c r="I896" s="161">
        <v>-68.5</v>
      </c>
      <c r="J896" s="161">
        <v>0</v>
      </c>
      <c r="K896" s="161">
        <v>0</v>
      </c>
      <c r="L896" s="161">
        <v>-1524.66</v>
      </c>
      <c r="M896" s="161">
        <f>-34-24.25</f>
        <v>-58.25</v>
      </c>
      <c r="N896" s="161">
        <v>-97.05</v>
      </c>
      <c r="O896" s="162">
        <f t="shared" si="78"/>
        <v>2251.3000000000002</v>
      </c>
      <c r="P896" s="161">
        <v>-2500</v>
      </c>
      <c r="Q896" s="161">
        <v>0</v>
      </c>
      <c r="R896" s="161">
        <v>0</v>
      </c>
      <c r="S896" s="161">
        <v>0</v>
      </c>
      <c r="T896" s="161">
        <v>0</v>
      </c>
      <c r="U896" s="161">
        <v>-500</v>
      </c>
      <c r="V896" s="161">
        <v>0</v>
      </c>
      <c r="W896" s="161">
        <f t="shared" si="79"/>
        <v>-748.69999999999982</v>
      </c>
      <c r="X896" s="161">
        <f t="shared" si="80"/>
        <v>0</v>
      </c>
      <c r="Y896" s="161">
        <f t="shared" si="81"/>
        <v>-748.69999999999982</v>
      </c>
      <c r="Z896" s="161">
        <v>749</v>
      </c>
      <c r="AA896" s="161">
        <f t="shared" si="82"/>
        <v>0.3000000000001819</v>
      </c>
      <c r="AB896" s="161">
        <f t="shared" si="83"/>
        <v>3000.6000000000004</v>
      </c>
      <c r="AC896" s="158"/>
      <c r="AD896" s="158"/>
    </row>
    <row r="897" spans="1:30" ht="12.75" customHeight="1" x14ac:dyDescent="0.3">
      <c r="A897" s="147">
        <v>41</v>
      </c>
      <c r="B897" s="158" t="s">
        <v>922</v>
      </c>
      <c r="C897" s="158" t="s">
        <v>36</v>
      </c>
      <c r="D897" s="158" t="s">
        <v>904</v>
      </c>
      <c r="E897" s="158" t="s">
        <v>25</v>
      </c>
      <c r="F897" s="158" t="s">
        <v>25</v>
      </c>
      <c r="G897" s="158" t="s">
        <v>866</v>
      </c>
      <c r="H897" s="161">
        <v>2102.44</v>
      </c>
      <c r="I897" s="161">
        <v>-32.94</v>
      </c>
      <c r="J897" s="161">
        <v>0</v>
      </c>
      <c r="K897" s="161">
        <v>0</v>
      </c>
      <c r="L897" s="161">
        <v>-530.79999999999995</v>
      </c>
      <c r="M897" s="161">
        <f>-38-21.75</f>
        <v>-59.75</v>
      </c>
      <c r="N897" s="161">
        <v>-87</v>
      </c>
      <c r="O897" s="162">
        <f t="shared" si="78"/>
        <v>1391.95</v>
      </c>
      <c r="P897" s="161">
        <v>-2500</v>
      </c>
      <c r="Q897" s="161">
        <v>-280</v>
      </c>
      <c r="R897" s="161">
        <v>0</v>
      </c>
      <c r="S897" s="161">
        <v>0</v>
      </c>
      <c r="T897" s="161">
        <v>0</v>
      </c>
      <c r="U897" s="161">
        <v>0</v>
      </c>
      <c r="V897" s="161">
        <v>0</v>
      </c>
      <c r="W897" s="161">
        <f t="shared" si="79"/>
        <v>-1388.05</v>
      </c>
      <c r="X897" s="161">
        <f t="shared" si="80"/>
        <v>0</v>
      </c>
      <c r="Y897" s="161">
        <f t="shared" si="81"/>
        <v>-1388.05</v>
      </c>
      <c r="Z897" s="161">
        <v>500</v>
      </c>
      <c r="AA897" s="161">
        <f t="shared" si="82"/>
        <v>-888.05</v>
      </c>
      <c r="AB897" s="161">
        <f t="shared" si="83"/>
        <v>1003.9000000000001</v>
      </c>
      <c r="AC897" s="158"/>
      <c r="AD897" s="158"/>
    </row>
    <row r="898" spans="1:30" ht="12.75" customHeight="1" x14ac:dyDescent="0.3">
      <c r="A898" s="147">
        <v>41</v>
      </c>
      <c r="B898" s="158" t="s">
        <v>515</v>
      </c>
      <c r="C898" s="158" t="s">
        <v>110</v>
      </c>
      <c r="D898" s="158" t="s">
        <v>1036</v>
      </c>
      <c r="E898" s="158" t="s">
        <v>18</v>
      </c>
      <c r="F898" s="160" t="s">
        <v>18</v>
      </c>
      <c r="G898" s="158" t="s">
        <v>866</v>
      </c>
      <c r="H898" s="161">
        <v>4587.8100000000004</v>
      </c>
      <c r="I898" s="161">
        <v>-102.15</v>
      </c>
      <c r="J898" s="161">
        <v>0</v>
      </c>
      <c r="K898" s="161">
        <v>0</v>
      </c>
      <c r="L898" s="161">
        <v>-197.96</v>
      </c>
      <c r="M898" s="161">
        <v>0</v>
      </c>
      <c r="N898" s="161">
        <f>SUM(L898+L945+L1100)</f>
        <v>-687.23</v>
      </c>
      <c r="O898" s="162">
        <f t="shared" ref="O898:O961" si="84">SUM(H898:N898)</f>
        <v>3600.4700000000007</v>
      </c>
      <c r="P898" s="161">
        <v>-1785.71</v>
      </c>
      <c r="Q898" s="161">
        <v>0</v>
      </c>
      <c r="R898" s="161">
        <v>-500</v>
      </c>
      <c r="S898" s="161">
        <v>0</v>
      </c>
      <c r="T898" s="161">
        <v>0</v>
      </c>
      <c r="U898" s="161">
        <v>0</v>
      </c>
      <c r="V898" s="161">
        <v>0</v>
      </c>
      <c r="W898" s="161">
        <f t="shared" ref="W898:W961" si="85">+O898+SUM(P898:V898)</f>
        <v>1314.7600000000007</v>
      </c>
      <c r="X898" s="161">
        <f t="shared" ref="X898:X961" si="86">IF(W898&gt;=0,W898,0)</f>
        <v>1314.7600000000007</v>
      </c>
      <c r="Y898" s="161">
        <f t="shared" ref="Y898:Y961" si="87">IF(W898&lt;=0,W898,0)</f>
        <v>0</v>
      </c>
      <c r="Z898" s="161">
        <v>0</v>
      </c>
      <c r="AA898" s="161">
        <f t="shared" ref="AA898:AA961" si="88">+Y898+Z898</f>
        <v>0</v>
      </c>
      <c r="AB898" s="161">
        <f t="shared" ref="AB898:AB961" si="89">+O898-X898+Z898+AA898</f>
        <v>2285.71</v>
      </c>
      <c r="AC898" s="158" t="s">
        <v>1035</v>
      </c>
      <c r="AD898" s="158"/>
    </row>
    <row r="899" spans="1:30" ht="12.75" customHeight="1" x14ac:dyDescent="0.3">
      <c r="A899" s="147">
        <v>41</v>
      </c>
      <c r="B899" s="158" t="s">
        <v>993</v>
      </c>
      <c r="C899" s="158" t="s">
        <v>347</v>
      </c>
      <c r="D899" s="158" t="s">
        <v>897</v>
      </c>
      <c r="E899" s="158" t="s">
        <v>25</v>
      </c>
      <c r="F899" s="158" t="s">
        <v>25</v>
      </c>
      <c r="G899" s="158" t="s">
        <v>866</v>
      </c>
      <c r="H899" s="161">
        <v>0</v>
      </c>
      <c r="I899" s="161">
        <v>0</v>
      </c>
      <c r="J899" s="161">
        <v>0</v>
      </c>
      <c r="K899" s="161">
        <v>0</v>
      </c>
      <c r="L899" s="161">
        <v>0</v>
      </c>
      <c r="M899" s="161">
        <v>0</v>
      </c>
      <c r="N899" s="161">
        <v>0</v>
      </c>
      <c r="O899" s="162">
        <f t="shared" si="84"/>
        <v>0</v>
      </c>
      <c r="P899" s="161">
        <v>-2500</v>
      </c>
      <c r="Q899" s="161">
        <v>-413.28</v>
      </c>
      <c r="R899" s="161">
        <v>0</v>
      </c>
      <c r="S899" s="161">
        <v>0</v>
      </c>
      <c r="T899" s="161">
        <v>0</v>
      </c>
      <c r="U899" s="161">
        <v>0</v>
      </c>
      <c r="V899" s="161">
        <v>0</v>
      </c>
      <c r="W899" s="161">
        <f t="shared" si="85"/>
        <v>-2913.2799999999997</v>
      </c>
      <c r="X899" s="161">
        <f t="shared" si="86"/>
        <v>0</v>
      </c>
      <c r="Y899" s="161">
        <f t="shared" si="87"/>
        <v>-2913.2799999999997</v>
      </c>
      <c r="Z899" s="161">
        <v>900</v>
      </c>
      <c r="AA899" s="161">
        <f t="shared" si="88"/>
        <v>-2013.2799999999997</v>
      </c>
      <c r="AB899" s="161">
        <f t="shared" si="89"/>
        <v>-1113.2799999999997</v>
      </c>
      <c r="AC899" s="158"/>
      <c r="AD899" s="158"/>
    </row>
    <row r="900" spans="1:30" ht="12.75" customHeight="1" x14ac:dyDescent="0.3">
      <c r="A900" s="147">
        <v>41</v>
      </c>
      <c r="B900" s="158" t="s">
        <v>1048</v>
      </c>
      <c r="C900" s="158" t="s">
        <v>55</v>
      </c>
      <c r="D900" s="158" t="s">
        <v>20</v>
      </c>
      <c r="E900" s="160" t="s">
        <v>25</v>
      </c>
      <c r="F900" s="158" t="s">
        <v>39</v>
      </c>
      <c r="G900" s="158" t="s">
        <v>866</v>
      </c>
      <c r="H900" s="161">
        <v>8722.0300000000007</v>
      </c>
      <c r="I900" s="161">
        <v>-154.88999999999999</v>
      </c>
      <c r="J900" s="161">
        <v>0</v>
      </c>
      <c r="K900" s="161">
        <v>0</v>
      </c>
      <c r="L900" s="161">
        <v>0</v>
      </c>
      <c r="M900" s="161">
        <v>-32</v>
      </c>
      <c r="N900" s="161">
        <v>0</v>
      </c>
      <c r="O900" s="162">
        <f t="shared" si="84"/>
        <v>8535.1400000000012</v>
      </c>
      <c r="P900" s="161">
        <v>-2500</v>
      </c>
      <c r="Q900" s="161">
        <v>0</v>
      </c>
      <c r="R900" s="161">
        <v>0</v>
      </c>
      <c r="S900" s="161">
        <v>0</v>
      </c>
      <c r="T900" s="161">
        <v>0</v>
      </c>
      <c r="U900" s="161">
        <v>0</v>
      </c>
      <c r="V900" s="161">
        <v>0</v>
      </c>
      <c r="W900" s="161">
        <f t="shared" si="85"/>
        <v>6035.1400000000012</v>
      </c>
      <c r="X900" s="161">
        <f t="shared" si="86"/>
        <v>6035.1400000000012</v>
      </c>
      <c r="Y900" s="161">
        <f t="shared" si="87"/>
        <v>0</v>
      </c>
      <c r="Z900" s="161">
        <v>0</v>
      </c>
      <c r="AA900" s="161">
        <f t="shared" si="88"/>
        <v>0</v>
      </c>
      <c r="AB900" s="161">
        <f t="shared" si="89"/>
        <v>2500</v>
      </c>
      <c r="AC900" s="158" t="s">
        <v>374</v>
      </c>
      <c r="AD900" s="158"/>
    </row>
    <row r="901" spans="1:30" ht="12.75" customHeight="1" x14ac:dyDescent="0.3">
      <c r="A901" s="147">
        <v>41</v>
      </c>
      <c r="B901" s="158" t="s">
        <v>1025</v>
      </c>
      <c r="C901" s="158" t="s">
        <v>51</v>
      </c>
      <c r="D901" s="158" t="s">
        <v>20</v>
      </c>
      <c r="E901" s="160" t="s">
        <v>25</v>
      </c>
      <c r="F901" s="158" t="s">
        <v>39</v>
      </c>
      <c r="G901" s="158" t="s">
        <v>866</v>
      </c>
      <c r="H901" s="161">
        <v>4014.27</v>
      </c>
      <c r="I901" s="161">
        <v>-63.16</v>
      </c>
      <c r="J901" s="161">
        <v>0</v>
      </c>
      <c r="K901" s="161">
        <v>0</v>
      </c>
      <c r="L901" s="161">
        <v>-1667.6</v>
      </c>
      <c r="M901" s="161">
        <v>-32</v>
      </c>
      <c r="N901" s="161">
        <v>0</v>
      </c>
      <c r="O901" s="162">
        <f t="shared" si="84"/>
        <v>2251.5100000000002</v>
      </c>
      <c r="P901" s="161">
        <v>-2500</v>
      </c>
      <c r="Q901" s="161">
        <v>0</v>
      </c>
      <c r="R901" s="161">
        <v>0</v>
      </c>
      <c r="S901" s="161">
        <v>0</v>
      </c>
      <c r="T901" s="161">
        <v>0</v>
      </c>
      <c r="U901" s="161">
        <v>0</v>
      </c>
      <c r="V901" s="161">
        <v>0</v>
      </c>
      <c r="W901" s="161">
        <f t="shared" si="85"/>
        <v>-248.48999999999978</v>
      </c>
      <c r="X901" s="161">
        <f t="shared" si="86"/>
        <v>0</v>
      </c>
      <c r="Y901" s="161">
        <f t="shared" si="87"/>
        <v>-248.48999999999978</v>
      </c>
      <c r="Z901" s="161">
        <v>248</v>
      </c>
      <c r="AA901" s="161">
        <f t="shared" si="88"/>
        <v>-0.48999999999978172</v>
      </c>
      <c r="AB901" s="161">
        <f t="shared" si="89"/>
        <v>2499.0200000000004</v>
      </c>
      <c r="AC901" s="158" t="s">
        <v>1099</v>
      </c>
      <c r="AD901" s="158"/>
    </row>
    <row r="902" spans="1:30" ht="12.75" customHeight="1" x14ac:dyDescent="0.3">
      <c r="A902" s="147">
        <v>41</v>
      </c>
      <c r="B902" s="158" t="s">
        <v>1088</v>
      </c>
      <c r="C902" s="158" t="s">
        <v>100</v>
      </c>
      <c r="D902" s="158" t="s">
        <v>953</v>
      </c>
      <c r="E902" s="158" t="s">
        <v>25</v>
      </c>
      <c r="F902" s="158" t="s">
        <v>25</v>
      </c>
      <c r="G902" s="158" t="s">
        <v>866</v>
      </c>
      <c r="H902" s="161">
        <v>4746.97</v>
      </c>
      <c r="I902" s="161">
        <v>-122.66</v>
      </c>
      <c r="J902" s="161">
        <v>0</v>
      </c>
      <c r="K902" s="161">
        <v>0</v>
      </c>
      <c r="L902" s="161">
        <v>0</v>
      </c>
      <c r="M902" s="161">
        <v>-38</v>
      </c>
      <c r="N902" s="161">
        <v>0</v>
      </c>
      <c r="O902" s="162">
        <f t="shared" si="84"/>
        <v>4586.3100000000004</v>
      </c>
      <c r="P902" s="161">
        <v>-2500</v>
      </c>
      <c r="Q902" s="161">
        <v>0</v>
      </c>
      <c r="R902" s="161">
        <v>-500</v>
      </c>
      <c r="S902" s="161">
        <v>0</v>
      </c>
      <c r="T902" s="161">
        <v>0</v>
      </c>
      <c r="U902" s="161">
        <v>0</v>
      </c>
      <c r="V902" s="161">
        <v>0</v>
      </c>
      <c r="W902" s="161">
        <f t="shared" si="85"/>
        <v>1586.3100000000004</v>
      </c>
      <c r="X902" s="161">
        <f t="shared" si="86"/>
        <v>1586.3100000000004</v>
      </c>
      <c r="Y902" s="161">
        <f t="shared" si="87"/>
        <v>0</v>
      </c>
      <c r="Z902" s="161">
        <v>0</v>
      </c>
      <c r="AA902" s="161">
        <f t="shared" si="88"/>
        <v>0</v>
      </c>
      <c r="AB902" s="161">
        <f t="shared" si="89"/>
        <v>3000</v>
      </c>
      <c r="AC902" s="158" t="s">
        <v>374</v>
      </c>
      <c r="AD902" s="158"/>
    </row>
    <row r="903" spans="1:30" ht="12.75" customHeight="1" x14ac:dyDescent="0.3">
      <c r="A903" s="147">
        <v>41</v>
      </c>
      <c r="B903" s="158" t="s">
        <v>1003</v>
      </c>
      <c r="C903" s="158" t="s">
        <v>59</v>
      </c>
      <c r="D903" s="158" t="s">
        <v>895</v>
      </c>
      <c r="E903" s="158" t="s">
        <v>25</v>
      </c>
      <c r="F903" s="158" t="s">
        <v>25</v>
      </c>
      <c r="G903" s="158" t="s">
        <v>866</v>
      </c>
      <c r="H903" s="161">
        <v>2459.06</v>
      </c>
      <c r="I903" s="161">
        <v>-43.38</v>
      </c>
      <c r="J903" s="161">
        <v>0</v>
      </c>
      <c r="K903" s="161">
        <v>0</v>
      </c>
      <c r="L903" s="161">
        <v>-219.96</v>
      </c>
      <c r="M903" s="161">
        <f>-34-15.5</f>
        <v>-49.5</v>
      </c>
      <c r="N903" s="161">
        <v>-62</v>
      </c>
      <c r="O903" s="162">
        <f t="shared" si="84"/>
        <v>2084.2199999999998</v>
      </c>
      <c r="P903" s="161">
        <v>-2500</v>
      </c>
      <c r="Q903" s="161">
        <v>0</v>
      </c>
      <c r="R903" s="161">
        <v>0</v>
      </c>
      <c r="S903" s="161">
        <v>0</v>
      </c>
      <c r="T903" s="161">
        <v>0</v>
      </c>
      <c r="U903" s="161">
        <v>0</v>
      </c>
      <c r="V903" s="161">
        <v>0</v>
      </c>
      <c r="W903" s="161">
        <f t="shared" si="85"/>
        <v>-415.7800000000002</v>
      </c>
      <c r="X903" s="161">
        <f t="shared" si="86"/>
        <v>0</v>
      </c>
      <c r="Y903" s="161">
        <f t="shared" si="87"/>
        <v>-415.7800000000002</v>
      </c>
      <c r="Z903" s="161">
        <v>416</v>
      </c>
      <c r="AA903" s="161">
        <f t="shared" si="88"/>
        <v>0.21999999999979991</v>
      </c>
      <c r="AB903" s="161">
        <f t="shared" si="89"/>
        <v>2500.4399999999996</v>
      </c>
      <c r="AC903" s="158" t="s">
        <v>1072</v>
      </c>
      <c r="AD903" s="158"/>
    </row>
    <row r="904" spans="1:30" ht="12.75" customHeight="1" x14ac:dyDescent="0.3">
      <c r="A904" s="147">
        <v>41</v>
      </c>
      <c r="B904" s="158" t="s">
        <v>1100</v>
      </c>
      <c r="C904" s="182" t="s">
        <v>213</v>
      </c>
      <c r="D904" s="158" t="s">
        <v>881</v>
      </c>
      <c r="E904" s="158" t="s">
        <v>39</v>
      </c>
      <c r="F904" s="158" t="s">
        <v>39</v>
      </c>
      <c r="G904" s="158" t="s">
        <v>866</v>
      </c>
      <c r="H904" s="161">
        <v>1962.56</v>
      </c>
      <c r="I904" s="161">
        <v>-28.04</v>
      </c>
      <c r="J904" s="161">
        <v>0</v>
      </c>
      <c r="K904" s="161">
        <v>-17.36</v>
      </c>
      <c r="L904" s="161">
        <v>0</v>
      </c>
      <c r="M904" s="162">
        <f>-42-17.25</f>
        <v>-59.25</v>
      </c>
      <c r="N904" s="161">
        <v>-69</v>
      </c>
      <c r="O904" s="162">
        <f t="shared" si="84"/>
        <v>1788.91</v>
      </c>
      <c r="P904" s="161">
        <v>-1428.57</v>
      </c>
      <c r="Q904" s="161">
        <v>0</v>
      </c>
      <c r="R904" s="161">
        <v>-285.70999999999998</v>
      </c>
      <c r="S904" s="161">
        <v>0</v>
      </c>
      <c r="T904" s="161">
        <v>0</v>
      </c>
      <c r="U904" s="161">
        <v>-700</v>
      </c>
      <c r="V904" s="161">
        <v>0</v>
      </c>
      <c r="W904" s="161">
        <f t="shared" si="85"/>
        <v>-625.36999999999966</v>
      </c>
      <c r="X904" s="161">
        <f t="shared" si="86"/>
        <v>0</v>
      </c>
      <c r="Y904" s="161">
        <f t="shared" si="87"/>
        <v>-625.36999999999966</v>
      </c>
      <c r="Z904" s="161">
        <v>0</v>
      </c>
      <c r="AA904" s="161">
        <f t="shared" si="88"/>
        <v>-625.36999999999966</v>
      </c>
      <c r="AB904" s="161">
        <f t="shared" si="89"/>
        <v>1163.5400000000004</v>
      </c>
      <c r="AC904" s="158" t="s">
        <v>1101</v>
      </c>
      <c r="AD904" s="158"/>
    </row>
    <row r="905" spans="1:30" ht="12.75" customHeight="1" x14ac:dyDescent="0.3">
      <c r="A905" s="147">
        <v>41</v>
      </c>
      <c r="B905" s="158" t="s">
        <v>1102</v>
      </c>
      <c r="C905" s="158" t="s">
        <v>17</v>
      </c>
      <c r="D905" s="158" t="s">
        <v>20</v>
      </c>
      <c r="E905" s="158" t="s">
        <v>18</v>
      </c>
      <c r="F905" s="160" t="s">
        <v>18</v>
      </c>
      <c r="G905" s="158" t="s">
        <v>866</v>
      </c>
      <c r="H905" s="161">
        <v>5058.95</v>
      </c>
      <c r="I905" s="161">
        <v>-71.19</v>
      </c>
      <c r="J905" s="161">
        <v>0</v>
      </c>
      <c r="K905" s="161">
        <v>0</v>
      </c>
      <c r="L905" s="161">
        <v>-2660.65</v>
      </c>
      <c r="M905" s="161">
        <v>0</v>
      </c>
      <c r="N905" s="161">
        <v>0</v>
      </c>
      <c r="O905" s="162">
        <f t="shared" si="84"/>
        <v>2327.11</v>
      </c>
      <c r="P905" s="161">
        <v>-1607.14</v>
      </c>
      <c r="Q905" s="161">
        <v>0</v>
      </c>
      <c r="R905" s="161">
        <v>-322</v>
      </c>
      <c r="S905" s="161">
        <v>0</v>
      </c>
      <c r="T905" s="161">
        <v>0</v>
      </c>
      <c r="U905" s="161">
        <v>0</v>
      </c>
      <c r="V905" s="161">
        <v>0</v>
      </c>
      <c r="W905" s="161">
        <f t="shared" si="85"/>
        <v>397.97</v>
      </c>
      <c r="X905" s="161">
        <f t="shared" si="86"/>
        <v>397.97</v>
      </c>
      <c r="Y905" s="161">
        <f t="shared" si="87"/>
        <v>0</v>
      </c>
      <c r="Z905" s="161">
        <v>0</v>
      </c>
      <c r="AA905" s="161">
        <f t="shared" si="88"/>
        <v>0</v>
      </c>
      <c r="AB905" s="161">
        <f t="shared" si="89"/>
        <v>1929.14</v>
      </c>
      <c r="AC905" s="158"/>
      <c r="AD905" s="158"/>
    </row>
    <row r="906" spans="1:30" ht="12.75" customHeight="1" x14ac:dyDescent="0.3">
      <c r="A906" s="147">
        <v>42</v>
      </c>
      <c r="B906" s="158" t="s">
        <v>1062</v>
      </c>
      <c r="C906" s="158" t="s">
        <v>169</v>
      </c>
      <c r="D906" s="158" t="s">
        <v>967</v>
      </c>
      <c r="E906" s="160" t="s">
        <v>871</v>
      </c>
      <c r="F906" s="158" t="s">
        <v>39</v>
      </c>
      <c r="G906" s="158" t="s">
        <v>866</v>
      </c>
      <c r="H906" s="161">
        <v>7225.49</v>
      </c>
      <c r="I906" s="161">
        <v>-131.69999999999999</v>
      </c>
      <c r="J906" s="161">
        <v>-7.82</v>
      </c>
      <c r="K906" s="161">
        <v>0</v>
      </c>
      <c r="L906" s="161">
        <v>-3450.97</v>
      </c>
      <c r="M906" s="161">
        <v>-38</v>
      </c>
      <c r="N906" s="161">
        <v>0</v>
      </c>
      <c r="O906" s="162">
        <f t="shared" si="84"/>
        <v>3597.0000000000005</v>
      </c>
      <c r="P906" s="161">
        <f>-2500+357</f>
        <v>-2143</v>
      </c>
      <c r="Q906" s="161">
        <v>0</v>
      </c>
      <c r="R906" s="161">
        <v>-572</v>
      </c>
      <c r="S906" s="161">
        <v>0</v>
      </c>
      <c r="T906" s="161">
        <v>0</v>
      </c>
      <c r="U906" s="161">
        <v>0</v>
      </c>
      <c r="V906" s="161">
        <v>0</v>
      </c>
      <c r="W906" s="161">
        <f t="shared" si="85"/>
        <v>882.00000000000045</v>
      </c>
      <c r="X906" s="161">
        <f t="shared" si="86"/>
        <v>882.00000000000045</v>
      </c>
      <c r="Y906" s="161">
        <f t="shared" si="87"/>
        <v>0</v>
      </c>
      <c r="Z906" s="161">
        <v>0</v>
      </c>
      <c r="AA906" s="161">
        <f t="shared" si="88"/>
        <v>0</v>
      </c>
      <c r="AB906" s="161">
        <f t="shared" si="89"/>
        <v>2715</v>
      </c>
      <c r="AC906" s="158"/>
      <c r="AD906" s="158"/>
    </row>
    <row r="907" spans="1:30" ht="12.75" customHeight="1" x14ac:dyDescent="0.3">
      <c r="A907" s="147">
        <v>42</v>
      </c>
      <c r="B907" s="158" t="s">
        <v>585</v>
      </c>
      <c r="C907" s="158" t="s">
        <v>42</v>
      </c>
      <c r="D907" s="158" t="s">
        <v>948</v>
      </c>
      <c r="E907" s="158" t="s">
        <v>25</v>
      </c>
      <c r="F907" s="158" t="s">
        <v>25</v>
      </c>
      <c r="G907" s="158" t="s">
        <v>866</v>
      </c>
      <c r="H907" s="161">
        <v>0</v>
      </c>
      <c r="I907" s="161">
        <v>0</v>
      </c>
      <c r="J907" s="161">
        <v>0</v>
      </c>
      <c r="K907" s="161">
        <v>0</v>
      </c>
      <c r="L907" s="161">
        <v>0</v>
      </c>
      <c r="M907" s="161">
        <v>0</v>
      </c>
      <c r="N907" s="161">
        <v>0</v>
      </c>
      <c r="O907" s="162">
        <f t="shared" si="84"/>
        <v>0</v>
      </c>
      <c r="P907" s="161">
        <v>0</v>
      </c>
      <c r="Q907" s="161">
        <v>0</v>
      </c>
      <c r="R907" s="161">
        <v>0</v>
      </c>
      <c r="S907" s="161">
        <v>0</v>
      </c>
      <c r="T907" s="161">
        <v>0</v>
      </c>
      <c r="U907" s="161">
        <v>0</v>
      </c>
      <c r="V907" s="161">
        <v>0</v>
      </c>
      <c r="W907" s="161">
        <f t="shared" si="85"/>
        <v>0</v>
      </c>
      <c r="X907" s="161">
        <f t="shared" si="86"/>
        <v>0</v>
      </c>
      <c r="Y907" s="161">
        <f t="shared" si="87"/>
        <v>0</v>
      </c>
      <c r="Z907" s="161">
        <v>0</v>
      </c>
      <c r="AA907" s="161">
        <f t="shared" si="88"/>
        <v>0</v>
      </c>
      <c r="AB907" s="161">
        <f t="shared" si="89"/>
        <v>0</v>
      </c>
      <c r="AC907" s="158" t="s">
        <v>1103</v>
      </c>
      <c r="AD907" s="158"/>
    </row>
    <row r="908" spans="1:30" ht="12.75" customHeight="1" x14ac:dyDescent="0.3">
      <c r="A908" s="147">
        <v>42</v>
      </c>
      <c r="B908" s="158" t="s">
        <v>837</v>
      </c>
      <c r="C908" s="158" t="s">
        <v>409</v>
      </c>
      <c r="D908" s="158" t="s">
        <v>20</v>
      </c>
      <c r="E908" s="158" t="s">
        <v>25</v>
      </c>
      <c r="F908" s="158" t="s">
        <v>25</v>
      </c>
      <c r="G908" s="158" t="s">
        <v>866</v>
      </c>
      <c r="H908" s="161">
        <v>842.41</v>
      </c>
      <c r="I908" s="161">
        <v>-16.72</v>
      </c>
      <c r="J908" s="161">
        <v>9.7899999999999991</v>
      </c>
      <c r="K908" s="161">
        <v>0</v>
      </c>
      <c r="L908" s="161">
        <v>0</v>
      </c>
      <c r="M908" s="161">
        <v>-15</v>
      </c>
      <c r="N908" s="161">
        <v>0</v>
      </c>
      <c r="O908" s="162">
        <f t="shared" si="84"/>
        <v>820.4799999999999</v>
      </c>
      <c r="P908" s="161">
        <v>-820</v>
      </c>
      <c r="Q908" s="161">
        <v>0</v>
      </c>
      <c r="R908" s="161">
        <v>0</v>
      </c>
      <c r="S908" s="161">
        <v>0</v>
      </c>
      <c r="T908" s="161">
        <v>0</v>
      </c>
      <c r="U908" s="161">
        <v>0</v>
      </c>
      <c r="V908" s="161">
        <v>0</v>
      </c>
      <c r="W908" s="161">
        <f t="shared" si="85"/>
        <v>0.4799999999999045</v>
      </c>
      <c r="X908" s="161">
        <f t="shared" si="86"/>
        <v>0.4799999999999045</v>
      </c>
      <c r="Y908" s="161">
        <f t="shared" si="87"/>
        <v>0</v>
      </c>
      <c r="Z908" s="161">
        <v>0</v>
      </c>
      <c r="AA908" s="161">
        <f t="shared" si="88"/>
        <v>0</v>
      </c>
      <c r="AB908" s="161">
        <f t="shared" si="89"/>
        <v>820</v>
      </c>
      <c r="AC908" s="158"/>
      <c r="AD908" s="158"/>
    </row>
    <row r="909" spans="1:30" ht="12.75" customHeight="1" x14ac:dyDescent="0.3">
      <c r="A909" s="147">
        <v>42</v>
      </c>
      <c r="B909" s="158" t="s">
        <v>944</v>
      </c>
      <c r="C909" s="158" t="s">
        <v>372</v>
      </c>
      <c r="D909" s="158" t="s">
        <v>1004</v>
      </c>
      <c r="E909" s="158" t="s">
        <v>39</v>
      </c>
      <c r="F909" s="158" t="s">
        <v>39</v>
      </c>
      <c r="G909" s="158" t="s">
        <v>866</v>
      </c>
      <c r="H909" s="161">
        <v>5839.74</v>
      </c>
      <c r="I909" s="161">
        <v>-87.84</v>
      </c>
      <c r="J909" s="161">
        <v>0</v>
      </c>
      <c r="K909" s="161">
        <v>0</v>
      </c>
      <c r="L909" s="161">
        <v>-1608.5</v>
      </c>
      <c r="M909" s="161">
        <v>-42</v>
      </c>
      <c r="N909" s="161">
        <v>0</v>
      </c>
      <c r="O909" s="162">
        <f t="shared" si="84"/>
        <v>4101.3999999999996</v>
      </c>
      <c r="P909" s="161">
        <v>-2500</v>
      </c>
      <c r="Q909" s="161">
        <v>0</v>
      </c>
      <c r="R909" s="161">
        <v>0</v>
      </c>
      <c r="S909" s="161">
        <v>0</v>
      </c>
      <c r="T909" s="161">
        <v>0</v>
      </c>
      <c r="U909" s="161">
        <v>0</v>
      </c>
      <c r="V909" s="161">
        <v>0</v>
      </c>
      <c r="W909" s="161">
        <f t="shared" si="85"/>
        <v>1601.3999999999996</v>
      </c>
      <c r="X909" s="161">
        <f t="shared" si="86"/>
        <v>1601.3999999999996</v>
      </c>
      <c r="Y909" s="161">
        <f t="shared" si="87"/>
        <v>0</v>
      </c>
      <c r="Z909" s="161">
        <v>0</v>
      </c>
      <c r="AA909" s="161">
        <f t="shared" si="88"/>
        <v>0</v>
      </c>
      <c r="AB909" s="161">
        <f t="shared" si="89"/>
        <v>2500</v>
      </c>
      <c r="AC909" s="158"/>
      <c r="AD909" s="158"/>
    </row>
    <row r="910" spans="1:30" ht="12.75" customHeight="1" x14ac:dyDescent="0.3">
      <c r="A910" s="147">
        <v>42</v>
      </c>
      <c r="B910" s="158" t="s">
        <v>604</v>
      </c>
      <c r="C910" s="158" t="s">
        <v>123</v>
      </c>
      <c r="D910" s="158" t="s">
        <v>20</v>
      </c>
      <c r="E910" s="160" t="s">
        <v>871</v>
      </c>
      <c r="F910" s="158" t="s">
        <v>39</v>
      </c>
      <c r="G910" s="158" t="s">
        <v>866</v>
      </c>
      <c r="H910" s="161">
        <v>7883.3</v>
      </c>
      <c r="I910" s="161">
        <v>-128.4</v>
      </c>
      <c r="J910" s="161">
        <v>0</v>
      </c>
      <c r="K910" s="161">
        <v>0</v>
      </c>
      <c r="L910" s="161">
        <v>0</v>
      </c>
      <c r="M910" s="161">
        <v>-32</v>
      </c>
      <c r="N910" s="161">
        <v>0</v>
      </c>
      <c r="O910" s="162">
        <f t="shared" si="84"/>
        <v>7722.9000000000005</v>
      </c>
      <c r="P910" s="161">
        <v>-2500</v>
      </c>
      <c r="Q910" s="161">
        <v>0</v>
      </c>
      <c r="R910" s="161">
        <v>0</v>
      </c>
      <c r="S910" s="161">
        <v>0</v>
      </c>
      <c r="T910" s="161">
        <v>0</v>
      </c>
      <c r="U910" s="161">
        <v>0</v>
      </c>
      <c r="V910" s="161">
        <v>0</v>
      </c>
      <c r="W910" s="161">
        <f t="shared" si="85"/>
        <v>5222.9000000000005</v>
      </c>
      <c r="X910" s="161">
        <f t="shared" si="86"/>
        <v>5222.9000000000005</v>
      </c>
      <c r="Y910" s="161">
        <f t="shared" si="87"/>
        <v>0</v>
      </c>
      <c r="Z910" s="161">
        <v>0</v>
      </c>
      <c r="AA910" s="161">
        <f t="shared" si="88"/>
        <v>0</v>
      </c>
      <c r="AB910" s="161">
        <f t="shared" si="89"/>
        <v>2500</v>
      </c>
      <c r="AC910" s="158"/>
      <c r="AD910" s="158"/>
    </row>
    <row r="911" spans="1:30" ht="12.75" customHeight="1" x14ac:dyDescent="0.3">
      <c r="A911" s="147">
        <v>42</v>
      </c>
      <c r="B911" s="158" t="s">
        <v>1029</v>
      </c>
      <c r="C911" s="158" t="s">
        <v>68</v>
      </c>
      <c r="D911" s="158" t="s">
        <v>869</v>
      </c>
      <c r="E911" s="158" t="s">
        <v>25</v>
      </c>
      <c r="F911" s="158" t="s">
        <v>25</v>
      </c>
      <c r="G911" s="158" t="s">
        <v>866</v>
      </c>
      <c r="H911" s="161">
        <v>7841.87</v>
      </c>
      <c r="I911" s="161">
        <v>-147.12</v>
      </c>
      <c r="J911" s="161">
        <v>0</v>
      </c>
      <c r="K911" s="161">
        <v>-55.44</v>
      </c>
      <c r="L911" s="161">
        <v>0</v>
      </c>
      <c r="M911" s="161">
        <v>-32</v>
      </c>
      <c r="N911" s="161">
        <v>0</v>
      </c>
      <c r="O911" s="162">
        <f t="shared" si="84"/>
        <v>7607.31</v>
      </c>
      <c r="P911" s="161">
        <v>-2500</v>
      </c>
      <c r="Q911" s="161">
        <v>0</v>
      </c>
      <c r="R911" s="161">
        <v>0</v>
      </c>
      <c r="S911" s="161">
        <v>0</v>
      </c>
      <c r="T911" s="161">
        <v>0</v>
      </c>
      <c r="U911" s="161">
        <v>-1000</v>
      </c>
      <c r="V911" s="161">
        <v>0</v>
      </c>
      <c r="W911" s="161">
        <f t="shared" si="85"/>
        <v>4107.3100000000004</v>
      </c>
      <c r="X911" s="161">
        <f t="shared" si="86"/>
        <v>4107.3100000000004</v>
      </c>
      <c r="Y911" s="161">
        <f t="shared" si="87"/>
        <v>0</v>
      </c>
      <c r="Z911" s="161">
        <v>0</v>
      </c>
      <c r="AA911" s="161">
        <f t="shared" si="88"/>
        <v>0</v>
      </c>
      <c r="AB911" s="161">
        <f t="shared" si="89"/>
        <v>3500</v>
      </c>
      <c r="AC911" s="158"/>
      <c r="AD911" s="158"/>
    </row>
    <row r="912" spans="1:30" ht="12.75" customHeight="1" x14ac:dyDescent="0.3">
      <c r="A912" s="147">
        <v>42</v>
      </c>
      <c r="B912" s="158" t="s">
        <v>1082</v>
      </c>
      <c r="C912" s="158" t="s">
        <v>152</v>
      </c>
      <c r="D912" s="158" t="s">
        <v>20</v>
      </c>
      <c r="E912" s="160" t="s">
        <v>25</v>
      </c>
      <c r="F912" s="158" t="s">
        <v>39</v>
      </c>
      <c r="G912" s="158" t="s">
        <v>866</v>
      </c>
      <c r="H912" s="161">
        <v>0</v>
      </c>
      <c r="I912" s="161">
        <v>0</v>
      </c>
      <c r="J912" s="161">
        <v>0</v>
      </c>
      <c r="K912" s="161">
        <v>0</v>
      </c>
      <c r="L912" s="161">
        <v>0</v>
      </c>
      <c r="M912" s="161">
        <v>0</v>
      </c>
      <c r="N912" s="161">
        <v>0</v>
      </c>
      <c r="O912" s="162">
        <f t="shared" si="84"/>
        <v>0</v>
      </c>
      <c r="P912" s="161">
        <f>-2500+357</f>
        <v>-2143</v>
      </c>
      <c r="Q912" s="161">
        <v>0</v>
      </c>
      <c r="R912" s="161">
        <v>-500</v>
      </c>
      <c r="S912" s="161">
        <v>0</v>
      </c>
      <c r="T912" s="161">
        <v>0</v>
      </c>
      <c r="U912" s="161">
        <v>700</v>
      </c>
      <c r="V912" s="161">
        <v>0</v>
      </c>
      <c r="W912" s="161">
        <f t="shared" si="85"/>
        <v>-1943</v>
      </c>
      <c r="X912" s="161">
        <f t="shared" si="86"/>
        <v>0</v>
      </c>
      <c r="Y912" s="161">
        <f t="shared" si="87"/>
        <v>-1943</v>
      </c>
      <c r="Z912" s="161">
        <v>1943</v>
      </c>
      <c r="AA912" s="161">
        <f t="shared" si="88"/>
        <v>0</v>
      </c>
      <c r="AB912" s="161">
        <f t="shared" si="89"/>
        <v>1943</v>
      </c>
      <c r="AC912" s="158"/>
      <c r="AD912" s="158"/>
    </row>
    <row r="913" spans="1:30" ht="12.75" customHeight="1" x14ac:dyDescent="0.3">
      <c r="A913" s="147">
        <v>42</v>
      </c>
      <c r="B913" s="158" t="s">
        <v>913</v>
      </c>
      <c r="C913" s="158" t="s">
        <v>426</v>
      </c>
      <c r="D913" s="158" t="s">
        <v>903</v>
      </c>
      <c r="E913" s="158" t="s">
        <v>25</v>
      </c>
      <c r="F913" s="158" t="s">
        <v>25</v>
      </c>
      <c r="G913" s="158" t="s">
        <v>866</v>
      </c>
      <c r="H913" s="161">
        <v>6348.34</v>
      </c>
      <c r="I913" s="161">
        <v>-133.19</v>
      </c>
      <c r="J913" s="161">
        <v>0</v>
      </c>
      <c r="K913" s="161">
        <v>0</v>
      </c>
      <c r="L913" s="161">
        <v>-5285.63</v>
      </c>
      <c r="M913" s="161">
        <f>-34-37.5</f>
        <v>-71.5</v>
      </c>
      <c r="N913" s="161">
        <v>-150</v>
      </c>
      <c r="O913" s="162">
        <f t="shared" si="84"/>
        <v>708.02000000000044</v>
      </c>
      <c r="P913" s="161">
        <v>-2500</v>
      </c>
      <c r="Q913" s="161">
        <v>0</v>
      </c>
      <c r="R913" s="161">
        <v>0</v>
      </c>
      <c r="S913" s="161">
        <v>0</v>
      </c>
      <c r="T913" s="161">
        <v>-500</v>
      </c>
      <c r="U913" s="161">
        <v>0</v>
      </c>
      <c r="V913" s="161">
        <v>0</v>
      </c>
      <c r="W913" s="161">
        <f t="shared" si="85"/>
        <v>-2291.9799999999996</v>
      </c>
      <c r="X913" s="161">
        <f t="shared" si="86"/>
        <v>0</v>
      </c>
      <c r="Y913" s="161">
        <f t="shared" si="87"/>
        <v>-2291.9799999999996</v>
      </c>
      <c r="Z913" s="161">
        <f>2100+193</f>
        <v>2293</v>
      </c>
      <c r="AA913" s="161">
        <f t="shared" si="88"/>
        <v>1.0200000000004366</v>
      </c>
      <c r="AB913" s="161">
        <f t="shared" si="89"/>
        <v>3002.0400000000009</v>
      </c>
      <c r="AC913" s="158" t="s">
        <v>1072</v>
      </c>
      <c r="AD913" s="158"/>
    </row>
    <row r="914" spans="1:30" ht="12.75" customHeight="1" x14ac:dyDescent="0.3">
      <c r="A914" s="147">
        <v>42</v>
      </c>
      <c r="B914" s="158" t="s">
        <v>457</v>
      </c>
      <c r="C914" s="158" t="s">
        <v>573</v>
      </c>
      <c r="D914" s="158" t="s">
        <v>974</v>
      </c>
      <c r="E914" s="158" t="s">
        <v>25</v>
      </c>
      <c r="F914" s="158" t="s">
        <v>39</v>
      </c>
      <c r="G914" s="158" t="s">
        <v>866</v>
      </c>
      <c r="H914" s="161">
        <v>5406.1</v>
      </c>
      <c r="I914" s="161">
        <v>-127.98</v>
      </c>
      <c r="J914" s="161">
        <v>0</v>
      </c>
      <c r="K914" s="161">
        <v>0</v>
      </c>
      <c r="L914" s="161">
        <v>-2016.09</v>
      </c>
      <c r="M914" s="161">
        <v>-30</v>
      </c>
      <c r="N914" s="161">
        <v>-7.18</v>
      </c>
      <c r="O914" s="162">
        <f t="shared" si="84"/>
        <v>3224.8500000000008</v>
      </c>
      <c r="P914" s="161">
        <v>-2500</v>
      </c>
      <c r="Q914" s="161">
        <v>0</v>
      </c>
      <c r="R914" s="161">
        <v>0</v>
      </c>
      <c r="S914" s="161">
        <v>0</v>
      </c>
      <c r="T914" s="161">
        <v>0</v>
      </c>
      <c r="U914" s="161">
        <v>0</v>
      </c>
      <c r="V914" s="161">
        <v>0</v>
      </c>
      <c r="W914" s="161">
        <f t="shared" si="85"/>
        <v>724.85000000000082</v>
      </c>
      <c r="X914" s="161">
        <f t="shared" si="86"/>
        <v>724.85000000000082</v>
      </c>
      <c r="Y914" s="161">
        <f t="shared" si="87"/>
        <v>0</v>
      </c>
      <c r="Z914" s="161">
        <v>0</v>
      </c>
      <c r="AA914" s="161">
        <f t="shared" si="88"/>
        <v>0</v>
      </c>
      <c r="AB914" s="161">
        <f t="shared" si="89"/>
        <v>2500</v>
      </c>
      <c r="AC914" s="158"/>
      <c r="AD914" s="158"/>
    </row>
    <row r="915" spans="1:30" ht="12.75" customHeight="1" x14ac:dyDescent="0.3">
      <c r="A915" s="147">
        <v>42</v>
      </c>
      <c r="B915" s="158" t="s">
        <v>1076</v>
      </c>
      <c r="C915" s="158" t="s">
        <v>80</v>
      </c>
      <c r="D915" s="158" t="s">
        <v>20</v>
      </c>
      <c r="E915" s="160" t="s">
        <v>18</v>
      </c>
      <c r="F915" s="160" t="s">
        <v>18</v>
      </c>
      <c r="G915" s="158" t="s">
        <v>737</v>
      </c>
      <c r="H915" s="161">
        <v>8480.49</v>
      </c>
      <c r="I915" s="161">
        <v>0</v>
      </c>
      <c r="J915" s="161">
        <v>0</v>
      </c>
      <c r="K915" s="161">
        <v>0</v>
      </c>
      <c r="L915" s="161">
        <v>-5402.9</v>
      </c>
      <c r="M915" s="161">
        <v>0</v>
      </c>
      <c r="N915" s="161">
        <v>0</v>
      </c>
      <c r="O915" s="162">
        <f t="shared" si="84"/>
        <v>3077.59</v>
      </c>
      <c r="P915" s="161">
        <v>-2600</v>
      </c>
      <c r="Q915" s="161">
        <v>0</v>
      </c>
      <c r="R915" s="161">
        <v>-500</v>
      </c>
      <c r="S915" s="161">
        <v>0</v>
      </c>
      <c r="T915" s="161">
        <v>0</v>
      </c>
      <c r="U915" s="161">
        <v>0</v>
      </c>
      <c r="V915" s="161">
        <v>0</v>
      </c>
      <c r="W915" s="161">
        <f t="shared" si="85"/>
        <v>-22.409999999999854</v>
      </c>
      <c r="X915" s="161">
        <f t="shared" si="86"/>
        <v>0</v>
      </c>
      <c r="Y915" s="161">
        <f t="shared" si="87"/>
        <v>-22.409999999999854</v>
      </c>
      <c r="Z915" s="161">
        <v>22</v>
      </c>
      <c r="AA915" s="161">
        <f t="shared" si="88"/>
        <v>-0.40999999999985448</v>
      </c>
      <c r="AB915" s="161">
        <f t="shared" si="89"/>
        <v>3099.1800000000003</v>
      </c>
      <c r="AC915" s="158" t="s">
        <v>927</v>
      </c>
      <c r="AD915" s="158"/>
    </row>
    <row r="916" spans="1:30" ht="12.75" customHeight="1" x14ac:dyDescent="0.3">
      <c r="A916" s="147">
        <v>42</v>
      </c>
      <c r="B916" s="158" t="s">
        <v>620</v>
      </c>
      <c r="C916" s="158" t="s">
        <v>571</v>
      </c>
      <c r="D916" s="158" t="s">
        <v>974</v>
      </c>
      <c r="E916" s="158" t="s">
        <v>25</v>
      </c>
      <c r="F916" s="158" t="s">
        <v>25</v>
      </c>
      <c r="G916" s="158" t="s">
        <v>866</v>
      </c>
      <c r="H916" s="161">
        <v>5052.0600000000004</v>
      </c>
      <c r="I916" s="161">
        <v>-91.31</v>
      </c>
      <c r="J916" s="161">
        <v>0</v>
      </c>
      <c r="K916" s="161">
        <v>0</v>
      </c>
      <c r="L916" s="161">
        <v>-3467.14</v>
      </c>
      <c r="M916" s="161">
        <v>-38</v>
      </c>
      <c r="N916" s="161">
        <v>0</v>
      </c>
      <c r="O916" s="162">
        <f t="shared" si="84"/>
        <v>1455.6100000000001</v>
      </c>
      <c r="P916" s="161">
        <v>-2500</v>
      </c>
      <c r="Q916" s="161">
        <v>0</v>
      </c>
      <c r="R916" s="161">
        <v>-500</v>
      </c>
      <c r="S916" s="161">
        <v>0</v>
      </c>
      <c r="T916" s="161">
        <v>0</v>
      </c>
      <c r="U916" s="161">
        <v>0</v>
      </c>
      <c r="V916" s="161">
        <v>0</v>
      </c>
      <c r="W916" s="161">
        <f t="shared" si="85"/>
        <v>-1544.3899999999999</v>
      </c>
      <c r="X916" s="161">
        <f t="shared" si="86"/>
        <v>0</v>
      </c>
      <c r="Y916" s="161">
        <f t="shared" si="87"/>
        <v>-1544.3899999999999</v>
      </c>
      <c r="Z916" s="161">
        <v>1544</v>
      </c>
      <c r="AA916" s="161">
        <f t="shared" si="88"/>
        <v>-0.38999999999987267</v>
      </c>
      <c r="AB916" s="161">
        <f t="shared" si="89"/>
        <v>2999.2200000000003</v>
      </c>
      <c r="AC916" s="158" t="s">
        <v>1043</v>
      </c>
      <c r="AD916" s="158"/>
    </row>
    <row r="917" spans="1:30" ht="12.75" customHeight="1" x14ac:dyDescent="0.3">
      <c r="A917" s="147">
        <v>42</v>
      </c>
      <c r="B917" s="158" t="s">
        <v>1056</v>
      </c>
      <c r="C917" s="158" t="s">
        <v>152</v>
      </c>
      <c r="D917" s="158" t="s">
        <v>20</v>
      </c>
      <c r="E917" s="160" t="s">
        <v>25</v>
      </c>
      <c r="F917" s="158" t="s">
        <v>39</v>
      </c>
      <c r="G917" s="158" t="s">
        <v>866</v>
      </c>
      <c r="H917" s="161">
        <v>475.57</v>
      </c>
      <c r="I917" s="161">
        <v>-9.94</v>
      </c>
      <c r="J917" s="161">
        <v>0</v>
      </c>
      <c r="K917" s="161">
        <v>0</v>
      </c>
      <c r="L917" s="161">
        <v>0</v>
      </c>
      <c r="M917" s="161">
        <v>0</v>
      </c>
      <c r="N917" s="161">
        <v>0</v>
      </c>
      <c r="O917" s="162">
        <f t="shared" si="84"/>
        <v>465.63</v>
      </c>
      <c r="P917" s="161">
        <v>-466</v>
      </c>
      <c r="Q917" s="161">
        <v>0</v>
      </c>
      <c r="R917" s="161">
        <v>0</v>
      </c>
      <c r="S917" s="161">
        <v>0</v>
      </c>
      <c r="T917" s="161">
        <v>0</v>
      </c>
      <c r="U917" s="161">
        <v>0</v>
      </c>
      <c r="V917" s="161">
        <v>0</v>
      </c>
      <c r="W917" s="161">
        <f t="shared" si="85"/>
        <v>-0.37000000000000455</v>
      </c>
      <c r="X917" s="161">
        <f t="shared" si="86"/>
        <v>0</v>
      </c>
      <c r="Y917" s="161">
        <f t="shared" si="87"/>
        <v>-0.37000000000000455</v>
      </c>
      <c r="Z917" s="161">
        <v>0</v>
      </c>
      <c r="AA917" s="161">
        <f t="shared" si="88"/>
        <v>-0.37000000000000455</v>
      </c>
      <c r="AB917" s="161">
        <f t="shared" si="89"/>
        <v>465.26</v>
      </c>
      <c r="AC917" s="158" t="s">
        <v>1057</v>
      </c>
      <c r="AD917" s="158"/>
    </row>
    <row r="918" spans="1:30" ht="12.75" customHeight="1" x14ac:dyDescent="0.3">
      <c r="A918" s="147">
        <v>42</v>
      </c>
      <c r="B918" s="158" t="s">
        <v>874</v>
      </c>
      <c r="C918" s="158" t="s">
        <v>1071</v>
      </c>
      <c r="D918" s="158" t="s">
        <v>20</v>
      </c>
      <c r="E918" s="160" t="s">
        <v>18</v>
      </c>
      <c r="F918" s="160" t="s">
        <v>18</v>
      </c>
      <c r="G918" s="158" t="s">
        <v>737</v>
      </c>
      <c r="H918" s="161">
        <v>0</v>
      </c>
      <c r="I918" s="161">
        <v>0</v>
      </c>
      <c r="J918" s="161">
        <v>0</v>
      </c>
      <c r="K918" s="161">
        <v>0</v>
      </c>
      <c r="L918" s="161">
        <v>0</v>
      </c>
      <c r="M918" s="161">
        <v>0</v>
      </c>
      <c r="N918" s="161">
        <v>0</v>
      </c>
      <c r="O918" s="162">
        <f t="shared" si="84"/>
        <v>0</v>
      </c>
      <c r="P918" s="161">
        <v>-2500</v>
      </c>
      <c r="Q918" s="161">
        <v>0</v>
      </c>
      <c r="R918" s="161">
        <v>-500</v>
      </c>
      <c r="S918" s="161">
        <v>0</v>
      </c>
      <c r="T918" s="161">
        <v>0</v>
      </c>
      <c r="U918" s="161">
        <v>0</v>
      </c>
      <c r="V918" s="161">
        <v>0</v>
      </c>
      <c r="W918" s="161">
        <f t="shared" si="85"/>
        <v>-3000</v>
      </c>
      <c r="X918" s="161">
        <f t="shared" si="86"/>
        <v>0</v>
      </c>
      <c r="Y918" s="161">
        <f t="shared" si="87"/>
        <v>-3000</v>
      </c>
      <c r="Z918" s="161">
        <v>3000</v>
      </c>
      <c r="AA918" s="161">
        <f t="shared" si="88"/>
        <v>0</v>
      </c>
      <c r="AB918" s="161">
        <f t="shared" si="89"/>
        <v>3000</v>
      </c>
      <c r="AC918" s="158"/>
      <c r="AD918" s="158"/>
    </row>
    <row r="919" spans="1:30" ht="12.75" customHeight="1" x14ac:dyDescent="0.3">
      <c r="A919" s="147">
        <v>42</v>
      </c>
      <c r="B919" s="158" t="s">
        <v>1078</v>
      </c>
      <c r="C919" s="158" t="s">
        <v>53</v>
      </c>
      <c r="D919" s="158" t="s">
        <v>20</v>
      </c>
      <c r="E919" s="160" t="s">
        <v>25</v>
      </c>
      <c r="F919" s="158" t="s">
        <v>39</v>
      </c>
      <c r="G919" s="158" t="s">
        <v>866</v>
      </c>
      <c r="H919" s="161">
        <v>0</v>
      </c>
      <c r="I919" s="161">
        <v>0</v>
      </c>
      <c r="J919" s="161">
        <v>0</v>
      </c>
      <c r="K919" s="161">
        <v>0</v>
      </c>
      <c r="L919" s="161">
        <v>0</v>
      </c>
      <c r="M919" s="161">
        <v>0</v>
      </c>
      <c r="N919" s="161">
        <v>0</v>
      </c>
      <c r="O919" s="162">
        <f t="shared" si="84"/>
        <v>0</v>
      </c>
      <c r="P919" s="161">
        <v>0</v>
      </c>
      <c r="Q919" s="161">
        <v>-620</v>
      </c>
      <c r="R919" s="161">
        <v>0</v>
      </c>
      <c r="S919" s="161">
        <v>0</v>
      </c>
      <c r="T919" s="161">
        <v>0</v>
      </c>
      <c r="U919" s="161">
        <v>0</v>
      </c>
      <c r="V919" s="161">
        <v>0</v>
      </c>
      <c r="W919" s="161">
        <f t="shared" si="85"/>
        <v>-620</v>
      </c>
      <c r="X919" s="161">
        <f t="shared" si="86"/>
        <v>0</v>
      </c>
      <c r="Y919" s="161">
        <f t="shared" si="87"/>
        <v>-620</v>
      </c>
      <c r="Z919" s="161">
        <v>0</v>
      </c>
      <c r="AA919" s="161">
        <f t="shared" si="88"/>
        <v>-620</v>
      </c>
      <c r="AB919" s="161">
        <f t="shared" si="89"/>
        <v>-620</v>
      </c>
      <c r="AC919" s="158" t="s">
        <v>1104</v>
      </c>
      <c r="AD919" s="158"/>
    </row>
    <row r="920" spans="1:30" ht="12.75" customHeight="1" x14ac:dyDescent="0.3">
      <c r="A920" s="147">
        <v>42</v>
      </c>
      <c r="B920" s="158" t="s">
        <v>872</v>
      </c>
      <c r="C920" s="158" t="s">
        <v>256</v>
      </c>
      <c r="D920" s="158" t="s">
        <v>997</v>
      </c>
      <c r="E920" s="160" t="s">
        <v>871</v>
      </c>
      <c r="F920" s="158" t="s">
        <v>39</v>
      </c>
      <c r="G920" s="158" t="s">
        <v>866</v>
      </c>
      <c r="H920" s="161">
        <v>8843.27</v>
      </c>
      <c r="I920" s="161">
        <v>-217</v>
      </c>
      <c r="J920" s="161">
        <v>0</v>
      </c>
      <c r="K920" s="161">
        <v>-81.03</v>
      </c>
      <c r="L920" s="161">
        <v>-4451.84</v>
      </c>
      <c r="M920" s="161">
        <f>-38-18</f>
        <v>-56</v>
      </c>
      <c r="N920" s="161">
        <v>-72</v>
      </c>
      <c r="O920" s="162">
        <f t="shared" si="84"/>
        <v>3965.3999999999996</v>
      </c>
      <c r="P920" s="161">
        <v>-2500</v>
      </c>
      <c r="Q920" s="161">
        <v>-95</v>
      </c>
      <c r="R920" s="161">
        <v>0</v>
      </c>
      <c r="S920" s="161">
        <v>0</v>
      </c>
      <c r="T920" s="161">
        <v>0</v>
      </c>
      <c r="U920" s="161">
        <v>0</v>
      </c>
      <c r="V920" s="161">
        <v>0</v>
      </c>
      <c r="W920" s="161">
        <f t="shared" si="85"/>
        <v>1370.3999999999996</v>
      </c>
      <c r="X920" s="161">
        <f t="shared" si="86"/>
        <v>1370.3999999999996</v>
      </c>
      <c r="Y920" s="161">
        <f t="shared" si="87"/>
        <v>0</v>
      </c>
      <c r="Z920" s="161">
        <v>0</v>
      </c>
      <c r="AA920" s="161">
        <f t="shared" si="88"/>
        <v>0</v>
      </c>
      <c r="AB920" s="161">
        <f t="shared" si="89"/>
        <v>2595</v>
      </c>
      <c r="AC920" s="158"/>
      <c r="AD920" s="158"/>
    </row>
    <row r="921" spans="1:30" ht="12.75" customHeight="1" x14ac:dyDescent="0.3">
      <c r="A921" s="147">
        <v>42</v>
      </c>
      <c r="B921" s="158" t="s">
        <v>921</v>
      </c>
      <c r="C921" s="158" t="s">
        <v>257</v>
      </c>
      <c r="D921" s="158" t="s">
        <v>943</v>
      </c>
      <c r="E921" s="158" t="s">
        <v>25</v>
      </c>
      <c r="F921" s="158" t="s">
        <v>25</v>
      </c>
      <c r="G921" s="158" t="s">
        <v>866</v>
      </c>
      <c r="H921" s="161">
        <v>7816.61</v>
      </c>
      <c r="I921" s="161">
        <v>-134.96</v>
      </c>
      <c r="J921" s="161">
        <v>0</v>
      </c>
      <c r="K921" s="161">
        <v>0</v>
      </c>
      <c r="L921" s="161">
        <v>-4845.76</v>
      </c>
      <c r="M921" s="161">
        <v>-38</v>
      </c>
      <c r="N921" s="161">
        <v>0</v>
      </c>
      <c r="O921" s="162">
        <f t="shared" si="84"/>
        <v>2797.8899999999994</v>
      </c>
      <c r="P921" s="161">
        <v>-2500</v>
      </c>
      <c r="Q921" s="161">
        <v>0</v>
      </c>
      <c r="R921" s="161">
        <v>0</v>
      </c>
      <c r="S921" s="161">
        <v>0</v>
      </c>
      <c r="T921" s="161">
        <v>0</v>
      </c>
      <c r="U921" s="161">
        <v>0</v>
      </c>
      <c r="V921" s="161">
        <v>0</v>
      </c>
      <c r="W921" s="161">
        <f t="shared" si="85"/>
        <v>297.88999999999942</v>
      </c>
      <c r="X921" s="161">
        <f t="shared" si="86"/>
        <v>297.88999999999942</v>
      </c>
      <c r="Y921" s="161">
        <f t="shared" si="87"/>
        <v>0</v>
      </c>
      <c r="Z921" s="161">
        <v>0</v>
      </c>
      <c r="AA921" s="161">
        <f t="shared" si="88"/>
        <v>0</v>
      </c>
      <c r="AB921" s="161">
        <f t="shared" si="89"/>
        <v>2500</v>
      </c>
      <c r="AC921" s="158"/>
      <c r="AD921" s="158"/>
    </row>
    <row r="922" spans="1:30" ht="12.75" customHeight="1" x14ac:dyDescent="0.3">
      <c r="A922" s="147">
        <v>42</v>
      </c>
      <c r="B922" s="158" t="s">
        <v>1058</v>
      </c>
      <c r="C922" s="158" t="s">
        <v>17</v>
      </c>
      <c r="D922" s="158" t="s">
        <v>20</v>
      </c>
      <c r="E922" s="160" t="s">
        <v>18</v>
      </c>
      <c r="F922" s="160" t="s">
        <v>18</v>
      </c>
      <c r="G922" s="158" t="s">
        <v>866</v>
      </c>
      <c r="H922" s="161">
        <v>0</v>
      </c>
      <c r="I922" s="161">
        <v>0</v>
      </c>
      <c r="J922" s="161">
        <v>0</v>
      </c>
      <c r="K922" s="161">
        <v>0</v>
      </c>
      <c r="L922" s="161">
        <v>0</v>
      </c>
      <c r="M922" s="161">
        <v>0</v>
      </c>
      <c r="N922" s="161">
        <v>0</v>
      </c>
      <c r="O922" s="162">
        <f t="shared" si="84"/>
        <v>0</v>
      </c>
      <c r="P922" s="161">
        <v>0</v>
      </c>
      <c r="Q922" s="161">
        <v>200</v>
      </c>
      <c r="R922" s="161">
        <v>0</v>
      </c>
      <c r="S922" s="161">
        <v>0</v>
      </c>
      <c r="T922" s="161">
        <v>0</v>
      </c>
      <c r="U922" s="161">
        <v>0</v>
      </c>
      <c r="V922" s="161">
        <v>0</v>
      </c>
      <c r="W922" s="161">
        <f t="shared" si="85"/>
        <v>200</v>
      </c>
      <c r="X922" s="161">
        <f t="shared" si="86"/>
        <v>200</v>
      </c>
      <c r="Y922" s="161">
        <f t="shared" si="87"/>
        <v>0</v>
      </c>
      <c r="Z922" s="161">
        <v>0</v>
      </c>
      <c r="AA922" s="161">
        <f t="shared" si="88"/>
        <v>0</v>
      </c>
      <c r="AB922" s="161">
        <f t="shared" si="89"/>
        <v>-200</v>
      </c>
      <c r="AC922" s="158" t="s">
        <v>1077</v>
      </c>
      <c r="AD922" s="158"/>
    </row>
    <row r="923" spans="1:30" ht="12.75" customHeight="1" x14ac:dyDescent="0.3">
      <c r="A923" s="147">
        <v>42</v>
      </c>
      <c r="B923" s="158" t="s">
        <v>1093</v>
      </c>
      <c r="C923" s="158" t="s">
        <v>150</v>
      </c>
      <c r="D923" s="158" t="s">
        <v>877</v>
      </c>
      <c r="E923" s="158" t="s">
        <v>25</v>
      </c>
      <c r="F923" s="158" t="s">
        <v>25</v>
      </c>
      <c r="G923" s="158" t="s">
        <v>866</v>
      </c>
      <c r="H923" s="161">
        <v>126.6</v>
      </c>
      <c r="I923" s="161">
        <v>-2.0299999999999998</v>
      </c>
      <c r="J923" s="161">
        <v>0</v>
      </c>
      <c r="K923" s="161">
        <v>0</v>
      </c>
      <c r="L923" s="161">
        <v>-128.19</v>
      </c>
      <c r="M923" s="161">
        <v>-25</v>
      </c>
      <c r="N923" s="161">
        <v>0</v>
      </c>
      <c r="O923" s="162">
        <f t="shared" si="84"/>
        <v>-28.620000000000005</v>
      </c>
      <c r="P923" s="161">
        <v>-1429</v>
      </c>
      <c r="Q923" s="161">
        <v>-80</v>
      </c>
      <c r="R923" s="161">
        <v>786</v>
      </c>
      <c r="S923" s="161">
        <v>0</v>
      </c>
      <c r="T923" s="161">
        <v>0</v>
      </c>
      <c r="U923" s="161">
        <v>0</v>
      </c>
      <c r="V923" s="161">
        <v>0</v>
      </c>
      <c r="W923" s="161">
        <f t="shared" si="85"/>
        <v>-751.62</v>
      </c>
      <c r="X923" s="161">
        <f t="shared" si="86"/>
        <v>0</v>
      </c>
      <c r="Y923" s="161">
        <f t="shared" si="87"/>
        <v>-751.62</v>
      </c>
      <c r="Z923" s="161">
        <v>0</v>
      </c>
      <c r="AA923" s="161">
        <f t="shared" si="88"/>
        <v>-751.62</v>
      </c>
      <c r="AB923" s="161">
        <f t="shared" si="89"/>
        <v>-780.24</v>
      </c>
      <c r="AC923" s="158" t="s">
        <v>1104</v>
      </c>
      <c r="AD923" s="158"/>
    </row>
    <row r="924" spans="1:30" ht="12.75" customHeight="1" x14ac:dyDescent="0.3">
      <c r="A924" s="147">
        <v>42</v>
      </c>
      <c r="B924" s="158" t="s">
        <v>1013</v>
      </c>
      <c r="C924" s="158" t="s">
        <v>101</v>
      </c>
      <c r="D924" s="158" t="s">
        <v>945</v>
      </c>
      <c r="E924" s="158" t="s">
        <v>25</v>
      </c>
      <c r="F924" s="158" t="s">
        <v>25</v>
      </c>
      <c r="G924" s="158" t="s">
        <v>866</v>
      </c>
      <c r="H924" s="161">
        <v>4763.1899999999996</v>
      </c>
      <c r="I924" s="161">
        <v>-64.66</v>
      </c>
      <c r="J924" s="161">
        <v>0</v>
      </c>
      <c r="K924" s="161">
        <v>0</v>
      </c>
      <c r="L924" s="161">
        <v>-1952.44</v>
      </c>
      <c r="M924" s="161">
        <v>-42</v>
      </c>
      <c r="N924" s="161">
        <v>0</v>
      </c>
      <c r="O924" s="162">
        <f t="shared" si="84"/>
        <v>2704.0899999999997</v>
      </c>
      <c r="P924" s="161">
        <v>-2500</v>
      </c>
      <c r="Q924" s="161">
        <v>0</v>
      </c>
      <c r="R924" s="161">
        <v>0</v>
      </c>
      <c r="S924" s="161">
        <v>0</v>
      </c>
      <c r="T924" s="161">
        <v>0</v>
      </c>
      <c r="U924" s="161">
        <v>0</v>
      </c>
      <c r="V924" s="161">
        <v>0</v>
      </c>
      <c r="W924" s="161">
        <f t="shared" si="85"/>
        <v>204.08999999999969</v>
      </c>
      <c r="X924" s="161">
        <f t="shared" si="86"/>
        <v>204.08999999999969</v>
      </c>
      <c r="Y924" s="161">
        <f t="shared" si="87"/>
        <v>0</v>
      </c>
      <c r="Z924" s="161">
        <v>0</v>
      </c>
      <c r="AA924" s="161">
        <f t="shared" si="88"/>
        <v>0</v>
      </c>
      <c r="AB924" s="161">
        <f t="shared" si="89"/>
        <v>2500</v>
      </c>
      <c r="AC924" s="158"/>
      <c r="AD924" s="158"/>
    </row>
    <row r="925" spans="1:30" ht="12.75" customHeight="1" x14ac:dyDescent="0.3">
      <c r="A925" s="147">
        <v>42</v>
      </c>
      <c r="B925" s="158" t="s">
        <v>484</v>
      </c>
      <c r="C925" s="158" t="s">
        <v>1065</v>
      </c>
      <c r="D925" s="158" t="s">
        <v>903</v>
      </c>
      <c r="E925" s="158" t="s">
        <v>25</v>
      </c>
      <c r="F925" s="158" t="s">
        <v>39</v>
      </c>
      <c r="G925" s="158" t="s">
        <v>866</v>
      </c>
      <c r="H925" s="161">
        <v>7597.7</v>
      </c>
      <c r="I925" s="161">
        <v>-125.13</v>
      </c>
      <c r="J925" s="161">
        <v>0</v>
      </c>
      <c r="K925" s="161">
        <v>0</v>
      </c>
      <c r="L925" s="161">
        <v>-5245.81</v>
      </c>
      <c r="M925" s="161">
        <v>-38</v>
      </c>
      <c r="N925" s="161">
        <v>0</v>
      </c>
      <c r="O925" s="162">
        <f t="shared" si="84"/>
        <v>2188.7599999999993</v>
      </c>
      <c r="P925" s="161">
        <v>-2500</v>
      </c>
      <c r="Q925" s="161">
        <v>8</v>
      </c>
      <c r="R925" s="161">
        <v>0</v>
      </c>
      <c r="S925" s="161">
        <v>0</v>
      </c>
      <c r="T925" s="161">
        <v>0</v>
      </c>
      <c r="U925" s="161">
        <v>0</v>
      </c>
      <c r="V925" s="161">
        <v>0</v>
      </c>
      <c r="W925" s="161">
        <f t="shared" si="85"/>
        <v>-303.24000000000069</v>
      </c>
      <c r="X925" s="161">
        <f t="shared" si="86"/>
        <v>0</v>
      </c>
      <c r="Y925" s="161">
        <f t="shared" si="87"/>
        <v>-303.24000000000069</v>
      </c>
      <c r="Z925" s="161">
        <v>0</v>
      </c>
      <c r="AA925" s="161">
        <f t="shared" si="88"/>
        <v>-303.24000000000069</v>
      </c>
      <c r="AB925" s="161">
        <f t="shared" si="89"/>
        <v>1885.5199999999986</v>
      </c>
      <c r="AC925" s="158" t="s">
        <v>1105</v>
      </c>
      <c r="AD925" s="158"/>
    </row>
    <row r="926" spans="1:30" ht="12.75" customHeight="1" x14ac:dyDescent="0.3">
      <c r="A926" s="147">
        <v>42</v>
      </c>
      <c r="B926" s="158" t="s">
        <v>1067</v>
      </c>
      <c r="C926" s="158" t="s">
        <v>46</v>
      </c>
      <c r="D926" s="158" t="s">
        <v>915</v>
      </c>
      <c r="E926" s="158" t="s">
        <v>25</v>
      </c>
      <c r="F926" s="158" t="s">
        <v>25</v>
      </c>
      <c r="G926" s="158" t="s">
        <v>866</v>
      </c>
      <c r="H926" s="161">
        <v>3119.36</v>
      </c>
      <c r="I926" s="161">
        <v>-51.82</v>
      </c>
      <c r="J926" s="161">
        <v>0</v>
      </c>
      <c r="K926" s="161">
        <v>0</v>
      </c>
      <c r="L926" s="161">
        <v>-77.53</v>
      </c>
      <c r="M926" s="161">
        <v>-38</v>
      </c>
      <c r="N926" s="161">
        <v>0</v>
      </c>
      <c r="O926" s="162">
        <f t="shared" si="84"/>
        <v>2952.0099999999998</v>
      </c>
      <c r="P926" s="161">
        <v>-2500</v>
      </c>
      <c r="Q926" s="161">
        <v>0</v>
      </c>
      <c r="R926" s="161">
        <v>-500</v>
      </c>
      <c r="S926" s="161">
        <v>0</v>
      </c>
      <c r="T926" s="161">
        <v>-700</v>
      </c>
      <c r="U926" s="161">
        <v>0</v>
      </c>
      <c r="V926" s="161">
        <v>0</v>
      </c>
      <c r="W926" s="161">
        <f t="shared" si="85"/>
        <v>-747.99000000000024</v>
      </c>
      <c r="X926" s="161">
        <f t="shared" si="86"/>
        <v>0</v>
      </c>
      <c r="Y926" s="161">
        <f t="shared" si="87"/>
        <v>-747.99000000000024</v>
      </c>
      <c r="Z926" s="161">
        <f>500+240+67</f>
        <v>807</v>
      </c>
      <c r="AA926" s="161">
        <f t="shared" si="88"/>
        <v>59.009999999999764</v>
      </c>
      <c r="AB926" s="161">
        <f t="shared" si="89"/>
        <v>3818.0199999999995</v>
      </c>
      <c r="AC926" s="158" t="s">
        <v>1105</v>
      </c>
      <c r="AD926" s="158"/>
    </row>
    <row r="927" spans="1:30" ht="12.75" customHeight="1" x14ac:dyDescent="0.3">
      <c r="A927" s="147">
        <v>42</v>
      </c>
      <c r="B927" s="158" t="s">
        <v>1051</v>
      </c>
      <c r="C927" s="158" t="s">
        <v>21</v>
      </c>
      <c r="D927" s="158" t="s">
        <v>20</v>
      </c>
      <c r="E927" s="160" t="s">
        <v>18</v>
      </c>
      <c r="F927" s="160" t="s">
        <v>18</v>
      </c>
      <c r="G927" s="158" t="s">
        <v>866</v>
      </c>
      <c r="H927" s="161">
        <v>5864.01</v>
      </c>
      <c r="I927" s="161">
        <v>-113.38</v>
      </c>
      <c r="J927" s="161">
        <v>0</v>
      </c>
      <c r="K927" s="161">
        <v>0</v>
      </c>
      <c r="L927" s="161">
        <v>-2063.16</v>
      </c>
      <c r="M927" s="161">
        <v>0</v>
      </c>
      <c r="N927" s="161">
        <v>0</v>
      </c>
      <c r="O927" s="162">
        <f t="shared" si="84"/>
        <v>3687.4700000000003</v>
      </c>
      <c r="P927" s="161">
        <v>-2500</v>
      </c>
      <c r="Q927" s="161">
        <v>0</v>
      </c>
      <c r="R927" s="161">
        <v>-500</v>
      </c>
      <c r="S927" s="161">
        <v>0</v>
      </c>
      <c r="T927" s="161">
        <v>0</v>
      </c>
      <c r="U927" s="161">
        <v>0</v>
      </c>
      <c r="V927" s="161">
        <v>0</v>
      </c>
      <c r="W927" s="161">
        <f t="shared" si="85"/>
        <v>687.47000000000025</v>
      </c>
      <c r="X927" s="161">
        <f t="shared" si="86"/>
        <v>687.47000000000025</v>
      </c>
      <c r="Y927" s="161">
        <f t="shared" si="87"/>
        <v>0</v>
      </c>
      <c r="Z927" s="161">
        <v>0</v>
      </c>
      <c r="AA927" s="161">
        <f t="shared" si="88"/>
        <v>0</v>
      </c>
      <c r="AB927" s="161">
        <f t="shared" si="89"/>
        <v>3000</v>
      </c>
      <c r="AC927" s="158"/>
      <c r="AD927" s="158"/>
    </row>
    <row r="928" spans="1:30" ht="12.75" customHeight="1" x14ac:dyDescent="0.3">
      <c r="A928" s="147">
        <v>42</v>
      </c>
      <c r="B928" s="158" t="s">
        <v>880</v>
      </c>
      <c r="C928" s="158" t="s">
        <v>183</v>
      </c>
      <c r="D928" s="158" t="s">
        <v>887</v>
      </c>
      <c r="E928" s="158" t="s">
        <v>25</v>
      </c>
      <c r="F928" s="158" t="s">
        <v>25</v>
      </c>
      <c r="G928" s="158" t="s">
        <v>866</v>
      </c>
      <c r="H928" s="161">
        <v>3921.7</v>
      </c>
      <c r="I928" s="161">
        <v>-75.599999999999994</v>
      </c>
      <c r="J928" s="161">
        <v>-13.76</v>
      </c>
      <c r="K928" s="161">
        <v>0</v>
      </c>
      <c r="L928" s="161">
        <v>-1664.58</v>
      </c>
      <c r="M928" s="161">
        <v>-38</v>
      </c>
      <c r="N928" s="161">
        <v>0</v>
      </c>
      <c r="O928" s="162">
        <f t="shared" si="84"/>
        <v>2129.7599999999998</v>
      </c>
      <c r="P928" s="161">
        <v>-2500</v>
      </c>
      <c r="Q928" s="161">
        <v>0</v>
      </c>
      <c r="R928" s="161">
        <v>0</v>
      </c>
      <c r="S928" s="161">
        <v>0</v>
      </c>
      <c r="T928" s="161">
        <v>0</v>
      </c>
      <c r="U928" s="161">
        <v>-500</v>
      </c>
      <c r="V928" s="161">
        <v>0</v>
      </c>
      <c r="W928" s="161">
        <f t="shared" si="85"/>
        <v>-870.24000000000024</v>
      </c>
      <c r="X928" s="161">
        <f t="shared" si="86"/>
        <v>0</v>
      </c>
      <c r="Y928" s="161">
        <f t="shared" si="87"/>
        <v>-870.24000000000024</v>
      </c>
      <c r="Z928" s="161">
        <v>870</v>
      </c>
      <c r="AA928" s="161">
        <f t="shared" si="88"/>
        <v>-0.24000000000023647</v>
      </c>
      <c r="AB928" s="161">
        <f t="shared" si="89"/>
        <v>2999.5199999999995</v>
      </c>
      <c r="AC928" s="158"/>
      <c r="AD928" s="158"/>
    </row>
    <row r="929" spans="1:30" ht="12.75" customHeight="1" x14ac:dyDescent="0.3">
      <c r="A929" s="147">
        <v>42</v>
      </c>
      <c r="B929" s="158" t="s">
        <v>922</v>
      </c>
      <c r="C929" s="158" t="s">
        <v>36</v>
      </c>
      <c r="D929" s="158" t="s">
        <v>904</v>
      </c>
      <c r="E929" s="158" t="s">
        <v>25</v>
      </c>
      <c r="F929" s="158" t="s">
        <v>25</v>
      </c>
      <c r="G929" s="158" t="s">
        <v>866</v>
      </c>
      <c r="H929" s="161">
        <v>3136.37</v>
      </c>
      <c r="I929" s="161">
        <v>-58.13</v>
      </c>
      <c r="J929" s="161">
        <v>238.02</v>
      </c>
      <c r="K929" s="161">
        <v>0</v>
      </c>
      <c r="L929" s="161">
        <v>-227.24</v>
      </c>
      <c r="M929" s="161">
        <f>-32-2</f>
        <v>-34</v>
      </c>
      <c r="N929" s="161">
        <v>-8.49</v>
      </c>
      <c r="O929" s="162">
        <f t="shared" si="84"/>
        <v>3046.5299999999997</v>
      </c>
      <c r="P929" s="161">
        <v>-2500</v>
      </c>
      <c r="Q929" s="161">
        <v>-995</v>
      </c>
      <c r="R929" s="161">
        <v>0</v>
      </c>
      <c r="S929" s="161">
        <v>0</v>
      </c>
      <c r="T929" s="161">
        <v>0</v>
      </c>
      <c r="U929" s="161">
        <v>0</v>
      </c>
      <c r="V929" s="161">
        <v>0</v>
      </c>
      <c r="W929" s="161">
        <f t="shared" si="85"/>
        <v>-448.47000000000025</v>
      </c>
      <c r="X929" s="161">
        <f t="shared" si="86"/>
        <v>0</v>
      </c>
      <c r="Y929" s="161">
        <f t="shared" si="87"/>
        <v>-448.47000000000025</v>
      </c>
      <c r="Z929" s="161">
        <v>0</v>
      </c>
      <c r="AA929" s="161">
        <f t="shared" si="88"/>
        <v>-448.47000000000025</v>
      </c>
      <c r="AB929" s="161">
        <f t="shared" si="89"/>
        <v>2598.0599999999995</v>
      </c>
      <c r="AC929" s="158" t="s">
        <v>1105</v>
      </c>
      <c r="AD929" s="158"/>
    </row>
    <row r="930" spans="1:30" ht="12.75" customHeight="1" x14ac:dyDescent="0.3">
      <c r="A930" s="147">
        <v>42</v>
      </c>
      <c r="B930" s="158" t="s">
        <v>515</v>
      </c>
      <c r="C930" s="158" t="s">
        <v>110</v>
      </c>
      <c r="D930" s="158" t="s">
        <v>1036</v>
      </c>
      <c r="E930" s="158" t="s">
        <v>18</v>
      </c>
      <c r="F930" s="160" t="s">
        <v>18</v>
      </c>
      <c r="G930" s="158" t="s">
        <v>866</v>
      </c>
      <c r="H930" s="161">
        <v>0</v>
      </c>
      <c r="I930" s="161">
        <v>0</v>
      </c>
      <c r="J930" s="161">
        <v>9.7899999999999991</v>
      </c>
      <c r="K930" s="161">
        <v>0</v>
      </c>
      <c r="L930" s="161">
        <v>0</v>
      </c>
      <c r="M930" s="161">
        <v>0</v>
      </c>
      <c r="N930" s="161">
        <v>0</v>
      </c>
      <c r="O930" s="162">
        <f t="shared" si="84"/>
        <v>9.7899999999999991</v>
      </c>
      <c r="P930" s="161">
        <v>0</v>
      </c>
      <c r="Q930" s="161">
        <v>0</v>
      </c>
      <c r="R930" s="161">
        <v>0</v>
      </c>
      <c r="S930" s="161">
        <v>0</v>
      </c>
      <c r="T930" s="161">
        <v>0</v>
      </c>
      <c r="U930" s="161">
        <v>0</v>
      </c>
      <c r="V930" s="161">
        <v>0</v>
      </c>
      <c r="W930" s="161">
        <f t="shared" si="85"/>
        <v>9.7899999999999991</v>
      </c>
      <c r="X930" s="161">
        <f t="shared" si="86"/>
        <v>9.7899999999999991</v>
      </c>
      <c r="Y930" s="161">
        <f t="shared" si="87"/>
        <v>0</v>
      </c>
      <c r="Z930" s="161">
        <v>0</v>
      </c>
      <c r="AA930" s="161">
        <f t="shared" si="88"/>
        <v>0</v>
      </c>
      <c r="AB930" s="161">
        <f t="shared" si="89"/>
        <v>0</v>
      </c>
      <c r="AC930" s="158"/>
      <c r="AD930" s="158"/>
    </row>
    <row r="931" spans="1:30" ht="12.75" customHeight="1" x14ac:dyDescent="0.3">
      <c r="A931" s="147">
        <v>42</v>
      </c>
      <c r="B931" s="158" t="s">
        <v>993</v>
      </c>
      <c r="C931" s="158" t="s">
        <v>347</v>
      </c>
      <c r="D931" s="158" t="s">
        <v>897</v>
      </c>
      <c r="E931" s="158" t="s">
        <v>25</v>
      </c>
      <c r="F931" s="158" t="s">
        <v>25</v>
      </c>
      <c r="G931" s="158" t="s">
        <v>866</v>
      </c>
      <c r="H931" s="161">
        <v>3735.14</v>
      </c>
      <c r="I931" s="161">
        <v>-70.63</v>
      </c>
      <c r="J931" s="161">
        <v>0</v>
      </c>
      <c r="K931" s="161">
        <v>0</v>
      </c>
      <c r="L931" s="161">
        <v>-893.3</v>
      </c>
      <c r="M931" s="161">
        <f>-42</f>
        <v>-42</v>
      </c>
      <c r="N931" s="161">
        <v>0</v>
      </c>
      <c r="O931" s="162">
        <f t="shared" si="84"/>
        <v>2729.21</v>
      </c>
      <c r="P931" s="161">
        <v>-2500</v>
      </c>
      <c r="Q931" s="161">
        <v>-2255</v>
      </c>
      <c r="R931" s="161">
        <v>0</v>
      </c>
      <c r="S931" s="161">
        <v>0</v>
      </c>
      <c r="T931" s="161">
        <v>0</v>
      </c>
      <c r="U931" s="161">
        <v>0</v>
      </c>
      <c r="V931" s="161">
        <v>0</v>
      </c>
      <c r="W931" s="161">
        <f t="shared" si="85"/>
        <v>-2025.79</v>
      </c>
      <c r="X931" s="161">
        <f t="shared" si="86"/>
        <v>0</v>
      </c>
      <c r="Y931" s="161">
        <f t="shared" si="87"/>
        <v>-2025.79</v>
      </c>
      <c r="Z931" s="161">
        <f>500+2000</f>
        <v>2500</v>
      </c>
      <c r="AA931" s="161">
        <f t="shared" si="88"/>
        <v>474.21000000000004</v>
      </c>
      <c r="AB931" s="161">
        <f t="shared" si="89"/>
        <v>5703.42</v>
      </c>
      <c r="AC931" s="158" t="s">
        <v>1072</v>
      </c>
      <c r="AD931" s="158"/>
    </row>
    <row r="932" spans="1:30" ht="12.75" customHeight="1" x14ac:dyDescent="0.3">
      <c r="A932" s="147">
        <v>42</v>
      </c>
      <c r="B932" s="158" t="s">
        <v>1048</v>
      </c>
      <c r="C932" s="158" t="s">
        <v>55</v>
      </c>
      <c r="D932" s="158" t="s">
        <v>20</v>
      </c>
      <c r="E932" s="160" t="s">
        <v>25</v>
      </c>
      <c r="F932" s="158" t="s">
        <v>39</v>
      </c>
      <c r="G932" s="158" t="s">
        <v>866</v>
      </c>
      <c r="H932" s="161">
        <v>9006.7099999999991</v>
      </c>
      <c r="I932" s="161">
        <v>-152.97</v>
      </c>
      <c r="J932" s="161">
        <v>0</v>
      </c>
      <c r="K932" s="161">
        <v>0</v>
      </c>
      <c r="L932" s="161">
        <v>0</v>
      </c>
      <c r="M932" s="161">
        <v>0</v>
      </c>
      <c r="N932" s="161">
        <v>0</v>
      </c>
      <c r="O932" s="162">
        <f t="shared" si="84"/>
        <v>8853.74</v>
      </c>
      <c r="P932" s="161">
        <v>-2500</v>
      </c>
      <c r="Q932" s="161">
        <v>0</v>
      </c>
      <c r="R932" s="161">
        <v>0</v>
      </c>
      <c r="S932" s="161">
        <v>0</v>
      </c>
      <c r="T932" s="161">
        <v>0</v>
      </c>
      <c r="U932" s="161">
        <v>0</v>
      </c>
      <c r="V932" s="161">
        <v>0</v>
      </c>
      <c r="W932" s="161">
        <f t="shared" si="85"/>
        <v>6353.74</v>
      </c>
      <c r="X932" s="161">
        <f t="shared" si="86"/>
        <v>6353.74</v>
      </c>
      <c r="Y932" s="161">
        <f t="shared" si="87"/>
        <v>0</v>
      </c>
      <c r="Z932" s="161">
        <v>0</v>
      </c>
      <c r="AA932" s="161">
        <f t="shared" si="88"/>
        <v>0</v>
      </c>
      <c r="AB932" s="161">
        <f t="shared" si="89"/>
        <v>2500</v>
      </c>
      <c r="AC932" s="158"/>
      <c r="AD932" s="158"/>
    </row>
    <row r="933" spans="1:30" ht="12.75" customHeight="1" x14ac:dyDescent="0.3">
      <c r="A933" s="147">
        <v>42</v>
      </c>
      <c r="B933" s="158" t="s">
        <v>1025</v>
      </c>
      <c r="C933" s="158" t="s">
        <v>51</v>
      </c>
      <c r="D933" s="158" t="s">
        <v>20</v>
      </c>
      <c r="E933" s="160" t="s">
        <v>25</v>
      </c>
      <c r="F933" s="158" t="s">
        <v>39</v>
      </c>
      <c r="G933" s="158" t="s">
        <v>866</v>
      </c>
      <c r="H933" s="161">
        <v>6499.73</v>
      </c>
      <c r="I933" s="161">
        <v>-106.35</v>
      </c>
      <c r="J933" s="161">
        <v>38.39</v>
      </c>
      <c r="K933" s="161">
        <v>0</v>
      </c>
      <c r="L933" s="161">
        <v>-3463.08</v>
      </c>
      <c r="M933" s="161">
        <v>-32</v>
      </c>
      <c r="N933" s="161">
        <v>0</v>
      </c>
      <c r="O933" s="162">
        <f t="shared" si="84"/>
        <v>2936.6899999999996</v>
      </c>
      <c r="P933" s="161">
        <v>-2500</v>
      </c>
      <c r="Q933" s="161">
        <v>0</v>
      </c>
      <c r="R933" s="161">
        <v>0</v>
      </c>
      <c r="S933" s="161">
        <v>0</v>
      </c>
      <c r="T933" s="161">
        <v>0</v>
      </c>
      <c r="U933" s="161">
        <v>0</v>
      </c>
      <c r="V933" s="161">
        <v>0</v>
      </c>
      <c r="W933" s="161">
        <f t="shared" si="85"/>
        <v>436.6899999999996</v>
      </c>
      <c r="X933" s="161">
        <f t="shared" si="86"/>
        <v>436.6899999999996</v>
      </c>
      <c r="Y933" s="161">
        <f t="shared" si="87"/>
        <v>0</v>
      </c>
      <c r="Z933" s="161">
        <v>0</v>
      </c>
      <c r="AA933" s="161">
        <f t="shared" si="88"/>
        <v>0</v>
      </c>
      <c r="AB933" s="161">
        <f t="shared" si="89"/>
        <v>2500</v>
      </c>
      <c r="AC933" s="158"/>
      <c r="AD933" s="158"/>
    </row>
    <row r="934" spans="1:30" ht="12.75" customHeight="1" x14ac:dyDescent="0.3">
      <c r="A934" s="147">
        <v>42</v>
      </c>
      <c r="B934" s="158" t="s">
        <v>1088</v>
      </c>
      <c r="C934" s="158" t="s">
        <v>100</v>
      </c>
      <c r="D934" s="158" t="s">
        <v>953</v>
      </c>
      <c r="E934" s="158" t="s">
        <v>25</v>
      </c>
      <c r="F934" s="158" t="s">
        <v>25</v>
      </c>
      <c r="G934" s="158" t="s">
        <v>866</v>
      </c>
      <c r="H934" s="161">
        <v>4949.57</v>
      </c>
      <c r="I934" s="161">
        <v>-89.72</v>
      </c>
      <c r="J934" s="161">
        <v>9.7899999999999991</v>
      </c>
      <c r="K934" s="161">
        <v>-34.03</v>
      </c>
      <c r="L934" s="161">
        <v>0</v>
      </c>
      <c r="M934" s="161">
        <v>-36</v>
      </c>
      <c r="N934" s="161">
        <v>0</v>
      </c>
      <c r="O934" s="162">
        <f t="shared" si="84"/>
        <v>4799.6099999999997</v>
      </c>
      <c r="P934" s="161">
        <v>-2500</v>
      </c>
      <c r="Q934" s="161">
        <v>0</v>
      </c>
      <c r="R934" s="161">
        <v>-500</v>
      </c>
      <c r="S934" s="161">
        <v>0</v>
      </c>
      <c r="T934" s="161">
        <v>0</v>
      </c>
      <c r="U934" s="161">
        <v>0</v>
      </c>
      <c r="V934" s="161">
        <v>0</v>
      </c>
      <c r="W934" s="161">
        <f t="shared" si="85"/>
        <v>1799.6099999999997</v>
      </c>
      <c r="X934" s="161">
        <f t="shared" si="86"/>
        <v>1799.6099999999997</v>
      </c>
      <c r="Y934" s="161">
        <f t="shared" si="87"/>
        <v>0</v>
      </c>
      <c r="Z934" s="161">
        <v>0</v>
      </c>
      <c r="AA934" s="161">
        <f t="shared" si="88"/>
        <v>0</v>
      </c>
      <c r="AB934" s="161">
        <f t="shared" si="89"/>
        <v>3000</v>
      </c>
      <c r="AC934" s="158"/>
      <c r="AD934" s="158"/>
    </row>
    <row r="935" spans="1:30" ht="12.75" customHeight="1" x14ac:dyDescent="0.3">
      <c r="A935" s="147">
        <v>42</v>
      </c>
      <c r="B935" s="158" t="s">
        <v>1003</v>
      </c>
      <c r="C935" s="158" t="s">
        <v>59</v>
      </c>
      <c r="D935" s="158" t="s">
        <v>895</v>
      </c>
      <c r="E935" s="158" t="s">
        <v>25</v>
      </c>
      <c r="F935" s="158" t="s">
        <v>25</v>
      </c>
      <c r="G935" s="158" t="s">
        <v>866</v>
      </c>
      <c r="H935" s="161">
        <v>1205.5899999999999</v>
      </c>
      <c r="I935" s="161">
        <v>-23.39</v>
      </c>
      <c r="J935" s="161">
        <v>0</v>
      </c>
      <c r="K935" s="161">
        <v>0</v>
      </c>
      <c r="L935" s="161">
        <v>0</v>
      </c>
      <c r="M935" s="161">
        <f>-32-12</f>
        <v>-44</v>
      </c>
      <c r="N935" s="161">
        <v>-49</v>
      </c>
      <c r="O935" s="162">
        <f t="shared" si="84"/>
        <v>1089.1999999999998</v>
      </c>
      <c r="P935" s="161">
        <v>-2500</v>
      </c>
      <c r="Q935" s="161">
        <v>0</v>
      </c>
      <c r="R935" s="161">
        <v>0</v>
      </c>
      <c r="S935" s="161">
        <v>0</v>
      </c>
      <c r="T935" s="161">
        <v>0</v>
      </c>
      <c r="U935" s="161">
        <v>0</v>
      </c>
      <c r="V935" s="161">
        <v>0</v>
      </c>
      <c r="W935" s="161">
        <f t="shared" si="85"/>
        <v>-1410.8000000000002</v>
      </c>
      <c r="X935" s="161">
        <f t="shared" si="86"/>
        <v>0</v>
      </c>
      <c r="Y935" s="161">
        <f t="shared" si="87"/>
        <v>-1410.8000000000002</v>
      </c>
      <c r="Z935" s="161">
        <v>0</v>
      </c>
      <c r="AA935" s="161">
        <f t="shared" si="88"/>
        <v>-1410.8000000000002</v>
      </c>
      <c r="AB935" s="161">
        <f t="shared" si="89"/>
        <v>-321.60000000000036</v>
      </c>
      <c r="AC935" s="158"/>
      <c r="AD935" s="158"/>
    </row>
    <row r="936" spans="1:30" ht="12.75" customHeight="1" x14ac:dyDescent="0.3">
      <c r="A936" s="147">
        <v>42</v>
      </c>
      <c r="B936" s="158" t="s">
        <v>1100</v>
      </c>
      <c r="C936" s="182" t="s">
        <v>213</v>
      </c>
      <c r="D936" s="158" t="s">
        <v>881</v>
      </c>
      <c r="E936" s="158" t="s">
        <v>39</v>
      </c>
      <c r="F936" s="158" t="s">
        <v>39</v>
      </c>
      <c r="G936" s="158" t="s">
        <v>866</v>
      </c>
      <c r="H936" s="161">
        <v>4025.16</v>
      </c>
      <c r="I936" s="161">
        <v>-83.53</v>
      </c>
      <c r="J936" s="161">
        <v>0</v>
      </c>
      <c r="K936" s="161">
        <v>-34.35</v>
      </c>
      <c r="L936" s="161">
        <v>-395.98</v>
      </c>
      <c r="M936" s="161">
        <v>-38</v>
      </c>
      <c r="N936" s="161">
        <v>0</v>
      </c>
      <c r="O936" s="162">
        <f t="shared" si="84"/>
        <v>3473.2999999999997</v>
      </c>
      <c r="P936" s="161">
        <v>-2500</v>
      </c>
      <c r="Q936" s="161">
        <v>-700</v>
      </c>
      <c r="R936" s="161">
        <v>-500</v>
      </c>
      <c r="S936" s="161">
        <v>0</v>
      </c>
      <c r="T936" s="161">
        <v>0</v>
      </c>
      <c r="U936" s="161">
        <v>0</v>
      </c>
      <c r="V936" s="161">
        <v>0</v>
      </c>
      <c r="W936" s="161">
        <f t="shared" si="85"/>
        <v>-226.70000000000027</v>
      </c>
      <c r="X936" s="161">
        <f t="shared" si="86"/>
        <v>0</v>
      </c>
      <c r="Y936" s="161">
        <f t="shared" si="87"/>
        <v>-226.70000000000027</v>
      </c>
      <c r="Z936" s="161">
        <v>227</v>
      </c>
      <c r="AA936" s="161">
        <f t="shared" si="88"/>
        <v>0.29999999999972715</v>
      </c>
      <c r="AB936" s="161">
        <f t="shared" si="89"/>
        <v>3700.5999999999995</v>
      </c>
      <c r="AC936" s="158"/>
      <c r="AD936" s="158"/>
    </row>
    <row r="937" spans="1:30" ht="12.75" customHeight="1" x14ac:dyDescent="0.3">
      <c r="A937" s="147">
        <v>42</v>
      </c>
      <c r="B937" s="158" t="s">
        <v>1102</v>
      </c>
      <c r="C937" s="158" t="s">
        <v>17</v>
      </c>
      <c r="D937" s="158" t="s">
        <v>20</v>
      </c>
      <c r="E937" s="158" t="s">
        <v>18</v>
      </c>
      <c r="F937" s="160" t="s">
        <v>18</v>
      </c>
      <c r="G937" s="158" t="s">
        <v>866</v>
      </c>
      <c r="H937" s="161">
        <v>3969.31</v>
      </c>
      <c r="I937" s="161">
        <v>-57.3</v>
      </c>
      <c r="J937" s="161">
        <v>0</v>
      </c>
      <c r="K937" s="161">
        <v>0</v>
      </c>
      <c r="L937" s="161">
        <v>-1997.32</v>
      </c>
      <c r="M937" s="161">
        <v>0</v>
      </c>
      <c r="N937" s="161">
        <v>0</v>
      </c>
      <c r="O937" s="162">
        <f t="shared" si="84"/>
        <v>1914.6899999999998</v>
      </c>
      <c r="P937" s="161">
        <v>-2500</v>
      </c>
      <c r="Q937" s="161">
        <v>0</v>
      </c>
      <c r="R937" s="161">
        <v>0</v>
      </c>
      <c r="S937" s="161">
        <v>0</v>
      </c>
      <c r="T937" s="161">
        <v>0</v>
      </c>
      <c r="U937" s="161">
        <v>0</v>
      </c>
      <c r="V937" s="161">
        <v>0</v>
      </c>
      <c r="W937" s="161">
        <f t="shared" si="85"/>
        <v>-585.31000000000017</v>
      </c>
      <c r="X937" s="161">
        <f t="shared" si="86"/>
        <v>0</v>
      </c>
      <c r="Y937" s="161">
        <f t="shared" si="87"/>
        <v>-585.31000000000017</v>
      </c>
      <c r="Z937" s="161">
        <v>0</v>
      </c>
      <c r="AA937" s="161">
        <f t="shared" si="88"/>
        <v>-585.31000000000017</v>
      </c>
      <c r="AB937" s="161">
        <f t="shared" si="89"/>
        <v>1329.3799999999997</v>
      </c>
      <c r="AC937" s="158"/>
      <c r="AD937" s="158"/>
    </row>
    <row r="938" spans="1:30" ht="12.75" customHeight="1" x14ac:dyDescent="0.3">
      <c r="A938" s="147">
        <v>42</v>
      </c>
      <c r="B938" s="158" t="s">
        <v>408</v>
      </c>
      <c r="C938" s="158" t="s">
        <v>409</v>
      </c>
      <c r="D938" s="158" t="s">
        <v>20</v>
      </c>
      <c r="E938" s="158" t="s">
        <v>25</v>
      </c>
      <c r="F938" s="158" t="s">
        <v>25</v>
      </c>
      <c r="G938" s="158" t="s">
        <v>866</v>
      </c>
      <c r="H938" s="161">
        <v>4073.48</v>
      </c>
      <c r="I938" s="161">
        <v>-64.02</v>
      </c>
      <c r="J938" s="161">
        <v>42</v>
      </c>
      <c r="K938" s="161">
        <v>0</v>
      </c>
      <c r="L938" s="161">
        <v>-232.37</v>
      </c>
      <c r="M938" s="162">
        <v>-38</v>
      </c>
      <c r="N938" s="161">
        <v>0</v>
      </c>
      <c r="O938" s="162">
        <f t="shared" si="84"/>
        <v>3781.09</v>
      </c>
      <c r="P938" s="161">
        <v>-2500</v>
      </c>
      <c r="Q938" s="161">
        <v>-2651</v>
      </c>
      <c r="R938" s="161">
        <v>0</v>
      </c>
      <c r="S938" s="161">
        <v>0</v>
      </c>
      <c r="T938" s="161">
        <v>0</v>
      </c>
      <c r="U938" s="161">
        <v>0</v>
      </c>
      <c r="V938" s="161">
        <v>0</v>
      </c>
      <c r="W938" s="161">
        <f t="shared" si="85"/>
        <v>-1369.9099999999999</v>
      </c>
      <c r="X938" s="161">
        <f t="shared" si="86"/>
        <v>0</v>
      </c>
      <c r="Y938" s="161">
        <f t="shared" si="87"/>
        <v>-1369.9099999999999</v>
      </c>
      <c r="Z938" s="161">
        <v>0</v>
      </c>
      <c r="AA938" s="161">
        <f t="shared" si="88"/>
        <v>-1369.9099999999999</v>
      </c>
      <c r="AB938" s="161">
        <f t="shared" si="89"/>
        <v>2411.1800000000003</v>
      </c>
      <c r="AC938" s="158"/>
      <c r="AD938" s="158"/>
    </row>
    <row r="939" spans="1:30" ht="12.75" customHeight="1" x14ac:dyDescent="0.3">
      <c r="A939" s="147">
        <v>42</v>
      </c>
      <c r="B939" s="158" t="s">
        <v>1106</v>
      </c>
      <c r="C939" s="179" t="s">
        <v>104</v>
      </c>
      <c r="D939" s="158" t="s">
        <v>20</v>
      </c>
      <c r="E939" s="158" t="s">
        <v>25</v>
      </c>
      <c r="F939" s="158" t="s">
        <v>25</v>
      </c>
      <c r="G939" s="158" t="s">
        <v>866</v>
      </c>
      <c r="H939" s="161">
        <v>1033.5899999999999</v>
      </c>
      <c r="I939" s="161">
        <v>-16.22</v>
      </c>
      <c r="J939" s="161">
        <v>0</v>
      </c>
      <c r="K939" s="161">
        <v>0</v>
      </c>
      <c r="L939" s="161">
        <v>0</v>
      </c>
      <c r="M939" s="162">
        <v>-25</v>
      </c>
      <c r="N939" s="161">
        <v>0</v>
      </c>
      <c r="O939" s="162">
        <f t="shared" si="84"/>
        <v>992.36999999999989</v>
      </c>
      <c r="P939" s="161">
        <v>-536</v>
      </c>
      <c r="Q939" s="161">
        <v>0</v>
      </c>
      <c r="R939" s="161">
        <v>-107</v>
      </c>
      <c r="S939" s="161">
        <v>0</v>
      </c>
      <c r="T939" s="161">
        <v>0</v>
      </c>
      <c r="U939" s="161">
        <v>0</v>
      </c>
      <c r="V939" s="161">
        <v>0</v>
      </c>
      <c r="W939" s="161">
        <f t="shared" si="85"/>
        <v>349.36999999999989</v>
      </c>
      <c r="X939" s="161">
        <f t="shared" si="86"/>
        <v>349.36999999999989</v>
      </c>
      <c r="Y939" s="161">
        <f t="shared" si="87"/>
        <v>0</v>
      </c>
      <c r="Z939" s="161">
        <v>0</v>
      </c>
      <c r="AA939" s="161">
        <f t="shared" si="88"/>
        <v>0</v>
      </c>
      <c r="AB939" s="161">
        <f t="shared" si="89"/>
        <v>643</v>
      </c>
      <c r="AC939" s="158"/>
      <c r="AD939" s="158"/>
    </row>
    <row r="940" spans="1:30" ht="12.75" customHeight="1" x14ac:dyDescent="0.3">
      <c r="A940" s="147">
        <v>42</v>
      </c>
      <c r="B940" s="158" t="s">
        <v>837</v>
      </c>
      <c r="C940" s="158" t="s">
        <v>334</v>
      </c>
      <c r="D940" s="158" t="s">
        <v>20</v>
      </c>
      <c r="E940" s="158" t="s">
        <v>25</v>
      </c>
      <c r="F940" s="158" t="s">
        <v>39</v>
      </c>
      <c r="G940" s="158" t="s">
        <v>866</v>
      </c>
      <c r="H940" s="161">
        <v>6837.41</v>
      </c>
      <c r="I940" s="161">
        <v>-180.11</v>
      </c>
      <c r="J940" s="161">
        <v>0</v>
      </c>
      <c r="K940" s="161">
        <v>0</v>
      </c>
      <c r="L940" s="161">
        <v>0</v>
      </c>
      <c r="M940" s="162">
        <v>0</v>
      </c>
      <c r="N940" s="161">
        <v>0</v>
      </c>
      <c r="O940" s="162">
        <f t="shared" si="84"/>
        <v>6657.3</v>
      </c>
      <c r="P940" s="161">
        <v>-1680</v>
      </c>
      <c r="Q940" s="161">
        <v>0</v>
      </c>
      <c r="R940" s="161">
        <v>-500</v>
      </c>
      <c r="S940" s="161">
        <v>0</v>
      </c>
      <c r="T940" s="161">
        <v>0</v>
      </c>
      <c r="U940" s="161">
        <v>0</v>
      </c>
      <c r="V940" s="161">
        <v>0</v>
      </c>
      <c r="W940" s="161">
        <f t="shared" si="85"/>
        <v>4477.3</v>
      </c>
      <c r="X940" s="161">
        <f t="shared" si="86"/>
        <v>4477.3</v>
      </c>
      <c r="Y940" s="161">
        <f t="shared" si="87"/>
        <v>0</v>
      </c>
      <c r="Z940" s="161">
        <v>0</v>
      </c>
      <c r="AA940" s="161">
        <f t="shared" si="88"/>
        <v>0</v>
      </c>
      <c r="AB940" s="161">
        <f t="shared" si="89"/>
        <v>2180</v>
      </c>
      <c r="AC940" s="158"/>
      <c r="AD940" s="158"/>
    </row>
    <row r="941" spans="1:30" ht="12.75" customHeight="1" x14ac:dyDescent="0.3">
      <c r="A941" s="147">
        <v>42</v>
      </c>
      <c r="B941" s="158" t="s">
        <v>515</v>
      </c>
      <c r="C941" s="158" t="s">
        <v>195</v>
      </c>
      <c r="D941" s="158" t="s">
        <v>20</v>
      </c>
      <c r="E941" s="160" t="s">
        <v>871</v>
      </c>
      <c r="F941" s="158" t="s">
        <v>39</v>
      </c>
      <c r="G941" s="158" t="s">
        <v>866</v>
      </c>
      <c r="H941" s="161">
        <v>4697.21</v>
      </c>
      <c r="I941" s="161">
        <v>-108.21</v>
      </c>
      <c r="J941" s="161">
        <v>0</v>
      </c>
      <c r="K941" s="161">
        <v>0</v>
      </c>
      <c r="L941" s="161">
        <v>0</v>
      </c>
      <c r="M941" s="162">
        <v>-32</v>
      </c>
      <c r="N941" s="161">
        <v>0</v>
      </c>
      <c r="O941" s="162">
        <f t="shared" si="84"/>
        <v>4557</v>
      </c>
      <c r="P941" s="161">
        <v>-1250</v>
      </c>
      <c r="Q941" s="161">
        <v>0</v>
      </c>
      <c r="R941" s="161">
        <v>-250</v>
      </c>
      <c r="S941" s="161">
        <v>0</v>
      </c>
      <c r="T941" s="161">
        <v>0</v>
      </c>
      <c r="U941" s="161">
        <v>-700</v>
      </c>
      <c r="V941" s="161">
        <v>0</v>
      </c>
      <c r="W941" s="161">
        <f t="shared" si="85"/>
        <v>2357</v>
      </c>
      <c r="X941" s="161">
        <f t="shared" si="86"/>
        <v>2357</v>
      </c>
      <c r="Y941" s="161">
        <f t="shared" si="87"/>
        <v>0</v>
      </c>
      <c r="Z941" s="161">
        <v>0</v>
      </c>
      <c r="AA941" s="161">
        <f t="shared" si="88"/>
        <v>0</v>
      </c>
      <c r="AB941" s="161">
        <f t="shared" si="89"/>
        <v>2200</v>
      </c>
      <c r="AC941" s="158"/>
      <c r="AD941" s="158"/>
    </row>
    <row r="942" spans="1:30" ht="12.75" customHeight="1" x14ac:dyDescent="0.3">
      <c r="A942" s="147">
        <v>42</v>
      </c>
      <c r="B942" s="158" t="s">
        <v>1030</v>
      </c>
      <c r="C942" s="158" t="s">
        <v>195</v>
      </c>
      <c r="D942" s="158" t="s">
        <v>20</v>
      </c>
      <c r="E942" s="160" t="s">
        <v>871</v>
      </c>
      <c r="F942" s="158" t="s">
        <v>39</v>
      </c>
      <c r="G942" s="158" t="s">
        <v>866</v>
      </c>
      <c r="H942" s="161">
        <v>0</v>
      </c>
      <c r="I942" s="161">
        <v>0</v>
      </c>
      <c r="J942" s="161">
        <v>0</v>
      </c>
      <c r="K942" s="161">
        <v>0</v>
      </c>
      <c r="L942" s="161">
        <v>0</v>
      </c>
      <c r="M942" s="162">
        <v>0</v>
      </c>
      <c r="N942" s="161">
        <v>0</v>
      </c>
      <c r="O942" s="162">
        <f t="shared" si="84"/>
        <v>0</v>
      </c>
      <c r="P942" s="161">
        <v>0</v>
      </c>
      <c r="Q942" s="161">
        <v>0</v>
      </c>
      <c r="R942" s="161">
        <v>1016</v>
      </c>
      <c r="S942" s="161">
        <v>0</v>
      </c>
      <c r="T942" s="161">
        <v>0</v>
      </c>
      <c r="U942" s="161">
        <v>0</v>
      </c>
      <c r="V942" s="161">
        <v>0</v>
      </c>
      <c r="W942" s="161">
        <f t="shared" si="85"/>
        <v>1016</v>
      </c>
      <c r="X942" s="161">
        <f t="shared" si="86"/>
        <v>1016</v>
      </c>
      <c r="Y942" s="161">
        <f t="shared" si="87"/>
        <v>0</v>
      </c>
      <c r="Z942" s="161">
        <v>0</v>
      </c>
      <c r="AA942" s="161">
        <f t="shared" si="88"/>
        <v>0</v>
      </c>
      <c r="AB942" s="161">
        <f t="shared" si="89"/>
        <v>-1016</v>
      </c>
      <c r="AC942" s="158"/>
      <c r="AD942" s="158"/>
    </row>
    <row r="943" spans="1:30" ht="12.75" customHeight="1" x14ac:dyDescent="0.3">
      <c r="A943" s="147">
        <v>43</v>
      </c>
      <c r="B943" s="158" t="s">
        <v>1062</v>
      </c>
      <c r="C943" s="158" t="s">
        <v>53</v>
      </c>
      <c r="D943" s="158" t="s">
        <v>20</v>
      </c>
      <c r="E943" s="158" t="s">
        <v>25</v>
      </c>
      <c r="F943" s="158" t="s">
        <v>39</v>
      </c>
      <c r="G943" s="158" t="s">
        <v>866</v>
      </c>
      <c r="H943" s="161">
        <v>7566.34</v>
      </c>
      <c r="I943" s="161">
        <v>-132.22</v>
      </c>
      <c r="J943" s="161">
        <v>22.65</v>
      </c>
      <c r="K943" s="161">
        <v>0</v>
      </c>
      <c r="L943" s="161">
        <v>-3219.01</v>
      </c>
      <c r="M943" s="161">
        <v>-45</v>
      </c>
      <c r="N943" s="161">
        <v>0</v>
      </c>
      <c r="O943" s="162">
        <f t="shared" si="84"/>
        <v>4192.7599999999993</v>
      </c>
      <c r="P943" s="161">
        <v>-2500</v>
      </c>
      <c r="Q943" s="161">
        <v>0</v>
      </c>
      <c r="R943" s="161">
        <v>0</v>
      </c>
      <c r="S943" s="161">
        <v>0</v>
      </c>
      <c r="T943" s="161">
        <v>0</v>
      </c>
      <c r="U943" s="161">
        <v>0</v>
      </c>
      <c r="V943" s="161">
        <v>0</v>
      </c>
      <c r="W943" s="161">
        <f t="shared" si="85"/>
        <v>1692.7599999999993</v>
      </c>
      <c r="X943" s="161">
        <f t="shared" si="86"/>
        <v>1692.7599999999993</v>
      </c>
      <c r="Y943" s="161">
        <f t="shared" si="87"/>
        <v>0</v>
      </c>
      <c r="Z943" s="161">
        <v>0</v>
      </c>
      <c r="AA943" s="161">
        <f t="shared" si="88"/>
        <v>0</v>
      </c>
      <c r="AB943" s="161">
        <f t="shared" si="89"/>
        <v>2500</v>
      </c>
      <c r="AC943" s="158" t="s">
        <v>1039</v>
      </c>
      <c r="AD943" s="158"/>
    </row>
    <row r="944" spans="1:30" ht="12.75" customHeight="1" x14ac:dyDescent="0.3">
      <c r="A944" s="147">
        <v>43</v>
      </c>
      <c r="B944" s="158" t="s">
        <v>585</v>
      </c>
      <c r="C944" s="158" t="s">
        <v>42</v>
      </c>
      <c r="D944" s="158" t="s">
        <v>948</v>
      </c>
      <c r="E944" s="158" t="s">
        <v>25</v>
      </c>
      <c r="F944" s="158" t="s">
        <v>25</v>
      </c>
      <c r="G944" s="158" t="s">
        <v>866</v>
      </c>
      <c r="H944" s="161">
        <v>0</v>
      </c>
      <c r="I944" s="161">
        <v>0</v>
      </c>
      <c r="J944" s="161">
        <v>0</v>
      </c>
      <c r="K944" s="161">
        <v>0</v>
      </c>
      <c r="L944" s="161">
        <v>0</v>
      </c>
      <c r="M944" s="161">
        <v>0</v>
      </c>
      <c r="N944" s="161">
        <v>0</v>
      </c>
      <c r="O944" s="162">
        <f t="shared" si="84"/>
        <v>0</v>
      </c>
      <c r="P944" s="161">
        <v>0</v>
      </c>
      <c r="Q944" s="161">
        <v>-2500</v>
      </c>
      <c r="R944" s="161">
        <v>0</v>
      </c>
      <c r="S944" s="161">
        <v>0</v>
      </c>
      <c r="T944" s="161">
        <v>0</v>
      </c>
      <c r="U944" s="161">
        <v>0</v>
      </c>
      <c r="V944" s="161">
        <v>0</v>
      </c>
      <c r="W944" s="161">
        <f t="shared" si="85"/>
        <v>-2500</v>
      </c>
      <c r="X944" s="161">
        <f t="shared" si="86"/>
        <v>0</v>
      </c>
      <c r="Y944" s="161">
        <f t="shared" si="87"/>
        <v>-2500</v>
      </c>
      <c r="Z944" s="161">
        <v>2500</v>
      </c>
      <c r="AA944" s="161">
        <f t="shared" si="88"/>
        <v>0</v>
      </c>
      <c r="AB944" s="161">
        <f t="shared" si="89"/>
        <v>2500</v>
      </c>
      <c r="AC944" s="158" t="s">
        <v>1043</v>
      </c>
      <c r="AD944" s="158"/>
    </row>
    <row r="945" spans="1:30" ht="12.75" customHeight="1" x14ac:dyDescent="0.3">
      <c r="A945" s="147">
        <v>43</v>
      </c>
      <c r="B945" s="158" t="s">
        <v>837</v>
      </c>
      <c r="C945" s="158" t="s">
        <v>150</v>
      </c>
      <c r="D945" s="158" t="s">
        <v>877</v>
      </c>
      <c r="E945" s="158" t="s">
        <v>25</v>
      </c>
      <c r="F945" s="158" t="s">
        <v>25</v>
      </c>
      <c r="G945" s="158" t="s">
        <v>866</v>
      </c>
      <c r="H945" s="161">
        <v>4074.62</v>
      </c>
      <c r="I945" s="161">
        <v>-126.69</v>
      </c>
      <c r="J945" s="161">
        <v>0</v>
      </c>
      <c r="K945" s="161">
        <v>0</v>
      </c>
      <c r="L945" s="161">
        <v>0</v>
      </c>
      <c r="M945" s="161">
        <v>-45</v>
      </c>
      <c r="N945" s="161">
        <v>0</v>
      </c>
      <c r="O945" s="162">
        <f t="shared" si="84"/>
        <v>3902.93</v>
      </c>
      <c r="P945" s="161">
        <v>0</v>
      </c>
      <c r="Q945" s="161">
        <v>0</v>
      </c>
      <c r="R945" s="161">
        <v>0</v>
      </c>
      <c r="S945" s="161">
        <v>0</v>
      </c>
      <c r="T945" s="161">
        <v>0</v>
      </c>
      <c r="U945" s="161">
        <v>0</v>
      </c>
      <c r="V945" s="161">
        <v>0</v>
      </c>
      <c r="W945" s="161">
        <f t="shared" si="85"/>
        <v>3902.93</v>
      </c>
      <c r="X945" s="161">
        <f t="shared" si="86"/>
        <v>3902.93</v>
      </c>
      <c r="Y945" s="161">
        <f t="shared" si="87"/>
        <v>0</v>
      </c>
      <c r="Z945" s="161">
        <v>0</v>
      </c>
      <c r="AA945" s="161">
        <f t="shared" si="88"/>
        <v>0</v>
      </c>
      <c r="AB945" s="161">
        <f t="shared" si="89"/>
        <v>0</v>
      </c>
      <c r="AC945" s="158" t="s">
        <v>1107</v>
      </c>
      <c r="AD945" s="158"/>
    </row>
    <row r="946" spans="1:30" ht="12.75" customHeight="1" x14ac:dyDescent="0.3">
      <c r="A946" s="147">
        <v>43</v>
      </c>
      <c r="B946" s="158" t="s">
        <v>944</v>
      </c>
      <c r="C946" s="158" t="s">
        <v>372</v>
      </c>
      <c r="D946" s="158" t="s">
        <v>1004</v>
      </c>
      <c r="E946" s="158" t="s">
        <v>39</v>
      </c>
      <c r="F946" s="158" t="s">
        <v>39</v>
      </c>
      <c r="G946" s="158" t="s">
        <v>866</v>
      </c>
      <c r="H946" s="161">
        <v>5737.72</v>
      </c>
      <c r="I946" s="161">
        <v>-89.63</v>
      </c>
      <c r="J946" s="161">
        <v>0</v>
      </c>
      <c r="K946" s="161">
        <v>0</v>
      </c>
      <c r="L946" s="161">
        <v>-1981.17</v>
      </c>
      <c r="M946" s="161">
        <v>-52</v>
      </c>
      <c r="N946" s="161">
        <v>0</v>
      </c>
      <c r="O946" s="162">
        <f t="shared" si="84"/>
        <v>3614.92</v>
      </c>
      <c r="P946" s="161">
        <v>-2500</v>
      </c>
      <c r="Q946" s="161">
        <v>0</v>
      </c>
      <c r="R946" s="161">
        <v>0</v>
      </c>
      <c r="S946" s="161">
        <v>0</v>
      </c>
      <c r="T946" s="161">
        <v>0</v>
      </c>
      <c r="U946" s="161">
        <v>0</v>
      </c>
      <c r="V946" s="161">
        <v>0</v>
      </c>
      <c r="W946" s="161">
        <f t="shared" si="85"/>
        <v>1114.92</v>
      </c>
      <c r="X946" s="161">
        <f t="shared" si="86"/>
        <v>1114.92</v>
      </c>
      <c r="Y946" s="161">
        <f t="shared" si="87"/>
        <v>0</v>
      </c>
      <c r="Z946" s="161">
        <v>0</v>
      </c>
      <c r="AA946" s="161">
        <f t="shared" si="88"/>
        <v>0</v>
      </c>
      <c r="AB946" s="161">
        <f t="shared" si="89"/>
        <v>2500</v>
      </c>
      <c r="AC946" s="158" t="s">
        <v>1039</v>
      </c>
      <c r="AD946" s="158"/>
    </row>
    <row r="947" spans="1:30" ht="12.75" customHeight="1" x14ac:dyDescent="0.3">
      <c r="A947" s="147">
        <v>43</v>
      </c>
      <c r="B947" s="158" t="s">
        <v>604</v>
      </c>
      <c r="C947" s="158" t="s">
        <v>123</v>
      </c>
      <c r="D947" s="158" t="s">
        <v>999</v>
      </c>
      <c r="E947" s="160" t="s">
        <v>871</v>
      </c>
      <c r="F947" s="158" t="s">
        <v>39</v>
      </c>
      <c r="G947" s="158" t="s">
        <v>866</v>
      </c>
      <c r="H947" s="161">
        <v>5601.58</v>
      </c>
      <c r="I947" s="161">
        <v>-96.77</v>
      </c>
      <c r="J947" s="161">
        <v>0</v>
      </c>
      <c r="K947" s="161">
        <v>0</v>
      </c>
      <c r="L947" s="161">
        <v>0</v>
      </c>
      <c r="M947" s="161">
        <v>-45</v>
      </c>
      <c r="N947" s="161">
        <v>0</v>
      </c>
      <c r="O947" s="162">
        <f t="shared" si="84"/>
        <v>5459.8099999999995</v>
      </c>
      <c r="P947" s="161">
        <v>-2500</v>
      </c>
      <c r="Q947" s="161">
        <v>0</v>
      </c>
      <c r="R947" s="161">
        <v>0</v>
      </c>
      <c r="S947" s="161">
        <v>0</v>
      </c>
      <c r="T947" s="161">
        <v>0</v>
      </c>
      <c r="U947" s="161">
        <v>0</v>
      </c>
      <c r="V947" s="161">
        <v>0</v>
      </c>
      <c r="W947" s="161">
        <f t="shared" si="85"/>
        <v>2959.8099999999995</v>
      </c>
      <c r="X947" s="161">
        <f t="shared" si="86"/>
        <v>2959.8099999999995</v>
      </c>
      <c r="Y947" s="161">
        <f t="shared" si="87"/>
        <v>0</v>
      </c>
      <c r="Z947" s="161">
        <v>0</v>
      </c>
      <c r="AA947" s="161">
        <f t="shared" si="88"/>
        <v>0</v>
      </c>
      <c r="AB947" s="161">
        <f t="shared" si="89"/>
        <v>2500</v>
      </c>
      <c r="AC947" s="158" t="s">
        <v>1039</v>
      </c>
      <c r="AD947" s="158"/>
    </row>
    <row r="948" spans="1:30" ht="12.75" customHeight="1" x14ac:dyDescent="0.3">
      <c r="A948" s="147">
        <v>43</v>
      </c>
      <c r="B948" s="158" t="s">
        <v>1029</v>
      </c>
      <c r="C948" s="158" t="s">
        <v>68</v>
      </c>
      <c r="D948" s="158" t="s">
        <v>869</v>
      </c>
      <c r="E948" s="158" t="s">
        <v>25</v>
      </c>
      <c r="F948" s="158" t="s">
        <v>25</v>
      </c>
      <c r="G948" s="158" t="s">
        <v>866</v>
      </c>
      <c r="H948" s="161">
        <v>9156.56</v>
      </c>
      <c r="I948" s="161">
        <v>-144.86000000000001</v>
      </c>
      <c r="J948" s="161">
        <v>0</v>
      </c>
      <c r="K948" s="161">
        <v>-61.57</v>
      </c>
      <c r="L948" s="161">
        <v>0</v>
      </c>
      <c r="M948" s="161">
        <v>-48</v>
      </c>
      <c r="N948" s="161">
        <v>0</v>
      </c>
      <c r="O948" s="162">
        <f t="shared" si="84"/>
        <v>8902.1299999999992</v>
      </c>
      <c r="P948" s="161">
        <v>-2500</v>
      </c>
      <c r="Q948" s="161">
        <v>0</v>
      </c>
      <c r="R948" s="161">
        <v>0</v>
      </c>
      <c r="S948" s="161">
        <v>0</v>
      </c>
      <c r="T948" s="161">
        <v>0</v>
      </c>
      <c r="U948" s="161">
        <v>-1000</v>
      </c>
      <c r="V948" s="161">
        <v>0</v>
      </c>
      <c r="W948" s="161">
        <f t="shared" si="85"/>
        <v>5402.1299999999992</v>
      </c>
      <c r="X948" s="161">
        <f t="shared" si="86"/>
        <v>5402.1299999999992</v>
      </c>
      <c r="Y948" s="161">
        <f t="shared" si="87"/>
        <v>0</v>
      </c>
      <c r="Z948" s="161">
        <v>0</v>
      </c>
      <c r="AA948" s="161">
        <f t="shared" si="88"/>
        <v>0</v>
      </c>
      <c r="AB948" s="161">
        <f t="shared" si="89"/>
        <v>3500</v>
      </c>
      <c r="AC948" s="158" t="s">
        <v>1107</v>
      </c>
      <c r="AD948" s="158"/>
    </row>
    <row r="949" spans="1:30" ht="12.75" customHeight="1" x14ac:dyDescent="0.3">
      <c r="A949" s="147">
        <v>43</v>
      </c>
      <c r="B949" s="158" t="s">
        <v>1082</v>
      </c>
      <c r="C949" s="158" t="s">
        <v>152</v>
      </c>
      <c r="D949" s="158" t="s">
        <v>1108</v>
      </c>
      <c r="E949" s="160" t="s">
        <v>25</v>
      </c>
      <c r="F949" s="158" t="s">
        <v>39</v>
      </c>
      <c r="G949" s="158" t="s">
        <v>866</v>
      </c>
      <c r="H949" s="161">
        <v>0</v>
      </c>
      <c r="I949" s="161">
        <v>0</v>
      </c>
      <c r="J949" s="161">
        <v>0</v>
      </c>
      <c r="K949" s="161">
        <v>0</v>
      </c>
      <c r="L949" s="161">
        <v>0</v>
      </c>
      <c r="M949" s="161">
        <v>0</v>
      </c>
      <c r="N949" s="161">
        <v>0</v>
      </c>
      <c r="O949" s="162">
        <f t="shared" si="84"/>
        <v>0</v>
      </c>
      <c r="P949" s="161">
        <v>-2500</v>
      </c>
      <c r="Q949" s="161">
        <v>0</v>
      </c>
      <c r="R949" s="161">
        <v>-500</v>
      </c>
      <c r="S949" s="161">
        <v>0</v>
      </c>
      <c r="T949" s="161">
        <v>0</v>
      </c>
      <c r="U949" s="161">
        <v>0</v>
      </c>
      <c r="V949" s="161">
        <v>0</v>
      </c>
      <c r="W949" s="161">
        <f t="shared" si="85"/>
        <v>-3000</v>
      </c>
      <c r="X949" s="161">
        <f t="shared" si="86"/>
        <v>0</v>
      </c>
      <c r="Y949" s="161">
        <f t="shared" si="87"/>
        <v>-3000</v>
      </c>
      <c r="Z949" s="161">
        <v>3000</v>
      </c>
      <c r="AA949" s="161">
        <f t="shared" si="88"/>
        <v>0</v>
      </c>
      <c r="AB949" s="161">
        <f t="shared" si="89"/>
        <v>3000</v>
      </c>
      <c r="AC949" s="158" t="s">
        <v>1043</v>
      </c>
      <c r="AD949" s="158"/>
    </row>
    <row r="950" spans="1:30" ht="12.75" customHeight="1" x14ac:dyDescent="0.3">
      <c r="A950" s="147">
        <v>43</v>
      </c>
      <c r="B950" s="158" t="s">
        <v>913</v>
      </c>
      <c r="C950" s="158" t="s">
        <v>426</v>
      </c>
      <c r="D950" s="158" t="s">
        <v>903</v>
      </c>
      <c r="E950" s="158" t="s">
        <v>25</v>
      </c>
      <c r="F950" s="158" t="s">
        <v>25</v>
      </c>
      <c r="G950" s="158" t="s">
        <v>866</v>
      </c>
      <c r="H950" s="161">
        <v>7713.89</v>
      </c>
      <c r="I950" s="161">
        <v>-149.08000000000001</v>
      </c>
      <c r="J950" s="161">
        <v>0</v>
      </c>
      <c r="K950" s="161">
        <v>0</v>
      </c>
      <c r="L950" s="161">
        <v>-6603.87</v>
      </c>
      <c r="M950" s="161">
        <v>-44</v>
      </c>
      <c r="N950" s="161">
        <f>-216-165</f>
        <v>-381</v>
      </c>
      <c r="O950" s="162">
        <f t="shared" si="84"/>
        <v>535.94000000000051</v>
      </c>
      <c r="P950" s="161">
        <v>-2500</v>
      </c>
      <c r="Q950" s="161">
        <v>1</v>
      </c>
      <c r="R950" s="161">
        <v>0</v>
      </c>
      <c r="S950" s="161">
        <v>0</v>
      </c>
      <c r="T950" s="161">
        <v>-1000</v>
      </c>
      <c r="U950" s="161">
        <v>0</v>
      </c>
      <c r="V950" s="161">
        <v>0</v>
      </c>
      <c r="W950" s="161">
        <f t="shared" si="85"/>
        <v>-2963.0599999999995</v>
      </c>
      <c r="X950" s="161">
        <f t="shared" si="86"/>
        <v>0</v>
      </c>
      <c r="Y950" s="161">
        <f t="shared" si="87"/>
        <v>-2963.0599999999995</v>
      </c>
      <c r="Z950" s="161">
        <f>1500+500+500+450</f>
        <v>2950</v>
      </c>
      <c r="AA950" s="161">
        <f t="shared" si="88"/>
        <v>-13.059999999999491</v>
      </c>
      <c r="AB950" s="161">
        <f t="shared" si="89"/>
        <v>3472.880000000001</v>
      </c>
      <c r="AC950" s="158" t="s">
        <v>1109</v>
      </c>
      <c r="AD950" s="158"/>
    </row>
    <row r="951" spans="1:30" ht="12.75" customHeight="1" x14ac:dyDescent="0.3">
      <c r="A951" s="147">
        <v>43</v>
      </c>
      <c r="B951" s="158" t="s">
        <v>457</v>
      </c>
      <c r="C951" s="158" t="s">
        <v>573</v>
      </c>
      <c r="D951" s="158" t="s">
        <v>974</v>
      </c>
      <c r="E951" s="158" t="s">
        <v>25</v>
      </c>
      <c r="F951" s="158" t="s">
        <v>39</v>
      </c>
      <c r="G951" s="158" t="s">
        <v>866</v>
      </c>
      <c r="H951" s="161">
        <v>3755.83</v>
      </c>
      <c r="I951" s="161">
        <v>-82</v>
      </c>
      <c r="J951" s="161">
        <v>0</v>
      </c>
      <c r="K951" s="161">
        <v>0</v>
      </c>
      <c r="L951" s="161">
        <v>-1282.17</v>
      </c>
      <c r="M951" s="161">
        <f>(-35-16)+-10</f>
        <v>-61</v>
      </c>
      <c r="N951" s="161">
        <v>-95</v>
      </c>
      <c r="O951" s="162">
        <f t="shared" si="84"/>
        <v>2235.66</v>
      </c>
      <c r="P951" s="161">
        <v>-2500</v>
      </c>
      <c r="Q951" s="161">
        <v>0</v>
      </c>
      <c r="R951" s="161">
        <v>0</v>
      </c>
      <c r="S951" s="161">
        <v>0</v>
      </c>
      <c r="T951" s="161">
        <v>0</v>
      </c>
      <c r="U951" s="161">
        <v>0</v>
      </c>
      <c r="V951" s="161">
        <v>0</v>
      </c>
      <c r="W951" s="161">
        <f t="shared" si="85"/>
        <v>-264.34000000000015</v>
      </c>
      <c r="X951" s="161">
        <f t="shared" si="86"/>
        <v>0</v>
      </c>
      <c r="Y951" s="161">
        <f t="shared" si="87"/>
        <v>-264.34000000000015</v>
      </c>
      <c r="Z951" s="161">
        <v>0</v>
      </c>
      <c r="AA951" s="161">
        <f t="shared" si="88"/>
        <v>-264.34000000000015</v>
      </c>
      <c r="AB951" s="161">
        <f t="shared" si="89"/>
        <v>1971.3199999999997</v>
      </c>
      <c r="AC951" s="158"/>
      <c r="AD951" s="158"/>
    </row>
    <row r="952" spans="1:30" ht="12.75" customHeight="1" x14ac:dyDescent="0.3">
      <c r="A952" s="147">
        <v>43</v>
      </c>
      <c r="B952" s="158" t="s">
        <v>1076</v>
      </c>
      <c r="C952" s="158" t="s">
        <v>80</v>
      </c>
      <c r="D952" s="158" t="s">
        <v>996</v>
      </c>
      <c r="E952" s="160" t="s">
        <v>18</v>
      </c>
      <c r="F952" s="160" t="s">
        <v>18</v>
      </c>
      <c r="G952" s="158" t="s">
        <v>737</v>
      </c>
      <c r="H952" s="161">
        <v>9408</v>
      </c>
      <c r="I952" s="161">
        <v>0</v>
      </c>
      <c r="J952" s="161">
        <v>0</v>
      </c>
      <c r="K952" s="161">
        <v>0</v>
      </c>
      <c r="L952" s="161">
        <v>-7077.6</v>
      </c>
      <c r="M952" s="161">
        <v>0</v>
      </c>
      <c r="N952" s="161">
        <v>0</v>
      </c>
      <c r="O952" s="162">
        <f t="shared" si="84"/>
        <v>2330.3999999999996</v>
      </c>
      <c r="P952" s="161">
        <v>-2600</v>
      </c>
      <c r="Q952" s="161">
        <v>0</v>
      </c>
      <c r="R952" s="161">
        <v>-500</v>
      </c>
      <c r="S952" s="161">
        <v>0</v>
      </c>
      <c r="T952" s="161">
        <v>0</v>
      </c>
      <c r="U952" s="161">
        <v>0</v>
      </c>
      <c r="V952" s="161">
        <v>0</v>
      </c>
      <c r="W952" s="161">
        <f t="shared" si="85"/>
        <v>-769.60000000000036</v>
      </c>
      <c r="X952" s="161">
        <f t="shared" si="86"/>
        <v>0</v>
      </c>
      <c r="Y952" s="161">
        <f t="shared" si="87"/>
        <v>-769.60000000000036</v>
      </c>
      <c r="Z952" s="161">
        <v>770</v>
      </c>
      <c r="AA952" s="161">
        <f t="shared" si="88"/>
        <v>0.3999999999996362</v>
      </c>
      <c r="AB952" s="161">
        <f t="shared" si="89"/>
        <v>3100.7999999999993</v>
      </c>
      <c r="AC952" s="158" t="s">
        <v>1110</v>
      </c>
      <c r="AD952" s="158"/>
    </row>
    <row r="953" spans="1:30" ht="12.75" customHeight="1" x14ac:dyDescent="0.3">
      <c r="A953" s="147">
        <v>43</v>
      </c>
      <c r="B953" s="158" t="s">
        <v>620</v>
      </c>
      <c r="C953" s="158" t="s">
        <v>571</v>
      </c>
      <c r="D953" s="158" t="s">
        <v>974</v>
      </c>
      <c r="E953" s="158" t="s">
        <v>25</v>
      </c>
      <c r="F953" s="158" t="s">
        <v>25</v>
      </c>
      <c r="G953" s="158" t="s">
        <v>866</v>
      </c>
      <c r="H953" s="161">
        <v>6357.79</v>
      </c>
      <c r="I953" s="161">
        <v>-121.39</v>
      </c>
      <c r="J953" s="161">
        <v>0</v>
      </c>
      <c r="K953" s="161">
        <v>0</v>
      </c>
      <c r="L953" s="161">
        <v>-4322.87</v>
      </c>
      <c r="M953" s="161">
        <v>-46</v>
      </c>
      <c r="N953" s="161">
        <v>0</v>
      </c>
      <c r="O953" s="162">
        <f t="shared" si="84"/>
        <v>1867.5299999999997</v>
      </c>
      <c r="P953" s="161">
        <v>-2500</v>
      </c>
      <c r="Q953" s="161">
        <v>0</v>
      </c>
      <c r="R953" s="161">
        <v>-500</v>
      </c>
      <c r="S953" s="161">
        <v>0</v>
      </c>
      <c r="T953" s="161">
        <v>0</v>
      </c>
      <c r="U953" s="161">
        <v>0</v>
      </c>
      <c r="V953" s="161">
        <v>0</v>
      </c>
      <c r="W953" s="161">
        <f t="shared" si="85"/>
        <v>-1132.4700000000003</v>
      </c>
      <c r="X953" s="161">
        <f t="shared" si="86"/>
        <v>0</v>
      </c>
      <c r="Y953" s="161">
        <f t="shared" si="87"/>
        <v>-1132.4700000000003</v>
      </c>
      <c r="Z953" s="161">
        <f>500+500+132</f>
        <v>1132</v>
      </c>
      <c r="AA953" s="161">
        <f t="shared" si="88"/>
        <v>-0.47000000000025466</v>
      </c>
      <c r="AB953" s="161">
        <f t="shared" si="89"/>
        <v>2999.0599999999995</v>
      </c>
      <c r="AC953" s="158" t="s">
        <v>1043</v>
      </c>
      <c r="AD953" s="158"/>
    </row>
    <row r="954" spans="1:30" ht="12.75" customHeight="1" x14ac:dyDescent="0.3">
      <c r="A954" s="147">
        <v>43</v>
      </c>
      <c r="B954" s="158" t="s">
        <v>874</v>
      </c>
      <c r="C954" s="158" t="s">
        <v>1071</v>
      </c>
      <c r="D954" s="158" t="s">
        <v>1111</v>
      </c>
      <c r="E954" s="160" t="s">
        <v>18</v>
      </c>
      <c r="F954" s="160" t="s">
        <v>18</v>
      </c>
      <c r="G954" s="158" t="s">
        <v>737</v>
      </c>
      <c r="H954" s="161">
        <v>0</v>
      </c>
      <c r="I954" s="161">
        <v>0</v>
      </c>
      <c r="J954" s="161">
        <v>0</v>
      </c>
      <c r="K954" s="161">
        <v>0</v>
      </c>
      <c r="L954" s="161">
        <v>0</v>
      </c>
      <c r="M954" s="161">
        <v>0</v>
      </c>
      <c r="N954" s="161">
        <v>0</v>
      </c>
      <c r="O954" s="162">
        <f t="shared" si="84"/>
        <v>0</v>
      </c>
      <c r="P954" s="161">
        <v>-2500</v>
      </c>
      <c r="Q954" s="161">
        <v>0</v>
      </c>
      <c r="R954" s="161">
        <v>-500</v>
      </c>
      <c r="S954" s="161">
        <v>0</v>
      </c>
      <c r="T954" s="161">
        <v>0</v>
      </c>
      <c r="U954" s="161">
        <v>0</v>
      </c>
      <c r="V954" s="161">
        <v>0</v>
      </c>
      <c r="W954" s="161">
        <f t="shared" si="85"/>
        <v>-3000</v>
      </c>
      <c r="X954" s="161">
        <f t="shared" si="86"/>
        <v>0</v>
      </c>
      <c r="Y954" s="161">
        <f t="shared" si="87"/>
        <v>-3000</v>
      </c>
      <c r="Z954" s="161">
        <f>2500+500</f>
        <v>3000</v>
      </c>
      <c r="AA954" s="161">
        <f t="shared" si="88"/>
        <v>0</v>
      </c>
      <c r="AB954" s="161">
        <f t="shared" si="89"/>
        <v>3000</v>
      </c>
      <c r="AC954" s="158" t="s">
        <v>1112</v>
      </c>
      <c r="AD954" s="158"/>
    </row>
    <row r="955" spans="1:30" ht="12.75" customHeight="1" x14ac:dyDescent="0.3">
      <c r="A955" s="147">
        <v>43</v>
      </c>
      <c r="B955" s="158" t="s">
        <v>872</v>
      </c>
      <c r="C955" s="158" t="s">
        <v>256</v>
      </c>
      <c r="D955" s="158" t="s">
        <v>997</v>
      </c>
      <c r="E955" s="160" t="s">
        <v>871</v>
      </c>
      <c r="F955" s="158" t="s">
        <v>39</v>
      </c>
      <c r="G955" s="158" t="s">
        <v>866</v>
      </c>
      <c r="H955" s="161">
        <v>9608.86</v>
      </c>
      <c r="I955" s="161">
        <v>-189.34</v>
      </c>
      <c r="J955" s="161">
        <v>0</v>
      </c>
      <c r="K955" s="161">
        <v>-84.11</v>
      </c>
      <c r="L955" s="161">
        <v>-4022.62</v>
      </c>
      <c r="M955" s="161">
        <f>(-35-20)+-10</f>
        <v>-65</v>
      </c>
      <c r="N955" s="161">
        <v>-96.51</v>
      </c>
      <c r="O955" s="162">
        <f t="shared" si="84"/>
        <v>5151.28</v>
      </c>
      <c r="P955" s="161">
        <v>-2500</v>
      </c>
      <c r="Q955" s="161">
        <v>0</v>
      </c>
      <c r="R955" s="161">
        <v>0</v>
      </c>
      <c r="S955" s="161">
        <v>0</v>
      </c>
      <c r="T955" s="161">
        <v>-700</v>
      </c>
      <c r="U955" s="161">
        <v>0</v>
      </c>
      <c r="V955" s="161">
        <v>0</v>
      </c>
      <c r="W955" s="161">
        <f t="shared" si="85"/>
        <v>1951.2799999999997</v>
      </c>
      <c r="X955" s="161">
        <f t="shared" si="86"/>
        <v>1951.2799999999997</v>
      </c>
      <c r="Y955" s="161">
        <f t="shared" si="87"/>
        <v>0</v>
      </c>
      <c r="Z955" s="161">
        <v>0</v>
      </c>
      <c r="AA955" s="161">
        <f t="shared" si="88"/>
        <v>0</v>
      </c>
      <c r="AB955" s="161">
        <f t="shared" si="89"/>
        <v>3200</v>
      </c>
      <c r="AC955" s="158" t="s">
        <v>1039</v>
      </c>
      <c r="AD955" s="158"/>
    </row>
    <row r="956" spans="1:30" ht="12.75" customHeight="1" x14ac:dyDescent="0.3">
      <c r="A956" s="147">
        <v>43</v>
      </c>
      <c r="B956" s="158" t="s">
        <v>921</v>
      </c>
      <c r="C956" s="158" t="s">
        <v>257</v>
      </c>
      <c r="D956" s="158" t="s">
        <v>943</v>
      </c>
      <c r="E956" s="158" t="s">
        <v>25</v>
      </c>
      <c r="F956" s="158" t="s">
        <v>25</v>
      </c>
      <c r="G956" s="158" t="s">
        <v>866</v>
      </c>
      <c r="H956" s="161">
        <v>397.45</v>
      </c>
      <c r="I956" s="161">
        <v>-6.53</v>
      </c>
      <c r="J956" s="161">
        <v>0</v>
      </c>
      <c r="K956" s="161">
        <v>0</v>
      </c>
      <c r="L956" s="161">
        <v>-49.92</v>
      </c>
      <c r="M956" s="161">
        <v>-15</v>
      </c>
      <c r="N956" s="161">
        <v>0</v>
      </c>
      <c r="O956" s="162">
        <f t="shared" si="84"/>
        <v>326</v>
      </c>
      <c r="P956" s="161">
        <v>-893</v>
      </c>
      <c r="Q956" s="161">
        <v>0</v>
      </c>
      <c r="R956" s="161">
        <v>2005</v>
      </c>
      <c r="S956" s="161">
        <v>-1000</v>
      </c>
      <c r="T956" s="161">
        <v>0</v>
      </c>
      <c r="U956" s="161">
        <f>-680-250+300-108+300</f>
        <v>-438</v>
      </c>
      <c r="V956" s="161">
        <v>0</v>
      </c>
      <c r="W956" s="161">
        <f t="shared" si="85"/>
        <v>0</v>
      </c>
      <c r="X956" s="161">
        <f t="shared" si="86"/>
        <v>0</v>
      </c>
      <c r="Y956" s="161">
        <f t="shared" si="87"/>
        <v>0</v>
      </c>
      <c r="Z956" s="161">
        <v>0</v>
      </c>
      <c r="AA956" s="161">
        <f t="shared" si="88"/>
        <v>0</v>
      </c>
      <c r="AB956" s="161">
        <f t="shared" si="89"/>
        <v>326</v>
      </c>
      <c r="AC956" s="158" t="s">
        <v>1113</v>
      </c>
      <c r="AD956" s="158"/>
    </row>
    <row r="957" spans="1:30" ht="12.75" customHeight="1" x14ac:dyDescent="0.3">
      <c r="A957" s="147">
        <v>43</v>
      </c>
      <c r="B957" s="158" t="s">
        <v>1013</v>
      </c>
      <c r="C957" s="158" t="s">
        <v>101</v>
      </c>
      <c r="D957" s="158" t="s">
        <v>945</v>
      </c>
      <c r="E957" s="158" t="s">
        <v>25</v>
      </c>
      <c r="F957" s="158" t="s">
        <v>25</v>
      </c>
      <c r="G957" s="158" t="s">
        <v>866</v>
      </c>
      <c r="H957" s="161">
        <v>8953.2900000000009</v>
      </c>
      <c r="I957" s="161">
        <v>-153.91</v>
      </c>
      <c r="J957" s="161">
        <v>0</v>
      </c>
      <c r="K957" s="161">
        <v>0</v>
      </c>
      <c r="L957" s="161">
        <v>-4983.51</v>
      </c>
      <c r="M957" s="161">
        <v>-44</v>
      </c>
      <c r="N957" s="161">
        <v>0</v>
      </c>
      <c r="O957" s="162">
        <f t="shared" si="84"/>
        <v>3771.8700000000008</v>
      </c>
      <c r="P957" s="161">
        <v>-2500</v>
      </c>
      <c r="Q957" s="161">
        <v>0</v>
      </c>
      <c r="R957" s="161">
        <v>0</v>
      </c>
      <c r="S957" s="161">
        <v>0</v>
      </c>
      <c r="T957" s="161">
        <v>0</v>
      </c>
      <c r="U957" s="161">
        <v>0</v>
      </c>
      <c r="V957" s="161">
        <v>0</v>
      </c>
      <c r="W957" s="161">
        <f t="shared" si="85"/>
        <v>1271.8700000000008</v>
      </c>
      <c r="X957" s="161">
        <f t="shared" si="86"/>
        <v>1271.8700000000008</v>
      </c>
      <c r="Y957" s="161">
        <f t="shared" si="87"/>
        <v>0</v>
      </c>
      <c r="Z957" s="161">
        <v>0</v>
      </c>
      <c r="AA957" s="161">
        <f t="shared" si="88"/>
        <v>0</v>
      </c>
      <c r="AB957" s="161">
        <f t="shared" si="89"/>
        <v>2500</v>
      </c>
      <c r="AC957" s="158" t="s">
        <v>1107</v>
      </c>
      <c r="AD957" s="158"/>
    </row>
    <row r="958" spans="1:30" ht="12.75" customHeight="1" x14ac:dyDescent="0.3">
      <c r="A958" s="147">
        <v>43</v>
      </c>
      <c r="B958" s="158" t="s">
        <v>484</v>
      </c>
      <c r="C958" s="158" t="s">
        <v>1065</v>
      </c>
      <c r="D958" s="158" t="s">
        <v>903</v>
      </c>
      <c r="E958" s="158" t="s">
        <v>25</v>
      </c>
      <c r="F958" s="158" t="s">
        <v>39</v>
      </c>
      <c r="G958" s="158" t="s">
        <v>866</v>
      </c>
      <c r="H958" s="161">
        <v>8601.43</v>
      </c>
      <c r="I958" s="161">
        <v>-241.85</v>
      </c>
      <c r="J958" s="161">
        <v>0</v>
      </c>
      <c r="K958" s="161">
        <v>0</v>
      </c>
      <c r="L958" s="161">
        <v>-5638.74</v>
      </c>
      <c r="M958" s="161">
        <v>-46</v>
      </c>
      <c r="N958" s="161">
        <v>0</v>
      </c>
      <c r="O958" s="162">
        <f t="shared" si="84"/>
        <v>2674.84</v>
      </c>
      <c r="P958" s="161">
        <v>-2500</v>
      </c>
      <c r="Q958" s="161">
        <v>-339.36</v>
      </c>
      <c r="R958" s="161">
        <v>0</v>
      </c>
      <c r="S958" s="161">
        <v>0</v>
      </c>
      <c r="T958" s="161">
        <v>0</v>
      </c>
      <c r="U958" s="161">
        <v>0</v>
      </c>
      <c r="V958" s="161">
        <v>0</v>
      </c>
      <c r="W958" s="161">
        <f t="shared" si="85"/>
        <v>-164.51999999999998</v>
      </c>
      <c r="X958" s="161">
        <f t="shared" si="86"/>
        <v>0</v>
      </c>
      <c r="Y958" s="161">
        <f t="shared" si="87"/>
        <v>-164.51999999999998</v>
      </c>
      <c r="Z958" s="161">
        <v>0</v>
      </c>
      <c r="AA958" s="161">
        <f t="shared" si="88"/>
        <v>-164.51999999999998</v>
      </c>
      <c r="AB958" s="161">
        <f t="shared" si="89"/>
        <v>2510.3200000000002</v>
      </c>
      <c r="AC958" s="158"/>
      <c r="AD958" s="158"/>
    </row>
    <row r="959" spans="1:30" ht="12.75" customHeight="1" x14ac:dyDescent="0.3">
      <c r="A959" s="147">
        <v>43</v>
      </c>
      <c r="B959" s="158" t="s">
        <v>1067</v>
      </c>
      <c r="C959" s="158" t="s">
        <v>46</v>
      </c>
      <c r="D959" s="158" t="s">
        <v>915</v>
      </c>
      <c r="E959" s="158" t="s">
        <v>25</v>
      </c>
      <c r="F959" s="158" t="s">
        <v>25</v>
      </c>
      <c r="G959" s="158" t="s">
        <v>866</v>
      </c>
      <c r="H959" s="161">
        <v>4946.17</v>
      </c>
      <c r="I959" s="161">
        <v>-73.849999999999994</v>
      </c>
      <c r="J959" s="161">
        <v>0</v>
      </c>
      <c r="K959" s="161">
        <v>0</v>
      </c>
      <c r="L959" s="161">
        <v>-1207.1600000000001</v>
      </c>
      <c r="M959" s="161">
        <v>-48</v>
      </c>
      <c r="N959" s="161">
        <v>0</v>
      </c>
      <c r="O959" s="162">
        <f t="shared" si="84"/>
        <v>3617.16</v>
      </c>
      <c r="P959" s="161">
        <v>-2500</v>
      </c>
      <c r="Q959" s="161">
        <v>0</v>
      </c>
      <c r="R959" s="161">
        <v>-356</v>
      </c>
      <c r="S959" s="161">
        <v>0</v>
      </c>
      <c r="T959" s="161">
        <v>-700</v>
      </c>
      <c r="U959" s="161">
        <v>0</v>
      </c>
      <c r="V959" s="161">
        <v>0</v>
      </c>
      <c r="W959" s="161">
        <f t="shared" si="85"/>
        <v>61.159999999999854</v>
      </c>
      <c r="X959" s="161">
        <f t="shared" si="86"/>
        <v>61.159999999999854</v>
      </c>
      <c r="Y959" s="161">
        <f t="shared" si="87"/>
        <v>0</v>
      </c>
      <c r="Z959" s="161">
        <v>0</v>
      </c>
      <c r="AA959" s="161">
        <f t="shared" si="88"/>
        <v>0</v>
      </c>
      <c r="AB959" s="161">
        <f t="shared" si="89"/>
        <v>3556</v>
      </c>
      <c r="AC959" s="158" t="s">
        <v>1107</v>
      </c>
      <c r="AD959" s="158"/>
    </row>
    <row r="960" spans="1:30" ht="12.75" customHeight="1" x14ac:dyDescent="0.3">
      <c r="A960" s="147">
        <v>43</v>
      </c>
      <c r="B960" s="158" t="s">
        <v>1051</v>
      </c>
      <c r="C960" s="158" t="s">
        <v>21</v>
      </c>
      <c r="D960" s="158" t="s">
        <v>20</v>
      </c>
      <c r="E960" s="160" t="s">
        <v>18</v>
      </c>
      <c r="F960" s="160" t="s">
        <v>18</v>
      </c>
      <c r="G960" s="158" t="s">
        <v>866</v>
      </c>
      <c r="H960" s="161">
        <v>3342.43</v>
      </c>
      <c r="I960" s="161">
        <v>-53.25</v>
      </c>
      <c r="J960" s="161">
        <v>0</v>
      </c>
      <c r="K960" s="161">
        <v>0</v>
      </c>
      <c r="L960" s="161">
        <v>-1586.11</v>
      </c>
      <c r="M960" s="161">
        <v>0</v>
      </c>
      <c r="N960" s="161">
        <v>0</v>
      </c>
      <c r="O960" s="162">
        <f t="shared" si="84"/>
        <v>1703.07</v>
      </c>
      <c r="P960" s="161">
        <v>-2500</v>
      </c>
      <c r="Q960" s="161">
        <v>0</v>
      </c>
      <c r="R960" s="161">
        <v>-500</v>
      </c>
      <c r="S960" s="161">
        <v>0</v>
      </c>
      <c r="T960" s="161">
        <v>0</v>
      </c>
      <c r="U960" s="161">
        <v>0</v>
      </c>
      <c r="V960" s="161">
        <v>0</v>
      </c>
      <c r="W960" s="161">
        <f t="shared" si="85"/>
        <v>-1296.93</v>
      </c>
      <c r="X960" s="161">
        <f t="shared" si="86"/>
        <v>0</v>
      </c>
      <c r="Y960" s="161">
        <f t="shared" si="87"/>
        <v>-1296.93</v>
      </c>
      <c r="Z960" s="161">
        <v>1297</v>
      </c>
      <c r="AA960" s="161">
        <f t="shared" si="88"/>
        <v>6.9999999999936335E-2</v>
      </c>
      <c r="AB960" s="161">
        <f t="shared" si="89"/>
        <v>3000.1399999999994</v>
      </c>
      <c r="AC960" s="158" t="s">
        <v>1015</v>
      </c>
      <c r="AD960" s="158"/>
    </row>
    <row r="961" spans="1:30" ht="12.75" customHeight="1" x14ac:dyDescent="0.3">
      <c r="A961" s="147">
        <v>43</v>
      </c>
      <c r="B961" s="158" t="s">
        <v>880</v>
      </c>
      <c r="C961" s="158" t="s">
        <v>183</v>
      </c>
      <c r="D961" s="158" t="s">
        <v>887</v>
      </c>
      <c r="E961" s="158" t="s">
        <v>25</v>
      </c>
      <c r="F961" s="158" t="s">
        <v>25</v>
      </c>
      <c r="G961" s="158" t="s">
        <v>866</v>
      </c>
      <c r="H961" s="161">
        <v>4877.13</v>
      </c>
      <c r="I961" s="161">
        <v>-93.72</v>
      </c>
      <c r="J961" s="161">
        <v>0</v>
      </c>
      <c r="K961" s="161">
        <v>0</v>
      </c>
      <c r="L961" s="161">
        <v>-1469.15</v>
      </c>
      <c r="M961" s="161">
        <v>-46</v>
      </c>
      <c r="N961" s="161">
        <v>-145</v>
      </c>
      <c r="O961" s="162">
        <f t="shared" si="84"/>
        <v>3123.2599999999998</v>
      </c>
      <c r="P961" s="161">
        <v>-2500</v>
      </c>
      <c r="Q961" s="161">
        <v>0</v>
      </c>
      <c r="R961" s="161">
        <v>0</v>
      </c>
      <c r="S961" s="161">
        <v>0</v>
      </c>
      <c r="T961" s="161">
        <v>0</v>
      </c>
      <c r="U961" s="161">
        <v>-156</v>
      </c>
      <c r="V961" s="161">
        <v>0</v>
      </c>
      <c r="W961" s="161">
        <f t="shared" si="85"/>
        <v>467.25999999999976</v>
      </c>
      <c r="X961" s="161">
        <f t="shared" si="86"/>
        <v>467.25999999999976</v>
      </c>
      <c r="Y961" s="161">
        <f t="shared" si="87"/>
        <v>0</v>
      </c>
      <c r="Z961" s="161">
        <v>0</v>
      </c>
      <c r="AA961" s="161">
        <f t="shared" si="88"/>
        <v>0</v>
      </c>
      <c r="AB961" s="161">
        <f t="shared" si="89"/>
        <v>2656</v>
      </c>
      <c r="AC961" s="158" t="s">
        <v>1107</v>
      </c>
      <c r="AD961" s="158"/>
    </row>
    <row r="962" spans="1:30" ht="12.75" customHeight="1" x14ac:dyDescent="0.3">
      <c r="A962" s="147">
        <v>43</v>
      </c>
      <c r="B962" s="158" t="s">
        <v>922</v>
      </c>
      <c r="C962" s="158" t="s">
        <v>36</v>
      </c>
      <c r="D962" s="158" t="s">
        <v>904</v>
      </c>
      <c r="E962" s="158" t="s">
        <v>25</v>
      </c>
      <c r="F962" s="158" t="s">
        <v>25</v>
      </c>
      <c r="G962" s="158" t="s">
        <v>866</v>
      </c>
      <c r="H962" s="161">
        <v>2202.87</v>
      </c>
      <c r="I962" s="161">
        <v>-32</v>
      </c>
      <c r="J962" s="161">
        <v>19.579999999999998</v>
      </c>
      <c r="K962" s="161">
        <v>0</v>
      </c>
      <c r="L962" s="161">
        <v>-921.14</v>
      </c>
      <c r="M962" s="161">
        <v>-44</v>
      </c>
      <c r="N962" s="161">
        <v>0</v>
      </c>
      <c r="O962" s="162">
        <f t="shared" ref="O962:O1025" si="90">SUM(H962:N962)</f>
        <v>1225.31</v>
      </c>
      <c r="P962" s="161">
        <v>-2500</v>
      </c>
      <c r="Q962" s="161">
        <v>-502</v>
      </c>
      <c r="R962" s="161">
        <v>0</v>
      </c>
      <c r="S962" s="161">
        <v>0</v>
      </c>
      <c r="T962" s="161">
        <v>0</v>
      </c>
      <c r="U962" s="161">
        <v>0</v>
      </c>
      <c r="V962" s="161">
        <v>0</v>
      </c>
      <c r="W962" s="161">
        <f t="shared" ref="W962:W1025" si="91">+O962+SUM(P962:V962)</f>
        <v>-1776.69</v>
      </c>
      <c r="X962" s="161">
        <f t="shared" ref="X962:X1025" si="92">IF(W962&gt;=0,W962,0)</f>
        <v>0</v>
      </c>
      <c r="Y962" s="161">
        <f t="shared" ref="Y962:Y1025" si="93">IF(W962&lt;=0,W962,0)</f>
        <v>-1776.69</v>
      </c>
      <c r="Z962" s="161">
        <f>300+500+429+300+200</f>
        <v>1729</v>
      </c>
      <c r="AA962" s="161">
        <f t="shared" ref="AA962:AA1025" si="94">+Y962+Z962</f>
        <v>-47.690000000000055</v>
      </c>
      <c r="AB962" s="161">
        <f t="shared" ref="AB962:AB1025" si="95">+O962-X962+Z962+AA962</f>
        <v>2906.62</v>
      </c>
      <c r="AC962" s="158" t="s">
        <v>1114</v>
      </c>
      <c r="AD962" s="158"/>
    </row>
    <row r="963" spans="1:30" ht="12.75" customHeight="1" x14ac:dyDescent="0.3">
      <c r="A963" s="147">
        <v>43</v>
      </c>
      <c r="B963" s="158" t="s">
        <v>993</v>
      </c>
      <c r="C963" s="158" t="s">
        <v>347</v>
      </c>
      <c r="D963" s="158" t="s">
        <v>897</v>
      </c>
      <c r="E963" s="158" t="s">
        <v>25</v>
      </c>
      <c r="F963" s="158" t="s">
        <v>25</v>
      </c>
      <c r="G963" s="158" t="s">
        <v>866</v>
      </c>
      <c r="H963" s="161">
        <v>0</v>
      </c>
      <c r="I963" s="161">
        <v>0</v>
      </c>
      <c r="J963" s="161">
        <v>0</v>
      </c>
      <c r="K963" s="161">
        <v>0</v>
      </c>
      <c r="L963" s="161">
        <v>0</v>
      </c>
      <c r="M963" s="161">
        <v>0</v>
      </c>
      <c r="N963" s="161">
        <v>0</v>
      </c>
      <c r="O963" s="162">
        <f t="shared" si="90"/>
        <v>0</v>
      </c>
      <c r="P963" s="161">
        <v>-2500</v>
      </c>
      <c r="Q963" s="161">
        <v>474</v>
      </c>
      <c r="R963" s="161">
        <v>2406</v>
      </c>
      <c r="S963" s="161">
        <v>0</v>
      </c>
      <c r="T963" s="161">
        <v>0</v>
      </c>
      <c r="U963" s="161">
        <f>-130-250</f>
        <v>-380</v>
      </c>
      <c r="V963" s="161">
        <v>0</v>
      </c>
      <c r="W963" s="161">
        <f t="shared" si="91"/>
        <v>0</v>
      </c>
      <c r="X963" s="161">
        <f t="shared" si="92"/>
        <v>0</v>
      </c>
      <c r="Y963" s="161">
        <f t="shared" si="93"/>
        <v>0</v>
      </c>
      <c r="Z963" s="161">
        <v>0</v>
      </c>
      <c r="AA963" s="161">
        <f t="shared" si="94"/>
        <v>0</v>
      </c>
      <c r="AB963" s="161">
        <f t="shared" si="95"/>
        <v>0</v>
      </c>
      <c r="AC963" s="158" t="s">
        <v>1113</v>
      </c>
      <c r="AD963" s="158"/>
    </row>
    <row r="964" spans="1:30" ht="12.75" customHeight="1" x14ac:dyDescent="0.3">
      <c r="A964" s="147">
        <v>43</v>
      </c>
      <c r="B964" s="158" t="s">
        <v>1048</v>
      </c>
      <c r="C964" s="158" t="s">
        <v>55</v>
      </c>
      <c r="D964" s="158" t="s">
        <v>20</v>
      </c>
      <c r="E964" s="160" t="s">
        <v>25</v>
      </c>
      <c r="F964" s="158" t="s">
        <v>39</v>
      </c>
      <c r="G964" s="158" t="s">
        <v>866</v>
      </c>
      <c r="H964" s="161">
        <v>8368.61</v>
      </c>
      <c r="I964" s="161">
        <v>-140.15</v>
      </c>
      <c r="J964" s="161">
        <v>0</v>
      </c>
      <c r="K964" s="161">
        <v>0</v>
      </c>
      <c r="L964" s="161">
        <v>0</v>
      </c>
      <c r="M964" s="161">
        <f>-45-5</f>
        <v>-50</v>
      </c>
      <c r="N964" s="161">
        <v>0</v>
      </c>
      <c r="O964" s="162">
        <f t="shared" si="90"/>
        <v>8178.4600000000009</v>
      </c>
      <c r="P964" s="161">
        <v>-2500</v>
      </c>
      <c r="Q964" s="161">
        <v>0</v>
      </c>
      <c r="R964" s="161">
        <v>0</v>
      </c>
      <c r="S964" s="161">
        <v>0</v>
      </c>
      <c r="T964" s="161">
        <v>0</v>
      </c>
      <c r="U964" s="161">
        <v>0</v>
      </c>
      <c r="V964" s="161">
        <v>0</v>
      </c>
      <c r="W964" s="161">
        <f t="shared" si="91"/>
        <v>5678.4600000000009</v>
      </c>
      <c r="X964" s="161">
        <f t="shared" si="92"/>
        <v>5678.4600000000009</v>
      </c>
      <c r="Y964" s="161">
        <f t="shared" si="93"/>
        <v>0</v>
      </c>
      <c r="Z964" s="161">
        <v>0</v>
      </c>
      <c r="AA964" s="161">
        <f t="shared" si="94"/>
        <v>0</v>
      </c>
      <c r="AB964" s="161">
        <f t="shared" si="95"/>
        <v>2500</v>
      </c>
      <c r="AC964" s="158" t="s">
        <v>1039</v>
      </c>
      <c r="AD964" s="158"/>
    </row>
    <row r="965" spans="1:30" ht="12.75" customHeight="1" x14ac:dyDescent="0.3">
      <c r="A965" s="147">
        <v>43</v>
      </c>
      <c r="B965" s="158" t="s">
        <v>1025</v>
      </c>
      <c r="C965" s="158" t="s">
        <v>51</v>
      </c>
      <c r="D965" s="158" t="s">
        <v>1115</v>
      </c>
      <c r="E965" s="160" t="s">
        <v>25</v>
      </c>
      <c r="F965" s="158" t="s">
        <v>39</v>
      </c>
      <c r="G965" s="158" t="s">
        <v>866</v>
      </c>
      <c r="H965" s="161">
        <v>6966.92</v>
      </c>
      <c r="I965" s="161">
        <v>-112.75</v>
      </c>
      <c r="J965" s="161">
        <v>10</v>
      </c>
      <c r="K965" s="161">
        <v>0</v>
      </c>
      <c r="L965" s="161">
        <v>-2478.37</v>
      </c>
      <c r="M965" s="161">
        <v>-45</v>
      </c>
      <c r="N965" s="161">
        <v>0</v>
      </c>
      <c r="O965" s="162">
        <f t="shared" si="90"/>
        <v>4340.8</v>
      </c>
      <c r="P965" s="161">
        <v>-2500</v>
      </c>
      <c r="Q965" s="161">
        <v>0</v>
      </c>
      <c r="R965" s="161">
        <v>0</v>
      </c>
      <c r="S965" s="161">
        <v>0</v>
      </c>
      <c r="T965" s="161">
        <v>0</v>
      </c>
      <c r="U965" s="161">
        <v>0</v>
      </c>
      <c r="V965" s="161">
        <v>0</v>
      </c>
      <c r="W965" s="161">
        <f t="shared" si="91"/>
        <v>1840.8000000000002</v>
      </c>
      <c r="X965" s="161">
        <f t="shared" si="92"/>
        <v>1840.8000000000002</v>
      </c>
      <c r="Y965" s="161">
        <f t="shared" si="93"/>
        <v>0</v>
      </c>
      <c r="Z965" s="161">
        <v>0</v>
      </c>
      <c r="AA965" s="161">
        <f t="shared" si="94"/>
        <v>0</v>
      </c>
      <c r="AB965" s="161">
        <f t="shared" si="95"/>
        <v>2500</v>
      </c>
      <c r="AC965" s="158" t="s">
        <v>1039</v>
      </c>
      <c r="AD965" s="158"/>
    </row>
    <row r="966" spans="1:30" ht="12.75" customHeight="1" x14ac:dyDescent="0.3">
      <c r="A966" s="147">
        <v>43</v>
      </c>
      <c r="B966" s="158" t="s">
        <v>1088</v>
      </c>
      <c r="C966" s="158" t="s">
        <v>100</v>
      </c>
      <c r="D966" s="158" t="s">
        <v>953</v>
      </c>
      <c r="E966" s="158" t="s">
        <v>25</v>
      </c>
      <c r="F966" s="158" t="s">
        <v>25</v>
      </c>
      <c r="G966" s="158" t="s">
        <v>866</v>
      </c>
      <c r="H966" s="161">
        <v>3935.01</v>
      </c>
      <c r="I966" s="161">
        <v>-61.68</v>
      </c>
      <c r="J966" s="161">
        <v>0</v>
      </c>
      <c r="K966" s="161">
        <v>-34.590000000000003</v>
      </c>
      <c r="L966" s="161">
        <v>-310.77</v>
      </c>
      <c r="M966" s="161">
        <v>-42</v>
      </c>
      <c r="N966" s="161">
        <v>0</v>
      </c>
      <c r="O966" s="162">
        <f t="shared" si="90"/>
        <v>3485.9700000000003</v>
      </c>
      <c r="P966" s="161">
        <v>-2500</v>
      </c>
      <c r="Q966" s="161">
        <v>0</v>
      </c>
      <c r="R966" s="161">
        <v>-500</v>
      </c>
      <c r="S966" s="161">
        <v>0</v>
      </c>
      <c r="T966" s="161">
        <v>0</v>
      </c>
      <c r="U966" s="161">
        <v>-130</v>
      </c>
      <c r="V966" s="161">
        <v>0</v>
      </c>
      <c r="W966" s="161">
        <f t="shared" si="91"/>
        <v>355.97000000000025</v>
      </c>
      <c r="X966" s="161">
        <f t="shared" si="92"/>
        <v>355.97000000000025</v>
      </c>
      <c r="Y966" s="161">
        <f t="shared" si="93"/>
        <v>0</v>
      </c>
      <c r="Z966" s="161">
        <v>0</v>
      </c>
      <c r="AA966" s="161">
        <f t="shared" si="94"/>
        <v>0</v>
      </c>
      <c r="AB966" s="161">
        <f t="shared" si="95"/>
        <v>3130</v>
      </c>
      <c r="AC966" s="158" t="s">
        <v>1107</v>
      </c>
      <c r="AD966" s="158"/>
    </row>
    <row r="967" spans="1:30" ht="12.75" customHeight="1" x14ac:dyDescent="0.3">
      <c r="A967" s="147">
        <v>43</v>
      </c>
      <c r="B967" s="158" t="s">
        <v>1003</v>
      </c>
      <c r="C967" s="158" t="s">
        <v>59</v>
      </c>
      <c r="D967" s="158" t="s">
        <v>895</v>
      </c>
      <c r="E967" s="158" t="s">
        <v>25</v>
      </c>
      <c r="F967" s="158" t="s">
        <v>25</v>
      </c>
      <c r="G967" s="158" t="s">
        <v>866</v>
      </c>
      <c r="H967" s="161">
        <v>615.25</v>
      </c>
      <c r="I967" s="161">
        <v>0</v>
      </c>
      <c r="J967" s="161">
        <v>17</v>
      </c>
      <c r="K967" s="161">
        <v>0</v>
      </c>
      <c r="L967" s="161">
        <v>0</v>
      </c>
      <c r="M967" s="161">
        <v>0</v>
      </c>
      <c r="N967" s="161">
        <v>-33</v>
      </c>
      <c r="O967" s="162">
        <f t="shared" si="90"/>
        <v>599.25</v>
      </c>
      <c r="P967" s="161">
        <v>-2500</v>
      </c>
      <c r="Q967" s="161">
        <v>-1580</v>
      </c>
      <c r="R967" s="161">
        <v>0</v>
      </c>
      <c r="S967" s="161">
        <v>0</v>
      </c>
      <c r="T967" s="161">
        <v>0</v>
      </c>
      <c r="U967" s="161">
        <v>0</v>
      </c>
      <c r="V967" s="161">
        <v>0</v>
      </c>
      <c r="W967" s="161">
        <f t="shared" si="91"/>
        <v>-3480.75</v>
      </c>
      <c r="X967" s="161">
        <f t="shared" si="92"/>
        <v>0</v>
      </c>
      <c r="Y967" s="161">
        <f t="shared" si="93"/>
        <v>-3480.75</v>
      </c>
      <c r="Z967" s="161">
        <v>1500</v>
      </c>
      <c r="AA967" s="161">
        <f t="shared" si="94"/>
        <v>-1980.75</v>
      </c>
      <c r="AB967" s="161">
        <f t="shared" si="95"/>
        <v>118.5</v>
      </c>
      <c r="AC967" s="158" t="s">
        <v>1043</v>
      </c>
      <c r="AD967" s="158"/>
    </row>
    <row r="968" spans="1:30" ht="12.75" customHeight="1" x14ac:dyDescent="0.3">
      <c r="A968" s="147">
        <v>43</v>
      </c>
      <c r="B968" s="158" t="s">
        <v>1100</v>
      </c>
      <c r="C968" s="182" t="s">
        <v>213</v>
      </c>
      <c r="D968" s="158" t="s">
        <v>1116</v>
      </c>
      <c r="E968" s="158" t="s">
        <v>39</v>
      </c>
      <c r="F968" s="158" t="s">
        <v>39</v>
      </c>
      <c r="G968" s="158" t="s">
        <v>866</v>
      </c>
      <c r="H968" s="161">
        <v>4596.4799999999996</v>
      </c>
      <c r="I968" s="161">
        <v>-100.03</v>
      </c>
      <c r="J968" s="161">
        <v>0</v>
      </c>
      <c r="K968" s="161">
        <v>-35.880000000000003</v>
      </c>
      <c r="L968" s="161">
        <v>-860.95</v>
      </c>
      <c r="M968" s="161">
        <v>-35</v>
      </c>
      <c r="N968" s="161">
        <v>0</v>
      </c>
      <c r="O968" s="162">
        <f t="shared" si="90"/>
        <v>3564.62</v>
      </c>
      <c r="P968" s="161">
        <v>-2500</v>
      </c>
      <c r="Q968" s="161">
        <v>0</v>
      </c>
      <c r="R968" s="161">
        <v>-500</v>
      </c>
      <c r="S968" s="161">
        <v>0</v>
      </c>
      <c r="T968" s="161">
        <v>0</v>
      </c>
      <c r="U968" s="161">
        <v>0</v>
      </c>
      <c r="V968" s="161">
        <v>0</v>
      </c>
      <c r="W968" s="161">
        <f t="shared" si="91"/>
        <v>564.61999999999989</v>
      </c>
      <c r="X968" s="161">
        <f t="shared" si="92"/>
        <v>564.61999999999989</v>
      </c>
      <c r="Y968" s="161">
        <f t="shared" si="93"/>
        <v>0</v>
      </c>
      <c r="Z968" s="161">
        <v>0</v>
      </c>
      <c r="AA968" s="161">
        <f t="shared" si="94"/>
        <v>0</v>
      </c>
      <c r="AB968" s="161">
        <f t="shared" si="95"/>
        <v>3000</v>
      </c>
      <c r="AC968" s="158" t="s">
        <v>1039</v>
      </c>
      <c r="AD968" s="158"/>
    </row>
    <row r="969" spans="1:30" ht="12.75" customHeight="1" x14ac:dyDescent="0.3">
      <c r="A969" s="147">
        <v>43</v>
      </c>
      <c r="B969" s="158" t="s">
        <v>1102</v>
      </c>
      <c r="C969" s="158" t="s">
        <v>17</v>
      </c>
      <c r="D969" s="158" t="s">
        <v>1117</v>
      </c>
      <c r="E969" s="158" t="s">
        <v>18</v>
      </c>
      <c r="F969" s="160" t="s">
        <v>18</v>
      </c>
      <c r="G969" s="158" t="s">
        <v>866</v>
      </c>
      <c r="H969" s="161">
        <v>941.39</v>
      </c>
      <c r="I969" s="161">
        <v>-13.41</v>
      </c>
      <c r="J969" s="161">
        <v>0</v>
      </c>
      <c r="K969" s="161">
        <v>0</v>
      </c>
      <c r="L969" s="161">
        <v>-785.83</v>
      </c>
      <c r="M969" s="161">
        <v>0</v>
      </c>
      <c r="N969" s="161">
        <v>0</v>
      </c>
      <c r="O969" s="162">
        <f t="shared" si="90"/>
        <v>142.14999999999998</v>
      </c>
      <c r="P969" s="161">
        <v>-1785</v>
      </c>
      <c r="Q969" s="161">
        <v>-585</v>
      </c>
      <c r="R969" s="161">
        <v>1322</v>
      </c>
      <c r="S969" s="161">
        <v>0</v>
      </c>
      <c r="T969" s="161">
        <v>-1500</v>
      </c>
      <c r="U969" s="161">
        <v>-3000</v>
      </c>
      <c r="V969" s="161">
        <v>0</v>
      </c>
      <c r="W969" s="161">
        <f t="shared" si="91"/>
        <v>-5405.85</v>
      </c>
      <c r="X969" s="161">
        <f t="shared" si="92"/>
        <v>0</v>
      </c>
      <c r="Y969" s="161">
        <f t="shared" si="93"/>
        <v>-5405.85</v>
      </c>
      <c r="Z969" s="161">
        <v>0</v>
      </c>
      <c r="AA969" s="161">
        <f t="shared" si="94"/>
        <v>-5405.85</v>
      </c>
      <c r="AB969" s="161">
        <f t="shared" si="95"/>
        <v>-5263.7000000000007</v>
      </c>
      <c r="AC969" s="158" t="s">
        <v>937</v>
      </c>
      <c r="AD969" s="158"/>
    </row>
    <row r="970" spans="1:30" ht="12.75" customHeight="1" x14ac:dyDescent="0.3">
      <c r="A970" s="147">
        <v>43</v>
      </c>
      <c r="B970" s="158" t="s">
        <v>408</v>
      </c>
      <c r="C970" s="158" t="s">
        <v>409</v>
      </c>
      <c r="D970" s="158" t="s">
        <v>946</v>
      </c>
      <c r="E970" s="158" t="s">
        <v>25</v>
      </c>
      <c r="F970" s="158" t="s">
        <v>25</v>
      </c>
      <c r="G970" s="158" t="s">
        <v>866</v>
      </c>
      <c r="H970" s="161">
        <v>5388.3</v>
      </c>
      <c r="I970" s="161">
        <v>-92.63</v>
      </c>
      <c r="J970" s="161">
        <v>0</v>
      </c>
      <c r="K970" s="161">
        <v>0</v>
      </c>
      <c r="L970" s="161">
        <v>-3202.17</v>
      </c>
      <c r="M970" s="161">
        <v>-48</v>
      </c>
      <c r="N970" s="161">
        <v>0</v>
      </c>
      <c r="O970" s="162">
        <f t="shared" si="90"/>
        <v>2045.5</v>
      </c>
      <c r="P970" s="161">
        <v>-2500</v>
      </c>
      <c r="Q970" s="161">
        <v>-1534</v>
      </c>
      <c r="R970" s="161">
        <v>0</v>
      </c>
      <c r="S970" s="161">
        <v>0</v>
      </c>
      <c r="T970" s="161">
        <v>0</v>
      </c>
      <c r="U970" s="161">
        <v>0</v>
      </c>
      <c r="V970" s="161">
        <v>0</v>
      </c>
      <c r="W970" s="161">
        <f t="shared" si="91"/>
        <v>-1988.5</v>
      </c>
      <c r="X970" s="161">
        <f t="shared" si="92"/>
        <v>0</v>
      </c>
      <c r="Y970" s="161">
        <f t="shared" si="93"/>
        <v>-1988.5</v>
      </c>
      <c r="Z970" s="161">
        <v>1900</v>
      </c>
      <c r="AA970" s="161">
        <f t="shared" si="94"/>
        <v>-88.5</v>
      </c>
      <c r="AB970" s="161">
        <f t="shared" si="95"/>
        <v>3857</v>
      </c>
      <c r="AC970" s="158" t="s">
        <v>1043</v>
      </c>
      <c r="AD970" s="158"/>
    </row>
    <row r="971" spans="1:30" ht="12.75" customHeight="1" x14ac:dyDescent="0.3">
      <c r="A971" s="147">
        <v>43</v>
      </c>
      <c r="B971" s="158" t="s">
        <v>1106</v>
      </c>
      <c r="C971" s="179" t="s">
        <v>104</v>
      </c>
      <c r="D971" s="158" t="s">
        <v>20</v>
      </c>
      <c r="E971" s="158" t="s">
        <v>25</v>
      </c>
      <c r="F971" s="158" t="s">
        <v>25</v>
      </c>
      <c r="G971" s="158" t="s">
        <v>866</v>
      </c>
      <c r="H971" s="161">
        <v>8561.99</v>
      </c>
      <c r="I971" s="161">
        <v>-361.51</v>
      </c>
      <c r="J971" s="161">
        <v>0</v>
      </c>
      <c r="K971" s="161">
        <v>0</v>
      </c>
      <c r="L971" s="161">
        <v>-2631.87</v>
      </c>
      <c r="M971" s="161">
        <v>-42</v>
      </c>
      <c r="N971" s="161">
        <v>-29.3</v>
      </c>
      <c r="O971" s="162">
        <f t="shared" si="90"/>
        <v>5497.3099999999995</v>
      </c>
      <c r="P971" s="161">
        <v>-2143</v>
      </c>
      <c r="Q971" s="161">
        <v>0</v>
      </c>
      <c r="R971" s="161">
        <v>-429</v>
      </c>
      <c r="S971" s="161">
        <v>0</v>
      </c>
      <c r="T971" s="161">
        <v>0</v>
      </c>
      <c r="U971" s="161">
        <v>0</v>
      </c>
      <c r="V971" s="161">
        <v>0</v>
      </c>
      <c r="W971" s="161">
        <f t="shared" si="91"/>
        <v>2925.3099999999995</v>
      </c>
      <c r="X971" s="161">
        <f t="shared" si="92"/>
        <v>2925.3099999999995</v>
      </c>
      <c r="Y971" s="161">
        <f t="shared" si="93"/>
        <v>0</v>
      </c>
      <c r="Z971" s="161">
        <v>0</v>
      </c>
      <c r="AA971" s="161">
        <f t="shared" si="94"/>
        <v>0</v>
      </c>
      <c r="AB971" s="161">
        <f t="shared" si="95"/>
        <v>2572</v>
      </c>
      <c r="AC971" s="158" t="s">
        <v>1107</v>
      </c>
      <c r="AD971" s="158"/>
    </row>
    <row r="972" spans="1:30" ht="12.75" customHeight="1" x14ac:dyDescent="0.3">
      <c r="A972" s="147">
        <v>43</v>
      </c>
      <c r="B972" s="158" t="s">
        <v>837</v>
      </c>
      <c r="C972" s="158" t="s">
        <v>334</v>
      </c>
      <c r="D972" s="158" t="s">
        <v>20</v>
      </c>
      <c r="E972" s="158" t="s">
        <v>25</v>
      </c>
      <c r="F972" s="158" t="s">
        <v>39</v>
      </c>
      <c r="G972" s="158" t="s">
        <v>866</v>
      </c>
      <c r="H972" s="161">
        <v>4914.7700000000004</v>
      </c>
      <c r="I972" s="161">
        <v>-73.37</v>
      </c>
      <c r="J972" s="161">
        <v>73.3</v>
      </c>
      <c r="K972" s="161">
        <v>0</v>
      </c>
      <c r="L972" s="161">
        <v>0</v>
      </c>
      <c r="M972" s="161">
        <v>-45</v>
      </c>
      <c r="N972" s="161">
        <v>0</v>
      </c>
      <c r="O972" s="162">
        <f t="shared" si="90"/>
        <v>4869.7000000000007</v>
      </c>
      <c r="P972" s="161">
        <v>-2500</v>
      </c>
      <c r="Q972" s="161">
        <v>0</v>
      </c>
      <c r="R972" s="161">
        <v>-250</v>
      </c>
      <c r="S972" s="161">
        <v>0</v>
      </c>
      <c r="T972" s="161">
        <v>0</v>
      </c>
      <c r="U972" s="161">
        <v>0</v>
      </c>
      <c r="V972" s="161">
        <v>0</v>
      </c>
      <c r="W972" s="161">
        <f t="shared" si="91"/>
        <v>2119.7000000000007</v>
      </c>
      <c r="X972" s="161">
        <f t="shared" si="92"/>
        <v>2119.7000000000007</v>
      </c>
      <c r="Y972" s="161">
        <f t="shared" si="93"/>
        <v>0</v>
      </c>
      <c r="Z972" s="161">
        <v>0</v>
      </c>
      <c r="AA972" s="161">
        <f t="shared" si="94"/>
        <v>0</v>
      </c>
      <c r="AB972" s="161">
        <f t="shared" si="95"/>
        <v>2750</v>
      </c>
      <c r="AC972" s="158" t="s">
        <v>1039</v>
      </c>
      <c r="AD972" s="158"/>
    </row>
    <row r="973" spans="1:30" ht="12.75" customHeight="1" x14ac:dyDescent="0.3">
      <c r="A973" s="147">
        <v>43</v>
      </c>
      <c r="B973" s="158" t="s">
        <v>515</v>
      </c>
      <c r="C973" s="158" t="s">
        <v>195</v>
      </c>
      <c r="D973" s="158" t="s">
        <v>964</v>
      </c>
      <c r="E973" s="160" t="s">
        <v>871</v>
      </c>
      <c r="F973" s="158" t="s">
        <v>39</v>
      </c>
      <c r="G973" s="158" t="s">
        <v>866</v>
      </c>
      <c r="H973" s="161">
        <v>7805.81</v>
      </c>
      <c r="I973" s="161">
        <v>-179.37</v>
      </c>
      <c r="J973" s="161">
        <v>14.69</v>
      </c>
      <c r="K973" s="161">
        <v>0</v>
      </c>
      <c r="L973" s="161">
        <v>-499.87</v>
      </c>
      <c r="M973" s="161">
        <f>-45-5</f>
        <v>-50</v>
      </c>
      <c r="N973" s="161">
        <v>0</v>
      </c>
      <c r="O973" s="162">
        <f t="shared" si="90"/>
        <v>7091.26</v>
      </c>
      <c r="P973" s="161">
        <v>-2500</v>
      </c>
      <c r="Q973" s="161">
        <v>0</v>
      </c>
      <c r="R973" s="161">
        <v>-500</v>
      </c>
      <c r="S973" s="161">
        <v>0</v>
      </c>
      <c r="T973" s="161">
        <v>-1000</v>
      </c>
      <c r="U973" s="161">
        <v>0</v>
      </c>
      <c r="V973" s="161">
        <v>0</v>
      </c>
      <c r="W973" s="161">
        <f t="shared" si="91"/>
        <v>3091.26</v>
      </c>
      <c r="X973" s="161">
        <f t="shared" si="92"/>
        <v>3091.26</v>
      </c>
      <c r="Y973" s="161">
        <f t="shared" si="93"/>
        <v>0</v>
      </c>
      <c r="Z973" s="161">
        <v>0</v>
      </c>
      <c r="AA973" s="161">
        <f t="shared" si="94"/>
        <v>0</v>
      </c>
      <c r="AB973" s="161">
        <f t="shared" si="95"/>
        <v>4000</v>
      </c>
      <c r="AC973" s="158" t="s">
        <v>1039</v>
      </c>
      <c r="AD973" s="158"/>
    </row>
    <row r="974" spans="1:30" ht="12.75" customHeight="1" x14ac:dyDescent="0.3">
      <c r="A974" s="147">
        <v>43</v>
      </c>
      <c r="B974" s="158" t="s">
        <v>1030</v>
      </c>
      <c r="C974" s="158" t="s">
        <v>195</v>
      </c>
      <c r="D974" s="158" t="s">
        <v>964</v>
      </c>
      <c r="E974" s="160" t="s">
        <v>871</v>
      </c>
      <c r="F974" s="158" t="s">
        <v>39</v>
      </c>
      <c r="G974" s="158" t="s">
        <v>866</v>
      </c>
      <c r="H974" s="161">
        <v>0</v>
      </c>
      <c r="I974" s="161">
        <v>0</v>
      </c>
      <c r="J974" s="161">
        <v>0</v>
      </c>
      <c r="K974" s="161">
        <v>0</v>
      </c>
      <c r="L974" s="161">
        <v>0</v>
      </c>
      <c r="M974" s="161">
        <v>0</v>
      </c>
      <c r="N974" s="161">
        <v>0</v>
      </c>
      <c r="O974" s="162">
        <f t="shared" si="90"/>
        <v>0</v>
      </c>
      <c r="P974" s="161">
        <v>0</v>
      </c>
      <c r="Q974" s="161">
        <v>0</v>
      </c>
      <c r="R974" s="161">
        <v>500</v>
      </c>
      <c r="S974" s="161">
        <v>0</v>
      </c>
      <c r="T974" s="161">
        <v>0</v>
      </c>
      <c r="U974" s="161">
        <v>0</v>
      </c>
      <c r="V974" s="161">
        <v>0</v>
      </c>
      <c r="W974" s="161">
        <f t="shared" si="91"/>
        <v>500</v>
      </c>
      <c r="X974" s="161">
        <f t="shared" si="92"/>
        <v>500</v>
      </c>
      <c r="Y974" s="161">
        <f t="shared" si="93"/>
        <v>0</v>
      </c>
      <c r="Z974" s="161">
        <v>0</v>
      </c>
      <c r="AA974" s="161">
        <f t="shared" si="94"/>
        <v>0</v>
      </c>
      <c r="AB974" s="161">
        <f t="shared" si="95"/>
        <v>-500</v>
      </c>
      <c r="AC974" s="158" t="s">
        <v>1039</v>
      </c>
      <c r="AD974" s="158"/>
    </row>
    <row r="975" spans="1:30" ht="12.75" customHeight="1" x14ac:dyDescent="0.3">
      <c r="A975" s="147">
        <v>43</v>
      </c>
      <c r="B975" s="158" t="s">
        <v>1118</v>
      </c>
      <c r="C975" s="158" t="s">
        <v>169</v>
      </c>
      <c r="D975" s="158" t="s">
        <v>967</v>
      </c>
      <c r="E975" s="160" t="s">
        <v>871</v>
      </c>
      <c r="F975" s="158" t="s">
        <v>39</v>
      </c>
      <c r="G975" s="158" t="s">
        <v>866</v>
      </c>
      <c r="H975" s="161">
        <v>4128.93</v>
      </c>
      <c r="I975" s="161">
        <v>-85.45</v>
      </c>
      <c r="J975" s="161">
        <v>0</v>
      </c>
      <c r="K975" s="161">
        <v>0</v>
      </c>
      <c r="L975" s="161">
        <v>-2778.77</v>
      </c>
      <c r="M975" s="161">
        <v>-45</v>
      </c>
      <c r="N975" s="161">
        <v>0</v>
      </c>
      <c r="O975" s="162">
        <f t="shared" si="90"/>
        <v>1219.7100000000005</v>
      </c>
      <c r="P975" s="161">
        <v>-1785.71</v>
      </c>
      <c r="Q975" s="161">
        <v>0</v>
      </c>
      <c r="R975" s="161">
        <v>-357.14</v>
      </c>
      <c r="S975" s="161">
        <v>0</v>
      </c>
      <c r="T975" s="161">
        <v>0</v>
      </c>
      <c r="U975" s="161">
        <v>0</v>
      </c>
      <c r="V975" s="161">
        <v>0</v>
      </c>
      <c r="W975" s="161">
        <f t="shared" si="91"/>
        <v>-923.13999999999942</v>
      </c>
      <c r="X975" s="161">
        <f t="shared" si="92"/>
        <v>0</v>
      </c>
      <c r="Y975" s="161">
        <f t="shared" si="93"/>
        <v>-923.13999999999942</v>
      </c>
      <c r="Z975" s="161">
        <v>923</v>
      </c>
      <c r="AA975" s="161">
        <f t="shared" si="94"/>
        <v>-0.13999999999941792</v>
      </c>
      <c r="AB975" s="161">
        <f t="shared" si="95"/>
        <v>2142.5700000000011</v>
      </c>
      <c r="AC975" s="158" t="s">
        <v>1119</v>
      </c>
      <c r="AD975" s="158"/>
    </row>
    <row r="976" spans="1:30" ht="12.75" customHeight="1" x14ac:dyDescent="0.3">
      <c r="A976" s="147">
        <v>43</v>
      </c>
      <c r="B976" s="158" t="s">
        <v>1118</v>
      </c>
      <c r="C976" s="158" t="s">
        <v>150</v>
      </c>
      <c r="D976" s="158" t="s">
        <v>877</v>
      </c>
      <c r="E976" s="158" t="s">
        <v>25</v>
      </c>
      <c r="F976" s="158" t="s">
        <v>25</v>
      </c>
      <c r="G976" s="158" t="s">
        <v>866</v>
      </c>
      <c r="H976" s="161">
        <v>1687.35</v>
      </c>
      <c r="I976" s="161">
        <v>-28.32</v>
      </c>
      <c r="J976" s="161">
        <v>0</v>
      </c>
      <c r="K976" s="161">
        <v>0</v>
      </c>
      <c r="L976" s="161">
        <v>-440.77</v>
      </c>
      <c r="M976" s="161">
        <v>0</v>
      </c>
      <c r="N976" s="161">
        <v>0</v>
      </c>
      <c r="O976" s="162">
        <f t="shared" si="90"/>
        <v>1218.26</v>
      </c>
      <c r="P976" s="161">
        <v>0</v>
      </c>
      <c r="Q976" s="161">
        <v>0</v>
      </c>
      <c r="R976" s="161">
        <v>0</v>
      </c>
      <c r="S976" s="161">
        <v>0</v>
      </c>
      <c r="T976" s="161">
        <v>0</v>
      </c>
      <c r="U976" s="161">
        <v>0</v>
      </c>
      <c r="V976" s="161">
        <v>0</v>
      </c>
      <c r="W976" s="161">
        <f t="shared" si="91"/>
        <v>1218.26</v>
      </c>
      <c r="X976" s="161">
        <f t="shared" si="92"/>
        <v>1218.26</v>
      </c>
      <c r="Y976" s="161">
        <f t="shared" si="93"/>
        <v>0</v>
      </c>
      <c r="Z976" s="161">
        <v>0</v>
      </c>
      <c r="AA976" s="161">
        <f t="shared" si="94"/>
        <v>0</v>
      </c>
      <c r="AB976" s="161">
        <f t="shared" si="95"/>
        <v>0</v>
      </c>
      <c r="AC976" s="158" t="s">
        <v>1107</v>
      </c>
      <c r="AD976" s="158"/>
    </row>
    <row r="977" spans="1:30" ht="12.75" customHeight="1" x14ac:dyDescent="0.3">
      <c r="A977" s="147">
        <v>43</v>
      </c>
      <c r="B977" s="158" t="s">
        <v>1120</v>
      </c>
      <c r="C977" s="158" t="s">
        <v>100</v>
      </c>
      <c r="D977" s="158" t="s">
        <v>953</v>
      </c>
      <c r="E977" s="158" t="s">
        <v>25</v>
      </c>
      <c r="F977" s="158" t="s">
        <v>25</v>
      </c>
      <c r="G977" s="158" t="s">
        <v>866</v>
      </c>
      <c r="H977" s="161">
        <v>1165.74</v>
      </c>
      <c r="I977" s="161">
        <v>-27.81</v>
      </c>
      <c r="J977" s="161">
        <v>0</v>
      </c>
      <c r="K977" s="161">
        <v>0</v>
      </c>
      <c r="L977" s="161">
        <v>-558.11</v>
      </c>
      <c r="M977" s="161">
        <v>-25</v>
      </c>
      <c r="N977" s="161">
        <v>0</v>
      </c>
      <c r="O977" s="162">
        <f t="shared" si="90"/>
        <v>554.82000000000005</v>
      </c>
      <c r="P977" s="161">
        <v>-536</v>
      </c>
      <c r="Q977" s="161">
        <v>0</v>
      </c>
      <c r="R977" s="161">
        <v>-106.86</v>
      </c>
      <c r="S977" s="161">
        <v>0</v>
      </c>
      <c r="T977" s="161">
        <v>0</v>
      </c>
      <c r="U977" s="161">
        <v>0</v>
      </c>
      <c r="V977" s="161">
        <v>0</v>
      </c>
      <c r="W977" s="161">
        <f t="shared" si="91"/>
        <v>-88.039999999999964</v>
      </c>
      <c r="X977" s="161">
        <f t="shared" si="92"/>
        <v>0</v>
      </c>
      <c r="Y977" s="161">
        <f t="shared" si="93"/>
        <v>-88.039999999999964</v>
      </c>
      <c r="Z977" s="161">
        <v>88</v>
      </c>
      <c r="AA977" s="161">
        <f t="shared" si="94"/>
        <v>-3.999999999996362E-2</v>
      </c>
      <c r="AB977" s="161">
        <f t="shared" si="95"/>
        <v>642.78000000000009</v>
      </c>
      <c r="AC977" s="158" t="s">
        <v>1043</v>
      </c>
      <c r="AD977" s="158"/>
    </row>
    <row r="978" spans="1:30" ht="12.75" customHeight="1" x14ac:dyDescent="0.3">
      <c r="A978" s="147">
        <v>43</v>
      </c>
      <c r="B978" s="158" t="s">
        <v>918</v>
      </c>
      <c r="C978" s="158" t="s">
        <v>120</v>
      </c>
      <c r="D978" s="158" t="s">
        <v>20</v>
      </c>
      <c r="E978" s="158" t="s">
        <v>25</v>
      </c>
      <c r="F978" s="158" t="s">
        <v>25</v>
      </c>
      <c r="G978" s="158" t="s">
        <v>866</v>
      </c>
      <c r="H978" s="161">
        <v>0</v>
      </c>
      <c r="I978" s="161">
        <v>0</v>
      </c>
      <c r="J978" s="161">
        <v>0</v>
      </c>
      <c r="K978" s="161">
        <v>0</v>
      </c>
      <c r="L978" s="161">
        <v>0</v>
      </c>
      <c r="M978" s="162">
        <v>0</v>
      </c>
      <c r="N978" s="161">
        <v>0</v>
      </c>
      <c r="O978" s="162">
        <f t="shared" si="90"/>
        <v>0</v>
      </c>
      <c r="P978" s="161">
        <v>0</v>
      </c>
      <c r="Q978" s="161">
        <v>0</v>
      </c>
      <c r="R978" s="161">
        <v>500</v>
      </c>
      <c r="S978" s="161">
        <v>0</v>
      </c>
      <c r="T978" s="161">
        <v>0</v>
      </c>
      <c r="U978" s="161">
        <v>0</v>
      </c>
      <c r="V978" s="161">
        <v>0</v>
      </c>
      <c r="W978" s="161">
        <f t="shared" si="91"/>
        <v>500</v>
      </c>
      <c r="X978" s="161">
        <f t="shared" si="92"/>
        <v>500</v>
      </c>
      <c r="Y978" s="161">
        <f t="shared" si="93"/>
        <v>0</v>
      </c>
      <c r="Z978" s="161">
        <v>0</v>
      </c>
      <c r="AA978" s="161">
        <f t="shared" si="94"/>
        <v>0</v>
      </c>
      <c r="AB978" s="161">
        <f t="shared" si="95"/>
        <v>-500</v>
      </c>
      <c r="AC978" s="158" t="s">
        <v>1107</v>
      </c>
      <c r="AD978" s="158"/>
    </row>
    <row r="979" spans="1:30" ht="12.75" customHeight="1" x14ac:dyDescent="0.3">
      <c r="A979" s="147">
        <v>44</v>
      </c>
      <c r="B979" s="158" t="s">
        <v>1106</v>
      </c>
      <c r="C979" s="179" t="s">
        <v>104</v>
      </c>
      <c r="D979" s="158" t="s">
        <v>20</v>
      </c>
      <c r="E979" s="158" t="s">
        <v>25</v>
      </c>
      <c r="F979" s="158" t="s">
        <v>25</v>
      </c>
      <c r="G979" s="158" t="s">
        <v>866</v>
      </c>
      <c r="H979" s="161">
        <v>10038.24</v>
      </c>
      <c r="I979" s="161">
        <v>0</v>
      </c>
      <c r="J979" s="161">
        <v>9.7899999999999991</v>
      </c>
      <c r="K979" s="161">
        <v>0</v>
      </c>
      <c r="L979" s="161">
        <v>-3729.88</v>
      </c>
      <c r="M979" s="161">
        <v>-34</v>
      </c>
      <c r="N979" s="161">
        <v>0</v>
      </c>
      <c r="O979" s="162">
        <f t="shared" si="90"/>
        <v>6284.1500000000005</v>
      </c>
      <c r="P979" s="161">
        <v>-2500</v>
      </c>
      <c r="Q979" s="161">
        <v>0</v>
      </c>
      <c r="R979" s="161">
        <v>-500</v>
      </c>
      <c r="S979" s="161">
        <v>0</v>
      </c>
      <c r="T979" s="161">
        <v>0</v>
      </c>
      <c r="U979" s="161">
        <v>0</v>
      </c>
      <c r="V979" s="161">
        <v>0</v>
      </c>
      <c r="W979" s="161">
        <f t="shared" si="91"/>
        <v>3284.1500000000005</v>
      </c>
      <c r="X979" s="161">
        <f t="shared" si="92"/>
        <v>3284.1500000000005</v>
      </c>
      <c r="Y979" s="161">
        <f t="shared" si="93"/>
        <v>0</v>
      </c>
      <c r="Z979" s="161">
        <v>0</v>
      </c>
      <c r="AA979" s="161">
        <f t="shared" si="94"/>
        <v>0</v>
      </c>
      <c r="AB979" s="161">
        <f t="shared" si="95"/>
        <v>3000</v>
      </c>
      <c r="AC979" s="158" t="s">
        <v>567</v>
      </c>
      <c r="AD979" s="158"/>
    </row>
    <row r="980" spans="1:30" ht="12.75" customHeight="1" x14ac:dyDescent="0.3">
      <c r="A980" s="147">
        <v>44</v>
      </c>
      <c r="B980" s="158" t="s">
        <v>913</v>
      </c>
      <c r="C980" s="158" t="s">
        <v>426</v>
      </c>
      <c r="D980" s="158" t="s">
        <v>903</v>
      </c>
      <c r="E980" s="158" t="s">
        <v>25</v>
      </c>
      <c r="F980" s="158" t="s">
        <v>25</v>
      </c>
      <c r="G980" s="158" t="s">
        <v>866</v>
      </c>
      <c r="H980" s="161">
        <v>8655.18</v>
      </c>
      <c r="I980" s="161">
        <v>-34</v>
      </c>
      <c r="J980" s="161">
        <v>0</v>
      </c>
      <c r="K980" s="161">
        <v>0</v>
      </c>
      <c r="L980" s="161">
        <v>-6392.23</v>
      </c>
      <c r="M980" s="161">
        <v>-38</v>
      </c>
      <c r="N980" s="161">
        <v>0</v>
      </c>
      <c r="O980" s="162">
        <f t="shared" si="90"/>
        <v>2190.9500000000007</v>
      </c>
      <c r="P980" s="161">
        <v>-2500</v>
      </c>
      <c r="Q980" s="161">
        <v>-15</v>
      </c>
      <c r="R980" s="161">
        <v>0</v>
      </c>
      <c r="S980" s="161">
        <v>0</v>
      </c>
      <c r="T980" s="161">
        <v>-500</v>
      </c>
      <c r="U980" s="161">
        <v>0</v>
      </c>
      <c r="V980" s="161">
        <v>0</v>
      </c>
      <c r="W980" s="161">
        <f t="shared" si="91"/>
        <v>-824.04999999999927</v>
      </c>
      <c r="X980" s="161">
        <f t="shared" si="92"/>
        <v>0</v>
      </c>
      <c r="Y980" s="161">
        <f t="shared" si="93"/>
        <v>-824.04999999999927</v>
      </c>
      <c r="Z980" s="161">
        <v>700</v>
      </c>
      <c r="AA980" s="161">
        <f t="shared" si="94"/>
        <v>-124.04999999999927</v>
      </c>
      <c r="AB980" s="161">
        <f t="shared" si="95"/>
        <v>2766.9000000000015</v>
      </c>
      <c r="AC980" s="158" t="s">
        <v>1043</v>
      </c>
      <c r="AD980" s="158"/>
    </row>
    <row r="981" spans="1:30" ht="12.75" customHeight="1" x14ac:dyDescent="0.3">
      <c r="A981" s="147">
        <v>44</v>
      </c>
      <c r="B981" s="158" t="s">
        <v>1029</v>
      </c>
      <c r="C981" s="158" t="s">
        <v>68</v>
      </c>
      <c r="D981" s="158" t="s">
        <v>869</v>
      </c>
      <c r="E981" s="158" t="s">
        <v>25</v>
      </c>
      <c r="F981" s="158" t="s">
        <v>25</v>
      </c>
      <c r="G981" s="158" t="s">
        <v>866</v>
      </c>
      <c r="H981" s="161">
        <v>8503.6200000000008</v>
      </c>
      <c r="I981" s="161">
        <v>-24</v>
      </c>
      <c r="J981" s="161">
        <v>174.58</v>
      </c>
      <c r="K981" s="161">
        <v>-59.6</v>
      </c>
      <c r="L981" s="161">
        <v>0</v>
      </c>
      <c r="M981" s="161">
        <v>-45</v>
      </c>
      <c r="N981" s="161">
        <v>0</v>
      </c>
      <c r="O981" s="162">
        <f t="shared" si="90"/>
        <v>8549.6</v>
      </c>
      <c r="P981" s="161">
        <v>-2500</v>
      </c>
      <c r="Q981" s="161">
        <v>0</v>
      </c>
      <c r="R981" s="161">
        <v>0</v>
      </c>
      <c r="S981" s="161">
        <v>0</v>
      </c>
      <c r="T981" s="161">
        <v>0</v>
      </c>
      <c r="U981" s="161">
        <v>-1000</v>
      </c>
      <c r="V981" s="161">
        <v>0</v>
      </c>
      <c r="W981" s="161">
        <f t="shared" si="91"/>
        <v>5049.6000000000004</v>
      </c>
      <c r="X981" s="161">
        <f t="shared" si="92"/>
        <v>5049.6000000000004</v>
      </c>
      <c r="Y981" s="161">
        <f t="shared" si="93"/>
        <v>0</v>
      </c>
      <c r="Z981" s="161">
        <v>0</v>
      </c>
      <c r="AA981" s="161">
        <f t="shared" si="94"/>
        <v>0</v>
      </c>
      <c r="AB981" s="161">
        <f t="shared" si="95"/>
        <v>3500</v>
      </c>
      <c r="AC981" s="158" t="s">
        <v>567</v>
      </c>
      <c r="AD981" s="158"/>
    </row>
    <row r="982" spans="1:30" ht="12.75" customHeight="1" x14ac:dyDescent="0.3">
      <c r="A982" s="147">
        <v>44</v>
      </c>
      <c r="B982" s="158" t="s">
        <v>1120</v>
      </c>
      <c r="C982" s="158" t="s">
        <v>100</v>
      </c>
      <c r="D982" s="158" t="s">
        <v>953</v>
      </c>
      <c r="E982" s="158" t="s">
        <v>25</v>
      </c>
      <c r="F982" s="158" t="s">
        <v>25</v>
      </c>
      <c r="G982" s="158" t="s">
        <v>866</v>
      </c>
      <c r="H982" s="161">
        <v>7828.17</v>
      </c>
      <c r="I982" s="161">
        <v>0</v>
      </c>
      <c r="J982" s="161">
        <v>0</v>
      </c>
      <c r="K982" s="161">
        <v>0</v>
      </c>
      <c r="L982" s="161">
        <v>-2573.64</v>
      </c>
      <c r="M982" s="161">
        <v>-42</v>
      </c>
      <c r="N982" s="161">
        <v>0</v>
      </c>
      <c r="O982" s="162">
        <f t="shared" si="90"/>
        <v>5212.5300000000007</v>
      </c>
      <c r="P982" s="161">
        <v>-2500</v>
      </c>
      <c r="Q982" s="161">
        <v>0</v>
      </c>
      <c r="R982" s="161">
        <v>-500</v>
      </c>
      <c r="S982" s="161">
        <v>0</v>
      </c>
      <c r="T982" s="161">
        <v>0</v>
      </c>
      <c r="U982" s="161">
        <v>558</v>
      </c>
      <c r="V982" s="161">
        <v>0</v>
      </c>
      <c r="W982" s="161">
        <f t="shared" si="91"/>
        <v>2770.5300000000007</v>
      </c>
      <c r="X982" s="161">
        <f t="shared" si="92"/>
        <v>2770.5300000000007</v>
      </c>
      <c r="Y982" s="161">
        <f t="shared" si="93"/>
        <v>0</v>
      </c>
      <c r="Z982" s="161">
        <v>0</v>
      </c>
      <c r="AA982" s="161">
        <f t="shared" si="94"/>
        <v>0</v>
      </c>
      <c r="AB982" s="161">
        <f t="shared" si="95"/>
        <v>2442</v>
      </c>
      <c r="AC982" s="158" t="s">
        <v>567</v>
      </c>
      <c r="AD982" s="158"/>
    </row>
    <row r="983" spans="1:30" ht="12.75" customHeight="1" x14ac:dyDescent="0.3">
      <c r="A983" s="147">
        <v>44</v>
      </c>
      <c r="B983" s="158" t="s">
        <v>515</v>
      </c>
      <c r="C983" s="158" t="s">
        <v>150</v>
      </c>
      <c r="D983" s="158" t="s">
        <v>877</v>
      </c>
      <c r="E983" s="158" t="s">
        <v>25</v>
      </c>
      <c r="F983" s="158" t="s">
        <v>25</v>
      </c>
      <c r="G983" s="158" t="s">
        <v>866</v>
      </c>
      <c r="H983" s="161">
        <v>6613.02</v>
      </c>
      <c r="I983" s="161">
        <v>-48</v>
      </c>
      <c r="J983" s="161">
        <v>0</v>
      </c>
      <c r="K983" s="161">
        <v>0</v>
      </c>
      <c r="L983" s="161">
        <v>0</v>
      </c>
      <c r="M983" s="162">
        <v>0</v>
      </c>
      <c r="N983" s="161">
        <v>0</v>
      </c>
      <c r="O983" s="162">
        <f t="shared" si="90"/>
        <v>6565.02</v>
      </c>
      <c r="P983" s="161">
        <f>-2500+1899</f>
        <v>-601</v>
      </c>
      <c r="Q983" s="161">
        <v>0</v>
      </c>
      <c r="R983" s="161">
        <v>-500</v>
      </c>
      <c r="S983" s="161">
        <v>0</v>
      </c>
      <c r="T983" s="161">
        <v>-700</v>
      </c>
      <c r="U983" s="161">
        <v>0</v>
      </c>
      <c r="V983" s="161">
        <v>0</v>
      </c>
      <c r="W983" s="161">
        <f t="shared" si="91"/>
        <v>4764.0200000000004</v>
      </c>
      <c r="X983" s="161">
        <f t="shared" si="92"/>
        <v>4764.0200000000004</v>
      </c>
      <c r="Y983" s="161">
        <f t="shared" si="93"/>
        <v>0</v>
      </c>
      <c r="Z983" s="161">
        <v>0</v>
      </c>
      <c r="AA983" s="161">
        <f t="shared" si="94"/>
        <v>0</v>
      </c>
      <c r="AB983" s="161">
        <f t="shared" si="95"/>
        <v>1801</v>
      </c>
      <c r="AC983" s="158" t="s">
        <v>567</v>
      </c>
      <c r="AD983" s="158"/>
    </row>
    <row r="984" spans="1:30" ht="12.75" customHeight="1" x14ac:dyDescent="0.3">
      <c r="A984" s="147">
        <v>44</v>
      </c>
      <c r="B984" s="158" t="s">
        <v>620</v>
      </c>
      <c r="C984" s="158" t="s">
        <v>571</v>
      </c>
      <c r="D984" s="158" t="s">
        <v>974</v>
      </c>
      <c r="E984" s="158" t="s">
        <v>25</v>
      </c>
      <c r="F984" s="158" t="s">
        <v>25</v>
      </c>
      <c r="G984" s="158" t="s">
        <v>866</v>
      </c>
      <c r="H984" s="161">
        <v>5961.05</v>
      </c>
      <c r="I984" s="161">
        <v>0</v>
      </c>
      <c r="J984" s="161">
        <v>0</v>
      </c>
      <c r="K984" s="161">
        <v>0</v>
      </c>
      <c r="L984" s="161">
        <v>-3730.45</v>
      </c>
      <c r="M984" s="161">
        <v>-48</v>
      </c>
      <c r="N984" s="161">
        <v>0</v>
      </c>
      <c r="O984" s="162">
        <f t="shared" si="90"/>
        <v>2182.6000000000004</v>
      </c>
      <c r="P984" s="161">
        <v>-2500</v>
      </c>
      <c r="Q984" s="161">
        <v>0</v>
      </c>
      <c r="R984" s="161">
        <v>-500</v>
      </c>
      <c r="S984" s="161">
        <v>0</v>
      </c>
      <c r="T984" s="161">
        <v>0</v>
      </c>
      <c r="U984" s="161">
        <v>0</v>
      </c>
      <c r="V984" s="161">
        <v>0</v>
      </c>
      <c r="W984" s="161">
        <f t="shared" si="91"/>
        <v>-817.39999999999964</v>
      </c>
      <c r="X984" s="161">
        <f t="shared" si="92"/>
        <v>0</v>
      </c>
      <c r="Y984" s="161">
        <f t="shared" si="93"/>
        <v>-817.39999999999964</v>
      </c>
      <c r="Z984" s="161">
        <v>817</v>
      </c>
      <c r="AA984" s="161">
        <f t="shared" si="94"/>
        <v>-0.3999999999996362</v>
      </c>
      <c r="AB984" s="161">
        <f t="shared" si="95"/>
        <v>2999.2000000000007</v>
      </c>
      <c r="AC984" s="158"/>
      <c r="AD984" s="158"/>
    </row>
    <row r="985" spans="1:30" ht="12.75" customHeight="1" x14ac:dyDescent="0.3">
      <c r="A985" s="147">
        <v>44</v>
      </c>
      <c r="B985" s="158" t="s">
        <v>1088</v>
      </c>
      <c r="C985" s="158" t="s">
        <v>100</v>
      </c>
      <c r="D985" s="158" t="s">
        <v>953</v>
      </c>
      <c r="E985" s="158" t="s">
        <v>25</v>
      </c>
      <c r="F985" s="158" t="s">
        <v>25</v>
      </c>
      <c r="G985" s="158" t="s">
        <v>866</v>
      </c>
      <c r="H985" s="161">
        <v>5172.54</v>
      </c>
      <c r="I985" s="161">
        <v>0</v>
      </c>
      <c r="J985" s="161">
        <v>0</v>
      </c>
      <c r="K985" s="161">
        <v>-30.74</v>
      </c>
      <c r="L985" s="161">
        <v>-1079.8699999999999</v>
      </c>
      <c r="M985" s="161">
        <v>-38</v>
      </c>
      <c r="N985" s="161">
        <v>0</v>
      </c>
      <c r="O985" s="162">
        <f t="shared" si="90"/>
        <v>4023.9300000000003</v>
      </c>
      <c r="P985" s="161">
        <v>-2500</v>
      </c>
      <c r="Q985" s="161">
        <v>0</v>
      </c>
      <c r="R985" s="161">
        <v>0</v>
      </c>
      <c r="S985" s="161">
        <v>0</v>
      </c>
      <c r="T985" s="161">
        <v>0</v>
      </c>
      <c r="U985" s="161">
        <v>0</v>
      </c>
      <c r="V985" s="161">
        <v>0</v>
      </c>
      <c r="W985" s="161">
        <f t="shared" si="91"/>
        <v>1523.9300000000003</v>
      </c>
      <c r="X985" s="161">
        <f t="shared" si="92"/>
        <v>1523.9300000000003</v>
      </c>
      <c r="Y985" s="161">
        <f t="shared" si="93"/>
        <v>0</v>
      </c>
      <c r="Z985" s="161">
        <v>0</v>
      </c>
      <c r="AA985" s="161">
        <f t="shared" si="94"/>
        <v>0</v>
      </c>
      <c r="AB985" s="161">
        <f t="shared" si="95"/>
        <v>2500</v>
      </c>
      <c r="AC985" s="158" t="s">
        <v>567</v>
      </c>
      <c r="AD985" s="158"/>
    </row>
    <row r="986" spans="1:30" ht="12.75" customHeight="1" x14ac:dyDescent="0.3">
      <c r="A986" s="147">
        <v>44</v>
      </c>
      <c r="B986" s="158" t="s">
        <v>1013</v>
      </c>
      <c r="C986" s="158" t="s">
        <v>101</v>
      </c>
      <c r="D986" s="158" t="s">
        <v>945</v>
      </c>
      <c r="E986" s="158" t="s">
        <v>25</v>
      </c>
      <c r="F986" s="158" t="s">
        <v>25</v>
      </c>
      <c r="G986" s="158" t="s">
        <v>866</v>
      </c>
      <c r="H986" s="161">
        <v>4865.22</v>
      </c>
      <c r="I986" s="161">
        <v>-24</v>
      </c>
      <c r="J986" s="161">
        <v>286.24</v>
      </c>
      <c r="K986" s="161">
        <v>0</v>
      </c>
      <c r="L986" s="161">
        <v>-1687.33</v>
      </c>
      <c r="M986" s="161">
        <v>-34</v>
      </c>
      <c r="N986" s="161">
        <v>0</v>
      </c>
      <c r="O986" s="162">
        <f t="shared" si="90"/>
        <v>3406.13</v>
      </c>
      <c r="P986" s="161">
        <v>-2500</v>
      </c>
      <c r="Q986" s="161">
        <v>0</v>
      </c>
      <c r="R986" s="161">
        <v>0</v>
      </c>
      <c r="S986" s="161">
        <v>0</v>
      </c>
      <c r="T986" s="161">
        <v>0</v>
      </c>
      <c r="U986" s="161">
        <v>0</v>
      </c>
      <c r="V986" s="161">
        <v>0</v>
      </c>
      <c r="W986" s="161">
        <f t="shared" si="91"/>
        <v>906.13000000000011</v>
      </c>
      <c r="X986" s="161">
        <f t="shared" si="92"/>
        <v>906.13000000000011</v>
      </c>
      <c r="Y986" s="161">
        <f t="shared" si="93"/>
        <v>0</v>
      </c>
      <c r="Z986" s="161">
        <v>0</v>
      </c>
      <c r="AA986" s="161">
        <f t="shared" si="94"/>
        <v>0</v>
      </c>
      <c r="AB986" s="161">
        <f t="shared" si="95"/>
        <v>2500</v>
      </c>
      <c r="AC986" s="158" t="s">
        <v>567</v>
      </c>
      <c r="AD986" s="158"/>
    </row>
    <row r="987" spans="1:30" ht="12.75" customHeight="1" x14ac:dyDescent="0.3">
      <c r="A987" s="147">
        <v>44</v>
      </c>
      <c r="B987" s="158" t="s">
        <v>1067</v>
      </c>
      <c r="C987" s="158" t="s">
        <v>46</v>
      </c>
      <c r="D987" s="158" t="s">
        <v>915</v>
      </c>
      <c r="E987" s="158" t="s">
        <v>25</v>
      </c>
      <c r="F987" s="158" t="s">
        <v>25</v>
      </c>
      <c r="G987" s="158" t="s">
        <v>866</v>
      </c>
      <c r="H987" s="161">
        <v>4165.1899999999996</v>
      </c>
      <c r="I987" s="161">
        <v>0</v>
      </c>
      <c r="J987" s="161">
        <v>0</v>
      </c>
      <c r="K987" s="161">
        <v>0</v>
      </c>
      <c r="L987" s="161">
        <v>-1235.68</v>
      </c>
      <c r="M987" s="162">
        <v>-48</v>
      </c>
      <c r="N987" s="161">
        <v>0</v>
      </c>
      <c r="O987" s="162">
        <f t="shared" si="90"/>
        <v>2881.5099999999993</v>
      </c>
      <c r="P987" s="161">
        <v>-2500</v>
      </c>
      <c r="Q987" s="161">
        <v>0</v>
      </c>
      <c r="R987" s="161">
        <v>0</v>
      </c>
      <c r="S987" s="161">
        <v>0</v>
      </c>
      <c r="T987" s="161">
        <v>-700</v>
      </c>
      <c r="U987" s="161">
        <v>0</v>
      </c>
      <c r="V987" s="161">
        <v>0</v>
      </c>
      <c r="W987" s="161">
        <f t="shared" si="91"/>
        <v>-318.49000000000069</v>
      </c>
      <c r="X987" s="161">
        <f t="shared" si="92"/>
        <v>0</v>
      </c>
      <c r="Y987" s="161">
        <f t="shared" si="93"/>
        <v>-318.49000000000069</v>
      </c>
      <c r="Z987" s="161">
        <v>318</v>
      </c>
      <c r="AA987" s="161">
        <f t="shared" si="94"/>
        <v>-0.49000000000069122</v>
      </c>
      <c r="AB987" s="161">
        <f t="shared" si="95"/>
        <v>3199.0199999999986</v>
      </c>
      <c r="AC987" s="158"/>
      <c r="AD987" s="158"/>
    </row>
    <row r="988" spans="1:30" ht="12.75" customHeight="1" x14ac:dyDescent="0.3">
      <c r="A988" s="147">
        <v>44</v>
      </c>
      <c r="B988" s="158" t="s">
        <v>880</v>
      </c>
      <c r="C988" s="158" t="s">
        <v>183</v>
      </c>
      <c r="D988" s="158" t="s">
        <v>887</v>
      </c>
      <c r="E988" s="158" t="s">
        <v>25</v>
      </c>
      <c r="F988" s="158" t="s">
        <v>25</v>
      </c>
      <c r="G988" s="158" t="s">
        <v>866</v>
      </c>
      <c r="H988" s="161">
        <v>3959.28</v>
      </c>
      <c r="I988" s="161">
        <v>-16</v>
      </c>
      <c r="J988" s="161">
        <v>0</v>
      </c>
      <c r="K988" s="161">
        <v>0</v>
      </c>
      <c r="L988" s="161">
        <v>-999.4</v>
      </c>
      <c r="M988" s="161">
        <v>-34</v>
      </c>
      <c r="N988" s="161">
        <v>0</v>
      </c>
      <c r="O988" s="162">
        <f t="shared" si="90"/>
        <v>2909.88</v>
      </c>
      <c r="P988" s="161">
        <v>-2500</v>
      </c>
      <c r="Q988" s="161">
        <v>0</v>
      </c>
      <c r="R988" s="161">
        <v>0</v>
      </c>
      <c r="S988" s="161">
        <v>0</v>
      </c>
      <c r="T988" s="161">
        <v>0</v>
      </c>
      <c r="U988" s="161">
        <v>0</v>
      </c>
      <c r="V988" s="161">
        <v>0</v>
      </c>
      <c r="W988" s="161">
        <f t="shared" si="91"/>
        <v>409.88000000000011</v>
      </c>
      <c r="X988" s="161">
        <f t="shared" si="92"/>
        <v>409.88000000000011</v>
      </c>
      <c r="Y988" s="161">
        <f t="shared" si="93"/>
        <v>0</v>
      </c>
      <c r="Z988" s="161">
        <v>0</v>
      </c>
      <c r="AA988" s="161">
        <f t="shared" si="94"/>
        <v>0</v>
      </c>
      <c r="AB988" s="161">
        <f t="shared" si="95"/>
        <v>2500</v>
      </c>
      <c r="AC988" s="158" t="s">
        <v>567</v>
      </c>
      <c r="AD988" s="158"/>
    </row>
    <row r="989" spans="1:30" ht="12.75" customHeight="1" x14ac:dyDescent="0.3">
      <c r="A989" s="147">
        <v>44</v>
      </c>
      <c r="B989" s="158" t="s">
        <v>1121</v>
      </c>
      <c r="C989" s="158" t="s">
        <v>150</v>
      </c>
      <c r="D989" s="158" t="s">
        <v>1122</v>
      </c>
      <c r="E989" s="158" t="s">
        <v>25</v>
      </c>
      <c r="F989" s="158" t="s">
        <v>25</v>
      </c>
      <c r="G989" s="158" t="s">
        <v>737</v>
      </c>
      <c r="H989" s="161">
        <v>3426.98</v>
      </c>
      <c r="I989" s="161">
        <v>0</v>
      </c>
      <c r="J989" s="161">
        <v>0</v>
      </c>
      <c r="K989" s="161">
        <v>0</v>
      </c>
      <c r="L989" s="161">
        <v>-2723.08</v>
      </c>
      <c r="M989" s="162">
        <v>-38</v>
      </c>
      <c r="N989" s="161">
        <v>0</v>
      </c>
      <c r="O989" s="162">
        <f t="shared" si="90"/>
        <v>665.90000000000009</v>
      </c>
      <c r="P989" s="161">
        <v>-1857.14</v>
      </c>
      <c r="Q989" s="161">
        <v>0</v>
      </c>
      <c r="R989" s="161">
        <v>-357.14</v>
      </c>
      <c r="S989" s="161">
        <v>0</v>
      </c>
      <c r="T989" s="161">
        <v>0</v>
      </c>
      <c r="U989" s="161">
        <v>0</v>
      </c>
      <c r="V989" s="161">
        <v>0</v>
      </c>
      <c r="W989" s="161">
        <f t="shared" si="91"/>
        <v>-1548.38</v>
      </c>
      <c r="X989" s="161">
        <f t="shared" si="92"/>
        <v>0</v>
      </c>
      <c r="Y989" s="161">
        <f>IF(W989&lt;=0,W989,0)</f>
        <v>-1548.38</v>
      </c>
      <c r="Z989" s="161">
        <v>1548</v>
      </c>
      <c r="AA989" s="161">
        <f t="shared" si="94"/>
        <v>-0.38000000000010914</v>
      </c>
      <c r="AB989" s="161">
        <f t="shared" si="95"/>
        <v>2213.52</v>
      </c>
      <c r="AC989" s="158"/>
      <c r="AD989" s="158"/>
    </row>
    <row r="990" spans="1:30" ht="12.75" customHeight="1" x14ac:dyDescent="0.3">
      <c r="A990" s="147">
        <v>44</v>
      </c>
      <c r="B990" s="158" t="s">
        <v>408</v>
      </c>
      <c r="C990" s="158" t="s">
        <v>409</v>
      </c>
      <c r="D990" s="158" t="s">
        <v>946</v>
      </c>
      <c r="E990" s="158" t="s">
        <v>25</v>
      </c>
      <c r="F990" s="158" t="s">
        <v>25</v>
      </c>
      <c r="G990" s="158" t="s">
        <v>866</v>
      </c>
      <c r="H990" s="161">
        <v>2557.9499999999998</v>
      </c>
      <c r="I990" s="161">
        <v>0</v>
      </c>
      <c r="J990" s="161">
        <v>0</v>
      </c>
      <c r="K990" s="161">
        <v>0</v>
      </c>
      <c r="L990" s="161">
        <v>-78.91</v>
      </c>
      <c r="M990" s="161">
        <v>-38</v>
      </c>
      <c r="N990" s="161">
        <v>0</v>
      </c>
      <c r="O990" s="162">
        <f t="shared" si="90"/>
        <v>2441.04</v>
      </c>
      <c r="P990" s="161">
        <v>-2500</v>
      </c>
      <c r="Q990" s="161">
        <v>-100</v>
      </c>
      <c r="R990" s="161">
        <v>0</v>
      </c>
      <c r="S990" s="161">
        <v>0</v>
      </c>
      <c r="T990" s="161">
        <v>0</v>
      </c>
      <c r="U990" s="161">
        <v>0</v>
      </c>
      <c r="V990" s="161">
        <v>0</v>
      </c>
      <c r="W990" s="161">
        <f t="shared" si="91"/>
        <v>-158.96000000000004</v>
      </c>
      <c r="X990" s="161">
        <f t="shared" si="92"/>
        <v>0</v>
      </c>
      <c r="Y990" s="161">
        <f t="shared" si="93"/>
        <v>-158.96000000000004</v>
      </c>
      <c r="Z990" s="161">
        <v>159</v>
      </c>
      <c r="AA990" s="161">
        <f t="shared" si="94"/>
        <v>3.999999999996362E-2</v>
      </c>
      <c r="AB990" s="161">
        <f t="shared" si="95"/>
        <v>2600.08</v>
      </c>
      <c r="AC990" s="158" t="s">
        <v>1043</v>
      </c>
      <c r="AD990" s="158"/>
    </row>
    <row r="991" spans="1:30" ht="12.75" customHeight="1" x14ac:dyDescent="0.3">
      <c r="A991" s="147">
        <v>44</v>
      </c>
      <c r="B991" s="158" t="s">
        <v>922</v>
      </c>
      <c r="C991" s="158" t="s">
        <v>36</v>
      </c>
      <c r="D991" s="158" t="s">
        <v>904</v>
      </c>
      <c r="E991" s="158" t="s">
        <v>25</v>
      </c>
      <c r="F991" s="158" t="s">
        <v>25</v>
      </c>
      <c r="G991" s="158" t="s">
        <v>866</v>
      </c>
      <c r="H991" s="161">
        <v>2357.63</v>
      </c>
      <c r="I991" s="161">
        <v>0</v>
      </c>
      <c r="J991" s="161">
        <v>0</v>
      </c>
      <c r="K991" s="161">
        <v>0</v>
      </c>
      <c r="L991" s="161">
        <v>-452.7</v>
      </c>
      <c r="M991" s="161">
        <v>-32</v>
      </c>
      <c r="N991" s="161">
        <v>0</v>
      </c>
      <c r="O991" s="162">
        <f t="shared" si="90"/>
        <v>1872.93</v>
      </c>
      <c r="P991" s="161">
        <v>-2500</v>
      </c>
      <c r="Q991" s="161">
        <v>-54</v>
      </c>
      <c r="R991" s="161">
        <v>0</v>
      </c>
      <c r="S991" s="161">
        <v>0</v>
      </c>
      <c r="T991" s="161">
        <v>-500</v>
      </c>
      <c r="U991" s="161">
        <v>0</v>
      </c>
      <c r="V991" s="161">
        <v>0</v>
      </c>
      <c r="W991" s="161">
        <f t="shared" si="91"/>
        <v>-1181.07</v>
      </c>
      <c r="X991" s="161">
        <f t="shared" si="92"/>
        <v>0</v>
      </c>
      <c r="Y991" s="161">
        <f t="shared" si="93"/>
        <v>-1181.07</v>
      </c>
      <c r="Z991" s="161">
        <v>1172</v>
      </c>
      <c r="AA991" s="161">
        <f t="shared" si="94"/>
        <v>-9.0699999999999363</v>
      </c>
      <c r="AB991" s="161">
        <f t="shared" si="95"/>
        <v>3035.8600000000006</v>
      </c>
      <c r="AC991" s="158"/>
      <c r="AD991" s="158"/>
    </row>
    <row r="992" spans="1:30" ht="12.75" customHeight="1" x14ac:dyDescent="0.3">
      <c r="A992" s="147">
        <v>44</v>
      </c>
      <c r="B992" s="158" t="s">
        <v>1003</v>
      </c>
      <c r="C992" s="158" t="s">
        <v>59</v>
      </c>
      <c r="D992" s="158" t="s">
        <v>895</v>
      </c>
      <c r="E992" s="158" t="s">
        <v>25</v>
      </c>
      <c r="F992" s="158" t="s">
        <v>25</v>
      </c>
      <c r="G992" s="158" t="s">
        <v>866</v>
      </c>
      <c r="H992" s="161">
        <v>621.38</v>
      </c>
      <c r="I992" s="161">
        <v>0</v>
      </c>
      <c r="J992" s="161">
        <v>0</v>
      </c>
      <c r="K992" s="161">
        <v>0</v>
      </c>
      <c r="L992" s="161">
        <v>0</v>
      </c>
      <c r="M992" s="161">
        <v>-42</v>
      </c>
      <c r="N992" s="161">
        <v>0</v>
      </c>
      <c r="O992" s="162">
        <f t="shared" si="90"/>
        <v>579.38</v>
      </c>
      <c r="P992" s="161">
        <v>-2500</v>
      </c>
      <c r="Q992" s="161">
        <v>-2219</v>
      </c>
      <c r="R992" s="161">
        <v>0</v>
      </c>
      <c r="S992" s="161">
        <v>0</v>
      </c>
      <c r="T992" s="161">
        <v>0</v>
      </c>
      <c r="U992" s="161">
        <v>0</v>
      </c>
      <c r="V992" s="161">
        <v>0</v>
      </c>
      <c r="W992" s="161">
        <f t="shared" si="91"/>
        <v>-4139.62</v>
      </c>
      <c r="X992" s="161">
        <f t="shared" si="92"/>
        <v>0</v>
      </c>
      <c r="Y992" s="161">
        <f t="shared" si="93"/>
        <v>-4139.62</v>
      </c>
      <c r="Z992" s="161">
        <v>4140</v>
      </c>
      <c r="AA992" s="161">
        <f t="shared" si="94"/>
        <v>0.38000000000010914</v>
      </c>
      <c r="AB992" s="161">
        <f t="shared" si="95"/>
        <v>4719.76</v>
      </c>
      <c r="AC992" s="158" t="s">
        <v>1043</v>
      </c>
      <c r="AD992" s="158"/>
    </row>
    <row r="993" spans="1:30" ht="12.75" customHeight="1" x14ac:dyDescent="0.3">
      <c r="A993" s="147">
        <v>44</v>
      </c>
      <c r="B993" s="158" t="s">
        <v>837</v>
      </c>
      <c r="C993" s="158" t="s">
        <v>150</v>
      </c>
      <c r="D993" s="158" t="s">
        <v>1122</v>
      </c>
      <c r="E993" s="158" t="s">
        <v>25</v>
      </c>
      <c r="F993" s="158" t="s">
        <v>25</v>
      </c>
      <c r="G993" s="158" t="s">
        <v>866</v>
      </c>
      <c r="H993" s="161">
        <v>562.70000000000005</v>
      </c>
      <c r="I993" s="161">
        <v>0</v>
      </c>
      <c r="J993" s="161">
        <v>0</v>
      </c>
      <c r="K993" s="161">
        <v>0</v>
      </c>
      <c r="L993" s="161">
        <v>0</v>
      </c>
      <c r="M993" s="161">
        <v>0</v>
      </c>
      <c r="N993" s="161">
        <v>0</v>
      </c>
      <c r="O993" s="162">
        <f t="shared" si="90"/>
        <v>562.70000000000005</v>
      </c>
      <c r="P993" s="161">
        <v>-563</v>
      </c>
      <c r="Q993" s="161">
        <v>0</v>
      </c>
      <c r="R993" s="161">
        <v>0</v>
      </c>
      <c r="S993" s="161">
        <v>0</v>
      </c>
      <c r="T993" s="161">
        <v>0</v>
      </c>
      <c r="U993" s="161">
        <v>0</v>
      </c>
      <c r="V993" s="161">
        <v>0</v>
      </c>
      <c r="W993" s="161">
        <f t="shared" si="91"/>
        <v>-0.29999999999995453</v>
      </c>
      <c r="X993" s="161">
        <f t="shared" si="92"/>
        <v>0</v>
      </c>
      <c r="Y993" s="161">
        <f t="shared" si="93"/>
        <v>-0.29999999999995453</v>
      </c>
      <c r="Z993" s="161">
        <v>0</v>
      </c>
      <c r="AA993" s="161">
        <f t="shared" si="94"/>
        <v>-0.29999999999995453</v>
      </c>
      <c r="AB993" s="161">
        <f t="shared" si="95"/>
        <v>562.40000000000009</v>
      </c>
      <c r="AC993" s="158"/>
      <c r="AD993" s="158"/>
    </row>
    <row r="994" spans="1:30" ht="12.75" customHeight="1" x14ac:dyDescent="0.3">
      <c r="A994" s="147">
        <v>44</v>
      </c>
      <c r="B994" s="158" t="s">
        <v>585</v>
      </c>
      <c r="C994" s="158" t="s">
        <v>42</v>
      </c>
      <c r="D994" s="158" t="s">
        <v>948</v>
      </c>
      <c r="E994" s="158" t="s">
        <v>25</v>
      </c>
      <c r="F994" s="158" t="s">
        <v>25</v>
      </c>
      <c r="G994" s="158" t="s">
        <v>866</v>
      </c>
      <c r="H994" s="161">
        <v>0</v>
      </c>
      <c r="I994" s="161">
        <v>0</v>
      </c>
      <c r="J994" s="161">
        <v>0</v>
      </c>
      <c r="K994" s="161">
        <v>0</v>
      </c>
      <c r="L994" s="161">
        <v>0</v>
      </c>
      <c r="M994" s="161">
        <v>0</v>
      </c>
      <c r="N994" s="161">
        <v>0</v>
      </c>
      <c r="O994" s="162">
        <f t="shared" si="90"/>
        <v>0</v>
      </c>
      <c r="P994" s="161">
        <v>-2500</v>
      </c>
      <c r="Q994" s="161">
        <v>0</v>
      </c>
      <c r="R994" s="161">
        <v>0</v>
      </c>
      <c r="S994" s="161">
        <v>0</v>
      </c>
      <c r="T994" s="161">
        <v>0</v>
      </c>
      <c r="U994" s="161">
        <v>0</v>
      </c>
      <c r="V994" s="161">
        <v>0</v>
      </c>
      <c r="W994" s="161">
        <f t="shared" si="91"/>
        <v>-2500</v>
      </c>
      <c r="X994" s="161">
        <f t="shared" si="92"/>
        <v>0</v>
      </c>
      <c r="Y994" s="161">
        <f t="shared" si="93"/>
        <v>-2500</v>
      </c>
      <c r="Z994" s="161">
        <v>2500</v>
      </c>
      <c r="AA994" s="161">
        <f t="shared" si="94"/>
        <v>0</v>
      </c>
      <c r="AB994" s="161">
        <f t="shared" si="95"/>
        <v>2500</v>
      </c>
      <c r="AC994" s="158" t="s">
        <v>1043</v>
      </c>
      <c r="AD994" s="158"/>
    </row>
    <row r="995" spans="1:30" ht="12.75" customHeight="1" x14ac:dyDescent="0.3">
      <c r="A995" s="147">
        <v>44</v>
      </c>
      <c r="B995" s="158" t="s">
        <v>918</v>
      </c>
      <c r="C995" s="158" t="s">
        <v>120</v>
      </c>
      <c r="D995" s="158" t="s">
        <v>20</v>
      </c>
      <c r="E995" s="158" t="s">
        <v>25</v>
      </c>
      <c r="F995" s="158" t="s">
        <v>25</v>
      </c>
      <c r="G995" s="158" t="s">
        <v>866</v>
      </c>
      <c r="H995" s="161">
        <v>0</v>
      </c>
      <c r="I995" s="161">
        <v>0</v>
      </c>
      <c r="J995" s="161">
        <v>0</v>
      </c>
      <c r="K995" s="161">
        <v>0</v>
      </c>
      <c r="L995" s="161">
        <v>0</v>
      </c>
      <c r="M995" s="161">
        <v>0</v>
      </c>
      <c r="N995" s="161">
        <v>0</v>
      </c>
      <c r="O995" s="162">
        <f t="shared" si="90"/>
        <v>0</v>
      </c>
      <c r="P995" s="161">
        <v>0</v>
      </c>
      <c r="Q995" s="161">
        <v>0</v>
      </c>
      <c r="R995" s="161">
        <v>500</v>
      </c>
      <c r="S995" s="161">
        <v>0</v>
      </c>
      <c r="T995" s="161">
        <v>0</v>
      </c>
      <c r="U995" s="161">
        <v>0</v>
      </c>
      <c r="V995" s="161">
        <v>0</v>
      </c>
      <c r="W995" s="161">
        <f t="shared" si="91"/>
        <v>500</v>
      </c>
      <c r="X995" s="161">
        <f t="shared" si="92"/>
        <v>500</v>
      </c>
      <c r="Y995" s="161">
        <f t="shared" si="93"/>
        <v>0</v>
      </c>
      <c r="Z995" s="161">
        <v>0</v>
      </c>
      <c r="AA995" s="161">
        <f t="shared" si="94"/>
        <v>0</v>
      </c>
      <c r="AB995" s="161">
        <f t="shared" si="95"/>
        <v>-500</v>
      </c>
      <c r="AC995" s="158" t="s">
        <v>567</v>
      </c>
      <c r="AD995" s="158"/>
    </row>
    <row r="996" spans="1:30" ht="12.75" customHeight="1" x14ac:dyDescent="0.3">
      <c r="A996" s="147">
        <v>44</v>
      </c>
      <c r="B996" s="158" t="s">
        <v>1062</v>
      </c>
      <c r="C996" s="158" t="s">
        <v>53</v>
      </c>
      <c r="D996" s="158" t="s">
        <v>20</v>
      </c>
      <c r="E996" s="158" t="s">
        <v>25</v>
      </c>
      <c r="F996" s="158" t="s">
        <v>39</v>
      </c>
      <c r="G996" s="158" t="s">
        <v>866</v>
      </c>
      <c r="H996" s="161">
        <v>8417.69</v>
      </c>
      <c r="I996" s="161">
        <v>-16</v>
      </c>
      <c r="J996" s="161">
        <v>0</v>
      </c>
      <c r="K996" s="161">
        <v>0</v>
      </c>
      <c r="L996" s="161">
        <v>-3988.17</v>
      </c>
      <c r="M996" s="161">
        <v>-38</v>
      </c>
      <c r="N996" s="161">
        <v>0</v>
      </c>
      <c r="O996" s="162">
        <f t="shared" si="90"/>
        <v>4375.5200000000004</v>
      </c>
      <c r="P996" s="161">
        <f>-2500+357</f>
        <v>-2143</v>
      </c>
      <c r="Q996" s="161">
        <v>0</v>
      </c>
      <c r="R996" s="161">
        <v>0</v>
      </c>
      <c r="S996" s="161">
        <v>0</v>
      </c>
      <c r="T996" s="161">
        <v>0</v>
      </c>
      <c r="U996" s="161">
        <v>0</v>
      </c>
      <c r="V996" s="161">
        <v>0</v>
      </c>
      <c r="W996" s="161">
        <f t="shared" si="91"/>
        <v>2232.5200000000004</v>
      </c>
      <c r="X996" s="161">
        <f t="shared" si="92"/>
        <v>2232.5200000000004</v>
      </c>
      <c r="Y996" s="161">
        <f t="shared" si="93"/>
        <v>0</v>
      </c>
      <c r="Z996" s="161">
        <v>0</v>
      </c>
      <c r="AA996" s="161">
        <f t="shared" si="94"/>
        <v>0</v>
      </c>
      <c r="AB996" s="161">
        <f t="shared" si="95"/>
        <v>2143</v>
      </c>
      <c r="AC996" s="158" t="s">
        <v>1039</v>
      </c>
      <c r="AD996" s="158"/>
    </row>
    <row r="997" spans="1:30" ht="12.75" customHeight="1" x14ac:dyDescent="0.3">
      <c r="A997" s="147">
        <v>44</v>
      </c>
      <c r="B997" s="158" t="s">
        <v>837</v>
      </c>
      <c r="C997" s="158" t="s">
        <v>334</v>
      </c>
      <c r="D997" s="158" t="s">
        <v>20</v>
      </c>
      <c r="E997" s="158" t="s">
        <v>25</v>
      </c>
      <c r="F997" s="158" t="s">
        <v>39</v>
      </c>
      <c r="G997" s="158" t="s">
        <v>866</v>
      </c>
      <c r="H997" s="161">
        <v>10805.54</v>
      </c>
      <c r="I997" s="161">
        <v>-211.2</v>
      </c>
      <c r="J997" s="161">
        <v>0</v>
      </c>
      <c r="K997" s="161">
        <v>0</v>
      </c>
      <c r="L997" s="161">
        <v>0</v>
      </c>
      <c r="M997" s="161">
        <v>-50</v>
      </c>
      <c r="N997" s="161">
        <v>0</v>
      </c>
      <c r="O997" s="162">
        <f t="shared" si="90"/>
        <v>10544.34</v>
      </c>
      <c r="P997" s="161">
        <f>-2500+563</f>
        <v>-1937</v>
      </c>
      <c r="Q997" s="161">
        <v>0</v>
      </c>
      <c r="R997" s="161">
        <v>0</v>
      </c>
      <c r="S997" s="161">
        <v>0</v>
      </c>
      <c r="T997" s="161">
        <v>0</v>
      </c>
      <c r="U997" s="161">
        <v>0</v>
      </c>
      <c r="V997" s="161">
        <v>0</v>
      </c>
      <c r="W997" s="161">
        <f t="shared" si="91"/>
        <v>8607.34</v>
      </c>
      <c r="X997" s="161">
        <f t="shared" si="92"/>
        <v>8607.34</v>
      </c>
      <c r="Y997" s="161">
        <f t="shared" si="93"/>
        <v>0</v>
      </c>
      <c r="Z997" s="161">
        <v>0</v>
      </c>
      <c r="AA997" s="161">
        <f t="shared" si="94"/>
        <v>0</v>
      </c>
      <c r="AB997" s="161">
        <f t="shared" si="95"/>
        <v>1937</v>
      </c>
      <c r="AC997" s="158" t="s">
        <v>1039</v>
      </c>
      <c r="AD997" s="158"/>
    </row>
    <row r="998" spans="1:30" ht="12.75" customHeight="1" x14ac:dyDescent="0.3">
      <c r="A998" s="147">
        <v>44</v>
      </c>
      <c r="B998" s="158" t="s">
        <v>1118</v>
      </c>
      <c r="C998" s="158" t="s">
        <v>169</v>
      </c>
      <c r="D998" s="158" t="s">
        <v>967</v>
      </c>
      <c r="E998" s="160" t="s">
        <v>871</v>
      </c>
      <c r="F998" s="158" t="s">
        <v>39</v>
      </c>
      <c r="G998" s="158" t="s">
        <v>866</v>
      </c>
      <c r="H998" s="161">
        <v>8662.61</v>
      </c>
      <c r="I998" s="161">
        <v>-16</v>
      </c>
      <c r="J998" s="161">
        <v>0</v>
      </c>
      <c r="K998" s="161">
        <v>0</v>
      </c>
      <c r="L998" s="161">
        <v>-4425.74</v>
      </c>
      <c r="M998" s="161">
        <v>-40</v>
      </c>
      <c r="N998" s="161">
        <v>0</v>
      </c>
      <c r="O998" s="162">
        <f t="shared" si="90"/>
        <v>4180.8700000000008</v>
      </c>
      <c r="P998" s="161">
        <v>-2500</v>
      </c>
      <c r="Q998" s="161">
        <v>0</v>
      </c>
      <c r="R998" s="161">
        <v>-500</v>
      </c>
      <c r="S998" s="161">
        <v>0</v>
      </c>
      <c r="T998" s="161">
        <v>0</v>
      </c>
      <c r="U998" s="161">
        <v>350</v>
      </c>
      <c r="V998" s="161">
        <v>0</v>
      </c>
      <c r="W998" s="161">
        <f t="shared" si="91"/>
        <v>1530.8700000000008</v>
      </c>
      <c r="X998" s="161">
        <f t="shared" si="92"/>
        <v>1530.8700000000008</v>
      </c>
      <c r="Y998" s="161">
        <f t="shared" si="93"/>
        <v>0</v>
      </c>
      <c r="Z998" s="161">
        <v>0</v>
      </c>
      <c r="AA998" s="161">
        <f t="shared" si="94"/>
        <v>0</v>
      </c>
      <c r="AB998" s="161">
        <f t="shared" si="95"/>
        <v>2650</v>
      </c>
      <c r="AC998" s="158" t="s">
        <v>1039</v>
      </c>
      <c r="AD998" s="158"/>
    </row>
    <row r="999" spans="1:30" ht="12.75" customHeight="1" x14ac:dyDescent="0.3">
      <c r="A999" s="147">
        <v>44</v>
      </c>
      <c r="B999" s="158" t="s">
        <v>944</v>
      </c>
      <c r="C999" s="158" t="s">
        <v>372</v>
      </c>
      <c r="D999" s="158" t="s">
        <v>1004</v>
      </c>
      <c r="E999" s="158" t="s">
        <v>39</v>
      </c>
      <c r="F999" s="158" t="s">
        <v>39</v>
      </c>
      <c r="G999" s="158" t="s">
        <v>866</v>
      </c>
      <c r="H999" s="161">
        <v>7077.48</v>
      </c>
      <c r="I999" s="161">
        <v>0</v>
      </c>
      <c r="J999" s="161">
        <v>0</v>
      </c>
      <c r="K999" s="161">
        <v>0</v>
      </c>
      <c r="L999" s="161">
        <v>-3291.67</v>
      </c>
      <c r="M999" s="161">
        <v>-50</v>
      </c>
      <c r="N999" s="161">
        <v>0</v>
      </c>
      <c r="O999" s="162">
        <f t="shared" si="90"/>
        <v>3735.8099999999995</v>
      </c>
      <c r="P999" s="161">
        <v>-2500</v>
      </c>
      <c r="Q999" s="161">
        <v>0</v>
      </c>
      <c r="R999" s="161">
        <v>0</v>
      </c>
      <c r="S999" s="161">
        <v>0</v>
      </c>
      <c r="T999" s="161">
        <v>0</v>
      </c>
      <c r="U999" s="161">
        <v>0</v>
      </c>
      <c r="V999" s="161">
        <v>0</v>
      </c>
      <c r="W999" s="161">
        <f t="shared" si="91"/>
        <v>1235.8099999999995</v>
      </c>
      <c r="X999" s="161">
        <f t="shared" si="92"/>
        <v>1235.8099999999995</v>
      </c>
      <c r="Y999" s="161">
        <f t="shared" si="93"/>
        <v>0</v>
      </c>
      <c r="Z999" s="161">
        <v>0</v>
      </c>
      <c r="AA999" s="161">
        <f t="shared" si="94"/>
        <v>0</v>
      </c>
      <c r="AB999" s="161">
        <f t="shared" si="95"/>
        <v>2500</v>
      </c>
      <c r="AC999" s="158" t="s">
        <v>1039</v>
      </c>
      <c r="AD999" s="158"/>
    </row>
    <row r="1000" spans="1:30" ht="12.75" customHeight="1" x14ac:dyDescent="0.3">
      <c r="A1000" s="147">
        <v>44</v>
      </c>
      <c r="B1000" s="158" t="s">
        <v>604</v>
      </c>
      <c r="C1000" s="158" t="s">
        <v>123</v>
      </c>
      <c r="D1000" s="158" t="s">
        <v>999</v>
      </c>
      <c r="E1000" s="160" t="s">
        <v>871</v>
      </c>
      <c r="F1000" s="158" t="s">
        <v>39</v>
      </c>
      <c r="G1000" s="158" t="s">
        <v>866</v>
      </c>
      <c r="H1000" s="161">
        <v>8468.34</v>
      </c>
      <c r="I1000" s="161">
        <v>0</v>
      </c>
      <c r="J1000" s="161">
        <v>0</v>
      </c>
      <c r="K1000" s="161">
        <v>0</v>
      </c>
      <c r="L1000" s="161">
        <v>-3950.42</v>
      </c>
      <c r="M1000" s="161">
        <v>-42</v>
      </c>
      <c r="N1000" s="161">
        <v>0</v>
      </c>
      <c r="O1000" s="162">
        <f t="shared" si="90"/>
        <v>4475.92</v>
      </c>
      <c r="P1000" s="161">
        <v>-2500</v>
      </c>
      <c r="Q1000" s="161">
        <v>0</v>
      </c>
      <c r="R1000" s="161">
        <v>0</v>
      </c>
      <c r="S1000" s="161">
        <v>0</v>
      </c>
      <c r="T1000" s="161">
        <v>0</v>
      </c>
      <c r="U1000" s="161">
        <v>0</v>
      </c>
      <c r="V1000" s="161">
        <v>0</v>
      </c>
      <c r="W1000" s="161">
        <f t="shared" si="91"/>
        <v>1975.92</v>
      </c>
      <c r="X1000" s="161">
        <f t="shared" si="92"/>
        <v>1975.92</v>
      </c>
      <c r="Y1000" s="161">
        <f t="shared" si="93"/>
        <v>0</v>
      </c>
      <c r="Z1000" s="161">
        <v>0</v>
      </c>
      <c r="AA1000" s="161">
        <f t="shared" si="94"/>
        <v>0</v>
      </c>
      <c r="AB1000" s="161">
        <f t="shared" si="95"/>
        <v>2500</v>
      </c>
      <c r="AC1000" s="158" t="s">
        <v>1039</v>
      </c>
      <c r="AD1000" s="158"/>
    </row>
    <row r="1001" spans="1:30" ht="12.75" customHeight="1" x14ac:dyDescent="0.3">
      <c r="A1001" s="147">
        <v>44</v>
      </c>
      <c r="B1001" s="158" t="s">
        <v>1030</v>
      </c>
      <c r="C1001" s="158" t="s">
        <v>195</v>
      </c>
      <c r="D1001" s="158" t="s">
        <v>964</v>
      </c>
      <c r="E1001" s="160" t="s">
        <v>871</v>
      </c>
      <c r="F1001" s="158" t="s">
        <v>39</v>
      </c>
      <c r="G1001" s="158" t="s">
        <v>866</v>
      </c>
      <c r="H1001" s="161">
        <v>0</v>
      </c>
      <c r="I1001" s="161">
        <v>0</v>
      </c>
      <c r="J1001" s="161">
        <v>0</v>
      </c>
      <c r="K1001" s="161">
        <v>0</v>
      </c>
      <c r="L1001" s="161">
        <v>0</v>
      </c>
      <c r="M1001" s="161">
        <v>0</v>
      </c>
      <c r="N1001" s="161">
        <v>0</v>
      </c>
      <c r="O1001" s="162">
        <f t="shared" si="90"/>
        <v>0</v>
      </c>
      <c r="P1001" s="161">
        <v>0</v>
      </c>
      <c r="Q1001" s="161">
        <v>0</v>
      </c>
      <c r="R1001" s="161">
        <v>500</v>
      </c>
      <c r="S1001" s="161">
        <v>0</v>
      </c>
      <c r="T1001" s="161">
        <v>0</v>
      </c>
      <c r="U1001" s="161">
        <v>0</v>
      </c>
      <c r="V1001" s="161">
        <v>0</v>
      </c>
      <c r="W1001" s="161">
        <f t="shared" si="91"/>
        <v>500</v>
      </c>
      <c r="X1001" s="161">
        <f t="shared" si="92"/>
        <v>500</v>
      </c>
      <c r="Y1001" s="161">
        <f t="shared" si="93"/>
        <v>0</v>
      </c>
      <c r="Z1001" s="161">
        <v>0</v>
      </c>
      <c r="AA1001" s="161">
        <f t="shared" si="94"/>
        <v>0</v>
      </c>
      <c r="AB1001" s="161">
        <f t="shared" si="95"/>
        <v>-500</v>
      </c>
      <c r="AC1001" s="158" t="s">
        <v>1039</v>
      </c>
      <c r="AD1001" s="158"/>
    </row>
    <row r="1002" spans="1:30" ht="12.75" customHeight="1" x14ac:dyDescent="0.3">
      <c r="A1002" s="147">
        <v>44</v>
      </c>
      <c r="B1002" s="158" t="s">
        <v>1082</v>
      </c>
      <c r="C1002" s="158" t="s">
        <v>152</v>
      </c>
      <c r="D1002" s="158" t="s">
        <v>1108</v>
      </c>
      <c r="E1002" s="160" t="s">
        <v>25</v>
      </c>
      <c r="F1002" s="158" t="s">
        <v>39</v>
      </c>
      <c r="G1002" s="158" t="s">
        <v>866</v>
      </c>
      <c r="H1002" s="161">
        <v>370.75</v>
      </c>
      <c r="I1002" s="161">
        <v>0</v>
      </c>
      <c r="J1002" s="161">
        <v>0</v>
      </c>
      <c r="K1002" s="161">
        <v>0</v>
      </c>
      <c r="L1002" s="161">
        <v>-469.16</v>
      </c>
      <c r="M1002" s="161">
        <v>-52</v>
      </c>
      <c r="N1002" s="161">
        <v>0</v>
      </c>
      <c r="O1002" s="162">
        <f t="shared" si="90"/>
        <v>-150.41000000000003</v>
      </c>
      <c r="P1002" s="161">
        <v>-2500</v>
      </c>
      <c r="Q1002" s="161">
        <v>0</v>
      </c>
      <c r="R1002" s="161">
        <v>0</v>
      </c>
      <c r="S1002" s="161">
        <v>0</v>
      </c>
      <c r="T1002" s="161">
        <v>0</v>
      </c>
      <c r="U1002" s="161">
        <v>0</v>
      </c>
      <c r="V1002" s="161">
        <v>0</v>
      </c>
      <c r="W1002" s="161">
        <f t="shared" si="91"/>
        <v>-2650.41</v>
      </c>
      <c r="X1002" s="161">
        <f t="shared" si="92"/>
        <v>0</v>
      </c>
      <c r="Y1002" s="161">
        <f t="shared" si="93"/>
        <v>-2650.41</v>
      </c>
      <c r="Z1002" s="161">
        <v>2650</v>
      </c>
      <c r="AA1002" s="161">
        <f t="shared" si="94"/>
        <v>-0.40999999999985448</v>
      </c>
      <c r="AB1002" s="161">
        <f t="shared" si="95"/>
        <v>2499.1800000000003</v>
      </c>
      <c r="AC1002" s="158" t="s">
        <v>1043</v>
      </c>
      <c r="AD1002" s="158"/>
    </row>
    <row r="1003" spans="1:30" ht="12.75" customHeight="1" x14ac:dyDescent="0.3">
      <c r="A1003" s="147">
        <v>44</v>
      </c>
      <c r="B1003" s="158" t="s">
        <v>457</v>
      </c>
      <c r="C1003" s="158" t="s">
        <v>573</v>
      </c>
      <c r="D1003" s="158" t="s">
        <v>974</v>
      </c>
      <c r="E1003" s="158" t="s">
        <v>25</v>
      </c>
      <c r="F1003" s="158" t="s">
        <v>39</v>
      </c>
      <c r="G1003" s="158" t="s">
        <v>866</v>
      </c>
      <c r="H1003" s="161">
        <v>3151.2</v>
      </c>
      <c r="I1003" s="161">
        <v>0</v>
      </c>
      <c r="J1003" s="161">
        <v>0</v>
      </c>
      <c r="K1003" s="161">
        <v>0</v>
      </c>
      <c r="L1003" s="161">
        <v>-1287.53</v>
      </c>
      <c r="M1003" s="161">
        <v>-35</v>
      </c>
      <c r="N1003" s="161">
        <v>0</v>
      </c>
      <c r="O1003" s="162">
        <f t="shared" si="90"/>
        <v>1828.6699999999998</v>
      </c>
      <c r="P1003" s="161">
        <v>-2500</v>
      </c>
      <c r="Q1003" s="161">
        <v>-296</v>
      </c>
      <c r="R1003" s="161">
        <v>0</v>
      </c>
      <c r="S1003" s="161">
        <v>0</v>
      </c>
      <c r="T1003" s="161">
        <v>0</v>
      </c>
      <c r="U1003" s="161">
        <v>0</v>
      </c>
      <c r="V1003" s="161">
        <v>0</v>
      </c>
      <c r="W1003" s="161">
        <f t="shared" si="91"/>
        <v>-967.33000000000015</v>
      </c>
      <c r="X1003" s="161">
        <f t="shared" si="92"/>
        <v>0</v>
      </c>
      <c r="Y1003" s="161">
        <f t="shared" si="93"/>
        <v>-967.33000000000015</v>
      </c>
      <c r="Z1003" s="161">
        <v>547</v>
      </c>
      <c r="AA1003" s="161">
        <f t="shared" si="94"/>
        <v>-420.33000000000015</v>
      </c>
      <c r="AB1003" s="161">
        <f t="shared" si="95"/>
        <v>1955.34</v>
      </c>
      <c r="AC1003" s="158" t="s">
        <v>1043</v>
      </c>
      <c r="AD1003" s="158"/>
    </row>
    <row r="1004" spans="1:30" ht="12.75" customHeight="1" x14ac:dyDescent="0.3">
      <c r="A1004" s="147">
        <v>44</v>
      </c>
      <c r="B1004" s="158" t="s">
        <v>872</v>
      </c>
      <c r="C1004" s="158" t="s">
        <v>256</v>
      </c>
      <c r="D1004" s="158" t="s">
        <v>997</v>
      </c>
      <c r="E1004" s="160" t="s">
        <v>871</v>
      </c>
      <c r="F1004" s="158" t="s">
        <v>39</v>
      </c>
      <c r="G1004" s="158" t="s">
        <v>866</v>
      </c>
      <c r="H1004" s="161">
        <v>9854.4599999999991</v>
      </c>
      <c r="I1004" s="161">
        <v>-230</v>
      </c>
      <c r="J1004" s="161">
        <v>0</v>
      </c>
      <c r="K1004" s="161">
        <v>-76.349999999999994</v>
      </c>
      <c r="L1004" s="161">
        <v>-3141.04</v>
      </c>
      <c r="M1004" s="161">
        <v>-39</v>
      </c>
      <c r="N1004" s="161">
        <v>0</v>
      </c>
      <c r="O1004" s="162">
        <f t="shared" si="90"/>
        <v>6368.0699999999988</v>
      </c>
      <c r="P1004" s="161">
        <v>-2500</v>
      </c>
      <c r="Q1004" s="161">
        <v>0</v>
      </c>
      <c r="R1004" s="161">
        <v>0</v>
      </c>
      <c r="S1004" s="161">
        <v>0</v>
      </c>
      <c r="T1004" s="161">
        <v>-700</v>
      </c>
      <c r="U1004" s="161">
        <v>0</v>
      </c>
      <c r="V1004" s="161">
        <v>0</v>
      </c>
      <c r="W1004" s="161">
        <f t="shared" si="91"/>
        <v>3168.0699999999988</v>
      </c>
      <c r="X1004" s="161">
        <f t="shared" si="92"/>
        <v>3168.0699999999988</v>
      </c>
      <c r="Y1004" s="161">
        <f t="shared" si="93"/>
        <v>0</v>
      </c>
      <c r="Z1004" s="161">
        <v>0</v>
      </c>
      <c r="AA1004" s="161">
        <f t="shared" si="94"/>
        <v>0</v>
      </c>
      <c r="AB1004" s="161">
        <f t="shared" si="95"/>
        <v>3200</v>
      </c>
      <c r="AC1004" s="158" t="s">
        <v>1039</v>
      </c>
      <c r="AD1004" s="158"/>
    </row>
    <row r="1005" spans="1:30" ht="12.75" customHeight="1" x14ac:dyDescent="0.3">
      <c r="A1005" s="147">
        <v>44</v>
      </c>
      <c r="B1005" s="158" t="s">
        <v>484</v>
      </c>
      <c r="C1005" s="158" t="s">
        <v>1065</v>
      </c>
      <c r="D1005" s="158" t="s">
        <v>903</v>
      </c>
      <c r="E1005" s="158" t="s">
        <v>25</v>
      </c>
      <c r="F1005" s="158" t="s">
        <v>39</v>
      </c>
      <c r="G1005" s="158" t="s">
        <v>866</v>
      </c>
      <c r="H1005" s="161">
        <v>8966.43</v>
      </c>
      <c r="I1005" s="161">
        <v>-121.6</v>
      </c>
      <c r="J1005" s="161">
        <v>0</v>
      </c>
      <c r="K1005" s="161">
        <v>0</v>
      </c>
      <c r="L1005" s="161">
        <v>-4378.21</v>
      </c>
      <c r="M1005" s="161">
        <v>-40</v>
      </c>
      <c r="N1005" s="161">
        <v>0</v>
      </c>
      <c r="O1005" s="162">
        <f t="shared" si="90"/>
        <v>4426.62</v>
      </c>
      <c r="P1005" s="161">
        <v>-2500</v>
      </c>
      <c r="Q1005" s="161">
        <v>-185</v>
      </c>
      <c r="R1005" s="161">
        <v>0</v>
      </c>
      <c r="S1005" s="161">
        <v>0</v>
      </c>
      <c r="T1005" s="161">
        <v>-700</v>
      </c>
      <c r="U1005" s="161">
        <v>0</v>
      </c>
      <c r="V1005" s="161">
        <v>0</v>
      </c>
      <c r="W1005" s="161">
        <f t="shared" si="91"/>
        <v>1041.6199999999999</v>
      </c>
      <c r="X1005" s="161">
        <f t="shared" si="92"/>
        <v>1041.6199999999999</v>
      </c>
      <c r="Y1005" s="161">
        <f t="shared" si="93"/>
        <v>0</v>
      </c>
      <c r="Z1005" s="161">
        <v>0</v>
      </c>
      <c r="AA1005" s="161">
        <f t="shared" si="94"/>
        <v>0</v>
      </c>
      <c r="AB1005" s="161">
        <f t="shared" si="95"/>
        <v>3385</v>
      </c>
      <c r="AC1005" s="158" t="s">
        <v>1039</v>
      </c>
      <c r="AD1005" s="158"/>
    </row>
    <row r="1006" spans="1:30" ht="12.75" customHeight="1" x14ac:dyDescent="0.3">
      <c r="A1006" s="147">
        <v>44</v>
      </c>
      <c r="B1006" s="158" t="s">
        <v>992</v>
      </c>
      <c r="C1006" s="158" t="s">
        <v>169</v>
      </c>
      <c r="D1006" s="158"/>
      <c r="E1006" s="160" t="s">
        <v>871</v>
      </c>
      <c r="F1006" s="158" t="s">
        <v>39</v>
      </c>
      <c r="G1006" s="158" t="s">
        <v>866</v>
      </c>
      <c r="H1006" s="161">
        <v>0</v>
      </c>
      <c r="I1006" s="161">
        <v>0</v>
      </c>
      <c r="J1006" s="161">
        <v>0</v>
      </c>
      <c r="K1006" s="161">
        <v>0</v>
      </c>
      <c r="L1006" s="161">
        <v>0</v>
      </c>
      <c r="M1006" s="162">
        <v>0</v>
      </c>
      <c r="N1006" s="161">
        <v>0</v>
      </c>
      <c r="O1006" s="162">
        <f t="shared" si="90"/>
        <v>0</v>
      </c>
      <c r="P1006" s="161">
        <v>0</v>
      </c>
      <c r="Q1006" s="161">
        <v>0</v>
      </c>
      <c r="R1006" s="161">
        <v>500</v>
      </c>
      <c r="S1006" s="161">
        <v>0</v>
      </c>
      <c r="T1006" s="161">
        <v>0</v>
      </c>
      <c r="U1006" s="161">
        <v>0</v>
      </c>
      <c r="V1006" s="161">
        <v>0</v>
      </c>
      <c r="W1006" s="161">
        <f t="shared" si="91"/>
        <v>500</v>
      </c>
      <c r="X1006" s="161">
        <f t="shared" si="92"/>
        <v>500</v>
      </c>
      <c r="Y1006" s="161">
        <f t="shared" si="93"/>
        <v>0</v>
      </c>
      <c r="Z1006" s="161">
        <v>0</v>
      </c>
      <c r="AA1006" s="161">
        <f t="shared" si="94"/>
        <v>0</v>
      </c>
      <c r="AB1006" s="161">
        <f t="shared" si="95"/>
        <v>-500</v>
      </c>
      <c r="AC1006" s="158" t="s">
        <v>1039</v>
      </c>
      <c r="AD1006" s="158"/>
    </row>
    <row r="1007" spans="1:30" ht="12.75" customHeight="1" x14ac:dyDescent="0.3">
      <c r="A1007" s="147">
        <v>44</v>
      </c>
      <c r="B1007" s="158" t="s">
        <v>515</v>
      </c>
      <c r="C1007" s="158" t="s">
        <v>195</v>
      </c>
      <c r="D1007" s="158" t="s">
        <v>964</v>
      </c>
      <c r="E1007" s="160" t="s">
        <v>871</v>
      </c>
      <c r="F1007" s="158" t="s">
        <v>39</v>
      </c>
      <c r="G1007" s="158" t="s">
        <v>866</v>
      </c>
      <c r="H1007" s="161">
        <v>1826.77</v>
      </c>
      <c r="I1007" s="161">
        <v>-33.79</v>
      </c>
      <c r="J1007" s="161">
        <v>546.48</v>
      </c>
      <c r="K1007" s="161">
        <v>0</v>
      </c>
      <c r="L1007" s="161">
        <v>-400</v>
      </c>
      <c r="M1007" s="161">
        <v>-40</v>
      </c>
      <c r="N1007" s="161">
        <v>0</v>
      </c>
      <c r="O1007" s="162">
        <f t="shared" si="90"/>
        <v>1899.46</v>
      </c>
      <c r="P1007" s="161">
        <v>-1899</v>
      </c>
      <c r="Q1007" s="161">
        <v>0</v>
      </c>
      <c r="R1007" s="161">
        <v>0</v>
      </c>
      <c r="S1007" s="161">
        <v>0</v>
      </c>
      <c r="T1007" s="161">
        <v>0</v>
      </c>
      <c r="U1007" s="161">
        <v>0</v>
      </c>
      <c r="V1007" s="161">
        <v>0</v>
      </c>
      <c r="W1007" s="161">
        <f t="shared" si="91"/>
        <v>0.46000000000003638</v>
      </c>
      <c r="X1007" s="161">
        <f t="shared" si="92"/>
        <v>0.46000000000003638</v>
      </c>
      <c r="Y1007" s="161">
        <f t="shared" si="93"/>
        <v>0</v>
      </c>
      <c r="Z1007" s="161">
        <v>0</v>
      </c>
      <c r="AA1007" s="161">
        <f t="shared" si="94"/>
        <v>0</v>
      </c>
      <c r="AB1007" s="161">
        <f t="shared" si="95"/>
        <v>1899</v>
      </c>
      <c r="AC1007" s="158" t="s">
        <v>1123</v>
      </c>
      <c r="AD1007" s="158"/>
    </row>
    <row r="1008" spans="1:30" ht="12.75" customHeight="1" x14ac:dyDescent="0.3">
      <c r="A1008" s="147">
        <v>44</v>
      </c>
      <c r="B1008" s="158" t="s">
        <v>1048</v>
      </c>
      <c r="C1008" s="158" t="s">
        <v>55</v>
      </c>
      <c r="D1008" s="158" t="s">
        <v>20</v>
      </c>
      <c r="E1008" s="160" t="s">
        <v>25</v>
      </c>
      <c r="F1008" s="158" t="s">
        <v>39</v>
      </c>
      <c r="G1008" s="158" t="s">
        <v>866</v>
      </c>
      <c r="H1008" s="161">
        <v>5901.15</v>
      </c>
      <c r="I1008" s="161">
        <v>0</v>
      </c>
      <c r="J1008" s="161">
        <v>0</v>
      </c>
      <c r="K1008" s="161">
        <v>0</v>
      </c>
      <c r="L1008" s="161">
        <v>0</v>
      </c>
      <c r="M1008" s="161">
        <v>-40</v>
      </c>
      <c r="N1008" s="161">
        <v>0</v>
      </c>
      <c r="O1008" s="162">
        <f t="shared" si="90"/>
        <v>5861.15</v>
      </c>
      <c r="P1008" s="161">
        <f>-2500+179</f>
        <v>-2321</v>
      </c>
      <c r="Q1008" s="161">
        <v>0</v>
      </c>
      <c r="R1008" s="161">
        <v>-1000</v>
      </c>
      <c r="S1008" s="161">
        <v>0</v>
      </c>
      <c r="T1008" s="161">
        <v>0</v>
      </c>
      <c r="U1008" s="161">
        <v>-130</v>
      </c>
      <c r="V1008" s="161">
        <v>0</v>
      </c>
      <c r="W1008" s="161">
        <f t="shared" si="91"/>
        <v>2410.1499999999996</v>
      </c>
      <c r="X1008" s="161">
        <f t="shared" si="92"/>
        <v>2410.1499999999996</v>
      </c>
      <c r="Y1008" s="161">
        <f t="shared" si="93"/>
        <v>0</v>
      </c>
      <c r="Z1008" s="161">
        <v>0</v>
      </c>
      <c r="AA1008" s="161">
        <f t="shared" si="94"/>
        <v>0</v>
      </c>
      <c r="AB1008" s="161">
        <f t="shared" si="95"/>
        <v>3451</v>
      </c>
      <c r="AC1008" s="158" t="s">
        <v>1039</v>
      </c>
      <c r="AD1008" s="158"/>
    </row>
    <row r="1009" spans="1:30" ht="12.75" customHeight="1" x14ac:dyDescent="0.3">
      <c r="A1009" s="147">
        <v>44</v>
      </c>
      <c r="B1009" s="158" t="s">
        <v>1025</v>
      </c>
      <c r="C1009" s="158" t="s">
        <v>51</v>
      </c>
      <c r="D1009" s="158" t="s">
        <v>1115</v>
      </c>
      <c r="E1009" s="160" t="s">
        <v>25</v>
      </c>
      <c r="F1009" s="158" t="s">
        <v>39</v>
      </c>
      <c r="G1009" s="158" t="s">
        <v>866</v>
      </c>
      <c r="H1009" s="161">
        <v>5002.91</v>
      </c>
      <c r="I1009" s="161">
        <v>-23</v>
      </c>
      <c r="J1009" s="161">
        <v>69.92</v>
      </c>
      <c r="K1009" s="161">
        <v>0</v>
      </c>
      <c r="L1009" s="161">
        <v>-2739.94</v>
      </c>
      <c r="M1009" s="161">
        <v>-38</v>
      </c>
      <c r="N1009" s="161">
        <v>0</v>
      </c>
      <c r="O1009" s="162">
        <f t="shared" si="90"/>
        <v>2271.89</v>
      </c>
      <c r="P1009" s="161">
        <v>-2500</v>
      </c>
      <c r="Q1009" s="161">
        <v>0</v>
      </c>
      <c r="R1009" s="161">
        <v>0</v>
      </c>
      <c r="S1009" s="161">
        <v>0</v>
      </c>
      <c r="T1009" s="161">
        <v>0</v>
      </c>
      <c r="U1009" s="161">
        <v>0</v>
      </c>
      <c r="V1009" s="161">
        <v>0</v>
      </c>
      <c r="W1009" s="161">
        <f t="shared" si="91"/>
        <v>-228.11000000000013</v>
      </c>
      <c r="X1009" s="161">
        <f t="shared" si="92"/>
        <v>0</v>
      </c>
      <c r="Y1009" s="161">
        <f t="shared" si="93"/>
        <v>-228.11000000000013</v>
      </c>
      <c r="Z1009" s="161">
        <v>228</v>
      </c>
      <c r="AA1009" s="161">
        <f t="shared" si="94"/>
        <v>-0.11000000000012733</v>
      </c>
      <c r="AB1009" s="161">
        <f t="shared" si="95"/>
        <v>2499.7799999999997</v>
      </c>
      <c r="AC1009" s="158" t="s">
        <v>1043</v>
      </c>
      <c r="AD1009" s="158"/>
    </row>
    <row r="1010" spans="1:30" ht="12.75" customHeight="1" x14ac:dyDescent="0.3">
      <c r="A1010" s="147">
        <v>44</v>
      </c>
      <c r="B1010" s="158" t="s">
        <v>1100</v>
      </c>
      <c r="C1010" s="182" t="s">
        <v>213</v>
      </c>
      <c r="D1010" s="158" t="s">
        <v>1116</v>
      </c>
      <c r="E1010" s="158" t="s">
        <v>39</v>
      </c>
      <c r="F1010" s="158" t="s">
        <v>39</v>
      </c>
      <c r="G1010" s="158" t="s">
        <v>866</v>
      </c>
      <c r="H1010" s="161">
        <v>2838.62</v>
      </c>
      <c r="I1010" s="161">
        <v>0</v>
      </c>
      <c r="J1010" s="161">
        <v>0</v>
      </c>
      <c r="K1010" s="161">
        <v>-27.23</v>
      </c>
      <c r="L1010" s="161">
        <v>0</v>
      </c>
      <c r="M1010" s="161">
        <v>-40</v>
      </c>
      <c r="N1010" s="161">
        <v>0</v>
      </c>
      <c r="O1010" s="162">
        <f t="shared" si="90"/>
        <v>2771.39</v>
      </c>
      <c r="P1010" s="161">
        <v>-2500</v>
      </c>
      <c r="Q1010" s="161">
        <v>0</v>
      </c>
      <c r="R1010" s="161">
        <v>-500</v>
      </c>
      <c r="S1010" s="161">
        <v>0</v>
      </c>
      <c r="T1010" s="161">
        <v>0</v>
      </c>
      <c r="U1010" s="161">
        <v>0</v>
      </c>
      <c r="V1010" s="161">
        <v>0</v>
      </c>
      <c r="W1010" s="161">
        <f t="shared" si="91"/>
        <v>-228.61000000000013</v>
      </c>
      <c r="X1010" s="161">
        <f t="shared" si="92"/>
        <v>0</v>
      </c>
      <c r="Y1010" s="161">
        <f t="shared" si="93"/>
        <v>-228.61000000000013</v>
      </c>
      <c r="Z1010" s="161">
        <v>0</v>
      </c>
      <c r="AA1010" s="161">
        <f t="shared" si="94"/>
        <v>-228.61000000000013</v>
      </c>
      <c r="AB1010" s="161">
        <f t="shared" si="95"/>
        <v>2542.7799999999997</v>
      </c>
      <c r="AC1010" s="158"/>
      <c r="AD1010" s="158"/>
    </row>
    <row r="1011" spans="1:30" ht="12.75" customHeight="1" x14ac:dyDescent="0.3">
      <c r="A1011" s="147">
        <v>45</v>
      </c>
      <c r="B1011" s="158" t="s">
        <v>515</v>
      </c>
      <c r="C1011" s="158" t="s">
        <v>150</v>
      </c>
      <c r="D1011" s="158" t="s">
        <v>1122</v>
      </c>
      <c r="E1011" s="158" t="s">
        <v>25</v>
      </c>
      <c r="F1011" s="158" t="s">
        <v>25</v>
      </c>
      <c r="G1011" s="158" t="s">
        <v>866</v>
      </c>
      <c r="H1011" s="161">
        <v>7489.72</v>
      </c>
      <c r="I1011" s="161">
        <v>-25.6</v>
      </c>
      <c r="J1011" s="161">
        <v>0</v>
      </c>
      <c r="K1011" s="161">
        <v>0</v>
      </c>
      <c r="L1011" s="161">
        <v>-249.48</v>
      </c>
      <c r="M1011" s="161">
        <v>-45</v>
      </c>
      <c r="N1011" s="161">
        <v>0</v>
      </c>
      <c r="O1011" s="162">
        <f t="shared" si="90"/>
        <v>7169.64</v>
      </c>
      <c r="P1011" s="161">
        <v>-2500</v>
      </c>
      <c r="Q1011" s="161">
        <v>0</v>
      </c>
      <c r="R1011" s="161">
        <v>-500</v>
      </c>
      <c r="S1011" s="161">
        <v>0</v>
      </c>
      <c r="T1011" s="161">
        <v>-700</v>
      </c>
      <c r="U1011" s="161">
        <v>0</v>
      </c>
      <c r="V1011" s="161">
        <v>0</v>
      </c>
      <c r="W1011" s="161">
        <f t="shared" si="91"/>
        <v>3469.6400000000003</v>
      </c>
      <c r="X1011" s="183">
        <f t="shared" si="92"/>
        <v>3469.6400000000003</v>
      </c>
      <c r="Y1011" s="161">
        <f t="shared" si="93"/>
        <v>0</v>
      </c>
      <c r="Z1011" s="161">
        <v>0</v>
      </c>
      <c r="AA1011" s="161">
        <f t="shared" si="94"/>
        <v>0</v>
      </c>
      <c r="AB1011" s="161">
        <f t="shared" si="95"/>
        <v>3700</v>
      </c>
      <c r="AC1011" s="158" t="s">
        <v>1124</v>
      </c>
      <c r="AD1011" s="158"/>
    </row>
    <row r="1012" spans="1:30" ht="12.75" customHeight="1" x14ac:dyDescent="0.3">
      <c r="A1012" s="147">
        <v>45</v>
      </c>
      <c r="B1012" s="158" t="s">
        <v>1120</v>
      </c>
      <c r="C1012" s="158" t="s">
        <v>100</v>
      </c>
      <c r="D1012" s="158" t="s">
        <v>953</v>
      </c>
      <c r="E1012" s="158" t="s">
        <v>25</v>
      </c>
      <c r="F1012" s="158" t="s">
        <v>25</v>
      </c>
      <c r="G1012" s="158" t="s">
        <v>866</v>
      </c>
      <c r="H1012" s="161">
        <v>8696.32</v>
      </c>
      <c r="I1012" s="161">
        <v>-208</v>
      </c>
      <c r="J1012" s="161">
        <v>0</v>
      </c>
      <c r="K1012" s="161">
        <v>0</v>
      </c>
      <c r="L1012" s="161">
        <v>-2494.86</v>
      </c>
      <c r="M1012" s="161">
        <v>-50</v>
      </c>
      <c r="N1012" s="161">
        <v>0</v>
      </c>
      <c r="O1012" s="162">
        <f t="shared" si="90"/>
        <v>5943.4599999999991</v>
      </c>
      <c r="P1012" s="161">
        <v>-2500</v>
      </c>
      <c r="Q1012" s="161">
        <v>0</v>
      </c>
      <c r="R1012" s="161">
        <v>-500</v>
      </c>
      <c r="S1012" s="161">
        <v>0</v>
      </c>
      <c r="T1012" s="161">
        <v>0</v>
      </c>
      <c r="U1012" s="161">
        <v>0</v>
      </c>
      <c r="V1012" s="161">
        <v>0</v>
      </c>
      <c r="W1012" s="161">
        <f t="shared" si="91"/>
        <v>2943.4599999999991</v>
      </c>
      <c r="X1012" s="183">
        <f t="shared" si="92"/>
        <v>2943.4599999999991</v>
      </c>
      <c r="Y1012" s="161">
        <f t="shared" si="93"/>
        <v>0</v>
      </c>
      <c r="Z1012" s="161">
        <v>0</v>
      </c>
      <c r="AA1012" s="161">
        <f t="shared" si="94"/>
        <v>0</v>
      </c>
      <c r="AB1012" s="161">
        <f t="shared" si="95"/>
        <v>3000</v>
      </c>
      <c r="AC1012" s="158" t="s">
        <v>1124</v>
      </c>
      <c r="AD1012" s="158"/>
    </row>
    <row r="1013" spans="1:30" ht="12.75" customHeight="1" x14ac:dyDescent="0.3">
      <c r="A1013" s="147">
        <v>45</v>
      </c>
      <c r="B1013" s="158" t="s">
        <v>1106</v>
      </c>
      <c r="C1013" s="179" t="s">
        <v>104</v>
      </c>
      <c r="D1013" s="158" t="s">
        <v>20</v>
      </c>
      <c r="E1013" s="158" t="s">
        <v>25</v>
      </c>
      <c r="F1013" s="158" t="s">
        <v>25</v>
      </c>
      <c r="G1013" s="158" t="s">
        <v>866</v>
      </c>
      <c r="H1013" s="161">
        <v>10205.33</v>
      </c>
      <c r="I1013" s="161">
        <v>-295.2</v>
      </c>
      <c r="J1013" s="161">
        <v>0</v>
      </c>
      <c r="K1013" s="161">
        <v>0</v>
      </c>
      <c r="L1013" s="161">
        <v>-3946.86</v>
      </c>
      <c r="M1013" s="161">
        <v>-65</v>
      </c>
      <c r="N1013" s="161">
        <v>0</v>
      </c>
      <c r="O1013" s="162">
        <f t="shared" si="90"/>
        <v>5898.2699999999986</v>
      </c>
      <c r="P1013" s="161">
        <v>-2500</v>
      </c>
      <c r="Q1013" s="161">
        <v>0</v>
      </c>
      <c r="R1013" s="161">
        <v>-500</v>
      </c>
      <c r="S1013" s="161">
        <v>0</v>
      </c>
      <c r="T1013" s="161">
        <v>0</v>
      </c>
      <c r="U1013" s="161">
        <v>0</v>
      </c>
      <c r="V1013" s="161">
        <v>0</v>
      </c>
      <c r="W1013" s="161">
        <f t="shared" si="91"/>
        <v>2898.2699999999986</v>
      </c>
      <c r="X1013" s="183">
        <f t="shared" si="92"/>
        <v>2898.2699999999986</v>
      </c>
      <c r="Y1013" s="161">
        <f t="shared" si="93"/>
        <v>0</v>
      </c>
      <c r="Z1013" s="161">
        <v>0</v>
      </c>
      <c r="AA1013" s="161">
        <f t="shared" si="94"/>
        <v>0</v>
      </c>
      <c r="AB1013" s="161">
        <f t="shared" si="95"/>
        <v>3000</v>
      </c>
      <c r="AC1013" s="158" t="s">
        <v>1124</v>
      </c>
      <c r="AD1013" s="158"/>
    </row>
    <row r="1014" spans="1:30" ht="12.75" customHeight="1" x14ac:dyDescent="0.3">
      <c r="A1014" s="147">
        <v>45</v>
      </c>
      <c r="B1014" s="158" t="s">
        <v>1029</v>
      </c>
      <c r="C1014" s="158" t="s">
        <v>68</v>
      </c>
      <c r="D1014" s="158" t="s">
        <v>869</v>
      </c>
      <c r="E1014" s="158" t="s">
        <v>25</v>
      </c>
      <c r="F1014" s="158" t="s">
        <v>25</v>
      </c>
      <c r="G1014" s="158" t="s">
        <v>866</v>
      </c>
      <c r="H1014" s="161">
        <v>5742.91</v>
      </c>
      <c r="I1014" s="161">
        <v>-84.86</v>
      </c>
      <c r="J1014" s="161">
        <v>0</v>
      </c>
      <c r="K1014" s="161">
        <v>-40.31</v>
      </c>
      <c r="L1014" s="161">
        <v>0</v>
      </c>
      <c r="M1014" s="161">
        <v>-40</v>
      </c>
      <c r="N1014" s="161">
        <v>0</v>
      </c>
      <c r="O1014" s="162">
        <f t="shared" si="90"/>
        <v>5577.74</v>
      </c>
      <c r="P1014" s="161">
        <v>-2500</v>
      </c>
      <c r="Q1014" s="161">
        <v>0</v>
      </c>
      <c r="R1014" s="161">
        <v>0</v>
      </c>
      <c r="S1014" s="161">
        <v>0</v>
      </c>
      <c r="T1014" s="161">
        <v>0</v>
      </c>
      <c r="U1014" s="161">
        <v>-1000</v>
      </c>
      <c r="V1014" s="161">
        <v>0</v>
      </c>
      <c r="W1014" s="161">
        <f t="shared" si="91"/>
        <v>2077.7399999999998</v>
      </c>
      <c r="X1014" s="183">
        <f t="shared" si="92"/>
        <v>2077.7399999999998</v>
      </c>
      <c r="Y1014" s="161">
        <f t="shared" si="93"/>
        <v>0</v>
      </c>
      <c r="Z1014" s="161">
        <v>0</v>
      </c>
      <c r="AA1014" s="161">
        <f t="shared" si="94"/>
        <v>0</v>
      </c>
      <c r="AB1014" s="161">
        <f t="shared" si="95"/>
        <v>3500</v>
      </c>
      <c r="AC1014" s="158" t="s">
        <v>1124</v>
      </c>
      <c r="AD1014" s="158"/>
    </row>
    <row r="1015" spans="1:30" ht="12.75" customHeight="1" x14ac:dyDescent="0.3">
      <c r="A1015" s="147">
        <v>45</v>
      </c>
      <c r="B1015" s="158" t="s">
        <v>1088</v>
      </c>
      <c r="C1015" s="158" t="s">
        <v>100</v>
      </c>
      <c r="D1015" s="158" t="s">
        <v>953</v>
      </c>
      <c r="E1015" s="158" t="s">
        <v>25</v>
      </c>
      <c r="F1015" s="158" t="s">
        <v>25</v>
      </c>
      <c r="G1015" s="158" t="s">
        <v>866</v>
      </c>
      <c r="H1015" s="161">
        <v>4113.68</v>
      </c>
      <c r="I1015" s="161">
        <v>-20.61</v>
      </c>
      <c r="J1015" s="161">
        <v>0</v>
      </c>
      <c r="K1015" s="161">
        <v>-28.91</v>
      </c>
      <c r="L1015" s="161">
        <v>-758.64</v>
      </c>
      <c r="M1015" s="161">
        <v>-35</v>
      </c>
      <c r="N1015" s="161">
        <v>0</v>
      </c>
      <c r="O1015" s="162">
        <f t="shared" si="90"/>
        <v>3270.5200000000004</v>
      </c>
      <c r="P1015" s="161">
        <v>-2500</v>
      </c>
      <c r="Q1015" s="161">
        <v>0</v>
      </c>
      <c r="R1015" s="161">
        <v>-500</v>
      </c>
      <c r="S1015" s="161">
        <v>0</v>
      </c>
      <c r="T1015" s="161">
        <v>0</v>
      </c>
      <c r="U1015" s="161">
        <v>0</v>
      </c>
      <c r="V1015" s="161">
        <v>0</v>
      </c>
      <c r="W1015" s="161">
        <f t="shared" si="91"/>
        <v>270.52000000000044</v>
      </c>
      <c r="X1015" s="183">
        <f t="shared" si="92"/>
        <v>270.52000000000044</v>
      </c>
      <c r="Y1015" s="161">
        <f t="shared" si="93"/>
        <v>0</v>
      </c>
      <c r="Z1015" s="161">
        <v>0</v>
      </c>
      <c r="AA1015" s="161">
        <f t="shared" si="94"/>
        <v>0</v>
      </c>
      <c r="AB1015" s="161">
        <f t="shared" si="95"/>
        <v>3000</v>
      </c>
      <c r="AC1015" s="158" t="s">
        <v>1124</v>
      </c>
      <c r="AD1015" s="158"/>
    </row>
    <row r="1016" spans="1:30" ht="12.75" customHeight="1" x14ac:dyDescent="0.3">
      <c r="A1016" s="147">
        <v>45</v>
      </c>
      <c r="B1016" s="158" t="s">
        <v>880</v>
      </c>
      <c r="C1016" s="158" t="s">
        <v>183</v>
      </c>
      <c r="D1016" s="158" t="s">
        <v>887</v>
      </c>
      <c r="E1016" s="158" t="s">
        <v>25</v>
      </c>
      <c r="F1016" s="158" t="s">
        <v>25</v>
      </c>
      <c r="G1016" s="158" t="s">
        <v>866</v>
      </c>
      <c r="H1016" s="161">
        <v>3476.72</v>
      </c>
      <c r="I1016" s="161">
        <v>-16</v>
      </c>
      <c r="J1016" s="161">
        <v>0</v>
      </c>
      <c r="K1016" s="161">
        <v>0</v>
      </c>
      <c r="L1016" s="161">
        <v>-573.64</v>
      </c>
      <c r="M1016" s="161">
        <v>-45</v>
      </c>
      <c r="N1016" s="161">
        <v>0</v>
      </c>
      <c r="O1016" s="162">
        <f t="shared" si="90"/>
        <v>2842.08</v>
      </c>
      <c r="P1016" s="161">
        <v>-2500</v>
      </c>
      <c r="Q1016" s="161">
        <v>0</v>
      </c>
      <c r="R1016" s="161">
        <v>0</v>
      </c>
      <c r="S1016" s="161">
        <v>0</v>
      </c>
      <c r="T1016" s="161">
        <v>0</v>
      </c>
      <c r="U1016" s="161">
        <v>0</v>
      </c>
      <c r="V1016" s="161">
        <v>0</v>
      </c>
      <c r="W1016" s="161">
        <f t="shared" si="91"/>
        <v>342.07999999999993</v>
      </c>
      <c r="X1016" s="183">
        <f t="shared" si="92"/>
        <v>342.07999999999993</v>
      </c>
      <c r="Y1016" s="161">
        <f t="shared" si="93"/>
        <v>0</v>
      </c>
      <c r="Z1016" s="161">
        <v>0</v>
      </c>
      <c r="AA1016" s="161">
        <f t="shared" si="94"/>
        <v>0</v>
      </c>
      <c r="AB1016" s="161">
        <f t="shared" si="95"/>
        <v>2500</v>
      </c>
      <c r="AC1016" s="158" t="s">
        <v>1124</v>
      </c>
      <c r="AD1016" s="158"/>
    </row>
    <row r="1017" spans="1:30" ht="12.75" customHeight="1" x14ac:dyDescent="0.3">
      <c r="A1017" s="147">
        <v>45</v>
      </c>
      <c r="B1017" s="158" t="s">
        <v>408</v>
      </c>
      <c r="C1017" s="158" t="s">
        <v>409</v>
      </c>
      <c r="D1017" s="158" t="s">
        <v>946</v>
      </c>
      <c r="E1017" s="158" t="s">
        <v>25</v>
      </c>
      <c r="F1017" s="158" t="s">
        <v>25</v>
      </c>
      <c r="G1017" s="158" t="s">
        <v>866</v>
      </c>
      <c r="H1017" s="161">
        <v>3546.37</v>
      </c>
      <c r="I1017" s="161">
        <v>-16</v>
      </c>
      <c r="J1017" s="161">
        <v>0</v>
      </c>
      <c r="K1017" s="161">
        <v>0</v>
      </c>
      <c r="L1017" s="161">
        <v>-675.77</v>
      </c>
      <c r="M1017" s="161">
        <v>-60</v>
      </c>
      <c r="N1017" s="161">
        <v>0</v>
      </c>
      <c r="O1017" s="162">
        <f t="shared" si="90"/>
        <v>2794.6</v>
      </c>
      <c r="P1017" s="161">
        <v>-2500</v>
      </c>
      <c r="Q1017" s="161">
        <v>0</v>
      </c>
      <c r="R1017" s="161">
        <v>0</v>
      </c>
      <c r="S1017" s="161">
        <v>0</v>
      </c>
      <c r="T1017" s="161">
        <v>0</v>
      </c>
      <c r="U1017" s="161">
        <v>0</v>
      </c>
      <c r="V1017" s="161">
        <v>0</v>
      </c>
      <c r="W1017" s="161">
        <f t="shared" si="91"/>
        <v>294.59999999999991</v>
      </c>
      <c r="X1017" s="183">
        <f t="shared" si="92"/>
        <v>294.59999999999991</v>
      </c>
      <c r="Y1017" s="161">
        <f t="shared" si="93"/>
        <v>0</v>
      </c>
      <c r="Z1017" s="161">
        <v>0</v>
      </c>
      <c r="AA1017" s="161">
        <f t="shared" si="94"/>
        <v>0</v>
      </c>
      <c r="AB1017" s="161">
        <f t="shared" si="95"/>
        <v>2500</v>
      </c>
      <c r="AC1017" s="158" t="s">
        <v>1124</v>
      </c>
      <c r="AD1017" s="158"/>
    </row>
    <row r="1018" spans="1:30" ht="12.75" customHeight="1" x14ac:dyDescent="0.3">
      <c r="A1018" s="147">
        <v>45</v>
      </c>
      <c r="B1018" s="158" t="s">
        <v>1067</v>
      </c>
      <c r="C1018" s="158" t="s">
        <v>46</v>
      </c>
      <c r="D1018" s="158" t="s">
        <v>915</v>
      </c>
      <c r="E1018" s="158" t="s">
        <v>25</v>
      </c>
      <c r="F1018" s="158" t="s">
        <v>25</v>
      </c>
      <c r="G1018" s="158" t="s">
        <v>866</v>
      </c>
      <c r="H1018" s="161">
        <v>3275.18</v>
      </c>
      <c r="I1018" s="161">
        <v>0</v>
      </c>
      <c r="J1018" s="161">
        <v>0</v>
      </c>
      <c r="K1018" s="161">
        <v>0</v>
      </c>
      <c r="L1018" s="161">
        <v>-1044.97</v>
      </c>
      <c r="M1018" s="161">
        <v>-60</v>
      </c>
      <c r="N1018" s="161">
        <v>0</v>
      </c>
      <c r="O1018" s="162">
        <f t="shared" si="90"/>
        <v>2170.21</v>
      </c>
      <c r="P1018" s="161">
        <v>-2500</v>
      </c>
      <c r="Q1018" s="161">
        <v>0</v>
      </c>
      <c r="R1018" s="161">
        <v>0</v>
      </c>
      <c r="S1018" s="161">
        <v>0</v>
      </c>
      <c r="T1018" s="161">
        <v>-700</v>
      </c>
      <c r="U1018" s="161">
        <v>0</v>
      </c>
      <c r="V1018" s="161">
        <v>0</v>
      </c>
      <c r="W1018" s="161">
        <f t="shared" si="91"/>
        <v>-1029.79</v>
      </c>
      <c r="X1018" s="161">
        <f t="shared" si="92"/>
        <v>0</v>
      </c>
      <c r="Y1018" s="161">
        <f t="shared" si="93"/>
        <v>-1029.79</v>
      </c>
      <c r="Z1018" s="161">
        <v>1030</v>
      </c>
      <c r="AA1018" s="161">
        <f t="shared" si="94"/>
        <v>0.21000000000003638</v>
      </c>
      <c r="AB1018" s="161">
        <f t="shared" si="95"/>
        <v>3200.42</v>
      </c>
      <c r="AC1018" s="158" t="s">
        <v>1125</v>
      </c>
      <c r="AD1018" s="158"/>
    </row>
    <row r="1019" spans="1:30" ht="12.75" customHeight="1" x14ac:dyDescent="0.3">
      <c r="A1019" s="147">
        <v>45</v>
      </c>
      <c r="B1019" s="158" t="s">
        <v>620</v>
      </c>
      <c r="C1019" s="158" t="s">
        <v>571</v>
      </c>
      <c r="D1019" s="158" t="s">
        <v>974</v>
      </c>
      <c r="E1019" s="158" t="s">
        <v>25</v>
      </c>
      <c r="F1019" s="158" t="s">
        <v>25</v>
      </c>
      <c r="G1019" s="158" t="s">
        <v>866</v>
      </c>
      <c r="H1019" s="161">
        <v>5084.13</v>
      </c>
      <c r="I1019" s="161">
        <v>0</v>
      </c>
      <c r="J1019" s="161">
        <v>0</v>
      </c>
      <c r="K1019" s="161">
        <v>0</v>
      </c>
      <c r="L1019" s="161">
        <v>-2889.04</v>
      </c>
      <c r="M1019" s="161">
        <v>-50</v>
      </c>
      <c r="N1019" s="161">
        <v>0</v>
      </c>
      <c r="O1019" s="162">
        <f t="shared" si="90"/>
        <v>2145.09</v>
      </c>
      <c r="P1019" s="161">
        <v>-2500</v>
      </c>
      <c r="Q1019" s="161">
        <v>0</v>
      </c>
      <c r="R1019" s="161">
        <v>-500</v>
      </c>
      <c r="S1019" s="161">
        <v>0</v>
      </c>
      <c r="T1019" s="161">
        <v>0</v>
      </c>
      <c r="U1019" s="161">
        <v>0</v>
      </c>
      <c r="V1019" s="161">
        <v>0</v>
      </c>
      <c r="W1019" s="161">
        <f t="shared" si="91"/>
        <v>-854.90999999999985</v>
      </c>
      <c r="X1019" s="161">
        <f t="shared" si="92"/>
        <v>0</v>
      </c>
      <c r="Y1019" s="161">
        <f t="shared" si="93"/>
        <v>-854.90999999999985</v>
      </c>
      <c r="Z1019" s="161">
        <f>600+255</f>
        <v>855</v>
      </c>
      <c r="AA1019" s="161">
        <f t="shared" si="94"/>
        <v>9.0000000000145519E-2</v>
      </c>
      <c r="AB1019" s="161">
        <f t="shared" si="95"/>
        <v>3000.1800000000003</v>
      </c>
      <c r="AC1019" s="158"/>
      <c r="AD1019" s="158"/>
    </row>
    <row r="1020" spans="1:30" ht="12.75" customHeight="1" x14ac:dyDescent="0.3">
      <c r="A1020" s="147">
        <v>45</v>
      </c>
      <c r="B1020" s="158" t="s">
        <v>1013</v>
      </c>
      <c r="C1020" s="158" t="s">
        <v>101</v>
      </c>
      <c r="D1020" s="158" t="s">
        <v>945</v>
      </c>
      <c r="E1020" s="158" t="s">
        <v>25</v>
      </c>
      <c r="F1020" s="158" t="s">
        <v>25</v>
      </c>
      <c r="G1020" s="158" t="s">
        <v>866</v>
      </c>
      <c r="H1020" s="161">
        <v>1644.38</v>
      </c>
      <c r="I1020" s="161">
        <v>0</v>
      </c>
      <c r="J1020" s="161">
        <v>0</v>
      </c>
      <c r="K1020" s="161">
        <v>0</v>
      </c>
      <c r="L1020" s="161">
        <v>-553</v>
      </c>
      <c r="M1020" s="161">
        <f>-50+24</f>
        <v>-26</v>
      </c>
      <c r="N1020" s="161">
        <v>-24</v>
      </c>
      <c r="O1020" s="162">
        <f t="shared" si="90"/>
        <v>1041.3800000000001</v>
      </c>
      <c r="P1020" s="161">
        <f>(-2500/7)*3</f>
        <v>-1071.4285714285716</v>
      </c>
      <c r="Q1020" s="161">
        <v>0</v>
      </c>
      <c r="R1020" s="161">
        <v>0</v>
      </c>
      <c r="S1020" s="161">
        <v>0</v>
      </c>
      <c r="T1020" s="161">
        <v>0</v>
      </c>
      <c r="U1020" s="161">
        <v>0</v>
      </c>
      <c r="V1020" s="161">
        <v>0</v>
      </c>
      <c r="W1020" s="161">
        <f t="shared" si="91"/>
        <v>-30.048571428571449</v>
      </c>
      <c r="X1020" s="161">
        <f t="shared" si="92"/>
        <v>0</v>
      </c>
      <c r="Y1020" s="161">
        <f t="shared" si="93"/>
        <v>-30.048571428571449</v>
      </c>
      <c r="Z1020" s="161">
        <v>30</v>
      </c>
      <c r="AA1020" s="161">
        <f t="shared" si="94"/>
        <v>-4.857142857144936E-2</v>
      </c>
      <c r="AB1020" s="161">
        <f t="shared" si="95"/>
        <v>1071.3314285714287</v>
      </c>
      <c r="AC1020" s="158" t="s">
        <v>1126</v>
      </c>
      <c r="AD1020" s="158"/>
    </row>
    <row r="1021" spans="1:30" ht="12.75" customHeight="1" x14ac:dyDescent="0.3">
      <c r="A1021" s="147">
        <v>45</v>
      </c>
      <c r="B1021" s="158" t="s">
        <v>1121</v>
      </c>
      <c r="C1021" s="158" t="s">
        <v>150</v>
      </c>
      <c r="D1021" s="158" t="s">
        <v>1122</v>
      </c>
      <c r="E1021" s="158" t="s">
        <v>25</v>
      </c>
      <c r="F1021" s="158" t="s">
        <v>25</v>
      </c>
      <c r="G1021" s="158" t="s">
        <v>737</v>
      </c>
      <c r="H1021" s="161">
        <v>9690.7900000000009</v>
      </c>
      <c r="I1021" s="161">
        <v>0</v>
      </c>
      <c r="J1021" s="161">
        <v>0</v>
      </c>
      <c r="K1021" s="161">
        <v>0</v>
      </c>
      <c r="L1021" s="161">
        <v>-8790.76</v>
      </c>
      <c r="M1021" s="161">
        <v>-95</v>
      </c>
      <c r="N1021" s="161">
        <v>0</v>
      </c>
      <c r="O1021" s="162">
        <f t="shared" si="90"/>
        <v>805.03000000000065</v>
      </c>
      <c r="P1021" s="161">
        <v>-2600</v>
      </c>
      <c r="Q1021" s="161">
        <v>0</v>
      </c>
      <c r="R1021" s="161">
        <v>-500</v>
      </c>
      <c r="S1021" s="161">
        <v>0</v>
      </c>
      <c r="T1021" s="161">
        <v>0</v>
      </c>
      <c r="U1021" s="161">
        <v>0</v>
      </c>
      <c r="V1021" s="161">
        <v>0</v>
      </c>
      <c r="W1021" s="161">
        <f t="shared" si="91"/>
        <v>-2294.9699999999993</v>
      </c>
      <c r="X1021" s="161">
        <f t="shared" si="92"/>
        <v>0</v>
      </c>
      <c r="Y1021" s="161">
        <f>IF(W1021&lt;=0,W1021,0)</f>
        <v>-2294.9699999999993</v>
      </c>
      <c r="Z1021" s="161">
        <f>700+700+700+700+700+700</f>
        <v>4200</v>
      </c>
      <c r="AA1021" s="161">
        <f t="shared" si="94"/>
        <v>1905.0300000000007</v>
      </c>
      <c r="AB1021" s="161">
        <f t="shared" si="95"/>
        <v>6910.0600000000013</v>
      </c>
      <c r="AC1021" s="158" t="s">
        <v>1127</v>
      </c>
      <c r="AD1021" s="158"/>
    </row>
    <row r="1022" spans="1:30" ht="12.75" customHeight="1" x14ac:dyDescent="0.3">
      <c r="A1022" s="147">
        <v>45</v>
      </c>
      <c r="B1022" s="158" t="s">
        <v>922</v>
      </c>
      <c r="C1022" s="179" t="s">
        <v>104</v>
      </c>
      <c r="D1022" s="158" t="s">
        <v>904</v>
      </c>
      <c r="E1022" s="158" t="s">
        <v>25</v>
      </c>
      <c r="F1022" s="158" t="s">
        <v>25</v>
      </c>
      <c r="G1022" s="158" t="s">
        <v>866</v>
      </c>
      <c r="H1022" s="161">
        <v>678.46</v>
      </c>
      <c r="I1022" s="161">
        <v>0</v>
      </c>
      <c r="J1022" s="161">
        <v>0</v>
      </c>
      <c r="K1022" s="161">
        <v>0</v>
      </c>
      <c r="L1022" s="161">
        <v>0</v>
      </c>
      <c r="M1022" s="161">
        <v>-45</v>
      </c>
      <c r="N1022" s="161">
        <v>0</v>
      </c>
      <c r="O1022" s="162">
        <f t="shared" si="90"/>
        <v>633.46</v>
      </c>
      <c r="P1022" s="161">
        <f>-1785.71-357</f>
        <v>-2142.71</v>
      </c>
      <c r="Q1022" s="161">
        <v>-10</v>
      </c>
      <c r="R1022" s="161">
        <v>0</v>
      </c>
      <c r="S1022" s="161">
        <v>0</v>
      </c>
      <c r="T1022" s="161">
        <v>-500</v>
      </c>
      <c r="U1022" s="161">
        <v>220</v>
      </c>
      <c r="V1022" s="161">
        <v>0</v>
      </c>
      <c r="W1022" s="161">
        <f t="shared" si="91"/>
        <v>-1799.25</v>
      </c>
      <c r="X1022" s="161">
        <f t="shared" si="92"/>
        <v>0</v>
      </c>
      <c r="Y1022" s="161">
        <f t="shared" si="93"/>
        <v>-1799.25</v>
      </c>
      <c r="Z1022" s="161">
        <v>1799</v>
      </c>
      <c r="AA1022" s="161">
        <f t="shared" si="94"/>
        <v>-0.25</v>
      </c>
      <c r="AB1022" s="161">
        <f t="shared" si="95"/>
        <v>2432.21</v>
      </c>
      <c r="AC1022" s="158"/>
      <c r="AD1022" s="158"/>
    </row>
    <row r="1023" spans="1:30" ht="12.75" customHeight="1" x14ac:dyDescent="0.3">
      <c r="A1023" s="147">
        <v>45</v>
      </c>
      <c r="B1023" s="158" t="s">
        <v>1003</v>
      </c>
      <c r="C1023" s="158" t="s">
        <v>59</v>
      </c>
      <c r="D1023" s="158" t="s">
        <v>895</v>
      </c>
      <c r="E1023" s="158" t="s">
        <v>25</v>
      </c>
      <c r="F1023" s="158" t="s">
        <v>25</v>
      </c>
      <c r="G1023" s="158" t="s">
        <v>866</v>
      </c>
      <c r="H1023" s="161">
        <v>0</v>
      </c>
      <c r="I1023" s="161">
        <v>0</v>
      </c>
      <c r="J1023" s="161">
        <v>0</v>
      </c>
      <c r="K1023" s="161">
        <v>0</v>
      </c>
      <c r="L1023" s="161">
        <v>0</v>
      </c>
      <c r="M1023" s="161">
        <v>0</v>
      </c>
      <c r="N1023" s="161">
        <v>0</v>
      </c>
      <c r="O1023" s="162">
        <f t="shared" si="90"/>
        <v>0</v>
      </c>
      <c r="P1023" s="161">
        <v>-2500</v>
      </c>
      <c r="Q1023" s="161">
        <v>0</v>
      </c>
      <c r="R1023" s="161">
        <v>0</v>
      </c>
      <c r="S1023" s="161">
        <v>0</v>
      </c>
      <c r="T1023" s="161">
        <v>0</v>
      </c>
      <c r="U1023" s="161">
        <v>0</v>
      </c>
      <c r="V1023" s="161">
        <v>0</v>
      </c>
      <c r="W1023" s="161">
        <f t="shared" si="91"/>
        <v>-2500</v>
      </c>
      <c r="X1023" s="161">
        <f t="shared" si="92"/>
        <v>0</v>
      </c>
      <c r="Y1023" s="161">
        <f t="shared" si="93"/>
        <v>-2500</v>
      </c>
      <c r="Z1023" s="161">
        <v>1400</v>
      </c>
      <c r="AA1023" s="161">
        <f t="shared" si="94"/>
        <v>-1100</v>
      </c>
      <c r="AB1023" s="161">
        <f t="shared" si="95"/>
        <v>300</v>
      </c>
      <c r="AC1023" s="158" t="s">
        <v>1128</v>
      </c>
      <c r="AD1023" s="158"/>
    </row>
    <row r="1024" spans="1:30" ht="12.75" customHeight="1" x14ac:dyDescent="0.3">
      <c r="A1024" s="147">
        <v>45</v>
      </c>
      <c r="B1024" s="158" t="s">
        <v>585</v>
      </c>
      <c r="C1024" s="158" t="s">
        <v>42</v>
      </c>
      <c r="D1024" s="158" t="s">
        <v>948</v>
      </c>
      <c r="E1024" s="158" t="s">
        <v>25</v>
      </c>
      <c r="F1024" s="158" t="s">
        <v>25</v>
      </c>
      <c r="G1024" s="158" t="s">
        <v>866</v>
      </c>
      <c r="H1024" s="161">
        <v>0</v>
      </c>
      <c r="I1024" s="161">
        <v>0</v>
      </c>
      <c r="J1024" s="161">
        <v>0</v>
      </c>
      <c r="K1024" s="161">
        <v>0</v>
      </c>
      <c r="L1024" s="161">
        <v>0</v>
      </c>
      <c r="M1024" s="161">
        <v>0</v>
      </c>
      <c r="N1024" s="161">
        <v>0</v>
      </c>
      <c r="O1024" s="162">
        <f t="shared" si="90"/>
        <v>0</v>
      </c>
      <c r="P1024" s="161">
        <v>-2500</v>
      </c>
      <c r="Q1024" s="161">
        <v>0</v>
      </c>
      <c r="R1024" s="161">
        <v>0</v>
      </c>
      <c r="S1024" s="161">
        <v>0</v>
      </c>
      <c r="T1024" s="161">
        <v>0</v>
      </c>
      <c r="U1024" s="161">
        <v>0</v>
      </c>
      <c r="V1024" s="161">
        <v>0</v>
      </c>
      <c r="W1024" s="161">
        <f t="shared" si="91"/>
        <v>-2500</v>
      </c>
      <c r="X1024" s="161">
        <f t="shared" si="92"/>
        <v>0</v>
      </c>
      <c r="Y1024" s="161">
        <f t="shared" si="93"/>
        <v>-2500</v>
      </c>
      <c r="Z1024" s="161">
        <v>2500</v>
      </c>
      <c r="AA1024" s="161">
        <f t="shared" si="94"/>
        <v>0</v>
      </c>
      <c r="AB1024" s="161">
        <f t="shared" si="95"/>
        <v>2500</v>
      </c>
      <c r="AC1024" s="158" t="s">
        <v>1031</v>
      </c>
      <c r="AD1024" s="158"/>
    </row>
    <row r="1025" spans="1:30" ht="12.75" customHeight="1" x14ac:dyDescent="0.3">
      <c r="A1025" s="147">
        <v>45</v>
      </c>
      <c r="B1025" s="158" t="s">
        <v>918</v>
      </c>
      <c r="C1025" s="158" t="s">
        <v>120</v>
      </c>
      <c r="D1025" s="158" t="s">
        <v>20</v>
      </c>
      <c r="E1025" s="158" t="s">
        <v>25</v>
      </c>
      <c r="F1025" s="158" t="s">
        <v>25</v>
      </c>
      <c r="G1025" s="158" t="s">
        <v>866</v>
      </c>
      <c r="H1025" s="161">
        <v>0</v>
      </c>
      <c r="I1025" s="161">
        <v>0</v>
      </c>
      <c r="J1025" s="161">
        <v>0</v>
      </c>
      <c r="K1025" s="161">
        <v>0</v>
      </c>
      <c r="L1025" s="161">
        <v>0</v>
      </c>
      <c r="M1025" s="161">
        <v>0</v>
      </c>
      <c r="N1025" s="161">
        <v>0</v>
      </c>
      <c r="O1025" s="162">
        <f t="shared" si="90"/>
        <v>0</v>
      </c>
      <c r="P1025" s="161">
        <v>0</v>
      </c>
      <c r="Q1025" s="161">
        <v>0</v>
      </c>
      <c r="R1025" s="161">
        <v>500</v>
      </c>
      <c r="S1025" s="161">
        <v>0</v>
      </c>
      <c r="T1025" s="161">
        <v>0</v>
      </c>
      <c r="U1025" s="161">
        <v>0</v>
      </c>
      <c r="V1025" s="161">
        <v>0</v>
      </c>
      <c r="W1025" s="161">
        <f t="shared" si="91"/>
        <v>500</v>
      </c>
      <c r="X1025" s="183">
        <f t="shared" si="92"/>
        <v>500</v>
      </c>
      <c r="Y1025" s="161">
        <f t="shared" si="93"/>
        <v>0</v>
      </c>
      <c r="Z1025" s="161">
        <v>0</v>
      </c>
      <c r="AA1025" s="161">
        <f t="shared" si="94"/>
        <v>0</v>
      </c>
      <c r="AB1025" s="161">
        <f t="shared" si="95"/>
        <v>-500</v>
      </c>
      <c r="AC1025" s="158" t="s">
        <v>1124</v>
      </c>
      <c r="AD1025" s="158"/>
    </row>
    <row r="1026" spans="1:30" ht="12.75" customHeight="1" x14ac:dyDescent="0.3">
      <c r="A1026" s="147">
        <v>45</v>
      </c>
      <c r="B1026" s="158" t="s">
        <v>913</v>
      </c>
      <c r="C1026" s="158" t="s">
        <v>426</v>
      </c>
      <c r="D1026" s="158" t="s">
        <v>903</v>
      </c>
      <c r="E1026" s="158" t="s">
        <v>25</v>
      </c>
      <c r="F1026" s="158" t="s">
        <v>25</v>
      </c>
      <c r="G1026" s="158" t="s">
        <v>866</v>
      </c>
      <c r="H1026" s="161">
        <v>3708.14</v>
      </c>
      <c r="I1026" s="161">
        <v>0</v>
      </c>
      <c r="J1026" s="161">
        <v>36.08</v>
      </c>
      <c r="K1026" s="161">
        <v>0</v>
      </c>
      <c r="L1026" s="161">
        <v>-4434.21</v>
      </c>
      <c r="M1026" s="161">
        <v>-65</v>
      </c>
      <c r="N1026" s="161">
        <v>-11</v>
      </c>
      <c r="O1026" s="162">
        <f t="shared" ref="O1026:O1041" si="96">SUM(H1026:N1026)</f>
        <v>-765.99000000000024</v>
      </c>
      <c r="P1026" s="161">
        <v>-2500</v>
      </c>
      <c r="Q1026" s="161">
        <v>-139</v>
      </c>
      <c r="R1026" s="161">
        <v>0</v>
      </c>
      <c r="S1026" s="161">
        <v>0</v>
      </c>
      <c r="T1026" s="161">
        <v>-500</v>
      </c>
      <c r="U1026" s="161">
        <v>0</v>
      </c>
      <c r="V1026" s="161">
        <v>0</v>
      </c>
      <c r="W1026" s="161">
        <f t="shared" ref="W1026:W1041" si="97">+O1026+SUM(P1026:V1026)</f>
        <v>-3904.9900000000002</v>
      </c>
      <c r="X1026" s="161">
        <f t="shared" ref="X1026:X1041" si="98">IF(W1026&gt;=0,W1026,0)</f>
        <v>0</v>
      </c>
      <c r="Y1026" s="161">
        <f t="shared" ref="Y1026:Y1041" si="99">IF(W1026&lt;=0,W1026,0)</f>
        <v>-3904.9900000000002</v>
      </c>
      <c r="Z1026" s="161">
        <f>3100+805</f>
        <v>3905</v>
      </c>
      <c r="AA1026" s="161">
        <f t="shared" ref="AA1026:AA1089" si="100">+Y1026+Z1026</f>
        <v>9.9999999997635314E-3</v>
      </c>
      <c r="AB1026" s="161">
        <f t="shared" ref="AB1026:AB1089" si="101">+O1026-X1026+Z1026+AA1026</f>
        <v>3139.0199999999995</v>
      </c>
      <c r="AC1026" s="158" t="s">
        <v>1031</v>
      </c>
      <c r="AD1026" s="158"/>
    </row>
    <row r="1027" spans="1:30" ht="12.75" customHeight="1" x14ac:dyDescent="0.3">
      <c r="A1027" s="147">
        <v>45</v>
      </c>
      <c r="B1027" s="158" t="s">
        <v>921</v>
      </c>
      <c r="C1027" s="158" t="s">
        <v>257</v>
      </c>
      <c r="D1027" s="160" t="s">
        <v>943</v>
      </c>
      <c r="E1027" s="158" t="s">
        <v>25</v>
      </c>
      <c r="F1027" s="158" t="s">
        <v>25</v>
      </c>
      <c r="G1027" s="158" t="s">
        <v>866</v>
      </c>
      <c r="H1027" s="161">
        <v>0</v>
      </c>
      <c r="I1027" s="161">
        <v>0</v>
      </c>
      <c r="J1027" s="161">
        <v>0</v>
      </c>
      <c r="K1027" s="161">
        <v>0</v>
      </c>
      <c r="L1027" s="161">
        <v>0</v>
      </c>
      <c r="M1027" s="161">
        <v>0</v>
      </c>
      <c r="N1027" s="161">
        <v>0</v>
      </c>
      <c r="O1027" s="162">
        <f t="shared" si="96"/>
        <v>0</v>
      </c>
      <c r="P1027" s="161">
        <v>0</v>
      </c>
      <c r="Q1027" s="161">
        <v>0</v>
      </c>
      <c r="R1027" s="161">
        <v>500</v>
      </c>
      <c r="S1027" s="161">
        <v>0</v>
      </c>
      <c r="T1027" s="161">
        <v>0</v>
      </c>
      <c r="U1027" s="161">
        <v>0</v>
      </c>
      <c r="V1027" s="161">
        <v>0</v>
      </c>
      <c r="W1027" s="161">
        <f t="shared" si="97"/>
        <v>500</v>
      </c>
      <c r="X1027" s="183">
        <f t="shared" si="98"/>
        <v>500</v>
      </c>
      <c r="Y1027" s="161">
        <f t="shared" si="99"/>
        <v>0</v>
      </c>
      <c r="Z1027" s="161">
        <v>0</v>
      </c>
      <c r="AA1027" s="161">
        <f t="shared" si="100"/>
        <v>0</v>
      </c>
      <c r="AB1027" s="161">
        <f t="shared" si="101"/>
        <v>-500</v>
      </c>
      <c r="AC1027" s="158" t="s">
        <v>1124</v>
      </c>
      <c r="AD1027" s="158"/>
    </row>
    <row r="1028" spans="1:30" ht="12.75" customHeight="1" x14ac:dyDescent="0.3">
      <c r="A1028" s="147">
        <v>45</v>
      </c>
      <c r="B1028" s="158" t="s">
        <v>837</v>
      </c>
      <c r="C1028" s="158" t="s">
        <v>334</v>
      </c>
      <c r="D1028" s="158" t="s">
        <v>20</v>
      </c>
      <c r="E1028" s="158" t="s">
        <v>25</v>
      </c>
      <c r="F1028" s="158" t="s">
        <v>39</v>
      </c>
      <c r="G1028" s="158" t="s">
        <v>866</v>
      </c>
      <c r="H1028" s="161">
        <v>6931.23</v>
      </c>
      <c r="I1028" s="161">
        <v>-109.14</v>
      </c>
      <c r="J1028" s="161">
        <v>0</v>
      </c>
      <c r="K1028" s="161">
        <v>0</v>
      </c>
      <c r="L1028" s="161">
        <v>0</v>
      </c>
      <c r="M1028" s="161">
        <v>-35</v>
      </c>
      <c r="N1028" s="161">
        <v>0</v>
      </c>
      <c r="O1028" s="162">
        <f t="shared" si="96"/>
        <v>6787.0899999999992</v>
      </c>
      <c r="P1028" s="161">
        <v>-2500</v>
      </c>
      <c r="Q1028" s="161">
        <v>0</v>
      </c>
      <c r="R1028" s="161">
        <v>0</v>
      </c>
      <c r="S1028" s="161">
        <v>0</v>
      </c>
      <c r="T1028" s="161">
        <v>0</v>
      </c>
      <c r="U1028" s="161">
        <v>0</v>
      </c>
      <c r="V1028" s="161">
        <v>0</v>
      </c>
      <c r="W1028" s="161">
        <f t="shared" si="97"/>
        <v>4287.0899999999992</v>
      </c>
      <c r="X1028" s="183">
        <f t="shared" si="98"/>
        <v>4287.0899999999992</v>
      </c>
      <c r="Y1028" s="161">
        <f t="shared" si="99"/>
        <v>0</v>
      </c>
      <c r="Z1028" s="161">
        <v>0</v>
      </c>
      <c r="AA1028" s="161">
        <f t="shared" si="100"/>
        <v>0</v>
      </c>
      <c r="AB1028" s="161">
        <f t="shared" si="101"/>
        <v>2500</v>
      </c>
      <c r="AC1028" s="158" t="s">
        <v>1039</v>
      </c>
      <c r="AD1028" s="158"/>
    </row>
    <row r="1029" spans="1:30" ht="12.75" customHeight="1" x14ac:dyDescent="0.3">
      <c r="A1029" s="147">
        <v>45</v>
      </c>
      <c r="B1029" s="158" t="s">
        <v>1062</v>
      </c>
      <c r="C1029" s="158" t="s">
        <v>53</v>
      </c>
      <c r="D1029" s="158" t="s">
        <v>20</v>
      </c>
      <c r="E1029" s="158" t="s">
        <v>25</v>
      </c>
      <c r="F1029" s="158" t="s">
        <v>39</v>
      </c>
      <c r="G1029" s="158" t="s">
        <v>866</v>
      </c>
      <c r="H1029" s="161">
        <v>7812.87</v>
      </c>
      <c r="I1029" s="161">
        <v>0</v>
      </c>
      <c r="J1029" s="161">
        <v>0</v>
      </c>
      <c r="K1029" s="161">
        <v>0</v>
      </c>
      <c r="L1029" s="161">
        <v>-3253.57</v>
      </c>
      <c r="M1029" s="161">
        <f>-65-31</f>
        <v>-96</v>
      </c>
      <c r="N1029" s="161">
        <v>0</v>
      </c>
      <c r="O1029" s="162">
        <f t="shared" si="96"/>
        <v>4463.2999999999993</v>
      </c>
      <c r="P1029" s="161">
        <v>-2500</v>
      </c>
      <c r="Q1029" s="161">
        <v>0</v>
      </c>
      <c r="R1029" s="161">
        <v>0</v>
      </c>
      <c r="S1029" s="161">
        <v>0</v>
      </c>
      <c r="T1029" s="161">
        <v>0</v>
      </c>
      <c r="U1029" s="161">
        <v>0</v>
      </c>
      <c r="V1029" s="161">
        <v>0</v>
      </c>
      <c r="W1029" s="161">
        <f t="shared" si="97"/>
        <v>1963.2999999999993</v>
      </c>
      <c r="X1029" s="183">
        <f t="shared" si="98"/>
        <v>1963.2999999999993</v>
      </c>
      <c r="Y1029" s="161">
        <f t="shared" si="99"/>
        <v>0</v>
      </c>
      <c r="Z1029" s="161">
        <v>0</v>
      </c>
      <c r="AA1029" s="161">
        <f t="shared" si="100"/>
        <v>0</v>
      </c>
      <c r="AB1029" s="161">
        <f t="shared" si="101"/>
        <v>2500</v>
      </c>
      <c r="AC1029" s="158" t="s">
        <v>1039</v>
      </c>
      <c r="AD1029" s="158"/>
    </row>
    <row r="1030" spans="1:30" ht="12.75" customHeight="1" x14ac:dyDescent="0.3">
      <c r="A1030" s="147">
        <v>45</v>
      </c>
      <c r="B1030" s="158" t="s">
        <v>484</v>
      </c>
      <c r="C1030" s="158" t="s">
        <v>1065</v>
      </c>
      <c r="D1030" s="158" t="s">
        <v>903</v>
      </c>
      <c r="E1030" s="158" t="s">
        <v>25</v>
      </c>
      <c r="F1030" s="158" t="s">
        <v>39</v>
      </c>
      <c r="G1030" s="158" t="s">
        <v>866</v>
      </c>
      <c r="H1030" s="161">
        <v>7959.75</v>
      </c>
      <c r="I1030" s="161">
        <v>-150.4</v>
      </c>
      <c r="J1030" s="161">
        <v>0</v>
      </c>
      <c r="K1030" s="161">
        <v>0</v>
      </c>
      <c r="L1030" s="161">
        <v>-3932.17</v>
      </c>
      <c r="M1030" s="161">
        <f>-65-37</f>
        <v>-102</v>
      </c>
      <c r="N1030" s="161">
        <v>0</v>
      </c>
      <c r="O1030" s="162">
        <f t="shared" si="96"/>
        <v>3775.1800000000003</v>
      </c>
      <c r="P1030" s="161">
        <v>-2500</v>
      </c>
      <c r="Q1030" s="161">
        <v>0</v>
      </c>
      <c r="R1030" s="161">
        <v>0</v>
      </c>
      <c r="S1030" s="161">
        <v>0</v>
      </c>
      <c r="T1030" s="161">
        <v>0</v>
      </c>
      <c r="U1030" s="161">
        <v>-500</v>
      </c>
      <c r="V1030" s="161">
        <v>0</v>
      </c>
      <c r="W1030" s="161">
        <f t="shared" si="97"/>
        <v>775.18000000000029</v>
      </c>
      <c r="X1030" s="161">
        <f t="shared" si="98"/>
        <v>775.18000000000029</v>
      </c>
      <c r="Y1030" s="161">
        <f t="shared" si="99"/>
        <v>0</v>
      </c>
      <c r="Z1030" s="161">
        <v>0</v>
      </c>
      <c r="AA1030" s="161">
        <f t="shared" si="100"/>
        <v>0</v>
      </c>
      <c r="AB1030" s="161">
        <f t="shared" si="101"/>
        <v>3000</v>
      </c>
      <c r="AC1030" s="158"/>
      <c r="AD1030" s="158"/>
    </row>
    <row r="1031" spans="1:30" ht="12.75" customHeight="1" x14ac:dyDescent="0.3">
      <c r="A1031" s="147">
        <v>45</v>
      </c>
      <c r="B1031" s="158" t="s">
        <v>457</v>
      </c>
      <c r="C1031" s="158" t="s">
        <v>573</v>
      </c>
      <c r="D1031" s="158" t="s">
        <v>974</v>
      </c>
      <c r="E1031" s="158" t="s">
        <v>25</v>
      </c>
      <c r="F1031" s="158" t="s">
        <v>39</v>
      </c>
      <c r="G1031" s="158" t="s">
        <v>866</v>
      </c>
      <c r="H1031" s="161">
        <v>4365.1899999999996</v>
      </c>
      <c r="I1031" s="161">
        <v>0</v>
      </c>
      <c r="J1031" s="161">
        <v>0</v>
      </c>
      <c r="K1031" s="161">
        <v>0</v>
      </c>
      <c r="L1031" s="161">
        <v>-1246.53</v>
      </c>
      <c r="M1031" s="161">
        <f>-35-12</f>
        <v>-47</v>
      </c>
      <c r="N1031" s="161">
        <v>0</v>
      </c>
      <c r="O1031" s="162">
        <f t="shared" si="96"/>
        <v>3071.66</v>
      </c>
      <c r="P1031" s="161">
        <v>-2500</v>
      </c>
      <c r="Q1031" s="161">
        <v>-470.4</v>
      </c>
      <c r="R1031" s="161">
        <v>0</v>
      </c>
      <c r="S1031" s="161">
        <v>0</v>
      </c>
      <c r="T1031" s="161">
        <v>0</v>
      </c>
      <c r="U1031" s="161">
        <v>0</v>
      </c>
      <c r="V1031" s="161">
        <v>0</v>
      </c>
      <c r="W1031" s="161">
        <f t="shared" si="97"/>
        <v>101.25999999999976</v>
      </c>
      <c r="X1031" s="183">
        <f t="shared" si="98"/>
        <v>101.25999999999976</v>
      </c>
      <c r="Y1031" s="161">
        <f t="shared" si="99"/>
        <v>0</v>
      </c>
      <c r="Z1031" s="161">
        <v>0</v>
      </c>
      <c r="AA1031" s="161">
        <f t="shared" si="100"/>
        <v>0</v>
      </c>
      <c r="AB1031" s="161">
        <f t="shared" si="101"/>
        <v>2970.4</v>
      </c>
      <c r="AC1031" s="158" t="s">
        <v>1039</v>
      </c>
      <c r="AD1031" s="158"/>
    </row>
    <row r="1032" spans="1:30" ht="12.75" customHeight="1" x14ac:dyDescent="0.3">
      <c r="A1032" s="147">
        <v>45</v>
      </c>
      <c r="B1032" s="158" t="s">
        <v>1129</v>
      </c>
      <c r="C1032" s="158" t="s">
        <v>152</v>
      </c>
      <c r="D1032" s="158" t="s">
        <v>1108</v>
      </c>
      <c r="E1032" s="160" t="s">
        <v>25</v>
      </c>
      <c r="F1032" s="158" t="s">
        <v>39</v>
      </c>
      <c r="G1032" s="158" t="s">
        <v>866</v>
      </c>
      <c r="H1032" s="161">
        <v>3434.29</v>
      </c>
      <c r="I1032" s="161">
        <v>0</v>
      </c>
      <c r="J1032" s="161">
        <v>0</v>
      </c>
      <c r="K1032" s="161">
        <v>0</v>
      </c>
      <c r="L1032" s="161">
        <v>-1469.98</v>
      </c>
      <c r="M1032" s="161">
        <f>-50-14</f>
        <v>-64</v>
      </c>
      <c r="N1032" s="161">
        <v>0</v>
      </c>
      <c r="O1032" s="162">
        <f t="shared" si="96"/>
        <v>1900.31</v>
      </c>
      <c r="P1032" s="161">
        <f>(-2500/7)*3.5</f>
        <v>-1250</v>
      </c>
      <c r="Q1032" s="161">
        <v>0</v>
      </c>
      <c r="R1032" s="161">
        <v>-249.99</v>
      </c>
      <c r="S1032" s="161">
        <v>0</v>
      </c>
      <c r="T1032" s="161">
        <v>0</v>
      </c>
      <c r="U1032" s="161">
        <v>0</v>
      </c>
      <c r="V1032" s="161">
        <v>0</v>
      </c>
      <c r="W1032" s="161">
        <f t="shared" si="97"/>
        <v>400.31999999999994</v>
      </c>
      <c r="X1032" s="183">
        <f t="shared" si="98"/>
        <v>400.31999999999994</v>
      </c>
      <c r="Y1032" s="161">
        <f t="shared" si="99"/>
        <v>0</v>
      </c>
      <c r="Z1032" s="161">
        <v>0</v>
      </c>
      <c r="AA1032" s="161">
        <f t="shared" si="100"/>
        <v>0</v>
      </c>
      <c r="AB1032" s="161">
        <f t="shared" si="101"/>
        <v>1499.99</v>
      </c>
      <c r="AC1032" s="158" t="s">
        <v>1039</v>
      </c>
      <c r="AD1032" s="158"/>
    </row>
    <row r="1033" spans="1:30" ht="12.75" customHeight="1" x14ac:dyDescent="0.3">
      <c r="A1033" s="147">
        <v>45</v>
      </c>
      <c r="B1033" s="158" t="s">
        <v>1025</v>
      </c>
      <c r="C1033" s="158" t="s">
        <v>51</v>
      </c>
      <c r="D1033" s="158" t="s">
        <v>1115</v>
      </c>
      <c r="E1033" s="160" t="s">
        <v>25</v>
      </c>
      <c r="F1033" s="158" t="s">
        <v>39</v>
      </c>
      <c r="G1033" s="158" t="s">
        <v>866</v>
      </c>
      <c r="H1033" s="161">
        <v>3377.53</v>
      </c>
      <c r="I1033" s="161">
        <v>0</v>
      </c>
      <c r="J1033" s="161">
        <v>0</v>
      </c>
      <c r="K1033" s="161">
        <v>0</v>
      </c>
      <c r="L1033" s="161">
        <v>-1570.65</v>
      </c>
      <c r="M1033" s="161">
        <f>-50-15</f>
        <v>-65</v>
      </c>
      <c r="N1033" s="161">
        <v>0</v>
      </c>
      <c r="O1033" s="162">
        <f t="shared" si="96"/>
        <v>1741.88</v>
      </c>
      <c r="P1033" s="161">
        <v>-1785.71</v>
      </c>
      <c r="Q1033" s="161">
        <v>0</v>
      </c>
      <c r="R1033" s="161">
        <v>0</v>
      </c>
      <c r="S1033" s="161">
        <v>0</v>
      </c>
      <c r="T1033" s="161">
        <v>0</v>
      </c>
      <c r="U1033" s="161">
        <v>0</v>
      </c>
      <c r="V1033" s="161">
        <v>0</v>
      </c>
      <c r="W1033" s="161">
        <f t="shared" si="97"/>
        <v>-43.829999999999927</v>
      </c>
      <c r="X1033" s="161">
        <f t="shared" si="98"/>
        <v>0</v>
      </c>
      <c r="Y1033" s="161">
        <f t="shared" si="99"/>
        <v>-43.829999999999927</v>
      </c>
      <c r="Z1033" s="161">
        <v>44</v>
      </c>
      <c r="AA1033" s="161">
        <f t="shared" si="100"/>
        <v>0.17000000000007276</v>
      </c>
      <c r="AB1033" s="161">
        <f t="shared" si="101"/>
        <v>1786.0500000000002</v>
      </c>
      <c r="AC1033" s="158" t="s">
        <v>1043</v>
      </c>
      <c r="AD1033" s="158"/>
    </row>
    <row r="1034" spans="1:30" ht="12.75" customHeight="1" x14ac:dyDescent="0.3">
      <c r="A1034" s="147">
        <v>45</v>
      </c>
      <c r="B1034" s="158" t="s">
        <v>1082</v>
      </c>
      <c r="C1034" s="158" t="s">
        <v>152</v>
      </c>
      <c r="D1034" s="158" t="s">
        <v>1108</v>
      </c>
      <c r="E1034" s="160" t="s">
        <v>25</v>
      </c>
      <c r="F1034" s="158" t="s">
        <v>39</v>
      </c>
      <c r="G1034" s="158" t="s">
        <v>866</v>
      </c>
      <c r="H1034" s="161">
        <v>0</v>
      </c>
      <c r="I1034" s="161">
        <v>0</v>
      </c>
      <c r="J1034" s="161">
        <v>0</v>
      </c>
      <c r="K1034" s="161">
        <v>0</v>
      </c>
      <c r="L1034" s="161">
        <v>0</v>
      </c>
      <c r="M1034" s="161">
        <v>0</v>
      </c>
      <c r="N1034" s="161">
        <v>0</v>
      </c>
      <c r="O1034" s="162">
        <f t="shared" si="96"/>
        <v>0</v>
      </c>
      <c r="P1034" s="161">
        <v>-1071.42</v>
      </c>
      <c r="Q1034" s="161">
        <v>0</v>
      </c>
      <c r="R1034" s="161">
        <v>1071</v>
      </c>
      <c r="S1034" s="161">
        <v>0</v>
      </c>
      <c r="T1034" s="161">
        <v>0</v>
      </c>
      <c r="U1034" s="161">
        <v>0</v>
      </c>
      <c r="V1034" s="161">
        <v>0</v>
      </c>
      <c r="W1034" s="161">
        <f t="shared" si="97"/>
        <v>-0.42000000000007276</v>
      </c>
      <c r="X1034" s="161">
        <f t="shared" si="98"/>
        <v>0</v>
      </c>
      <c r="Y1034" s="161">
        <f t="shared" si="99"/>
        <v>-0.42000000000007276</v>
      </c>
      <c r="Z1034" s="161">
        <v>0</v>
      </c>
      <c r="AA1034" s="161">
        <f t="shared" si="100"/>
        <v>-0.42000000000007276</v>
      </c>
      <c r="AB1034" s="161">
        <f t="shared" si="101"/>
        <v>-0.42000000000007276</v>
      </c>
      <c r="AC1034" s="158" t="s">
        <v>1130</v>
      </c>
      <c r="AD1034" s="158"/>
    </row>
    <row r="1035" spans="1:30" ht="12.75" customHeight="1" x14ac:dyDescent="0.3">
      <c r="A1035" s="147">
        <v>45</v>
      </c>
      <c r="B1035" s="158" t="s">
        <v>944</v>
      </c>
      <c r="C1035" s="158" t="s">
        <v>372</v>
      </c>
      <c r="D1035" s="158" t="s">
        <v>1004</v>
      </c>
      <c r="E1035" s="158" t="s">
        <v>39</v>
      </c>
      <c r="F1035" s="158" t="s">
        <v>39</v>
      </c>
      <c r="G1035" s="158" t="s">
        <v>866</v>
      </c>
      <c r="H1035" s="161">
        <v>4687.47</v>
      </c>
      <c r="I1035" s="161">
        <v>-2.94</v>
      </c>
      <c r="J1035" s="161">
        <v>0</v>
      </c>
      <c r="K1035" s="161">
        <v>0</v>
      </c>
      <c r="L1035" s="161">
        <v>-968.77</v>
      </c>
      <c r="M1035" s="161">
        <f>-35-9</f>
        <v>-44</v>
      </c>
      <c r="N1035" s="161">
        <v>0</v>
      </c>
      <c r="O1035" s="162">
        <f t="shared" si="96"/>
        <v>3671.7600000000007</v>
      </c>
      <c r="P1035" s="161">
        <v>-2500</v>
      </c>
      <c r="Q1035" s="161">
        <v>0</v>
      </c>
      <c r="R1035" s="161">
        <v>0</v>
      </c>
      <c r="S1035" s="161">
        <v>0</v>
      </c>
      <c r="T1035" s="161">
        <v>0</v>
      </c>
      <c r="U1035" s="161">
        <v>420</v>
      </c>
      <c r="V1035" s="161">
        <v>0</v>
      </c>
      <c r="W1035" s="161">
        <f t="shared" si="97"/>
        <v>1591.7600000000007</v>
      </c>
      <c r="X1035" s="183">
        <f t="shared" si="98"/>
        <v>1591.7600000000007</v>
      </c>
      <c r="Y1035" s="161">
        <f t="shared" si="99"/>
        <v>0</v>
      </c>
      <c r="Z1035" s="161">
        <v>0</v>
      </c>
      <c r="AA1035" s="161">
        <f t="shared" si="100"/>
        <v>0</v>
      </c>
      <c r="AB1035" s="161">
        <f t="shared" si="101"/>
        <v>2080</v>
      </c>
      <c r="AC1035" s="158" t="s">
        <v>1039</v>
      </c>
      <c r="AD1035" s="158"/>
    </row>
    <row r="1036" spans="1:30" ht="12.75" customHeight="1" x14ac:dyDescent="0.3">
      <c r="A1036" s="147">
        <v>45</v>
      </c>
      <c r="B1036" s="158" t="s">
        <v>1100</v>
      </c>
      <c r="C1036" s="182" t="s">
        <v>213</v>
      </c>
      <c r="D1036" s="158" t="s">
        <v>1116</v>
      </c>
      <c r="E1036" s="158" t="s">
        <v>39</v>
      </c>
      <c r="F1036" s="158" t="s">
        <v>39</v>
      </c>
      <c r="G1036" s="158" t="s">
        <v>866</v>
      </c>
      <c r="H1036" s="161">
        <v>3825.94</v>
      </c>
      <c r="I1036" s="161">
        <v>-72.8</v>
      </c>
      <c r="J1036" s="161">
        <v>0</v>
      </c>
      <c r="K1036" s="161">
        <v>-31.61</v>
      </c>
      <c r="L1036" s="161">
        <v>-37.49</v>
      </c>
      <c r="M1036" s="161">
        <v>-45</v>
      </c>
      <c r="N1036" s="161">
        <v>0</v>
      </c>
      <c r="O1036" s="162">
        <f t="shared" si="96"/>
        <v>3639.04</v>
      </c>
      <c r="P1036" s="161">
        <v>-2500</v>
      </c>
      <c r="Q1036" s="161">
        <v>-293.44</v>
      </c>
      <c r="R1036" s="161">
        <v>-500</v>
      </c>
      <c r="S1036" s="161">
        <v>0</v>
      </c>
      <c r="T1036" s="161">
        <v>0</v>
      </c>
      <c r="U1036" s="161">
        <v>0</v>
      </c>
      <c r="V1036" s="161">
        <v>0</v>
      </c>
      <c r="W1036" s="161">
        <f t="shared" si="97"/>
        <v>345.59999999999991</v>
      </c>
      <c r="X1036" s="183">
        <f t="shared" si="98"/>
        <v>345.59999999999991</v>
      </c>
      <c r="Y1036" s="161">
        <f t="shared" si="99"/>
        <v>0</v>
      </c>
      <c r="Z1036" s="161">
        <v>0</v>
      </c>
      <c r="AA1036" s="161">
        <f t="shared" si="100"/>
        <v>0</v>
      </c>
      <c r="AB1036" s="161">
        <f t="shared" si="101"/>
        <v>3293.44</v>
      </c>
      <c r="AC1036" s="158" t="s">
        <v>1039</v>
      </c>
      <c r="AD1036" s="158"/>
    </row>
    <row r="1037" spans="1:30" ht="12.75" customHeight="1" x14ac:dyDescent="0.3">
      <c r="A1037" s="147">
        <v>45</v>
      </c>
      <c r="B1037" s="158" t="s">
        <v>872</v>
      </c>
      <c r="C1037" s="158" t="s">
        <v>256</v>
      </c>
      <c r="D1037" s="158" t="s">
        <v>997</v>
      </c>
      <c r="E1037" s="160" t="s">
        <v>871</v>
      </c>
      <c r="F1037" s="158" t="s">
        <v>39</v>
      </c>
      <c r="G1037" s="158" t="s">
        <v>866</v>
      </c>
      <c r="H1037" s="161">
        <v>8721.35</v>
      </c>
      <c r="I1037" s="161">
        <v>-88.8</v>
      </c>
      <c r="J1037" s="161">
        <v>0</v>
      </c>
      <c r="K1037" s="161">
        <v>-83.75</v>
      </c>
      <c r="L1037" s="161">
        <v>-2873.9</v>
      </c>
      <c r="M1037" s="161">
        <f>-50-27</f>
        <v>-77</v>
      </c>
      <c r="N1037" s="161">
        <v>-35</v>
      </c>
      <c r="O1037" s="162">
        <f t="shared" si="96"/>
        <v>5562.9000000000015</v>
      </c>
      <c r="P1037" s="161">
        <v>-2500</v>
      </c>
      <c r="Q1037" s="161">
        <v>0</v>
      </c>
      <c r="R1037" s="161">
        <v>0</v>
      </c>
      <c r="S1037" s="161">
        <v>0</v>
      </c>
      <c r="T1037" s="161">
        <v>-700</v>
      </c>
      <c r="U1037" s="161">
        <v>0</v>
      </c>
      <c r="V1037" s="161">
        <v>0</v>
      </c>
      <c r="W1037" s="161">
        <f t="shared" si="97"/>
        <v>2362.9000000000015</v>
      </c>
      <c r="X1037" s="183">
        <f t="shared" si="98"/>
        <v>2362.9000000000015</v>
      </c>
      <c r="Y1037" s="161">
        <f t="shared" si="99"/>
        <v>0</v>
      </c>
      <c r="Z1037" s="161">
        <v>0</v>
      </c>
      <c r="AA1037" s="161">
        <f t="shared" si="100"/>
        <v>0</v>
      </c>
      <c r="AB1037" s="161">
        <f t="shared" si="101"/>
        <v>3200</v>
      </c>
      <c r="AC1037" s="158" t="s">
        <v>1039</v>
      </c>
      <c r="AD1037" s="158"/>
    </row>
    <row r="1038" spans="1:30" ht="12.75" customHeight="1" x14ac:dyDescent="0.3">
      <c r="A1038" s="147">
        <v>45</v>
      </c>
      <c r="B1038" s="158" t="s">
        <v>604</v>
      </c>
      <c r="C1038" s="158" t="s">
        <v>123</v>
      </c>
      <c r="D1038" s="158" t="s">
        <v>999</v>
      </c>
      <c r="E1038" s="160" t="s">
        <v>871</v>
      </c>
      <c r="F1038" s="158" t="s">
        <v>39</v>
      </c>
      <c r="G1038" s="158" t="s">
        <v>866</v>
      </c>
      <c r="H1038" s="161">
        <v>7243.42</v>
      </c>
      <c r="I1038" s="161">
        <v>0</v>
      </c>
      <c r="J1038" s="161">
        <v>0</v>
      </c>
      <c r="K1038" s="161">
        <v>0</v>
      </c>
      <c r="L1038" s="161">
        <v>-3468.67</v>
      </c>
      <c r="M1038" s="161">
        <f>-65-33</f>
        <v>-98</v>
      </c>
      <c r="N1038" s="161">
        <v>0</v>
      </c>
      <c r="O1038" s="162">
        <f t="shared" si="96"/>
        <v>3676.75</v>
      </c>
      <c r="P1038" s="161">
        <v>-2500</v>
      </c>
      <c r="Q1038" s="161">
        <v>0</v>
      </c>
      <c r="R1038" s="161">
        <v>0</v>
      </c>
      <c r="S1038" s="161">
        <v>0</v>
      </c>
      <c r="T1038" s="161">
        <v>0</v>
      </c>
      <c r="U1038" s="161">
        <v>0</v>
      </c>
      <c r="V1038" s="161">
        <v>0</v>
      </c>
      <c r="W1038" s="161">
        <f t="shared" si="97"/>
        <v>1176.75</v>
      </c>
      <c r="X1038" s="183">
        <f t="shared" si="98"/>
        <v>1176.75</v>
      </c>
      <c r="Y1038" s="161">
        <f t="shared" si="99"/>
        <v>0</v>
      </c>
      <c r="Z1038" s="161">
        <v>0</v>
      </c>
      <c r="AA1038" s="161">
        <f t="shared" si="100"/>
        <v>0</v>
      </c>
      <c r="AB1038" s="161">
        <f t="shared" si="101"/>
        <v>2500</v>
      </c>
      <c r="AC1038" s="158" t="s">
        <v>1039</v>
      </c>
      <c r="AD1038" s="158"/>
    </row>
    <row r="1039" spans="1:30" ht="12.75" customHeight="1" x14ac:dyDescent="0.3">
      <c r="A1039" s="147">
        <v>45</v>
      </c>
      <c r="B1039" s="158" t="s">
        <v>1118</v>
      </c>
      <c r="C1039" s="158" t="s">
        <v>169</v>
      </c>
      <c r="D1039" s="158" t="s">
        <v>967</v>
      </c>
      <c r="E1039" s="160" t="s">
        <v>871</v>
      </c>
      <c r="F1039" s="158" t="s">
        <v>39</v>
      </c>
      <c r="G1039" s="158" t="s">
        <v>866</v>
      </c>
      <c r="H1039" s="161">
        <v>5599.69</v>
      </c>
      <c r="I1039" s="161">
        <v>-16</v>
      </c>
      <c r="J1039" s="161">
        <v>0</v>
      </c>
      <c r="K1039" s="161">
        <v>0</v>
      </c>
      <c r="L1039" s="161">
        <v>-1856.85</v>
      </c>
      <c r="M1039" s="161">
        <f>-50-18</f>
        <v>-68</v>
      </c>
      <c r="N1039" s="161">
        <v>0</v>
      </c>
      <c r="O1039" s="162">
        <f t="shared" si="96"/>
        <v>3658.8399999999997</v>
      </c>
      <c r="P1039" s="161">
        <v>-2500</v>
      </c>
      <c r="Q1039" s="161">
        <v>0</v>
      </c>
      <c r="R1039" s="161">
        <v>-500</v>
      </c>
      <c r="S1039" s="161">
        <v>0</v>
      </c>
      <c r="T1039" s="161">
        <v>0</v>
      </c>
      <c r="U1039" s="161">
        <v>0</v>
      </c>
      <c r="V1039" s="161">
        <v>0</v>
      </c>
      <c r="W1039" s="161">
        <f t="shared" si="97"/>
        <v>658.83999999999969</v>
      </c>
      <c r="X1039" s="183">
        <f t="shared" si="98"/>
        <v>658.83999999999969</v>
      </c>
      <c r="Y1039" s="161">
        <f t="shared" si="99"/>
        <v>0</v>
      </c>
      <c r="Z1039" s="161">
        <v>0</v>
      </c>
      <c r="AA1039" s="161">
        <f t="shared" si="100"/>
        <v>0</v>
      </c>
      <c r="AB1039" s="161">
        <f t="shared" si="101"/>
        <v>3000</v>
      </c>
      <c r="AC1039" s="158" t="s">
        <v>1039</v>
      </c>
      <c r="AD1039" s="158"/>
    </row>
    <row r="1040" spans="1:30" ht="12.75" customHeight="1" x14ac:dyDescent="0.3">
      <c r="A1040" s="147">
        <v>45</v>
      </c>
      <c r="B1040" s="158" t="s">
        <v>1030</v>
      </c>
      <c r="C1040" s="158" t="s">
        <v>195</v>
      </c>
      <c r="D1040" s="158" t="s">
        <v>964</v>
      </c>
      <c r="E1040" s="160" t="s">
        <v>871</v>
      </c>
      <c r="F1040" s="158" t="s">
        <v>39</v>
      </c>
      <c r="G1040" s="158" t="s">
        <v>866</v>
      </c>
      <c r="H1040" s="161">
        <v>0</v>
      </c>
      <c r="I1040" s="161">
        <v>0</v>
      </c>
      <c r="J1040" s="161">
        <v>0</v>
      </c>
      <c r="K1040" s="161">
        <v>0</v>
      </c>
      <c r="L1040" s="161">
        <v>0</v>
      </c>
      <c r="M1040" s="161">
        <v>0</v>
      </c>
      <c r="N1040" s="161">
        <v>0</v>
      </c>
      <c r="O1040" s="162">
        <f t="shared" si="96"/>
        <v>0</v>
      </c>
      <c r="P1040" s="161">
        <v>0</v>
      </c>
      <c r="Q1040" s="161">
        <v>0</v>
      </c>
      <c r="R1040" s="161">
        <v>500</v>
      </c>
      <c r="S1040" s="161">
        <v>0</v>
      </c>
      <c r="T1040" s="161">
        <v>0</v>
      </c>
      <c r="U1040" s="161">
        <v>0</v>
      </c>
      <c r="V1040" s="161">
        <v>0</v>
      </c>
      <c r="W1040" s="161">
        <f t="shared" si="97"/>
        <v>500</v>
      </c>
      <c r="X1040" s="183">
        <f t="shared" si="98"/>
        <v>500</v>
      </c>
      <c r="Y1040" s="161">
        <f t="shared" si="99"/>
        <v>0</v>
      </c>
      <c r="Z1040" s="161">
        <v>0</v>
      </c>
      <c r="AA1040" s="161">
        <f t="shared" si="100"/>
        <v>0</v>
      </c>
      <c r="AB1040" s="161">
        <f t="shared" si="101"/>
        <v>-500</v>
      </c>
      <c r="AC1040" s="158" t="s">
        <v>1039</v>
      </c>
      <c r="AD1040" s="158"/>
    </row>
    <row r="1041" spans="1:30" ht="12.75" customHeight="1" x14ac:dyDescent="0.3">
      <c r="A1041" s="147">
        <v>45</v>
      </c>
      <c r="B1041" s="158" t="s">
        <v>992</v>
      </c>
      <c r="C1041" s="158" t="s">
        <v>169</v>
      </c>
      <c r="D1041" s="158" t="s">
        <v>20</v>
      </c>
      <c r="E1041" s="160" t="s">
        <v>871</v>
      </c>
      <c r="F1041" s="158" t="s">
        <v>39</v>
      </c>
      <c r="G1041" s="158" t="s">
        <v>866</v>
      </c>
      <c r="H1041" s="161">
        <v>0</v>
      </c>
      <c r="I1041" s="161">
        <v>0</v>
      </c>
      <c r="J1041" s="161">
        <v>0</v>
      </c>
      <c r="K1041" s="161">
        <v>0</v>
      </c>
      <c r="L1041" s="161">
        <v>0</v>
      </c>
      <c r="M1041" s="162">
        <v>0</v>
      </c>
      <c r="N1041" s="161">
        <v>0</v>
      </c>
      <c r="O1041" s="162">
        <f t="shared" si="96"/>
        <v>0</v>
      </c>
      <c r="P1041" s="161">
        <v>0</v>
      </c>
      <c r="Q1041" s="161">
        <v>0</v>
      </c>
      <c r="R1041" s="161">
        <v>500</v>
      </c>
      <c r="S1041" s="161">
        <v>0</v>
      </c>
      <c r="T1041" s="161">
        <v>0</v>
      </c>
      <c r="U1041" s="161">
        <v>0</v>
      </c>
      <c r="V1041" s="161">
        <v>0</v>
      </c>
      <c r="W1041" s="161">
        <f t="shared" si="97"/>
        <v>500</v>
      </c>
      <c r="X1041" s="183">
        <f t="shared" si="98"/>
        <v>500</v>
      </c>
      <c r="Y1041" s="161">
        <f t="shared" si="99"/>
        <v>0</v>
      </c>
      <c r="Z1041" s="161">
        <v>0</v>
      </c>
      <c r="AA1041" s="161">
        <f t="shared" si="100"/>
        <v>0</v>
      </c>
      <c r="AB1041" s="161">
        <f t="shared" si="101"/>
        <v>-500</v>
      </c>
      <c r="AC1041" s="158" t="s">
        <v>1039</v>
      </c>
      <c r="AD1041" s="158"/>
    </row>
    <row r="1042" spans="1:30" ht="12.75" customHeight="1" x14ac:dyDescent="0.3">
      <c r="A1042" s="147">
        <v>45</v>
      </c>
      <c r="B1042" s="158" t="s">
        <v>1076</v>
      </c>
      <c r="C1042" s="158" t="s">
        <v>80</v>
      </c>
      <c r="D1042" s="158" t="s">
        <v>996</v>
      </c>
      <c r="E1042" s="158" t="s">
        <v>18</v>
      </c>
      <c r="F1042" s="160" t="s">
        <v>18</v>
      </c>
      <c r="G1042" s="158" t="s">
        <v>737</v>
      </c>
      <c r="H1042" s="161">
        <v>4537</v>
      </c>
      <c r="I1042" s="161">
        <v>0</v>
      </c>
      <c r="J1042" s="161">
        <v>0</v>
      </c>
      <c r="K1042" s="161">
        <v>0</v>
      </c>
      <c r="L1042" s="161">
        <v>-3913</v>
      </c>
      <c r="M1042" s="162">
        <v>-95</v>
      </c>
      <c r="N1042" s="161">
        <v>0</v>
      </c>
      <c r="O1042" s="162">
        <v>529</v>
      </c>
      <c r="P1042" s="161">
        <v>-2600</v>
      </c>
      <c r="Q1042" s="161">
        <v>0</v>
      </c>
      <c r="R1042" s="161">
        <v>-500</v>
      </c>
      <c r="S1042" s="161">
        <v>0</v>
      </c>
      <c r="T1042" s="161">
        <v>0</v>
      </c>
      <c r="U1042" s="161">
        <v>0</v>
      </c>
      <c r="V1042" s="161">
        <v>0</v>
      </c>
      <c r="W1042" s="161">
        <v>-2571</v>
      </c>
      <c r="X1042" s="183">
        <v>0</v>
      </c>
      <c r="Y1042" s="161">
        <v>-2571</v>
      </c>
      <c r="Z1042" s="161">
        <v>2571</v>
      </c>
      <c r="AA1042" s="161">
        <f t="shared" si="100"/>
        <v>0</v>
      </c>
      <c r="AB1042" s="161">
        <f t="shared" si="101"/>
        <v>3100</v>
      </c>
      <c r="AC1042" s="158"/>
      <c r="AD1042" s="158"/>
    </row>
    <row r="1043" spans="1:30" ht="12.75" customHeight="1" x14ac:dyDescent="0.3">
      <c r="A1043" s="147">
        <v>45</v>
      </c>
      <c r="B1043" s="158" t="s">
        <v>874</v>
      </c>
      <c r="C1043" s="158" t="s">
        <v>1071</v>
      </c>
      <c r="D1043" s="158" t="s">
        <v>1111</v>
      </c>
      <c r="E1043" s="158" t="s">
        <v>18</v>
      </c>
      <c r="F1043" s="160" t="s">
        <v>18</v>
      </c>
      <c r="G1043" s="158" t="s">
        <v>737</v>
      </c>
      <c r="H1043" s="161">
        <v>0</v>
      </c>
      <c r="I1043" s="161">
        <v>0</v>
      </c>
      <c r="J1043" s="161">
        <v>0</v>
      </c>
      <c r="K1043" s="161">
        <v>0</v>
      </c>
      <c r="L1043" s="161">
        <v>0</v>
      </c>
      <c r="M1043" s="162">
        <v>0</v>
      </c>
      <c r="N1043" s="161">
        <v>0</v>
      </c>
      <c r="O1043" s="162">
        <v>0</v>
      </c>
      <c r="P1043" s="161">
        <v>-2500</v>
      </c>
      <c r="Q1043" s="161">
        <v>0</v>
      </c>
      <c r="R1043" s="161">
        <v>-500</v>
      </c>
      <c r="S1043" s="161">
        <v>0</v>
      </c>
      <c r="T1043" s="161">
        <v>0</v>
      </c>
      <c r="U1043" s="161">
        <v>0</v>
      </c>
      <c r="V1043" s="161">
        <v>0</v>
      </c>
      <c r="W1043" s="161">
        <v>-3000</v>
      </c>
      <c r="X1043" s="183">
        <v>0</v>
      </c>
      <c r="Y1043" s="161">
        <v>-3000</v>
      </c>
      <c r="Z1043" s="161">
        <v>3000</v>
      </c>
      <c r="AA1043" s="161">
        <f t="shared" si="100"/>
        <v>0</v>
      </c>
      <c r="AB1043" s="161">
        <f t="shared" si="101"/>
        <v>3000</v>
      </c>
      <c r="AC1043" s="158"/>
      <c r="AD1043" s="158"/>
    </row>
    <row r="1044" spans="1:30" ht="12.75" customHeight="1" x14ac:dyDescent="0.3">
      <c r="A1044" s="147">
        <v>45</v>
      </c>
      <c r="B1044" s="158" t="s">
        <v>1051</v>
      </c>
      <c r="C1044" s="158" t="s">
        <v>21</v>
      </c>
      <c r="D1044" s="158" t="s">
        <v>20</v>
      </c>
      <c r="E1044" s="158" t="s">
        <v>18</v>
      </c>
      <c r="F1044" s="160" t="s">
        <v>18</v>
      </c>
      <c r="G1044" s="158" t="s">
        <v>866</v>
      </c>
      <c r="H1044" s="161">
        <v>3405</v>
      </c>
      <c r="I1044" s="161">
        <v>0</v>
      </c>
      <c r="J1044" s="161">
        <v>0</v>
      </c>
      <c r="K1044" s="161">
        <v>0</v>
      </c>
      <c r="L1044" s="161">
        <v>-1158</v>
      </c>
      <c r="M1044" s="162">
        <v>-35</v>
      </c>
      <c r="N1044" s="161">
        <v>0</v>
      </c>
      <c r="O1044" s="162">
        <v>2212</v>
      </c>
      <c r="P1044" s="161">
        <v>-2500</v>
      </c>
      <c r="Q1044" s="161">
        <v>0</v>
      </c>
      <c r="R1044" s="161">
        <v>-284</v>
      </c>
      <c r="S1044" s="161">
        <v>0</v>
      </c>
      <c r="T1044" s="161">
        <v>0</v>
      </c>
      <c r="U1044" s="161">
        <v>0</v>
      </c>
      <c r="V1044" s="161">
        <v>0</v>
      </c>
      <c r="W1044" s="161">
        <v>-572</v>
      </c>
      <c r="X1044" s="183">
        <v>0</v>
      </c>
      <c r="Y1044" s="161">
        <v>-572</v>
      </c>
      <c r="Z1044" s="161">
        <v>0</v>
      </c>
      <c r="AA1044" s="161">
        <f t="shared" si="100"/>
        <v>-572</v>
      </c>
      <c r="AB1044" s="161">
        <f t="shared" si="101"/>
        <v>1640</v>
      </c>
      <c r="AC1044" s="158"/>
      <c r="AD1044" s="158"/>
    </row>
    <row r="1045" spans="1:30" ht="12.75" customHeight="1" x14ac:dyDescent="0.3">
      <c r="A1045" s="147">
        <v>45</v>
      </c>
      <c r="B1045" s="158" t="s">
        <v>1010</v>
      </c>
      <c r="C1045" s="158" t="s">
        <v>110</v>
      </c>
      <c r="D1045" s="158" t="s">
        <v>20</v>
      </c>
      <c r="E1045" s="158" t="s">
        <v>18</v>
      </c>
      <c r="F1045" s="160" t="s">
        <v>18</v>
      </c>
      <c r="G1045" s="158" t="s">
        <v>866</v>
      </c>
      <c r="H1045" s="161">
        <v>3007</v>
      </c>
      <c r="I1045" s="161">
        <v>-16</v>
      </c>
      <c r="J1045" s="161">
        <v>0</v>
      </c>
      <c r="K1045" s="161">
        <v>-32</v>
      </c>
      <c r="L1045" s="161">
        <v>-1713</v>
      </c>
      <c r="M1045" s="162">
        <v>-35</v>
      </c>
      <c r="N1045" s="161">
        <v>0</v>
      </c>
      <c r="O1045" s="162">
        <v>1211</v>
      </c>
      <c r="P1045" s="161">
        <v>-714</v>
      </c>
      <c r="Q1045" s="161">
        <v>0</v>
      </c>
      <c r="R1045" s="161">
        <v>-143</v>
      </c>
      <c r="S1045" s="161">
        <v>0</v>
      </c>
      <c r="T1045" s="161">
        <v>0</v>
      </c>
      <c r="U1045" s="161">
        <v>0</v>
      </c>
      <c r="V1045" s="161">
        <v>0</v>
      </c>
      <c r="W1045" s="161">
        <v>354</v>
      </c>
      <c r="X1045" s="183">
        <v>354</v>
      </c>
      <c r="Y1045" s="161">
        <v>0</v>
      </c>
      <c r="Z1045" s="161">
        <v>0</v>
      </c>
      <c r="AA1045" s="161">
        <f t="shared" si="100"/>
        <v>0</v>
      </c>
      <c r="AB1045" s="161">
        <f t="shared" si="101"/>
        <v>857</v>
      </c>
      <c r="AC1045" s="158" t="s">
        <v>1131</v>
      </c>
      <c r="AD1045" s="158"/>
    </row>
    <row r="1046" spans="1:30" ht="12.75" customHeight="1" x14ac:dyDescent="0.3">
      <c r="A1046" s="147">
        <v>46</v>
      </c>
      <c r="B1046" s="158" t="s">
        <v>837</v>
      </c>
      <c r="C1046" s="158" t="s">
        <v>334</v>
      </c>
      <c r="D1046" s="158" t="s">
        <v>20</v>
      </c>
      <c r="E1046" s="158" t="s">
        <v>25</v>
      </c>
      <c r="F1046" s="158" t="s">
        <v>39</v>
      </c>
      <c r="G1046" s="158" t="s">
        <v>866</v>
      </c>
      <c r="H1046" s="161">
        <v>7092.53</v>
      </c>
      <c r="I1046" s="161">
        <v>-0.27</v>
      </c>
      <c r="J1046" s="161">
        <v>0</v>
      </c>
      <c r="K1046" s="161">
        <v>0</v>
      </c>
      <c r="L1046" s="161">
        <v>0</v>
      </c>
      <c r="M1046" s="161">
        <v>-55</v>
      </c>
      <c r="N1046" s="161">
        <v>0</v>
      </c>
      <c r="O1046" s="162">
        <f t="shared" ref="O1046:O1109" si="102">SUM(H1046:N1046)</f>
        <v>7037.2599999999993</v>
      </c>
      <c r="P1046" s="161">
        <v>-2500</v>
      </c>
      <c r="Q1046" s="161">
        <v>0</v>
      </c>
      <c r="R1046" s="161">
        <v>0</v>
      </c>
      <c r="S1046" s="161">
        <v>0</v>
      </c>
      <c r="T1046" s="161">
        <v>0</v>
      </c>
      <c r="U1046" s="161">
        <v>-100</v>
      </c>
      <c r="V1046" s="161">
        <v>0</v>
      </c>
      <c r="W1046" s="161">
        <f t="shared" ref="W1046:W1109" si="103">+O1046+SUM(P1046:V1046)</f>
        <v>4437.2599999999993</v>
      </c>
      <c r="X1046" s="161">
        <f t="shared" ref="X1046:X1109" si="104">IF(W1046&gt;=0,W1046,0)</f>
        <v>4437.2599999999993</v>
      </c>
      <c r="Y1046" s="161">
        <f t="shared" ref="Y1046:Y1109" si="105">IF(W1046&lt;=0,W1046,0)</f>
        <v>0</v>
      </c>
      <c r="Z1046" s="161">
        <v>0</v>
      </c>
      <c r="AA1046" s="161">
        <f t="shared" si="100"/>
        <v>0</v>
      </c>
      <c r="AB1046" s="161">
        <f t="shared" si="101"/>
        <v>2600</v>
      </c>
      <c r="AC1046" s="158"/>
      <c r="AD1046" s="158"/>
    </row>
    <row r="1047" spans="1:30" ht="12.75" customHeight="1" x14ac:dyDescent="0.3">
      <c r="A1047" s="147">
        <v>46</v>
      </c>
      <c r="B1047" s="158" t="s">
        <v>1062</v>
      </c>
      <c r="C1047" s="158" t="s">
        <v>53</v>
      </c>
      <c r="D1047" s="158" t="s">
        <v>20</v>
      </c>
      <c r="E1047" s="158" t="s">
        <v>25</v>
      </c>
      <c r="F1047" s="158" t="s">
        <v>39</v>
      </c>
      <c r="G1047" s="158" t="s">
        <v>866</v>
      </c>
      <c r="H1047" s="161">
        <v>8862.49</v>
      </c>
      <c r="I1047" s="161">
        <v>-6.4</v>
      </c>
      <c r="J1047" s="161">
        <v>0</v>
      </c>
      <c r="K1047" s="161">
        <v>0</v>
      </c>
      <c r="L1047" s="161">
        <v>-3484.01</v>
      </c>
      <c r="M1047" s="161">
        <v>-80</v>
      </c>
      <c r="N1047" s="161">
        <v>0</v>
      </c>
      <c r="O1047" s="162">
        <f t="shared" si="102"/>
        <v>5292.08</v>
      </c>
      <c r="P1047" s="161">
        <v>-2500</v>
      </c>
      <c r="Q1047" s="161">
        <v>0</v>
      </c>
      <c r="R1047" s="161">
        <v>0</v>
      </c>
      <c r="S1047" s="161">
        <v>0</v>
      </c>
      <c r="T1047" s="161">
        <v>0</v>
      </c>
      <c r="U1047" s="161">
        <v>0</v>
      </c>
      <c r="V1047" s="161">
        <v>0</v>
      </c>
      <c r="W1047" s="161">
        <f t="shared" si="103"/>
        <v>2792.08</v>
      </c>
      <c r="X1047" s="161">
        <f t="shared" si="104"/>
        <v>2792.08</v>
      </c>
      <c r="Y1047" s="161">
        <f t="shared" si="105"/>
        <v>0</v>
      </c>
      <c r="Z1047" s="161">
        <v>0</v>
      </c>
      <c r="AA1047" s="161">
        <f t="shared" si="100"/>
        <v>0</v>
      </c>
      <c r="AB1047" s="161">
        <f t="shared" si="101"/>
        <v>2500</v>
      </c>
      <c r="AC1047" s="158"/>
      <c r="AD1047" s="158"/>
    </row>
    <row r="1048" spans="1:30" ht="12.75" customHeight="1" x14ac:dyDescent="0.3">
      <c r="A1048" s="147">
        <v>46</v>
      </c>
      <c r="B1048" s="158" t="s">
        <v>484</v>
      </c>
      <c r="C1048" s="158" t="s">
        <v>1065</v>
      </c>
      <c r="D1048" s="158" t="s">
        <v>903</v>
      </c>
      <c r="E1048" s="158" t="s">
        <v>25</v>
      </c>
      <c r="F1048" s="158" t="s">
        <v>39</v>
      </c>
      <c r="G1048" s="158" t="s">
        <v>866</v>
      </c>
      <c r="H1048" s="161">
        <v>7633.08</v>
      </c>
      <c r="I1048" s="161">
        <v>-61.6</v>
      </c>
      <c r="J1048" s="161">
        <v>0</v>
      </c>
      <c r="K1048" s="161">
        <v>0</v>
      </c>
      <c r="L1048" s="161">
        <v>-3724.97</v>
      </c>
      <c r="M1048" s="161">
        <v>-100</v>
      </c>
      <c r="N1048" s="161">
        <v>0</v>
      </c>
      <c r="O1048" s="162">
        <f t="shared" si="102"/>
        <v>3746.5099999999998</v>
      </c>
      <c r="P1048" s="161">
        <v>-2500</v>
      </c>
      <c r="Q1048" s="161">
        <v>0</v>
      </c>
      <c r="R1048" s="161">
        <v>0</v>
      </c>
      <c r="S1048" s="161">
        <v>0</v>
      </c>
      <c r="T1048" s="161">
        <v>-500</v>
      </c>
      <c r="U1048" s="161">
        <v>0</v>
      </c>
      <c r="V1048" s="161">
        <v>0</v>
      </c>
      <c r="W1048" s="161">
        <f t="shared" si="103"/>
        <v>746.50999999999976</v>
      </c>
      <c r="X1048" s="161">
        <f t="shared" si="104"/>
        <v>746.50999999999976</v>
      </c>
      <c r="Y1048" s="161">
        <f t="shared" si="105"/>
        <v>0</v>
      </c>
      <c r="Z1048" s="161">
        <v>0</v>
      </c>
      <c r="AA1048" s="161">
        <f t="shared" si="100"/>
        <v>0</v>
      </c>
      <c r="AB1048" s="161">
        <f t="shared" si="101"/>
        <v>3000</v>
      </c>
      <c r="AC1048" s="158"/>
      <c r="AD1048" s="158"/>
    </row>
    <row r="1049" spans="1:30" ht="12.75" customHeight="1" x14ac:dyDescent="0.3">
      <c r="A1049" s="147">
        <v>46</v>
      </c>
      <c r="B1049" s="158" t="s">
        <v>457</v>
      </c>
      <c r="C1049" s="158" t="s">
        <v>573</v>
      </c>
      <c r="D1049" s="158" t="s">
        <v>974</v>
      </c>
      <c r="E1049" s="158" t="s">
        <v>25</v>
      </c>
      <c r="F1049" s="158" t="s">
        <v>39</v>
      </c>
      <c r="G1049" s="158" t="s">
        <v>866</v>
      </c>
      <c r="H1049" s="161">
        <v>3534.48</v>
      </c>
      <c r="I1049" s="161">
        <v>0</v>
      </c>
      <c r="J1049" s="161">
        <v>0</v>
      </c>
      <c r="K1049" s="161">
        <v>0</v>
      </c>
      <c r="L1049" s="161">
        <v>-1415.3</v>
      </c>
      <c r="M1049" s="161">
        <v>-40</v>
      </c>
      <c r="N1049" s="161">
        <f>-182-36</f>
        <v>-218</v>
      </c>
      <c r="O1049" s="162">
        <f t="shared" si="102"/>
        <v>1861.1800000000003</v>
      </c>
      <c r="P1049" s="161">
        <v>-2500</v>
      </c>
      <c r="Q1049" s="161">
        <v>0</v>
      </c>
      <c r="R1049" s="161">
        <v>0</v>
      </c>
      <c r="S1049" s="161">
        <v>0</v>
      </c>
      <c r="T1049" s="161">
        <v>0</v>
      </c>
      <c r="U1049" s="161">
        <v>0</v>
      </c>
      <c r="V1049" s="161">
        <v>0</v>
      </c>
      <c r="W1049" s="161">
        <f t="shared" si="103"/>
        <v>-638.81999999999971</v>
      </c>
      <c r="X1049" s="161">
        <f t="shared" si="104"/>
        <v>0</v>
      </c>
      <c r="Y1049" s="161">
        <f t="shared" si="105"/>
        <v>-638.81999999999971</v>
      </c>
      <c r="Z1049" s="183">
        <v>300</v>
      </c>
      <c r="AA1049" s="161">
        <f t="shared" si="100"/>
        <v>-338.81999999999971</v>
      </c>
      <c r="AB1049" s="161">
        <f t="shared" si="101"/>
        <v>1822.3600000000006</v>
      </c>
      <c r="AC1049" s="158" t="s">
        <v>1043</v>
      </c>
      <c r="AD1049" s="158"/>
    </row>
    <row r="1050" spans="1:30" ht="12.75" customHeight="1" x14ac:dyDescent="0.3">
      <c r="A1050" s="147">
        <v>46</v>
      </c>
      <c r="B1050" s="158" t="s">
        <v>1129</v>
      </c>
      <c r="C1050" s="158" t="s">
        <v>152</v>
      </c>
      <c r="D1050" s="158" t="s">
        <v>1108</v>
      </c>
      <c r="E1050" s="160" t="s">
        <v>25</v>
      </c>
      <c r="F1050" s="158" t="s">
        <v>39</v>
      </c>
      <c r="G1050" s="158" t="s">
        <v>866</v>
      </c>
      <c r="H1050" s="161">
        <v>8279.8799999999992</v>
      </c>
      <c r="I1050" s="161">
        <v>0</v>
      </c>
      <c r="J1050" s="161">
        <v>0</v>
      </c>
      <c r="K1050" s="161">
        <v>0</v>
      </c>
      <c r="L1050" s="161">
        <v>-4778.55</v>
      </c>
      <c r="M1050" s="161">
        <v>-109</v>
      </c>
      <c r="N1050" s="161">
        <v>0</v>
      </c>
      <c r="O1050" s="162">
        <f t="shared" si="102"/>
        <v>3392.329999999999</v>
      </c>
      <c r="P1050" s="161">
        <v>-2500</v>
      </c>
      <c r="Q1050" s="161">
        <v>0</v>
      </c>
      <c r="R1050" s="161">
        <v>250</v>
      </c>
      <c r="S1050" s="161">
        <v>-1000</v>
      </c>
      <c r="T1050" s="161">
        <v>-1500</v>
      </c>
      <c r="U1050" s="161">
        <v>430</v>
      </c>
      <c r="V1050" s="161">
        <v>0</v>
      </c>
      <c r="W1050" s="161">
        <f t="shared" si="103"/>
        <v>-927.67000000000098</v>
      </c>
      <c r="X1050" s="161">
        <f t="shared" si="104"/>
        <v>0</v>
      </c>
      <c r="Y1050" s="161">
        <f t="shared" si="105"/>
        <v>-927.67000000000098</v>
      </c>
      <c r="Z1050" s="161">
        <v>0</v>
      </c>
      <c r="AA1050" s="161">
        <f t="shared" si="100"/>
        <v>-927.67000000000098</v>
      </c>
      <c r="AB1050" s="161">
        <f t="shared" si="101"/>
        <v>2464.659999999998</v>
      </c>
      <c r="AC1050" s="158" t="s">
        <v>937</v>
      </c>
      <c r="AD1050" s="158"/>
    </row>
    <row r="1051" spans="1:30" ht="12.75" customHeight="1" x14ac:dyDescent="0.3">
      <c r="A1051" s="147">
        <v>46</v>
      </c>
      <c r="B1051" s="158" t="s">
        <v>1025</v>
      </c>
      <c r="C1051" s="158" t="s">
        <v>51</v>
      </c>
      <c r="D1051" s="158" t="s">
        <v>1115</v>
      </c>
      <c r="E1051" s="160" t="s">
        <v>25</v>
      </c>
      <c r="F1051" s="158" t="s">
        <v>39</v>
      </c>
      <c r="G1051" s="158" t="s">
        <v>866</v>
      </c>
      <c r="H1051" s="161">
        <v>5171.63</v>
      </c>
      <c r="I1051" s="161">
        <v>0</v>
      </c>
      <c r="J1051" s="161">
        <v>0</v>
      </c>
      <c r="K1051" s="161">
        <v>0</v>
      </c>
      <c r="L1051" s="161">
        <v>-2477.2199999999998</v>
      </c>
      <c r="M1051" s="161">
        <v>-80</v>
      </c>
      <c r="N1051" s="161">
        <v>0</v>
      </c>
      <c r="O1051" s="162">
        <f t="shared" si="102"/>
        <v>2614.4100000000003</v>
      </c>
      <c r="P1051" s="161">
        <v>-2500</v>
      </c>
      <c r="Q1051" s="161">
        <v>0</v>
      </c>
      <c r="R1051" s="161">
        <v>0</v>
      </c>
      <c r="S1051" s="161">
        <v>0</v>
      </c>
      <c r="T1051" s="161">
        <v>0</v>
      </c>
      <c r="U1051" s="161">
        <v>-180</v>
      </c>
      <c r="V1051" s="161">
        <v>0</v>
      </c>
      <c r="W1051" s="161">
        <f t="shared" si="103"/>
        <v>-65.589999999999691</v>
      </c>
      <c r="X1051" s="161">
        <f t="shared" si="104"/>
        <v>0</v>
      </c>
      <c r="Y1051" s="161">
        <f t="shared" si="105"/>
        <v>-65.589999999999691</v>
      </c>
      <c r="Z1051" s="183">
        <v>66</v>
      </c>
      <c r="AA1051" s="161">
        <f t="shared" si="100"/>
        <v>0.41000000000030923</v>
      </c>
      <c r="AB1051" s="161">
        <f t="shared" si="101"/>
        <v>2680.8200000000006</v>
      </c>
      <c r="AC1051" s="158"/>
      <c r="AD1051" s="158"/>
    </row>
    <row r="1052" spans="1:30" ht="12.75" customHeight="1" x14ac:dyDescent="0.3">
      <c r="A1052" s="147">
        <v>46</v>
      </c>
      <c r="B1052" s="158" t="s">
        <v>944</v>
      </c>
      <c r="C1052" s="158" t="s">
        <v>372</v>
      </c>
      <c r="D1052" s="158" t="s">
        <v>1004</v>
      </c>
      <c r="E1052" s="158" t="s">
        <v>39</v>
      </c>
      <c r="F1052" s="158" t="s">
        <v>39</v>
      </c>
      <c r="G1052" s="158" t="s">
        <v>866</v>
      </c>
      <c r="H1052" s="161">
        <v>5310.01</v>
      </c>
      <c r="I1052" s="161">
        <v>0</v>
      </c>
      <c r="J1052" s="161">
        <v>0</v>
      </c>
      <c r="K1052" s="161">
        <v>0</v>
      </c>
      <c r="L1052" s="161">
        <v>-1141.6199999999999</v>
      </c>
      <c r="M1052" s="161">
        <v>-40</v>
      </c>
      <c r="N1052" s="161">
        <v>0</v>
      </c>
      <c r="O1052" s="162">
        <f t="shared" si="102"/>
        <v>4128.3900000000003</v>
      </c>
      <c r="P1052" s="161">
        <v>-2500</v>
      </c>
      <c r="Q1052" s="161">
        <v>0</v>
      </c>
      <c r="R1052" s="161">
        <v>0</v>
      </c>
      <c r="S1052" s="161">
        <v>0</v>
      </c>
      <c r="T1052" s="161">
        <v>0</v>
      </c>
      <c r="U1052" s="161">
        <v>0</v>
      </c>
      <c r="V1052" s="161">
        <v>0</v>
      </c>
      <c r="W1052" s="161">
        <f t="shared" si="103"/>
        <v>1628.3900000000003</v>
      </c>
      <c r="X1052" s="161">
        <f t="shared" si="104"/>
        <v>1628.3900000000003</v>
      </c>
      <c r="Y1052" s="161">
        <f t="shared" si="105"/>
        <v>0</v>
      </c>
      <c r="Z1052" s="161">
        <v>0</v>
      </c>
      <c r="AA1052" s="161">
        <f t="shared" si="100"/>
        <v>0</v>
      </c>
      <c r="AB1052" s="161">
        <f t="shared" si="101"/>
        <v>2500</v>
      </c>
      <c r="AC1052" s="158"/>
      <c r="AD1052" s="158"/>
    </row>
    <row r="1053" spans="1:30" ht="12.75" customHeight="1" x14ac:dyDescent="0.3">
      <c r="A1053" s="147">
        <v>46</v>
      </c>
      <c r="B1053" s="158" t="s">
        <v>1100</v>
      </c>
      <c r="C1053" s="182" t="s">
        <v>213</v>
      </c>
      <c r="D1053" s="158" t="s">
        <v>1116</v>
      </c>
      <c r="E1053" s="158" t="s">
        <v>39</v>
      </c>
      <c r="F1053" s="158" t="s">
        <v>39</v>
      </c>
      <c r="G1053" s="158" t="s">
        <v>866</v>
      </c>
      <c r="H1053" s="161">
        <v>670.83</v>
      </c>
      <c r="I1053" s="161">
        <v>0</v>
      </c>
      <c r="J1053" s="161">
        <v>0</v>
      </c>
      <c r="K1053" s="161">
        <v>-4.6399999999999997</v>
      </c>
      <c r="L1053" s="161">
        <v>0</v>
      </c>
      <c r="M1053" s="161">
        <v>0</v>
      </c>
      <c r="N1053" s="161">
        <v>0</v>
      </c>
      <c r="O1053" s="162">
        <f t="shared" si="102"/>
        <v>666.19</v>
      </c>
      <c r="P1053" s="161">
        <v>-666</v>
      </c>
      <c r="Q1053" s="161">
        <v>0</v>
      </c>
      <c r="R1053" s="161">
        <v>0</v>
      </c>
      <c r="S1053" s="161">
        <v>0</v>
      </c>
      <c r="T1053" s="161">
        <v>0</v>
      </c>
      <c r="U1053" s="161">
        <v>0</v>
      </c>
      <c r="V1053" s="161">
        <v>0</v>
      </c>
      <c r="W1053" s="161">
        <f t="shared" si="103"/>
        <v>0.19000000000005457</v>
      </c>
      <c r="X1053" s="161">
        <f t="shared" si="104"/>
        <v>0.19000000000005457</v>
      </c>
      <c r="Y1053" s="161">
        <f t="shared" si="105"/>
        <v>0</v>
      </c>
      <c r="Z1053" s="161">
        <v>0</v>
      </c>
      <c r="AA1053" s="161">
        <f t="shared" si="100"/>
        <v>0</v>
      </c>
      <c r="AB1053" s="161">
        <f t="shared" si="101"/>
        <v>666</v>
      </c>
      <c r="AC1053" s="158"/>
      <c r="AD1053" s="158"/>
    </row>
    <row r="1054" spans="1:30" ht="12.75" customHeight="1" x14ac:dyDescent="0.3">
      <c r="A1054" s="147">
        <v>46</v>
      </c>
      <c r="B1054" s="158" t="s">
        <v>872</v>
      </c>
      <c r="C1054" s="158" t="s">
        <v>256</v>
      </c>
      <c r="D1054" s="158" t="s">
        <v>997</v>
      </c>
      <c r="E1054" s="160" t="s">
        <v>871</v>
      </c>
      <c r="F1054" s="158" t="s">
        <v>39</v>
      </c>
      <c r="G1054" s="158" t="s">
        <v>866</v>
      </c>
      <c r="H1054" s="161">
        <v>8581.67</v>
      </c>
      <c r="I1054" s="161">
        <v>-46.4</v>
      </c>
      <c r="J1054" s="161">
        <v>0</v>
      </c>
      <c r="K1054" s="161">
        <v>-80.290000000000006</v>
      </c>
      <c r="L1054" s="161">
        <v>-3515.17</v>
      </c>
      <c r="M1054" s="161">
        <f>-100</f>
        <v>-100</v>
      </c>
      <c r="N1054" s="161">
        <f>-589-117</f>
        <v>-706</v>
      </c>
      <c r="O1054" s="162">
        <f t="shared" si="102"/>
        <v>4133.8099999999995</v>
      </c>
      <c r="P1054" s="161">
        <v>-2500</v>
      </c>
      <c r="Q1054" s="161">
        <v>0</v>
      </c>
      <c r="R1054" s="161">
        <v>0</v>
      </c>
      <c r="S1054" s="161">
        <v>0</v>
      </c>
      <c r="T1054" s="161">
        <v>-700</v>
      </c>
      <c r="U1054" s="161">
        <v>0</v>
      </c>
      <c r="V1054" s="161">
        <v>0</v>
      </c>
      <c r="W1054" s="161">
        <f t="shared" si="103"/>
        <v>933.80999999999949</v>
      </c>
      <c r="X1054" s="161">
        <f t="shared" si="104"/>
        <v>933.80999999999949</v>
      </c>
      <c r="Y1054" s="161">
        <f t="shared" si="105"/>
        <v>0</v>
      </c>
      <c r="Z1054" s="161">
        <v>0</v>
      </c>
      <c r="AA1054" s="161">
        <f t="shared" si="100"/>
        <v>0</v>
      </c>
      <c r="AB1054" s="161">
        <f t="shared" si="101"/>
        <v>3200</v>
      </c>
      <c r="AC1054" s="158"/>
      <c r="AD1054" s="158"/>
    </row>
    <row r="1055" spans="1:30" ht="12.75" customHeight="1" x14ac:dyDescent="0.3">
      <c r="A1055" s="147">
        <v>46</v>
      </c>
      <c r="B1055" s="158" t="s">
        <v>604</v>
      </c>
      <c r="C1055" s="158" t="s">
        <v>123</v>
      </c>
      <c r="D1055" s="158" t="s">
        <v>999</v>
      </c>
      <c r="E1055" s="160" t="s">
        <v>871</v>
      </c>
      <c r="F1055" s="158" t="s">
        <v>39</v>
      </c>
      <c r="G1055" s="158" t="s">
        <v>866</v>
      </c>
      <c r="H1055" s="161">
        <v>5632.39</v>
      </c>
      <c r="I1055" s="161">
        <v>0</v>
      </c>
      <c r="J1055" s="161">
        <v>0</v>
      </c>
      <c r="K1055" s="161">
        <v>0</v>
      </c>
      <c r="L1055" s="161">
        <v>-2610.09</v>
      </c>
      <c r="M1055" s="161">
        <v>-80</v>
      </c>
      <c r="N1055" s="161">
        <v>0</v>
      </c>
      <c r="O1055" s="162">
        <f t="shared" si="102"/>
        <v>2942.3</v>
      </c>
      <c r="P1055" s="161">
        <v>-2500</v>
      </c>
      <c r="Q1055" s="161">
        <v>0</v>
      </c>
      <c r="R1055" s="161">
        <v>0</v>
      </c>
      <c r="S1055" s="161">
        <v>0</v>
      </c>
      <c r="T1055" s="161">
        <v>0</v>
      </c>
      <c r="U1055" s="161">
        <v>0</v>
      </c>
      <c r="V1055" s="161">
        <v>0</v>
      </c>
      <c r="W1055" s="161">
        <f t="shared" si="103"/>
        <v>442.30000000000018</v>
      </c>
      <c r="X1055" s="161">
        <f t="shared" si="104"/>
        <v>442.30000000000018</v>
      </c>
      <c r="Y1055" s="161">
        <f t="shared" si="105"/>
        <v>0</v>
      </c>
      <c r="Z1055" s="161">
        <v>0</v>
      </c>
      <c r="AA1055" s="161">
        <f t="shared" si="100"/>
        <v>0</v>
      </c>
      <c r="AB1055" s="161">
        <f t="shared" si="101"/>
        <v>2500</v>
      </c>
      <c r="AC1055" s="158"/>
      <c r="AD1055" s="158"/>
    </row>
    <row r="1056" spans="1:30" ht="12.75" customHeight="1" x14ac:dyDescent="0.3">
      <c r="A1056" s="147">
        <v>46</v>
      </c>
      <c r="B1056" s="158" t="s">
        <v>1118</v>
      </c>
      <c r="C1056" s="158" t="s">
        <v>169</v>
      </c>
      <c r="D1056" s="158" t="s">
        <v>967</v>
      </c>
      <c r="E1056" s="160" t="s">
        <v>871</v>
      </c>
      <c r="F1056" s="158" t="s">
        <v>39</v>
      </c>
      <c r="G1056" s="158" t="s">
        <v>866</v>
      </c>
      <c r="H1056" s="161">
        <v>0</v>
      </c>
      <c r="I1056" s="161">
        <v>0</v>
      </c>
      <c r="J1056" s="161">
        <v>0</v>
      </c>
      <c r="K1056" s="161">
        <v>0</v>
      </c>
      <c r="L1056" s="161">
        <v>0</v>
      </c>
      <c r="M1056" s="161">
        <v>0</v>
      </c>
      <c r="N1056" s="161">
        <v>0</v>
      </c>
      <c r="O1056" s="162">
        <f t="shared" si="102"/>
        <v>0</v>
      </c>
      <c r="P1056" s="161">
        <v>-2500</v>
      </c>
      <c r="Q1056" s="161">
        <v>0</v>
      </c>
      <c r="R1056" s="161">
        <v>3357</v>
      </c>
      <c r="S1056" s="161">
        <f>-1000</f>
        <v>-1000</v>
      </c>
      <c r="T1056" s="161">
        <v>0</v>
      </c>
      <c r="U1056" s="161">
        <v>-600</v>
      </c>
      <c r="V1056" s="161">
        <v>0</v>
      </c>
      <c r="W1056" s="161">
        <f t="shared" si="103"/>
        <v>-743</v>
      </c>
      <c r="X1056" s="161">
        <f t="shared" si="104"/>
        <v>0</v>
      </c>
      <c r="Y1056" s="161">
        <f t="shared" si="105"/>
        <v>-743</v>
      </c>
      <c r="Z1056" s="161">
        <v>0</v>
      </c>
      <c r="AA1056" s="161">
        <f t="shared" si="100"/>
        <v>-743</v>
      </c>
      <c r="AB1056" s="161">
        <f t="shared" si="101"/>
        <v>-743</v>
      </c>
      <c r="AC1056" s="158" t="s">
        <v>937</v>
      </c>
      <c r="AD1056" s="158"/>
    </row>
    <row r="1057" spans="1:30" ht="12.75" customHeight="1" x14ac:dyDescent="0.3">
      <c r="A1057" s="147">
        <v>46</v>
      </c>
      <c r="B1057" s="158" t="s">
        <v>1030</v>
      </c>
      <c r="C1057" s="158" t="s">
        <v>195</v>
      </c>
      <c r="D1057" s="158" t="s">
        <v>964</v>
      </c>
      <c r="E1057" s="160" t="s">
        <v>871</v>
      </c>
      <c r="F1057" s="158" t="s">
        <v>39</v>
      </c>
      <c r="G1057" s="158" t="s">
        <v>866</v>
      </c>
      <c r="H1057" s="161">
        <v>0</v>
      </c>
      <c r="I1057" s="161">
        <v>0</v>
      </c>
      <c r="J1057" s="161">
        <v>0</v>
      </c>
      <c r="K1057" s="161">
        <v>0</v>
      </c>
      <c r="L1057" s="161">
        <v>0</v>
      </c>
      <c r="M1057" s="161">
        <v>0</v>
      </c>
      <c r="N1057" s="161">
        <v>0</v>
      </c>
      <c r="O1057" s="162">
        <f t="shared" si="102"/>
        <v>0</v>
      </c>
      <c r="P1057" s="161">
        <v>0</v>
      </c>
      <c r="Q1057" s="161">
        <v>0</v>
      </c>
      <c r="R1057" s="161">
        <v>500</v>
      </c>
      <c r="S1057" s="161">
        <v>0</v>
      </c>
      <c r="T1057" s="161">
        <v>0</v>
      </c>
      <c r="U1057" s="161">
        <v>0</v>
      </c>
      <c r="V1057" s="161">
        <v>0</v>
      </c>
      <c r="W1057" s="161">
        <f t="shared" si="103"/>
        <v>500</v>
      </c>
      <c r="X1057" s="161">
        <f t="shared" si="104"/>
        <v>500</v>
      </c>
      <c r="Y1057" s="161">
        <f t="shared" si="105"/>
        <v>0</v>
      </c>
      <c r="Z1057" s="161">
        <v>0</v>
      </c>
      <c r="AA1057" s="161">
        <f t="shared" si="100"/>
        <v>0</v>
      </c>
      <c r="AB1057" s="161">
        <f t="shared" si="101"/>
        <v>-500</v>
      </c>
      <c r="AC1057" s="158"/>
      <c r="AD1057" s="158"/>
    </row>
    <row r="1058" spans="1:30" ht="12.75" customHeight="1" x14ac:dyDescent="0.3">
      <c r="A1058" s="147">
        <v>46</v>
      </c>
      <c r="B1058" s="158" t="s">
        <v>992</v>
      </c>
      <c r="C1058" s="158" t="s">
        <v>169</v>
      </c>
      <c r="D1058" s="158" t="s">
        <v>20</v>
      </c>
      <c r="E1058" s="160" t="s">
        <v>871</v>
      </c>
      <c r="F1058" s="158" t="s">
        <v>39</v>
      </c>
      <c r="G1058" s="158" t="s">
        <v>866</v>
      </c>
      <c r="H1058" s="161">
        <v>0</v>
      </c>
      <c r="I1058" s="161">
        <v>0</v>
      </c>
      <c r="J1058" s="161">
        <v>0</v>
      </c>
      <c r="K1058" s="161">
        <v>0</v>
      </c>
      <c r="L1058" s="161">
        <v>0</v>
      </c>
      <c r="M1058" s="162">
        <v>0</v>
      </c>
      <c r="N1058" s="161">
        <v>0</v>
      </c>
      <c r="O1058" s="162">
        <f t="shared" si="102"/>
        <v>0</v>
      </c>
      <c r="P1058" s="161">
        <v>0</v>
      </c>
      <c r="Q1058" s="161">
        <v>0</v>
      </c>
      <c r="R1058" s="161">
        <v>500</v>
      </c>
      <c r="S1058" s="161">
        <v>0</v>
      </c>
      <c r="T1058" s="161">
        <v>0</v>
      </c>
      <c r="U1058" s="161">
        <v>0</v>
      </c>
      <c r="V1058" s="161">
        <v>0</v>
      </c>
      <c r="W1058" s="161">
        <f t="shared" si="103"/>
        <v>500</v>
      </c>
      <c r="X1058" s="161">
        <f t="shared" si="104"/>
        <v>500</v>
      </c>
      <c r="Y1058" s="161">
        <f t="shared" si="105"/>
        <v>0</v>
      </c>
      <c r="Z1058" s="161">
        <v>0</v>
      </c>
      <c r="AA1058" s="161">
        <f t="shared" si="100"/>
        <v>0</v>
      </c>
      <c r="AB1058" s="161">
        <f t="shared" si="101"/>
        <v>-500</v>
      </c>
      <c r="AC1058" s="158"/>
      <c r="AD1058" s="158"/>
    </row>
    <row r="1059" spans="1:30" ht="12.75" customHeight="1" x14ac:dyDescent="0.3">
      <c r="A1059" s="147">
        <v>46</v>
      </c>
      <c r="B1059" s="158" t="s">
        <v>515</v>
      </c>
      <c r="C1059" s="158" t="s">
        <v>150</v>
      </c>
      <c r="D1059" s="158" t="s">
        <v>1122</v>
      </c>
      <c r="E1059" s="158" t="s">
        <v>25</v>
      </c>
      <c r="F1059" s="158" t="s">
        <v>25</v>
      </c>
      <c r="G1059" s="158" t="s">
        <v>866</v>
      </c>
      <c r="H1059" s="161">
        <v>7464.28</v>
      </c>
      <c r="I1059" s="161">
        <v>-48</v>
      </c>
      <c r="J1059" s="161">
        <v>169.16</v>
      </c>
      <c r="K1059" s="161">
        <v>0</v>
      </c>
      <c r="L1059" s="161">
        <v>0</v>
      </c>
      <c r="M1059" s="161">
        <v>-68</v>
      </c>
      <c r="N1059" s="161">
        <v>0</v>
      </c>
      <c r="O1059" s="162">
        <f t="shared" si="102"/>
        <v>7517.44</v>
      </c>
      <c r="P1059" s="161">
        <v>-2500</v>
      </c>
      <c r="Q1059" s="161">
        <v>0</v>
      </c>
      <c r="R1059" s="161">
        <v>-500</v>
      </c>
      <c r="S1059" s="161">
        <v>0</v>
      </c>
      <c r="T1059" s="161">
        <v>-700</v>
      </c>
      <c r="U1059" s="161">
        <v>0</v>
      </c>
      <c r="V1059" s="161">
        <v>0</v>
      </c>
      <c r="W1059" s="161">
        <f t="shared" si="103"/>
        <v>3817.4399999999996</v>
      </c>
      <c r="X1059" s="161">
        <f t="shared" si="104"/>
        <v>3817.4399999999996</v>
      </c>
      <c r="Y1059" s="161">
        <f t="shared" si="105"/>
        <v>0</v>
      </c>
      <c r="Z1059" s="161">
        <v>0</v>
      </c>
      <c r="AA1059" s="161">
        <f t="shared" si="100"/>
        <v>0</v>
      </c>
      <c r="AB1059" s="161">
        <f t="shared" si="101"/>
        <v>3700</v>
      </c>
      <c r="AC1059" s="158"/>
      <c r="AD1059" s="158"/>
    </row>
    <row r="1060" spans="1:30" ht="12.75" customHeight="1" x14ac:dyDescent="0.3">
      <c r="A1060" s="147">
        <v>46</v>
      </c>
      <c r="B1060" s="158" t="s">
        <v>1120</v>
      </c>
      <c r="C1060" s="158" t="s">
        <v>100</v>
      </c>
      <c r="D1060" s="158" t="s">
        <v>953</v>
      </c>
      <c r="E1060" s="158" t="s">
        <v>25</v>
      </c>
      <c r="F1060" s="158" t="s">
        <v>25</v>
      </c>
      <c r="G1060" s="158" t="s">
        <v>866</v>
      </c>
      <c r="H1060" s="161">
        <v>7829.47</v>
      </c>
      <c r="I1060" s="161">
        <v>-291.2</v>
      </c>
      <c r="J1060" s="161">
        <v>84.13</v>
      </c>
      <c r="K1060" s="161">
        <v>-63.51</v>
      </c>
      <c r="L1060" s="161">
        <v>-2261.2199999999998</v>
      </c>
      <c r="M1060" s="161">
        <v>-80</v>
      </c>
      <c r="N1060" s="161">
        <v>0</v>
      </c>
      <c r="O1060" s="162">
        <f t="shared" si="102"/>
        <v>5217.67</v>
      </c>
      <c r="P1060" s="161">
        <v>-2500</v>
      </c>
      <c r="Q1060" s="161">
        <v>0</v>
      </c>
      <c r="R1060" s="161">
        <v>-500</v>
      </c>
      <c r="S1060" s="161">
        <v>0</v>
      </c>
      <c r="T1060" s="161">
        <v>0</v>
      </c>
      <c r="U1060" s="161">
        <v>0</v>
      </c>
      <c r="V1060" s="161">
        <v>0</v>
      </c>
      <c r="W1060" s="161">
        <f t="shared" si="103"/>
        <v>2217.67</v>
      </c>
      <c r="X1060" s="161">
        <f t="shared" si="104"/>
        <v>2217.67</v>
      </c>
      <c r="Y1060" s="161">
        <f t="shared" si="105"/>
        <v>0</v>
      </c>
      <c r="Z1060" s="161">
        <v>0</v>
      </c>
      <c r="AA1060" s="161">
        <f t="shared" si="100"/>
        <v>0</v>
      </c>
      <c r="AB1060" s="161">
        <f t="shared" si="101"/>
        <v>3000</v>
      </c>
      <c r="AC1060" s="158"/>
      <c r="AD1060" s="158"/>
    </row>
    <row r="1061" spans="1:30" ht="12.75" customHeight="1" x14ac:dyDescent="0.3">
      <c r="A1061" s="147">
        <v>46</v>
      </c>
      <c r="B1061" s="158" t="s">
        <v>1106</v>
      </c>
      <c r="C1061" s="179" t="s">
        <v>104</v>
      </c>
      <c r="D1061" s="158" t="s">
        <v>1132</v>
      </c>
      <c r="E1061" s="158" t="s">
        <v>25</v>
      </c>
      <c r="F1061" s="158" t="s">
        <v>25</v>
      </c>
      <c r="G1061" s="158" t="s">
        <v>866</v>
      </c>
      <c r="H1061" s="161">
        <v>9104.31</v>
      </c>
      <c r="I1061" s="161">
        <v>-259.68</v>
      </c>
      <c r="J1061" s="161">
        <v>0</v>
      </c>
      <c r="K1061" s="161">
        <v>0</v>
      </c>
      <c r="L1061" s="161">
        <v>-3198.12</v>
      </c>
      <c r="M1061" s="161">
        <v>-80</v>
      </c>
      <c r="N1061" s="161">
        <f>-54-10</f>
        <v>-64</v>
      </c>
      <c r="O1061" s="162">
        <f t="shared" si="102"/>
        <v>5502.5099999999993</v>
      </c>
      <c r="P1061" s="161">
        <v>-2500</v>
      </c>
      <c r="Q1061" s="161">
        <v>0</v>
      </c>
      <c r="R1061" s="161">
        <v>-500</v>
      </c>
      <c r="S1061" s="161">
        <v>0</v>
      </c>
      <c r="T1061" s="161">
        <v>0</v>
      </c>
      <c r="U1061" s="161">
        <v>0</v>
      </c>
      <c r="V1061" s="161">
        <v>0</v>
      </c>
      <c r="W1061" s="161">
        <f t="shared" si="103"/>
        <v>2502.5099999999993</v>
      </c>
      <c r="X1061" s="161">
        <f t="shared" si="104"/>
        <v>2502.5099999999993</v>
      </c>
      <c r="Y1061" s="161">
        <f t="shared" si="105"/>
        <v>0</v>
      </c>
      <c r="Z1061" s="161">
        <v>0</v>
      </c>
      <c r="AA1061" s="161">
        <f t="shared" si="100"/>
        <v>0</v>
      </c>
      <c r="AB1061" s="161">
        <f t="shared" si="101"/>
        <v>3000</v>
      </c>
      <c r="AC1061" s="158"/>
      <c r="AD1061" s="158"/>
    </row>
    <row r="1062" spans="1:30" ht="12.75" customHeight="1" x14ac:dyDescent="0.3">
      <c r="A1062" s="147">
        <v>46</v>
      </c>
      <c r="B1062" s="158" t="s">
        <v>1029</v>
      </c>
      <c r="C1062" s="158" t="s">
        <v>68</v>
      </c>
      <c r="D1062" s="158" t="s">
        <v>869</v>
      </c>
      <c r="E1062" s="158" t="s">
        <v>25</v>
      </c>
      <c r="F1062" s="158" t="s">
        <v>25</v>
      </c>
      <c r="G1062" s="158" t="s">
        <v>866</v>
      </c>
      <c r="H1062" s="161">
        <v>6848.96</v>
      </c>
      <c r="I1062" s="161">
        <v>-60.81</v>
      </c>
      <c r="J1062" s="161">
        <v>0</v>
      </c>
      <c r="K1062" s="161">
        <v>-47.67</v>
      </c>
      <c r="L1062" s="161">
        <v>0</v>
      </c>
      <c r="M1062" s="161">
        <v>-40</v>
      </c>
      <c r="N1062" s="161">
        <v>0</v>
      </c>
      <c r="O1062" s="162">
        <f t="shared" si="102"/>
        <v>6700.48</v>
      </c>
      <c r="P1062" s="161">
        <v>-2500</v>
      </c>
      <c r="Q1062" s="161">
        <v>0</v>
      </c>
      <c r="R1062" s="161">
        <v>0</v>
      </c>
      <c r="S1062" s="161">
        <v>0</v>
      </c>
      <c r="T1062" s="161">
        <v>0</v>
      </c>
      <c r="U1062" s="161">
        <v>-1000</v>
      </c>
      <c r="V1062" s="161">
        <v>0</v>
      </c>
      <c r="W1062" s="161">
        <f t="shared" si="103"/>
        <v>3200.4799999999996</v>
      </c>
      <c r="X1062" s="161">
        <f t="shared" si="104"/>
        <v>3200.4799999999996</v>
      </c>
      <c r="Y1062" s="161">
        <f t="shared" si="105"/>
        <v>0</v>
      </c>
      <c r="Z1062" s="161">
        <v>0</v>
      </c>
      <c r="AA1062" s="161">
        <f t="shared" si="100"/>
        <v>0</v>
      </c>
      <c r="AB1062" s="161">
        <f t="shared" si="101"/>
        <v>3500</v>
      </c>
      <c r="AC1062" s="158"/>
      <c r="AD1062" s="158"/>
    </row>
    <row r="1063" spans="1:30" ht="12.75" customHeight="1" x14ac:dyDescent="0.3">
      <c r="A1063" s="147">
        <v>46</v>
      </c>
      <c r="B1063" s="158" t="s">
        <v>1088</v>
      </c>
      <c r="C1063" s="158" t="s">
        <v>100</v>
      </c>
      <c r="D1063" s="158" t="s">
        <v>953</v>
      </c>
      <c r="E1063" s="158" t="s">
        <v>25</v>
      </c>
      <c r="F1063" s="158" t="s">
        <v>25</v>
      </c>
      <c r="G1063" s="158" t="s">
        <v>866</v>
      </c>
      <c r="H1063" s="161">
        <v>3346.46</v>
      </c>
      <c r="I1063" s="161">
        <v>-15.31</v>
      </c>
      <c r="J1063" s="161">
        <v>7.17</v>
      </c>
      <c r="K1063" s="161">
        <v>-23.67</v>
      </c>
      <c r="L1063" s="161">
        <v>-609.96</v>
      </c>
      <c r="M1063" s="161">
        <v>-40</v>
      </c>
      <c r="N1063" s="161">
        <v>0</v>
      </c>
      <c r="O1063" s="162">
        <f t="shared" si="102"/>
        <v>2664.69</v>
      </c>
      <c r="P1063" s="161">
        <v>-2500</v>
      </c>
      <c r="Q1063" s="161">
        <v>0</v>
      </c>
      <c r="R1063" s="161">
        <v>0</v>
      </c>
      <c r="S1063" s="161">
        <v>0</v>
      </c>
      <c r="T1063" s="161">
        <v>0</v>
      </c>
      <c r="U1063" s="161">
        <v>0</v>
      </c>
      <c r="V1063" s="161">
        <v>0</v>
      </c>
      <c r="W1063" s="161">
        <f t="shared" si="103"/>
        <v>164.69000000000005</v>
      </c>
      <c r="X1063" s="161">
        <f t="shared" si="104"/>
        <v>164.69000000000005</v>
      </c>
      <c r="Y1063" s="161">
        <f t="shared" si="105"/>
        <v>0</v>
      </c>
      <c r="Z1063" s="161">
        <v>0</v>
      </c>
      <c r="AA1063" s="161">
        <f t="shared" si="100"/>
        <v>0</v>
      </c>
      <c r="AB1063" s="161">
        <f t="shared" si="101"/>
        <v>2500</v>
      </c>
      <c r="AC1063" s="158"/>
      <c r="AD1063" s="158"/>
    </row>
    <row r="1064" spans="1:30" ht="12.75" customHeight="1" x14ac:dyDescent="0.3">
      <c r="A1064" s="147">
        <v>46</v>
      </c>
      <c r="B1064" s="158" t="s">
        <v>880</v>
      </c>
      <c r="C1064" s="158" t="s">
        <v>183</v>
      </c>
      <c r="D1064" s="158" t="s">
        <v>887</v>
      </c>
      <c r="E1064" s="158" t="s">
        <v>25</v>
      </c>
      <c r="F1064" s="158" t="s">
        <v>25</v>
      </c>
      <c r="G1064" s="158" t="s">
        <v>866</v>
      </c>
      <c r="H1064" s="161">
        <v>3773.32</v>
      </c>
      <c r="I1064" s="161">
        <v>0</v>
      </c>
      <c r="J1064" s="161">
        <v>-8.4700000000000006</v>
      </c>
      <c r="K1064" s="161">
        <v>0</v>
      </c>
      <c r="L1064" s="161">
        <v>-1238.6099999999999</v>
      </c>
      <c r="M1064" s="161">
        <v>-40</v>
      </c>
      <c r="N1064" s="161">
        <v>0</v>
      </c>
      <c r="O1064" s="162">
        <f t="shared" si="102"/>
        <v>2486.2400000000007</v>
      </c>
      <c r="P1064" s="161">
        <v>-2500</v>
      </c>
      <c r="Q1064" s="161">
        <v>0</v>
      </c>
      <c r="R1064" s="161">
        <v>0</v>
      </c>
      <c r="S1064" s="161">
        <v>0</v>
      </c>
      <c r="T1064" s="161">
        <v>0</v>
      </c>
      <c r="U1064" s="161">
        <v>0</v>
      </c>
      <c r="V1064" s="161">
        <v>0</v>
      </c>
      <c r="W1064" s="161">
        <f t="shared" si="103"/>
        <v>-13.759999999999309</v>
      </c>
      <c r="X1064" s="161">
        <f t="shared" si="104"/>
        <v>0</v>
      </c>
      <c r="Y1064" s="161">
        <f t="shared" si="105"/>
        <v>-13.759999999999309</v>
      </c>
      <c r="Z1064" s="183">
        <v>14</v>
      </c>
      <c r="AA1064" s="161">
        <f t="shared" si="100"/>
        <v>0.24000000000069122</v>
      </c>
      <c r="AB1064" s="161">
        <f t="shared" si="101"/>
        <v>2500.4800000000014</v>
      </c>
      <c r="AC1064" s="158" t="s">
        <v>1043</v>
      </c>
      <c r="AD1064" s="158"/>
    </row>
    <row r="1065" spans="1:30" ht="12.75" customHeight="1" x14ac:dyDescent="0.3">
      <c r="A1065" s="147">
        <v>46</v>
      </c>
      <c r="B1065" s="158" t="s">
        <v>408</v>
      </c>
      <c r="C1065" s="158" t="s">
        <v>409</v>
      </c>
      <c r="D1065" s="158" t="s">
        <v>946</v>
      </c>
      <c r="E1065" s="158" t="s">
        <v>25</v>
      </c>
      <c r="F1065" s="158" t="s">
        <v>25</v>
      </c>
      <c r="G1065" s="158" t="s">
        <v>866</v>
      </c>
      <c r="H1065" s="161">
        <v>4009.61</v>
      </c>
      <c r="I1065" s="161">
        <v>-16</v>
      </c>
      <c r="J1065" s="161">
        <v>0</v>
      </c>
      <c r="K1065" s="161">
        <v>0</v>
      </c>
      <c r="L1065" s="161">
        <v>-1431.47</v>
      </c>
      <c r="M1065" s="161">
        <v>-40</v>
      </c>
      <c r="N1065" s="161">
        <v>0</v>
      </c>
      <c r="O1065" s="162">
        <f t="shared" si="102"/>
        <v>2522.1400000000003</v>
      </c>
      <c r="P1065" s="161">
        <v>-2500</v>
      </c>
      <c r="Q1065" s="161">
        <v>0</v>
      </c>
      <c r="R1065" s="161">
        <v>0</v>
      </c>
      <c r="S1065" s="161">
        <v>0</v>
      </c>
      <c r="T1065" s="161">
        <v>0</v>
      </c>
      <c r="U1065" s="161">
        <v>0</v>
      </c>
      <c r="V1065" s="161">
        <v>0</v>
      </c>
      <c r="W1065" s="161">
        <f t="shared" si="103"/>
        <v>22.140000000000327</v>
      </c>
      <c r="X1065" s="161">
        <f t="shared" si="104"/>
        <v>22.140000000000327</v>
      </c>
      <c r="Y1065" s="161">
        <f t="shared" si="105"/>
        <v>0</v>
      </c>
      <c r="Z1065" s="161">
        <v>0</v>
      </c>
      <c r="AA1065" s="161">
        <f t="shared" si="100"/>
        <v>0</v>
      </c>
      <c r="AB1065" s="161">
        <f t="shared" si="101"/>
        <v>2500</v>
      </c>
      <c r="AC1065" s="158"/>
      <c r="AD1065" s="158"/>
    </row>
    <row r="1066" spans="1:30" ht="12.75" customHeight="1" x14ac:dyDescent="0.3">
      <c r="A1066" s="147">
        <v>46</v>
      </c>
      <c r="B1066" s="158" t="s">
        <v>1067</v>
      </c>
      <c r="C1066" s="158" t="s">
        <v>46</v>
      </c>
      <c r="D1066" s="158" t="s">
        <v>915</v>
      </c>
      <c r="E1066" s="158" t="s">
        <v>25</v>
      </c>
      <c r="F1066" s="158" t="s">
        <v>25</v>
      </c>
      <c r="G1066" s="158" t="s">
        <v>866</v>
      </c>
      <c r="H1066" s="161">
        <v>4182.49</v>
      </c>
      <c r="I1066" s="161">
        <v>-52.47</v>
      </c>
      <c r="J1066" s="161">
        <v>0</v>
      </c>
      <c r="K1066" s="161">
        <v>0</v>
      </c>
      <c r="L1066" s="161">
        <v>-618.86</v>
      </c>
      <c r="M1066" s="161">
        <v>-40</v>
      </c>
      <c r="N1066" s="161">
        <v>-24</v>
      </c>
      <c r="O1066" s="162">
        <f t="shared" si="102"/>
        <v>3447.1599999999994</v>
      </c>
      <c r="P1066" s="161">
        <v>-2500</v>
      </c>
      <c r="Q1066" s="161">
        <v>0</v>
      </c>
      <c r="R1066" s="161">
        <v>0</v>
      </c>
      <c r="S1066" s="161">
        <v>0</v>
      </c>
      <c r="T1066" s="161">
        <v>-700</v>
      </c>
      <c r="U1066" s="161">
        <v>0</v>
      </c>
      <c r="V1066" s="161">
        <v>0</v>
      </c>
      <c r="W1066" s="161">
        <f t="shared" si="103"/>
        <v>247.1599999999994</v>
      </c>
      <c r="X1066" s="161">
        <f t="shared" si="104"/>
        <v>247.1599999999994</v>
      </c>
      <c r="Y1066" s="161">
        <f t="shared" si="105"/>
        <v>0</v>
      </c>
      <c r="Z1066" s="161">
        <v>0</v>
      </c>
      <c r="AA1066" s="161">
        <f t="shared" si="100"/>
        <v>0</v>
      </c>
      <c r="AB1066" s="161">
        <f t="shared" si="101"/>
        <v>3200</v>
      </c>
      <c r="AC1066" s="158"/>
      <c r="AD1066" s="158"/>
    </row>
    <row r="1067" spans="1:30" ht="12.75" customHeight="1" x14ac:dyDescent="0.3">
      <c r="A1067" s="147">
        <v>46</v>
      </c>
      <c r="B1067" s="158" t="s">
        <v>620</v>
      </c>
      <c r="C1067" s="158" t="s">
        <v>571</v>
      </c>
      <c r="D1067" s="158" t="s">
        <v>974</v>
      </c>
      <c r="E1067" s="158" t="s">
        <v>25</v>
      </c>
      <c r="F1067" s="158" t="s">
        <v>25</v>
      </c>
      <c r="G1067" s="158" t="s">
        <v>737</v>
      </c>
      <c r="H1067" s="161">
        <v>2273.42</v>
      </c>
      <c r="I1067" s="161">
        <v>0</v>
      </c>
      <c r="J1067" s="161">
        <v>0</v>
      </c>
      <c r="K1067" s="161">
        <v>0</v>
      </c>
      <c r="L1067" s="161">
        <v>-2088</v>
      </c>
      <c r="M1067" s="161">
        <v>-80</v>
      </c>
      <c r="N1067" s="161">
        <v>0</v>
      </c>
      <c r="O1067" s="162">
        <f t="shared" si="102"/>
        <v>105.42000000000007</v>
      </c>
      <c r="P1067" s="161">
        <v>-105</v>
      </c>
      <c r="Q1067" s="161">
        <v>0</v>
      </c>
      <c r="R1067" s="161">
        <v>0</v>
      </c>
      <c r="S1067" s="161">
        <v>0</v>
      </c>
      <c r="T1067" s="161">
        <v>0</v>
      </c>
      <c r="U1067" s="161">
        <v>0</v>
      </c>
      <c r="V1067" s="161">
        <v>0</v>
      </c>
      <c r="W1067" s="161">
        <f t="shared" si="103"/>
        <v>0.42000000000007276</v>
      </c>
      <c r="X1067" s="161">
        <f t="shared" si="104"/>
        <v>0.42000000000007276</v>
      </c>
      <c r="Y1067" s="161">
        <f t="shared" si="105"/>
        <v>0</v>
      </c>
      <c r="Z1067" s="161">
        <v>0</v>
      </c>
      <c r="AA1067" s="161">
        <f t="shared" si="100"/>
        <v>0</v>
      </c>
      <c r="AB1067" s="161">
        <f t="shared" si="101"/>
        <v>105</v>
      </c>
      <c r="AC1067" s="158"/>
      <c r="AD1067" s="158"/>
    </row>
    <row r="1068" spans="1:30" ht="12.75" customHeight="1" x14ac:dyDescent="0.3">
      <c r="A1068" s="147">
        <v>46</v>
      </c>
      <c r="B1068" s="158" t="s">
        <v>620</v>
      </c>
      <c r="C1068" s="158" t="s">
        <v>571</v>
      </c>
      <c r="D1068" s="158" t="s">
        <v>974</v>
      </c>
      <c r="E1068" s="158" t="s">
        <v>25</v>
      </c>
      <c r="F1068" s="158" t="s">
        <v>25</v>
      </c>
      <c r="G1068" s="158" t="s">
        <v>866</v>
      </c>
      <c r="H1068" s="161">
        <v>3325.66</v>
      </c>
      <c r="I1068" s="161">
        <v>0</v>
      </c>
      <c r="J1068" s="161">
        <v>0</v>
      </c>
      <c r="K1068" s="161">
        <v>0</v>
      </c>
      <c r="L1068" s="161">
        <v>-1639.02</v>
      </c>
      <c r="M1068" s="161">
        <v>-45</v>
      </c>
      <c r="N1068" s="161">
        <v>0</v>
      </c>
      <c r="O1068" s="162">
        <f t="shared" si="102"/>
        <v>1641.6399999999999</v>
      </c>
      <c r="P1068" s="161">
        <f>-2500+105</f>
        <v>-2395</v>
      </c>
      <c r="Q1068" s="161">
        <v>0</v>
      </c>
      <c r="R1068" s="161">
        <v>-143</v>
      </c>
      <c r="S1068" s="161">
        <v>0</v>
      </c>
      <c r="T1068" s="161">
        <v>0</v>
      </c>
      <c r="U1068" s="161">
        <v>0</v>
      </c>
      <c r="V1068" s="161">
        <v>0</v>
      </c>
      <c r="W1068" s="161">
        <f t="shared" si="103"/>
        <v>-896.36000000000013</v>
      </c>
      <c r="X1068" s="161">
        <f t="shared" si="104"/>
        <v>0</v>
      </c>
      <c r="Y1068" s="161">
        <f t="shared" si="105"/>
        <v>-896.36000000000013</v>
      </c>
      <c r="Z1068" s="183">
        <v>896</v>
      </c>
      <c r="AA1068" s="161">
        <f t="shared" si="100"/>
        <v>-0.36000000000012733</v>
      </c>
      <c r="AB1068" s="161">
        <f t="shared" si="101"/>
        <v>2537.2799999999997</v>
      </c>
      <c r="AC1068" s="158" t="s">
        <v>1043</v>
      </c>
      <c r="AD1068" s="158"/>
    </row>
    <row r="1069" spans="1:30" ht="12.75" customHeight="1" x14ac:dyDescent="0.3">
      <c r="A1069" s="147">
        <v>46</v>
      </c>
      <c r="B1069" s="158" t="s">
        <v>1013</v>
      </c>
      <c r="C1069" s="158" t="s">
        <v>101</v>
      </c>
      <c r="D1069" s="158" t="s">
        <v>945</v>
      </c>
      <c r="E1069" s="158" t="s">
        <v>25</v>
      </c>
      <c r="F1069" s="158" t="s">
        <v>25</v>
      </c>
      <c r="G1069" s="158" t="s">
        <v>866</v>
      </c>
      <c r="H1069" s="161">
        <v>0</v>
      </c>
      <c r="I1069" s="161">
        <v>0</v>
      </c>
      <c r="J1069" s="161">
        <v>-9.24</v>
      </c>
      <c r="K1069" s="161">
        <v>0</v>
      </c>
      <c r="L1069" s="161">
        <v>0</v>
      </c>
      <c r="M1069" s="161">
        <v>0</v>
      </c>
      <c r="N1069" s="161">
        <f>-48-10-3</f>
        <v>-61</v>
      </c>
      <c r="O1069" s="162">
        <f t="shared" si="102"/>
        <v>-70.239999999999995</v>
      </c>
      <c r="P1069" s="161">
        <v>0</v>
      </c>
      <c r="Q1069" s="161">
        <v>-30</v>
      </c>
      <c r="R1069" s="161">
        <v>100</v>
      </c>
      <c r="S1069" s="161">
        <v>0</v>
      </c>
      <c r="T1069" s="161">
        <v>0</v>
      </c>
      <c r="U1069" s="161">
        <v>0</v>
      </c>
      <c r="V1069" s="161">
        <v>0</v>
      </c>
      <c r="W1069" s="161">
        <f t="shared" si="103"/>
        <v>-0.23999999999999488</v>
      </c>
      <c r="X1069" s="161">
        <f t="shared" si="104"/>
        <v>0</v>
      </c>
      <c r="Y1069" s="161">
        <f t="shared" si="105"/>
        <v>-0.23999999999999488</v>
      </c>
      <c r="Z1069" s="161">
        <v>0</v>
      </c>
      <c r="AA1069" s="161">
        <f t="shared" si="100"/>
        <v>-0.23999999999999488</v>
      </c>
      <c r="AB1069" s="161">
        <f t="shared" si="101"/>
        <v>-70.47999999999999</v>
      </c>
      <c r="AC1069" s="158"/>
      <c r="AD1069" s="158"/>
    </row>
    <row r="1070" spans="1:30" ht="12.75" customHeight="1" x14ac:dyDescent="0.3">
      <c r="A1070" s="147">
        <v>46</v>
      </c>
      <c r="B1070" s="158" t="s">
        <v>1121</v>
      </c>
      <c r="C1070" s="158" t="s">
        <v>150</v>
      </c>
      <c r="D1070" s="158" t="s">
        <v>1122</v>
      </c>
      <c r="E1070" s="158" t="s">
        <v>25</v>
      </c>
      <c r="F1070" s="158" t="s">
        <v>25</v>
      </c>
      <c r="G1070" s="158" t="s">
        <v>737</v>
      </c>
      <c r="H1070" s="161">
        <v>6660.96</v>
      </c>
      <c r="I1070" s="161">
        <v>0</v>
      </c>
      <c r="J1070" s="161">
        <v>0</v>
      </c>
      <c r="K1070" s="161">
        <v>0</v>
      </c>
      <c r="L1070" s="161">
        <v>-5988.08</v>
      </c>
      <c r="M1070" s="161">
        <v>-120</v>
      </c>
      <c r="N1070" s="161">
        <v>0</v>
      </c>
      <c r="O1070" s="162">
        <f t="shared" si="102"/>
        <v>552.88000000000011</v>
      </c>
      <c r="P1070" s="161">
        <v>-2600</v>
      </c>
      <c r="Q1070" s="161">
        <v>2605</v>
      </c>
      <c r="R1070" s="161">
        <v>-500</v>
      </c>
      <c r="S1070" s="161">
        <v>0</v>
      </c>
      <c r="T1070" s="161">
        <v>0</v>
      </c>
      <c r="U1070" s="161">
        <v>0</v>
      </c>
      <c r="V1070" s="161">
        <v>0</v>
      </c>
      <c r="W1070" s="161">
        <f t="shared" si="103"/>
        <v>57.880000000000109</v>
      </c>
      <c r="X1070" s="161">
        <f t="shared" si="104"/>
        <v>57.880000000000109</v>
      </c>
      <c r="Y1070" s="161">
        <f t="shared" si="105"/>
        <v>0</v>
      </c>
      <c r="Z1070" s="183">
        <f>650+700+600</f>
        <v>1950</v>
      </c>
      <c r="AA1070" s="161">
        <f t="shared" si="100"/>
        <v>1950</v>
      </c>
      <c r="AB1070" s="161">
        <f t="shared" si="101"/>
        <v>4395</v>
      </c>
      <c r="AC1070" s="158" t="s">
        <v>1043</v>
      </c>
      <c r="AD1070" s="158"/>
    </row>
    <row r="1071" spans="1:30" ht="12.75" customHeight="1" x14ac:dyDescent="0.3">
      <c r="A1071" s="147">
        <v>46</v>
      </c>
      <c r="B1071" s="158" t="s">
        <v>922</v>
      </c>
      <c r="C1071" s="179" t="s">
        <v>104</v>
      </c>
      <c r="D1071" s="158" t="s">
        <v>904</v>
      </c>
      <c r="E1071" s="158" t="s">
        <v>25</v>
      </c>
      <c r="F1071" s="158" t="s">
        <v>25</v>
      </c>
      <c r="G1071" s="158" t="s">
        <v>866</v>
      </c>
      <c r="H1071" s="161">
        <v>390.82</v>
      </c>
      <c r="I1071" s="161">
        <v>-2.61</v>
      </c>
      <c r="J1071" s="161">
        <v>0</v>
      </c>
      <c r="K1071" s="161">
        <v>0</v>
      </c>
      <c r="L1071" s="161">
        <v>-303</v>
      </c>
      <c r="M1071" s="161">
        <v>-60</v>
      </c>
      <c r="N1071" s="161">
        <v>0</v>
      </c>
      <c r="O1071" s="162">
        <f t="shared" si="102"/>
        <v>25.20999999999998</v>
      </c>
      <c r="P1071" s="161">
        <v>-2500</v>
      </c>
      <c r="Q1071" s="161">
        <v>0</v>
      </c>
      <c r="R1071" s="161">
        <v>0</v>
      </c>
      <c r="S1071" s="161">
        <v>0</v>
      </c>
      <c r="T1071" s="161">
        <v>-500</v>
      </c>
      <c r="U1071" s="161">
        <v>0</v>
      </c>
      <c r="V1071" s="161">
        <v>0</v>
      </c>
      <c r="W1071" s="161">
        <f t="shared" si="103"/>
        <v>-2974.79</v>
      </c>
      <c r="X1071" s="161">
        <f t="shared" si="104"/>
        <v>0</v>
      </c>
      <c r="Y1071" s="161">
        <f t="shared" si="105"/>
        <v>-2974.79</v>
      </c>
      <c r="Z1071" s="183">
        <f>2600+400</f>
        <v>3000</v>
      </c>
      <c r="AA1071" s="161">
        <f t="shared" si="100"/>
        <v>25.210000000000036</v>
      </c>
      <c r="AB1071" s="161">
        <f t="shared" si="101"/>
        <v>3050.42</v>
      </c>
      <c r="AC1071" s="158" t="s">
        <v>1043</v>
      </c>
      <c r="AD1071" s="158"/>
    </row>
    <row r="1072" spans="1:30" ht="12.75" customHeight="1" x14ac:dyDescent="0.3">
      <c r="A1072" s="147">
        <v>46</v>
      </c>
      <c r="B1072" s="158" t="s">
        <v>1003</v>
      </c>
      <c r="C1072" s="158" t="s">
        <v>59</v>
      </c>
      <c r="D1072" s="158" t="s">
        <v>895</v>
      </c>
      <c r="E1072" s="158" t="s">
        <v>25</v>
      </c>
      <c r="F1072" s="158" t="s">
        <v>25</v>
      </c>
      <c r="G1072" s="158" t="s">
        <v>866</v>
      </c>
      <c r="H1072" s="161">
        <v>0</v>
      </c>
      <c r="I1072" s="161">
        <v>0</v>
      </c>
      <c r="J1072" s="161">
        <v>0</v>
      </c>
      <c r="K1072" s="161">
        <v>0</v>
      </c>
      <c r="L1072" s="161">
        <v>0</v>
      </c>
      <c r="M1072" s="161">
        <v>0</v>
      </c>
      <c r="N1072" s="161">
        <v>-35</v>
      </c>
      <c r="O1072" s="162">
        <f t="shared" si="102"/>
        <v>-35</v>
      </c>
      <c r="P1072" s="161">
        <v>-2500</v>
      </c>
      <c r="Q1072" s="161">
        <f>-1100-132</f>
        <v>-1232</v>
      </c>
      <c r="R1072" s="161">
        <v>0</v>
      </c>
      <c r="S1072" s="161">
        <v>0</v>
      </c>
      <c r="T1072" s="161">
        <v>0</v>
      </c>
      <c r="U1072" s="161">
        <v>0</v>
      </c>
      <c r="V1072" s="161">
        <v>0</v>
      </c>
      <c r="W1072" s="161">
        <f t="shared" si="103"/>
        <v>-3767</v>
      </c>
      <c r="X1072" s="161">
        <f t="shared" si="104"/>
        <v>0</v>
      </c>
      <c r="Y1072" s="161">
        <f t="shared" si="105"/>
        <v>-3767</v>
      </c>
      <c r="Z1072" s="183">
        <f>2500+1000</f>
        <v>3500</v>
      </c>
      <c r="AA1072" s="161">
        <f t="shared" si="100"/>
        <v>-267</v>
      </c>
      <c r="AB1072" s="161">
        <f t="shared" si="101"/>
        <v>3198</v>
      </c>
      <c r="AC1072" s="158" t="s">
        <v>1043</v>
      </c>
      <c r="AD1072" s="158"/>
    </row>
    <row r="1073" spans="1:30" ht="12.75" customHeight="1" x14ac:dyDescent="0.3">
      <c r="A1073" s="147">
        <v>46</v>
      </c>
      <c r="B1073" s="158" t="s">
        <v>585</v>
      </c>
      <c r="C1073" s="158" t="s">
        <v>42</v>
      </c>
      <c r="D1073" s="158" t="s">
        <v>948</v>
      </c>
      <c r="E1073" s="158" t="s">
        <v>25</v>
      </c>
      <c r="F1073" s="158" t="s">
        <v>25</v>
      </c>
      <c r="G1073" s="158" t="s">
        <v>866</v>
      </c>
      <c r="H1073" s="161">
        <v>0</v>
      </c>
      <c r="I1073" s="161">
        <v>0</v>
      </c>
      <c r="J1073" s="161">
        <v>0</v>
      </c>
      <c r="K1073" s="161">
        <v>0</v>
      </c>
      <c r="L1073" s="161">
        <v>0</v>
      </c>
      <c r="M1073" s="161">
        <v>0</v>
      </c>
      <c r="N1073" s="161">
        <v>0</v>
      </c>
      <c r="O1073" s="162">
        <f t="shared" si="102"/>
        <v>0</v>
      </c>
      <c r="P1073" s="161">
        <v>-2500</v>
      </c>
      <c r="Q1073" s="161">
        <v>0</v>
      </c>
      <c r="R1073" s="161">
        <v>0</v>
      </c>
      <c r="S1073" s="161">
        <v>0</v>
      </c>
      <c r="T1073" s="161">
        <v>0</v>
      </c>
      <c r="U1073" s="161">
        <v>0</v>
      </c>
      <c r="V1073" s="161">
        <v>0</v>
      </c>
      <c r="W1073" s="161">
        <f t="shared" si="103"/>
        <v>-2500</v>
      </c>
      <c r="X1073" s="161">
        <f t="shared" si="104"/>
        <v>0</v>
      </c>
      <c r="Y1073" s="161">
        <f t="shared" si="105"/>
        <v>-2500</v>
      </c>
      <c r="Z1073" s="183">
        <v>2500</v>
      </c>
      <c r="AA1073" s="161">
        <f t="shared" si="100"/>
        <v>0</v>
      </c>
      <c r="AB1073" s="161">
        <f t="shared" si="101"/>
        <v>2500</v>
      </c>
      <c r="AC1073" s="158" t="s">
        <v>1043</v>
      </c>
      <c r="AD1073" s="158"/>
    </row>
    <row r="1074" spans="1:30" ht="12.75" customHeight="1" x14ac:dyDescent="0.3">
      <c r="A1074" s="147">
        <v>46</v>
      </c>
      <c r="B1074" s="158" t="s">
        <v>918</v>
      </c>
      <c r="C1074" s="158" t="s">
        <v>120</v>
      </c>
      <c r="D1074" s="158" t="s">
        <v>20</v>
      </c>
      <c r="E1074" s="158" t="s">
        <v>25</v>
      </c>
      <c r="F1074" s="158" t="s">
        <v>25</v>
      </c>
      <c r="G1074" s="158" t="s">
        <v>866</v>
      </c>
      <c r="H1074" s="161">
        <v>0</v>
      </c>
      <c r="I1074" s="161">
        <v>0</v>
      </c>
      <c r="J1074" s="161">
        <v>0</v>
      </c>
      <c r="K1074" s="161">
        <v>0</v>
      </c>
      <c r="L1074" s="161">
        <v>0</v>
      </c>
      <c r="M1074" s="161">
        <v>0</v>
      </c>
      <c r="N1074" s="161">
        <v>0</v>
      </c>
      <c r="O1074" s="162">
        <f t="shared" si="102"/>
        <v>0</v>
      </c>
      <c r="P1074" s="161">
        <v>0</v>
      </c>
      <c r="Q1074" s="161">
        <v>0</v>
      </c>
      <c r="R1074" s="161">
        <v>500</v>
      </c>
      <c r="S1074" s="161">
        <v>0</v>
      </c>
      <c r="T1074" s="161">
        <v>0</v>
      </c>
      <c r="U1074" s="161">
        <v>0</v>
      </c>
      <c r="V1074" s="161">
        <v>0</v>
      </c>
      <c r="W1074" s="161">
        <f t="shared" si="103"/>
        <v>500</v>
      </c>
      <c r="X1074" s="161">
        <f t="shared" si="104"/>
        <v>500</v>
      </c>
      <c r="Y1074" s="161">
        <f t="shared" si="105"/>
        <v>0</v>
      </c>
      <c r="Z1074" s="161">
        <v>0</v>
      </c>
      <c r="AA1074" s="161">
        <f t="shared" si="100"/>
        <v>0</v>
      </c>
      <c r="AB1074" s="161">
        <f t="shared" si="101"/>
        <v>-500</v>
      </c>
      <c r="AC1074" s="158"/>
      <c r="AD1074" s="158"/>
    </row>
    <row r="1075" spans="1:30" ht="12.75" customHeight="1" x14ac:dyDescent="0.3">
      <c r="A1075" s="147">
        <v>46</v>
      </c>
      <c r="B1075" s="158" t="s">
        <v>913</v>
      </c>
      <c r="C1075" s="158" t="s">
        <v>426</v>
      </c>
      <c r="D1075" s="158" t="s">
        <v>903</v>
      </c>
      <c r="E1075" s="158" t="s">
        <v>25</v>
      </c>
      <c r="F1075" s="158" t="s">
        <v>25</v>
      </c>
      <c r="G1075" s="158" t="s">
        <v>866</v>
      </c>
      <c r="H1075" s="161">
        <v>7003.35</v>
      </c>
      <c r="I1075" s="161">
        <v>-24</v>
      </c>
      <c r="J1075" s="161">
        <v>0</v>
      </c>
      <c r="K1075" s="161">
        <v>0</v>
      </c>
      <c r="L1075" s="161">
        <v>-5781.03</v>
      </c>
      <c r="M1075" s="161">
        <v>-102</v>
      </c>
      <c r="N1075" s="161">
        <f>-457-91</f>
        <v>-548</v>
      </c>
      <c r="O1075" s="162">
        <f t="shared" si="102"/>
        <v>548.32000000000062</v>
      </c>
      <c r="P1075" s="161">
        <v>-2500</v>
      </c>
      <c r="Q1075" s="161">
        <v>0</v>
      </c>
      <c r="R1075" s="161">
        <v>0</v>
      </c>
      <c r="S1075" s="161">
        <v>0</v>
      </c>
      <c r="T1075" s="161">
        <v>-700</v>
      </c>
      <c r="U1075" s="161">
        <v>0</v>
      </c>
      <c r="V1075" s="161">
        <v>0</v>
      </c>
      <c r="W1075" s="161">
        <f t="shared" si="103"/>
        <v>-2651.6799999999994</v>
      </c>
      <c r="X1075" s="161">
        <f t="shared" si="104"/>
        <v>0</v>
      </c>
      <c r="Y1075" s="161">
        <f t="shared" si="105"/>
        <v>-2651.6799999999994</v>
      </c>
      <c r="Z1075" s="183">
        <f>2050+600</f>
        <v>2650</v>
      </c>
      <c r="AA1075" s="161">
        <f t="shared" si="100"/>
        <v>-1.6799999999993815</v>
      </c>
      <c r="AB1075" s="161">
        <f t="shared" si="101"/>
        <v>3196.6400000000012</v>
      </c>
      <c r="AC1075" s="158" t="s">
        <v>1043</v>
      </c>
      <c r="AD1075" s="158"/>
    </row>
    <row r="1076" spans="1:30" ht="12" customHeight="1" x14ac:dyDescent="0.3">
      <c r="A1076" s="147">
        <v>46</v>
      </c>
      <c r="B1076" s="158" t="s">
        <v>921</v>
      </c>
      <c r="C1076" s="158" t="s">
        <v>257</v>
      </c>
      <c r="D1076" s="160" t="s">
        <v>943</v>
      </c>
      <c r="E1076" s="158" t="s">
        <v>25</v>
      </c>
      <c r="F1076" s="158" t="s">
        <v>25</v>
      </c>
      <c r="G1076" s="158" t="s">
        <v>866</v>
      </c>
      <c r="H1076" s="161">
        <v>0</v>
      </c>
      <c r="I1076" s="161">
        <v>0</v>
      </c>
      <c r="J1076" s="161">
        <v>0</v>
      </c>
      <c r="K1076" s="161">
        <v>0</v>
      </c>
      <c r="L1076" s="161">
        <v>0</v>
      </c>
      <c r="M1076" s="161">
        <v>0</v>
      </c>
      <c r="N1076" s="161">
        <v>0</v>
      </c>
      <c r="O1076" s="162">
        <f t="shared" si="102"/>
        <v>0</v>
      </c>
      <c r="P1076" s="161">
        <v>0</v>
      </c>
      <c r="Q1076" s="161">
        <v>0</v>
      </c>
      <c r="R1076" s="161">
        <v>500</v>
      </c>
      <c r="S1076" s="161">
        <v>0</v>
      </c>
      <c r="T1076" s="161">
        <v>0</v>
      </c>
      <c r="U1076" s="161">
        <v>0</v>
      </c>
      <c r="V1076" s="161">
        <v>0</v>
      </c>
      <c r="W1076" s="161">
        <f t="shared" si="103"/>
        <v>500</v>
      </c>
      <c r="X1076" s="161">
        <f t="shared" si="104"/>
        <v>500</v>
      </c>
      <c r="Y1076" s="161">
        <f t="shared" si="105"/>
        <v>0</v>
      </c>
      <c r="Z1076" s="161">
        <v>0</v>
      </c>
      <c r="AA1076" s="161">
        <f t="shared" si="100"/>
        <v>0</v>
      </c>
      <c r="AB1076" s="161">
        <f t="shared" si="101"/>
        <v>-500</v>
      </c>
      <c r="AC1076" s="158"/>
      <c r="AD1076" s="158"/>
    </row>
    <row r="1077" spans="1:30" ht="12.75" customHeight="1" x14ac:dyDescent="0.3">
      <c r="A1077" s="147">
        <v>46</v>
      </c>
      <c r="B1077" s="158" t="s">
        <v>1076</v>
      </c>
      <c r="C1077" s="158" t="s">
        <v>80</v>
      </c>
      <c r="D1077" s="158" t="s">
        <v>996</v>
      </c>
      <c r="E1077" s="158" t="s">
        <v>18</v>
      </c>
      <c r="F1077" s="160" t="s">
        <v>18</v>
      </c>
      <c r="G1077" s="158" t="s">
        <v>737</v>
      </c>
      <c r="H1077" s="161">
        <v>6160.58</v>
      </c>
      <c r="I1077" s="161">
        <v>0</v>
      </c>
      <c r="J1077" s="161">
        <v>0</v>
      </c>
      <c r="K1077" s="161">
        <v>0</v>
      </c>
      <c r="L1077" s="161">
        <v>-4349.5</v>
      </c>
      <c r="M1077" s="161">
        <v>-120</v>
      </c>
      <c r="N1077" s="161">
        <v>0</v>
      </c>
      <c r="O1077" s="162">
        <f t="shared" si="102"/>
        <v>1691.08</v>
      </c>
      <c r="P1077" s="161">
        <v>-2600</v>
      </c>
      <c r="Q1077" s="161">
        <v>0</v>
      </c>
      <c r="R1077" s="161">
        <v>-500</v>
      </c>
      <c r="S1077" s="161">
        <v>0</v>
      </c>
      <c r="T1077" s="161">
        <v>0</v>
      </c>
      <c r="U1077" s="161">
        <v>0</v>
      </c>
      <c r="V1077" s="161">
        <v>0</v>
      </c>
      <c r="W1077" s="161">
        <f t="shared" si="103"/>
        <v>-1408.92</v>
      </c>
      <c r="X1077" s="161">
        <f t="shared" si="104"/>
        <v>0</v>
      </c>
      <c r="Y1077" s="161">
        <f t="shared" si="105"/>
        <v>-1408.92</v>
      </c>
      <c r="Z1077" s="183">
        <v>1410</v>
      </c>
      <c r="AA1077" s="161">
        <f t="shared" si="100"/>
        <v>1.0799999999999272</v>
      </c>
      <c r="AB1077" s="161">
        <f t="shared" si="101"/>
        <v>3102.16</v>
      </c>
      <c r="AC1077" s="158" t="s">
        <v>1133</v>
      </c>
      <c r="AD1077" s="158"/>
    </row>
    <row r="1078" spans="1:30" ht="12.75" customHeight="1" x14ac:dyDescent="0.3">
      <c r="A1078" s="147">
        <v>46</v>
      </c>
      <c r="B1078" s="158" t="s">
        <v>874</v>
      </c>
      <c r="C1078" s="158" t="s">
        <v>1071</v>
      </c>
      <c r="D1078" s="158" t="s">
        <v>1111</v>
      </c>
      <c r="E1078" s="158" t="s">
        <v>18</v>
      </c>
      <c r="F1078" s="160" t="s">
        <v>18</v>
      </c>
      <c r="G1078" s="158" t="s">
        <v>737</v>
      </c>
      <c r="H1078" s="161">
        <v>0</v>
      </c>
      <c r="I1078" s="161">
        <v>0</v>
      </c>
      <c r="J1078" s="161">
        <v>0</v>
      </c>
      <c r="K1078" s="161">
        <v>0</v>
      </c>
      <c r="L1078" s="161">
        <v>0</v>
      </c>
      <c r="M1078" s="161">
        <v>0</v>
      </c>
      <c r="N1078" s="161">
        <v>0</v>
      </c>
      <c r="O1078" s="162">
        <f t="shared" si="102"/>
        <v>0</v>
      </c>
      <c r="P1078" s="161">
        <v>-2500</v>
      </c>
      <c r="Q1078" s="161">
        <v>0</v>
      </c>
      <c r="R1078" s="161">
        <v>-500</v>
      </c>
      <c r="S1078" s="161">
        <v>0</v>
      </c>
      <c r="T1078" s="161">
        <v>0</v>
      </c>
      <c r="U1078" s="161">
        <v>0</v>
      </c>
      <c r="V1078" s="161">
        <v>0</v>
      </c>
      <c r="W1078" s="161">
        <f t="shared" si="103"/>
        <v>-3000</v>
      </c>
      <c r="X1078" s="161">
        <f t="shared" si="104"/>
        <v>0</v>
      </c>
      <c r="Y1078" s="161">
        <f t="shared" si="105"/>
        <v>-3000</v>
      </c>
      <c r="Z1078" s="183">
        <v>3000</v>
      </c>
      <c r="AA1078" s="161">
        <f t="shared" si="100"/>
        <v>0</v>
      </c>
      <c r="AB1078" s="161">
        <f t="shared" si="101"/>
        <v>3000</v>
      </c>
      <c r="AC1078" s="158" t="s">
        <v>1134</v>
      </c>
      <c r="AD1078" s="158"/>
    </row>
    <row r="1079" spans="1:30" ht="12.75" customHeight="1" x14ac:dyDescent="0.3">
      <c r="A1079" s="147">
        <v>46</v>
      </c>
      <c r="B1079" s="158" t="s">
        <v>1051</v>
      </c>
      <c r="C1079" s="158" t="s">
        <v>21</v>
      </c>
      <c r="D1079" s="158" t="s">
        <v>20</v>
      </c>
      <c r="E1079" s="158" t="s">
        <v>18</v>
      </c>
      <c r="F1079" s="160" t="s">
        <v>18</v>
      </c>
      <c r="G1079" s="158" t="s">
        <v>866</v>
      </c>
      <c r="H1079" s="161">
        <v>5132.17</v>
      </c>
      <c r="I1079" s="161">
        <v>-24</v>
      </c>
      <c r="J1079" s="161">
        <v>0</v>
      </c>
      <c r="K1079" s="161">
        <v>0</v>
      </c>
      <c r="L1079" s="161">
        <v>-1349.92</v>
      </c>
      <c r="M1079" s="161">
        <v>-40</v>
      </c>
      <c r="N1079" s="161">
        <v>0</v>
      </c>
      <c r="O1079" s="162">
        <f t="shared" si="102"/>
        <v>3718.25</v>
      </c>
      <c r="P1079" s="161">
        <v>-2500</v>
      </c>
      <c r="Q1079" s="161">
        <v>-572</v>
      </c>
      <c r="R1079" s="161">
        <v>0</v>
      </c>
      <c r="S1079" s="161">
        <v>0</v>
      </c>
      <c r="T1079" s="161">
        <v>0</v>
      </c>
      <c r="U1079" s="161">
        <v>0</v>
      </c>
      <c r="V1079" s="161">
        <v>0</v>
      </c>
      <c r="W1079" s="161">
        <f t="shared" si="103"/>
        <v>646.25</v>
      </c>
      <c r="X1079" s="161">
        <f t="shared" si="104"/>
        <v>646.25</v>
      </c>
      <c r="Y1079" s="161">
        <f t="shared" si="105"/>
        <v>0</v>
      </c>
      <c r="Z1079" s="161">
        <v>0</v>
      </c>
      <c r="AA1079" s="161">
        <f t="shared" si="100"/>
        <v>0</v>
      </c>
      <c r="AB1079" s="161">
        <f t="shared" si="101"/>
        <v>3072</v>
      </c>
      <c r="AC1079" s="158"/>
      <c r="AD1079" s="158"/>
    </row>
    <row r="1080" spans="1:30" ht="12.75" customHeight="1" x14ac:dyDescent="0.3">
      <c r="A1080" s="147">
        <v>46</v>
      </c>
      <c r="B1080" s="158" t="s">
        <v>1010</v>
      </c>
      <c r="C1080" s="158" t="s">
        <v>110</v>
      </c>
      <c r="D1080" s="158" t="s">
        <v>20</v>
      </c>
      <c r="E1080" s="158" t="s">
        <v>18</v>
      </c>
      <c r="F1080" s="160" t="s">
        <v>18</v>
      </c>
      <c r="G1080" s="158" t="s">
        <v>866</v>
      </c>
      <c r="H1080" s="161">
        <v>3363.04</v>
      </c>
      <c r="I1080" s="161">
        <v>0</v>
      </c>
      <c r="J1080" s="161">
        <v>0</v>
      </c>
      <c r="K1080" s="161">
        <v>-33.61</v>
      </c>
      <c r="L1080" s="161">
        <v>-1268.1600000000001</v>
      </c>
      <c r="M1080" s="161">
        <v>-40</v>
      </c>
      <c r="N1080" s="161">
        <v>0</v>
      </c>
      <c r="O1080" s="162">
        <f t="shared" si="102"/>
        <v>2021.2699999999995</v>
      </c>
      <c r="P1080" s="161">
        <v>-2143</v>
      </c>
      <c r="Q1080" s="161">
        <v>0</v>
      </c>
      <c r="R1080" s="161">
        <v>0</v>
      </c>
      <c r="S1080" s="161">
        <v>0</v>
      </c>
      <c r="T1080" s="161">
        <v>0</v>
      </c>
      <c r="U1080" s="161">
        <v>-557</v>
      </c>
      <c r="V1080" s="161">
        <v>0</v>
      </c>
      <c r="W1080" s="161">
        <f t="shared" si="103"/>
        <v>-678.73000000000047</v>
      </c>
      <c r="X1080" s="161">
        <f t="shared" si="104"/>
        <v>0</v>
      </c>
      <c r="Y1080" s="161">
        <f t="shared" si="105"/>
        <v>-678.73000000000047</v>
      </c>
      <c r="Z1080" s="183">
        <f>400+279</f>
        <v>679</v>
      </c>
      <c r="AA1080" s="161">
        <f t="shared" si="100"/>
        <v>0.26999999999952706</v>
      </c>
      <c r="AB1080" s="161">
        <f t="shared" si="101"/>
        <v>2700.5399999999991</v>
      </c>
      <c r="AC1080" s="158" t="s">
        <v>1135</v>
      </c>
      <c r="AD1080" s="158"/>
    </row>
    <row r="1081" spans="1:30" ht="12.75" customHeight="1" x14ac:dyDescent="0.3">
      <c r="A1081" s="147">
        <v>46</v>
      </c>
      <c r="B1081" s="158" t="s">
        <v>993</v>
      </c>
      <c r="C1081" s="158" t="s">
        <v>347</v>
      </c>
      <c r="D1081" s="158" t="s">
        <v>20</v>
      </c>
      <c r="E1081" s="158" t="s">
        <v>25</v>
      </c>
      <c r="F1081" s="158" t="s">
        <v>25</v>
      </c>
      <c r="G1081" s="158" t="s">
        <v>866</v>
      </c>
      <c r="H1081" s="161">
        <v>0</v>
      </c>
      <c r="I1081" s="161">
        <v>0</v>
      </c>
      <c r="J1081" s="161">
        <v>0</v>
      </c>
      <c r="K1081" s="161">
        <v>0</v>
      </c>
      <c r="L1081" s="161">
        <v>0</v>
      </c>
      <c r="M1081" s="161">
        <v>0</v>
      </c>
      <c r="N1081" s="161">
        <v>0</v>
      </c>
      <c r="O1081" s="162">
        <f t="shared" si="102"/>
        <v>0</v>
      </c>
      <c r="P1081" s="161">
        <v>0</v>
      </c>
      <c r="Q1081" s="161">
        <v>0</v>
      </c>
      <c r="R1081" s="161">
        <v>0</v>
      </c>
      <c r="S1081" s="161">
        <v>0</v>
      </c>
      <c r="T1081" s="161">
        <v>0</v>
      </c>
      <c r="U1081" s="161">
        <v>0</v>
      </c>
      <c r="V1081" s="161">
        <v>0</v>
      </c>
      <c r="W1081" s="161">
        <f t="shared" si="103"/>
        <v>0</v>
      </c>
      <c r="X1081" s="161">
        <f t="shared" si="104"/>
        <v>0</v>
      </c>
      <c r="Y1081" s="161">
        <f t="shared" si="105"/>
        <v>0</v>
      </c>
      <c r="Z1081" s="161">
        <v>0</v>
      </c>
      <c r="AA1081" s="161">
        <f t="shared" si="100"/>
        <v>0</v>
      </c>
      <c r="AB1081" s="161">
        <f t="shared" si="101"/>
        <v>0</v>
      </c>
      <c r="AC1081" s="158"/>
      <c r="AD1081" s="158"/>
    </row>
    <row r="1082" spans="1:30" ht="12.75" customHeight="1" x14ac:dyDescent="0.3">
      <c r="A1082" s="147">
        <v>47</v>
      </c>
      <c r="B1082" s="158" t="s">
        <v>837</v>
      </c>
      <c r="C1082" s="158" t="s">
        <v>334</v>
      </c>
      <c r="D1082" s="158" t="s">
        <v>20</v>
      </c>
      <c r="E1082" s="158" t="s">
        <v>25</v>
      </c>
      <c r="F1082" s="158" t="s">
        <v>39</v>
      </c>
      <c r="G1082" s="158" t="s">
        <v>866</v>
      </c>
      <c r="H1082" s="161">
        <v>2446.77</v>
      </c>
      <c r="I1082" s="161">
        <v>0</v>
      </c>
      <c r="J1082" s="161">
        <v>0</v>
      </c>
      <c r="K1082" s="161">
        <v>0</v>
      </c>
      <c r="L1082" s="161">
        <v>0</v>
      </c>
      <c r="M1082" s="161">
        <v>-20</v>
      </c>
      <c r="N1082" s="161">
        <v>0</v>
      </c>
      <c r="O1082" s="162">
        <f t="shared" si="102"/>
        <v>2426.77</v>
      </c>
      <c r="P1082" s="161">
        <v>-1428.57</v>
      </c>
      <c r="Q1082" s="161">
        <v>0</v>
      </c>
      <c r="R1082" s="161">
        <v>0</v>
      </c>
      <c r="S1082" s="161">
        <v>0</v>
      </c>
      <c r="T1082" s="161">
        <v>0</v>
      </c>
      <c r="U1082" s="161">
        <v>0</v>
      </c>
      <c r="V1082" s="161">
        <v>0</v>
      </c>
      <c r="W1082" s="161">
        <f t="shared" si="103"/>
        <v>998.2</v>
      </c>
      <c r="X1082" s="161">
        <f t="shared" si="104"/>
        <v>998.2</v>
      </c>
      <c r="Y1082" s="161">
        <f t="shared" si="105"/>
        <v>0</v>
      </c>
      <c r="Z1082" s="161">
        <v>0</v>
      </c>
      <c r="AA1082" s="161">
        <f t="shared" si="100"/>
        <v>0</v>
      </c>
      <c r="AB1082" s="161">
        <f t="shared" si="101"/>
        <v>1428.57</v>
      </c>
      <c r="AC1082" s="158"/>
      <c r="AD1082" s="158"/>
    </row>
    <row r="1083" spans="1:30" ht="12.75" customHeight="1" x14ac:dyDescent="0.3">
      <c r="A1083" s="147">
        <v>47</v>
      </c>
      <c r="B1083" s="158" t="s">
        <v>1062</v>
      </c>
      <c r="C1083" s="158" t="s">
        <v>53</v>
      </c>
      <c r="D1083" s="158" t="s">
        <v>20</v>
      </c>
      <c r="E1083" s="158" t="s">
        <v>25</v>
      </c>
      <c r="F1083" s="158" t="s">
        <v>39</v>
      </c>
      <c r="G1083" s="158" t="s">
        <v>866</v>
      </c>
      <c r="H1083" s="161">
        <v>4386.34</v>
      </c>
      <c r="I1083" s="161">
        <v>0</v>
      </c>
      <c r="J1083" s="161">
        <v>-6.96</v>
      </c>
      <c r="K1083" s="161">
        <v>0</v>
      </c>
      <c r="L1083" s="161">
        <v>-2574.4699999999998</v>
      </c>
      <c r="M1083" s="161">
        <v>-25</v>
      </c>
      <c r="N1083" s="161">
        <v>-149.75</v>
      </c>
      <c r="O1083" s="162">
        <f t="shared" si="102"/>
        <v>1630.1600000000003</v>
      </c>
      <c r="P1083" s="161">
        <v>-1428.57</v>
      </c>
      <c r="Q1083" s="161">
        <v>0</v>
      </c>
      <c r="R1083" s="161">
        <v>0</v>
      </c>
      <c r="S1083" s="161">
        <v>0</v>
      </c>
      <c r="T1083" s="161">
        <v>0</v>
      </c>
      <c r="U1083" s="161">
        <v>0</v>
      </c>
      <c r="V1083" s="161">
        <v>0</v>
      </c>
      <c r="W1083" s="161">
        <f t="shared" si="103"/>
        <v>201.59000000000037</v>
      </c>
      <c r="X1083" s="161">
        <f t="shared" si="104"/>
        <v>201.59000000000037</v>
      </c>
      <c r="Y1083" s="161">
        <f t="shared" si="105"/>
        <v>0</v>
      </c>
      <c r="Z1083" s="161">
        <v>0</v>
      </c>
      <c r="AA1083" s="161">
        <f t="shared" si="100"/>
        <v>0</v>
      </c>
      <c r="AB1083" s="161">
        <f t="shared" si="101"/>
        <v>1428.57</v>
      </c>
      <c r="AC1083" s="158"/>
      <c r="AD1083" s="158"/>
    </row>
    <row r="1084" spans="1:30" ht="12.75" customHeight="1" x14ac:dyDescent="0.3">
      <c r="A1084" s="147">
        <v>47</v>
      </c>
      <c r="B1084" s="158" t="s">
        <v>484</v>
      </c>
      <c r="C1084" s="158" t="s">
        <v>1065</v>
      </c>
      <c r="D1084" s="158" t="s">
        <v>903</v>
      </c>
      <c r="E1084" s="158" t="s">
        <v>25</v>
      </c>
      <c r="F1084" s="158" t="s">
        <v>39</v>
      </c>
      <c r="G1084" s="158" t="s">
        <v>866</v>
      </c>
      <c r="H1084" s="161">
        <v>3872.21</v>
      </c>
      <c r="I1084" s="161">
        <v>0</v>
      </c>
      <c r="J1084" s="161">
        <v>0</v>
      </c>
      <c r="K1084" s="161">
        <v>0</v>
      </c>
      <c r="L1084" s="161">
        <v>-2313.84</v>
      </c>
      <c r="M1084" s="161">
        <v>-45</v>
      </c>
      <c r="N1084" s="161">
        <v>0</v>
      </c>
      <c r="O1084" s="162">
        <f t="shared" si="102"/>
        <v>1513.37</v>
      </c>
      <c r="P1084" s="161">
        <v>-1428.57</v>
      </c>
      <c r="Q1084" s="161">
        <v>0</v>
      </c>
      <c r="R1084" s="161">
        <v>0</v>
      </c>
      <c r="S1084" s="161">
        <v>0</v>
      </c>
      <c r="T1084" s="161">
        <v>-700</v>
      </c>
      <c r="U1084" s="161">
        <v>0</v>
      </c>
      <c r="V1084" s="161">
        <v>0</v>
      </c>
      <c r="W1084" s="161">
        <f t="shared" si="103"/>
        <v>-615.19999999999982</v>
      </c>
      <c r="X1084" s="161">
        <f t="shared" si="104"/>
        <v>0</v>
      </c>
      <c r="Y1084" s="161">
        <f t="shared" si="105"/>
        <v>-615.19999999999982</v>
      </c>
      <c r="Z1084" s="161">
        <v>615</v>
      </c>
      <c r="AA1084" s="161">
        <f t="shared" si="100"/>
        <v>-0.1999999999998181</v>
      </c>
      <c r="AB1084" s="161">
        <f t="shared" si="101"/>
        <v>2128.17</v>
      </c>
      <c r="AC1084" s="158" t="s">
        <v>1136</v>
      </c>
      <c r="AD1084" s="158"/>
    </row>
    <row r="1085" spans="1:30" ht="12.75" customHeight="1" x14ac:dyDescent="0.3">
      <c r="A1085" s="147">
        <v>47</v>
      </c>
      <c r="B1085" s="158" t="s">
        <v>457</v>
      </c>
      <c r="C1085" s="158" t="s">
        <v>573</v>
      </c>
      <c r="D1085" s="158" t="s">
        <v>974</v>
      </c>
      <c r="E1085" s="158" t="s">
        <v>25</v>
      </c>
      <c r="F1085" s="158" t="s">
        <v>39</v>
      </c>
      <c r="G1085" s="158" t="s">
        <v>866</v>
      </c>
      <c r="H1085" s="161">
        <v>194.37</v>
      </c>
      <c r="I1085" s="161">
        <v>0</v>
      </c>
      <c r="J1085" s="161">
        <v>0</v>
      </c>
      <c r="K1085" s="161">
        <v>0</v>
      </c>
      <c r="L1085" s="161">
        <v>0</v>
      </c>
      <c r="M1085" s="161">
        <v>-20</v>
      </c>
      <c r="N1085" s="161">
        <v>-95</v>
      </c>
      <c r="O1085" s="162">
        <f t="shared" si="102"/>
        <v>79.37</v>
      </c>
      <c r="P1085" s="161">
        <v>-1428.57</v>
      </c>
      <c r="Q1085" s="161">
        <v>-380</v>
      </c>
      <c r="R1085" s="161">
        <v>0</v>
      </c>
      <c r="S1085" s="161">
        <v>0</v>
      </c>
      <c r="T1085" s="161">
        <v>0</v>
      </c>
      <c r="U1085" s="161">
        <v>0</v>
      </c>
      <c r="V1085" s="161">
        <v>0</v>
      </c>
      <c r="W1085" s="161">
        <f t="shared" si="103"/>
        <v>-1729.1999999999998</v>
      </c>
      <c r="X1085" s="161">
        <f t="shared" si="104"/>
        <v>0</v>
      </c>
      <c r="Y1085" s="161">
        <f t="shared" si="105"/>
        <v>-1729.1999999999998</v>
      </c>
      <c r="Z1085" s="161">
        <f>714+350</f>
        <v>1064</v>
      </c>
      <c r="AA1085" s="161">
        <f t="shared" si="100"/>
        <v>-665.19999999999982</v>
      </c>
      <c r="AB1085" s="161">
        <f t="shared" si="101"/>
        <v>478.17000000000007</v>
      </c>
      <c r="AC1085" s="158" t="s">
        <v>1137</v>
      </c>
      <c r="AD1085" s="158"/>
    </row>
    <row r="1086" spans="1:30" ht="12.75" customHeight="1" x14ac:dyDescent="0.3">
      <c r="A1086" s="147">
        <v>47</v>
      </c>
      <c r="B1086" s="158" t="s">
        <v>1129</v>
      </c>
      <c r="C1086" s="158" t="s">
        <v>152</v>
      </c>
      <c r="D1086" s="158" t="s">
        <v>1108</v>
      </c>
      <c r="E1086" s="160" t="s">
        <v>25</v>
      </c>
      <c r="F1086" s="158" t="s">
        <v>39</v>
      </c>
      <c r="G1086" s="158" t="s">
        <v>866</v>
      </c>
      <c r="H1086" s="161">
        <v>471.06</v>
      </c>
      <c r="I1086" s="161">
        <v>0</v>
      </c>
      <c r="J1086" s="161">
        <v>0</v>
      </c>
      <c r="K1086" s="161">
        <v>0</v>
      </c>
      <c r="L1086" s="161">
        <v>-200.4</v>
      </c>
      <c r="M1086" s="161">
        <v>0</v>
      </c>
      <c r="N1086" s="161">
        <v>0</v>
      </c>
      <c r="O1086" s="162">
        <f t="shared" si="102"/>
        <v>270.65999999999997</v>
      </c>
      <c r="P1086" s="161">
        <v>0</v>
      </c>
      <c r="Q1086" s="161">
        <v>-928</v>
      </c>
      <c r="R1086" s="161">
        <v>0</v>
      </c>
      <c r="S1086" s="161">
        <v>0</v>
      </c>
      <c r="T1086" s="161">
        <v>0</v>
      </c>
      <c r="U1086" s="161">
        <v>0</v>
      </c>
      <c r="V1086" s="161">
        <v>0</v>
      </c>
      <c r="W1086" s="161">
        <f t="shared" si="103"/>
        <v>-657.34</v>
      </c>
      <c r="X1086" s="161">
        <f t="shared" si="104"/>
        <v>0</v>
      </c>
      <c r="Y1086" s="161">
        <f t="shared" si="105"/>
        <v>-657.34</v>
      </c>
      <c r="Z1086" s="161">
        <v>0</v>
      </c>
      <c r="AA1086" s="161">
        <f t="shared" si="100"/>
        <v>-657.34</v>
      </c>
      <c r="AB1086" s="161">
        <f t="shared" si="101"/>
        <v>-386.68000000000006</v>
      </c>
      <c r="AC1086" s="158" t="s">
        <v>937</v>
      </c>
      <c r="AD1086" s="158"/>
    </row>
    <row r="1087" spans="1:30" ht="12.75" customHeight="1" x14ac:dyDescent="0.3">
      <c r="A1087" s="147">
        <v>47</v>
      </c>
      <c r="B1087" s="158" t="s">
        <v>1025</v>
      </c>
      <c r="C1087" s="158" t="s">
        <v>195</v>
      </c>
      <c r="D1087" s="158" t="s">
        <v>964</v>
      </c>
      <c r="E1087" s="160" t="s">
        <v>871</v>
      </c>
      <c r="F1087" s="158" t="s">
        <v>39</v>
      </c>
      <c r="G1087" s="158" t="s">
        <v>866</v>
      </c>
      <c r="H1087" s="161">
        <v>3015.85</v>
      </c>
      <c r="I1087" s="161">
        <v>0</v>
      </c>
      <c r="J1087" s="161">
        <v>5.62</v>
      </c>
      <c r="K1087" s="161">
        <v>0</v>
      </c>
      <c r="L1087" s="161">
        <v>-1517.28</v>
      </c>
      <c r="M1087" s="161">
        <v>-60</v>
      </c>
      <c r="N1087" s="161">
        <v>0</v>
      </c>
      <c r="O1087" s="162">
        <f t="shared" si="102"/>
        <v>1444.1899999999998</v>
      </c>
      <c r="P1087" s="161">
        <f>-2500+357</f>
        <v>-2143</v>
      </c>
      <c r="Q1087" s="161">
        <v>0</v>
      </c>
      <c r="R1087" s="161">
        <v>0</v>
      </c>
      <c r="S1087" s="161">
        <v>0</v>
      </c>
      <c r="T1087" s="161">
        <v>-500</v>
      </c>
      <c r="U1087" s="161">
        <v>0</v>
      </c>
      <c r="V1087" s="161">
        <v>0</v>
      </c>
      <c r="W1087" s="161">
        <f t="shared" si="103"/>
        <v>-1198.8100000000002</v>
      </c>
      <c r="X1087" s="161">
        <f t="shared" si="104"/>
        <v>0</v>
      </c>
      <c r="Y1087" s="161">
        <f t="shared" si="105"/>
        <v>-1198.8100000000002</v>
      </c>
      <c r="Z1087" s="161">
        <v>800</v>
      </c>
      <c r="AA1087" s="161">
        <f t="shared" si="100"/>
        <v>-398.81000000000017</v>
      </c>
      <c r="AB1087" s="161">
        <f t="shared" si="101"/>
        <v>1845.3799999999994</v>
      </c>
      <c r="AC1087" s="158"/>
      <c r="AD1087" s="158"/>
    </row>
    <row r="1088" spans="1:30" ht="12.75" customHeight="1" x14ac:dyDescent="0.3">
      <c r="A1088" s="147">
        <v>47</v>
      </c>
      <c r="B1088" s="158" t="s">
        <v>944</v>
      </c>
      <c r="C1088" s="158" t="s">
        <v>372</v>
      </c>
      <c r="D1088" s="158" t="s">
        <v>1004</v>
      </c>
      <c r="E1088" s="158" t="s">
        <v>39</v>
      </c>
      <c r="F1088" s="158" t="s">
        <v>39</v>
      </c>
      <c r="G1088" s="158" t="s">
        <v>866</v>
      </c>
      <c r="H1088" s="161">
        <v>4868</v>
      </c>
      <c r="I1088" s="161">
        <v>0</v>
      </c>
      <c r="J1088" s="161">
        <v>0</v>
      </c>
      <c r="K1088" s="161">
        <v>0</v>
      </c>
      <c r="L1088" s="161">
        <v>-1550.91</v>
      </c>
      <c r="M1088" s="161">
        <v>-60</v>
      </c>
      <c r="N1088" s="161">
        <v>0</v>
      </c>
      <c r="O1088" s="162">
        <f t="shared" si="102"/>
        <v>3257.09</v>
      </c>
      <c r="P1088" s="161">
        <v>-2500</v>
      </c>
      <c r="Q1088" s="161">
        <v>0</v>
      </c>
      <c r="R1088" s="161">
        <v>0</v>
      </c>
      <c r="S1088" s="161">
        <v>0</v>
      </c>
      <c r="T1088" s="161">
        <v>0</v>
      </c>
      <c r="U1088" s="161">
        <v>0</v>
      </c>
      <c r="V1088" s="161">
        <v>0</v>
      </c>
      <c r="W1088" s="161">
        <f t="shared" si="103"/>
        <v>757.09000000000015</v>
      </c>
      <c r="X1088" s="161">
        <f t="shared" si="104"/>
        <v>757.09000000000015</v>
      </c>
      <c r="Y1088" s="161">
        <f t="shared" si="105"/>
        <v>0</v>
      </c>
      <c r="Z1088" s="161">
        <v>0</v>
      </c>
      <c r="AA1088" s="161">
        <f t="shared" si="100"/>
        <v>0</v>
      </c>
      <c r="AB1088" s="161">
        <f t="shared" si="101"/>
        <v>2500</v>
      </c>
      <c r="AC1088" s="158"/>
      <c r="AD1088" s="158"/>
    </row>
    <row r="1089" spans="1:30" ht="12.75" customHeight="1" x14ac:dyDescent="0.3">
      <c r="A1089" s="147">
        <v>47</v>
      </c>
      <c r="B1089" s="158" t="s">
        <v>1100</v>
      </c>
      <c r="C1089" s="182" t="s">
        <v>213</v>
      </c>
      <c r="D1089" s="158" t="s">
        <v>1116</v>
      </c>
      <c r="E1089" s="158" t="s">
        <v>39</v>
      </c>
      <c r="F1089" s="158" t="s">
        <v>39</v>
      </c>
      <c r="G1089" s="158" t="s">
        <v>866</v>
      </c>
      <c r="H1089" s="161">
        <v>3259.68</v>
      </c>
      <c r="I1089" s="161">
        <v>0</v>
      </c>
      <c r="J1089" s="161">
        <v>0</v>
      </c>
      <c r="K1089" s="161">
        <v>-26.35</v>
      </c>
      <c r="L1089" s="161">
        <v>-416.2</v>
      </c>
      <c r="M1089" s="161">
        <v>-45</v>
      </c>
      <c r="N1089" s="161">
        <v>0</v>
      </c>
      <c r="O1089" s="162">
        <f t="shared" si="102"/>
        <v>2772.13</v>
      </c>
      <c r="P1089" s="161">
        <v>-2500</v>
      </c>
      <c r="Q1089" s="161">
        <v>0</v>
      </c>
      <c r="R1089" s="161">
        <v>-500</v>
      </c>
      <c r="S1089" s="161">
        <v>0</v>
      </c>
      <c r="T1089" s="161">
        <v>0</v>
      </c>
      <c r="U1089" s="161">
        <v>0</v>
      </c>
      <c r="V1089" s="161">
        <v>0</v>
      </c>
      <c r="W1089" s="161">
        <f t="shared" si="103"/>
        <v>-227.86999999999989</v>
      </c>
      <c r="X1089" s="161">
        <f t="shared" si="104"/>
        <v>0</v>
      </c>
      <c r="Y1089" s="161">
        <f t="shared" si="105"/>
        <v>-227.86999999999989</v>
      </c>
      <c r="Z1089" s="161">
        <v>228</v>
      </c>
      <c r="AA1089" s="161">
        <f t="shared" si="100"/>
        <v>0.13000000000010914</v>
      </c>
      <c r="AB1089" s="161">
        <f t="shared" si="101"/>
        <v>3000.26</v>
      </c>
      <c r="AC1089" s="158" t="s">
        <v>1138</v>
      </c>
      <c r="AD1089" s="158"/>
    </row>
    <row r="1090" spans="1:30" ht="12.75" customHeight="1" x14ac:dyDescent="0.3">
      <c r="A1090" s="147">
        <v>47</v>
      </c>
      <c r="B1090" s="158" t="s">
        <v>872</v>
      </c>
      <c r="C1090" s="158" t="s">
        <v>256</v>
      </c>
      <c r="D1090" s="158" t="s">
        <v>997</v>
      </c>
      <c r="E1090" s="160" t="s">
        <v>871</v>
      </c>
      <c r="F1090" s="158" t="s">
        <v>39</v>
      </c>
      <c r="G1090" s="158" t="s">
        <v>866</v>
      </c>
      <c r="H1090" s="161">
        <v>7915.62</v>
      </c>
      <c r="I1090" s="161">
        <v>-72</v>
      </c>
      <c r="J1090" s="161">
        <v>0</v>
      </c>
      <c r="K1090" s="161">
        <v>-75.83</v>
      </c>
      <c r="L1090" s="161">
        <v>-3627.99</v>
      </c>
      <c r="M1090" s="161">
        <v>-85</v>
      </c>
      <c r="N1090" s="161">
        <v>-827</v>
      </c>
      <c r="O1090" s="162">
        <f t="shared" si="102"/>
        <v>3227.8</v>
      </c>
      <c r="P1090" s="161">
        <v>-2500</v>
      </c>
      <c r="Q1090" s="161">
        <v>0</v>
      </c>
      <c r="R1090" s="161">
        <v>0</v>
      </c>
      <c r="S1090" s="161">
        <v>0</v>
      </c>
      <c r="T1090" s="161">
        <v>-700</v>
      </c>
      <c r="U1090" s="161">
        <v>0</v>
      </c>
      <c r="V1090" s="161">
        <v>0</v>
      </c>
      <c r="W1090" s="161">
        <f t="shared" si="103"/>
        <v>27.800000000000182</v>
      </c>
      <c r="X1090" s="161">
        <f t="shared" si="104"/>
        <v>27.800000000000182</v>
      </c>
      <c r="Y1090" s="161">
        <f t="shared" si="105"/>
        <v>0</v>
      </c>
      <c r="Z1090" s="161">
        <v>0</v>
      </c>
      <c r="AA1090" s="161">
        <f t="shared" ref="AA1090:AA1153" si="106">+Y1090+Z1090</f>
        <v>0</v>
      </c>
      <c r="AB1090" s="161">
        <f t="shared" ref="AB1090:AB1153" si="107">+O1090-X1090+Z1090+AA1090</f>
        <v>3200</v>
      </c>
      <c r="AC1090" s="158"/>
      <c r="AD1090" s="158"/>
    </row>
    <row r="1091" spans="1:30" ht="12.75" customHeight="1" x14ac:dyDescent="0.3">
      <c r="A1091" s="147">
        <v>47</v>
      </c>
      <c r="B1091" s="158" t="s">
        <v>604</v>
      </c>
      <c r="C1091" s="158" t="s">
        <v>123</v>
      </c>
      <c r="D1091" s="158" t="s">
        <v>999</v>
      </c>
      <c r="E1091" s="160" t="s">
        <v>871</v>
      </c>
      <c r="F1091" s="158" t="s">
        <v>39</v>
      </c>
      <c r="G1091" s="158" t="s">
        <v>866</v>
      </c>
      <c r="H1091" s="161">
        <v>1622.28</v>
      </c>
      <c r="I1091" s="161">
        <v>0</v>
      </c>
      <c r="J1091" s="161">
        <v>0</v>
      </c>
      <c r="K1091" s="161">
        <v>0</v>
      </c>
      <c r="L1091" s="161">
        <v>-584.30999999999995</v>
      </c>
      <c r="M1091" s="161">
        <v>-60</v>
      </c>
      <c r="N1091" s="161">
        <v>0</v>
      </c>
      <c r="O1091" s="162">
        <f t="shared" si="102"/>
        <v>977.97</v>
      </c>
      <c r="P1091" s="161">
        <v>-2500</v>
      </c>
      <c r="Q1091" s="161">
        <v>0</v>
      </c>
      <c r="R1091" s="161">
        <v>0</v>
      </c>
      <c r="S1091" s="161">
        <v>0</v>
      </c>
      <c r="T1091" s="161">
        <v>0</v>
      </c>
      <c r="U1091" s="161">
        <v>0</v>
      </c>
      <c r="V1091" s="161">
        <v>0</v>
      </c>
      <c r="W1091" s="161">
        <f t="shared" si="103"/>
        <v>-1522.03</v>
      </c>
      <c r="X1091" s="161">
        <f t="shared" si="104"/>
        <v>0</v>
      </c>
      <c r="Y1091" s="161">
        <f t="shared" si="105"/>
        <v>-1522.03</v>
      </c>
      <c r="Z1091" s="161">
        <v>1445</v>
      </c>
      <c r="AA1091" s="161">
        <f t="shared" si="106"/>
        <v>-77.029999999999973</v>
      </c>
      <c r="AB1091" s="161">
        <f t="shared" si="107"/>
        <v>2345.9400000000005</v>
      </c>
      <c r="AC1091" s="158"/>
      <c r="AD1091" s="158"/>
    </row>
    <row r="1092" spans="1:30" ht="12.75" customHeight="1" x14ac:dyDescent="0.3">
      <c r="A1092" s="147">
        <v>47</v>
      </c>
      <c r="B1092" s="158" t="s">
        <v>1030</v>
      </c>
      <c r="C1092" s="158" t="s">
        <v>195</v>
      </c>
      <c r="D1092" s="158" t="s">
        <v>964</v>
      </c>
      <c r="E1092" s="160" t="s">
        <v>871</v>
      </c>
      <c r="F1092" s="158" t="s">
        <v>39</v>
      </c>
      <c r="G1092" s="158" t="s">
        <v>866</v>
      </c>
      <c r="H1092" s="161">
        <v>0</v>
      </c>
      <c r="I1092" s="161">
        <v>0</v>
      </c>
      <c r="J1092" s="161">
        <v>0</v>
      </c>
      <c r="K1092" s="161">
        <v>0</v>
      </c>
      <c r="L1092" s="161">
        <v>0</v>
      </c>
      <c r="M1092" s="161">
        <v>0</v>
      </c>
      <c r="N1092" s="161">
        <v>0</v>
      </c>
      <c r="O1092" s="162">
        <f t="shared" si="102"/>
        <v>0</v>
      </c>
      <c r="P1092" s="161">
        <v>0</v>
      </c>
      <c r="Q1092" s="161">
        <v>0</v>
      </c>
      <c r="R1092" s="161">
        <v>500</v>
      </c>
      <c r="S1092" s="161">
        <v>0</v>
      </c>
      <c r="T1092" s="161">
        <v>0</v>
      </c>
      <c r="U1092" s="161">
        <v>0</v>
      </c>
      <c r="V1092" s="161">
        <v>0</v>
      </c>
      <c r="W1092" s="161">
        <f t="shared" si="103"/>
        <v>500</v>
      </c>
      <c r="X1092" s="161">
        <f t="shared" si="104"/>
        <v>500</v>
      </c>
      <c r="Y1092" s="161">
        <f t="shared" si="105"/>
        <v>0</v>
      </c>
      <c r="Z1092" s="161">
        <v>0</v>
      </c>
      <c r="AA1092" s="161">
        <f t="shared" si="106"/>
        <v>0</v>
      </c>
      <c r="AB1092" s="161">
        <f t="shared" si="107"/>
        <v>-500</v>
      </c>
      <c r="AC1092" s="158"/>
      <c r="AD1092" s="158"/>
    </row>
    <row r="1093" spans="1:30" ht="12.75" customHeight="1" x14ac:dyDescent="0.3">
      <c r="A1093" s="147">
        <v>47</v>
      </c>
      <c r="B1093" s="158" t="s">
        <v>992</v>
      </c>
      <c r="C1093" s="158" t="s">
        <v>169</v>
      </c>
      <c r="D1093" s="158" t="s">
        <v>20</v>
      </c>
      <c r="E1093" s="160" t="s">
        <v>871</v>
      </c>
      <c r="F1093" s="158" t="s">
        <v>39</v>
      </c>
      <c r="G1093" s="158" t="s">
        <v>866</v>
      </c>
      <c r="H1093" s="161">
        <v>0</v>
      </c>
      <c r="I1093" s="161">
        <v>0</v>
      </c>
      <c r="J1093" s="161">
        <v>0</v>
      </c>
      <c r="K1093" s="161">
        <v>0</v>
      </c>
      <c r="L1093" s="161">
        <v>0</v>
      </c>
      <c r="M1093" s="161">
        <v>0</v>
      </c>
      <c r="N1093" s="161">
        <v>0</v>
      </c>
      <c r="O1093" s="162">
        <f t="shared" si="102"/>
        <v>0</v>
      </c>
      <c r="P1093" s="161">
        <v>0</v>
      </c>
      <c r="Q1093" s="161">
        <v>0</v>
      </c>
      <c r="R1093" s="161">
        <v>500</v>
      </c>
      <c r="S1093" s="161">
        <v>0</v>
      </c>
      <c r="T1093" s="161">
        <v>0</v>
      </c>
      <c r="U1093" s="161">
        <v>0</v>
      </c>
      <c r="V1093" s="161">
        <v>0</v>
      </c>
      <c r="W1093" s="161">
        <f t="shared" si="103"/>
        <v>500</v>
      </c>
      <c r="X1093" s="161">
        <f t="shared" si="104"/>
        <v>500</v>
      </c>
      <c r="Y1093" s="161">
        <f t="shared" si="105"/>
        <v>0</v>
      </c>
      <c r="Z1093" s="161">
        <v>0</v>
      </c>
      <c r="AA1093" s="161">
        <f t="shared" si="106"/>
        <v>0</v>
      </c>
      <c r="AB1093" s="161">
        <f t="shared" si="107"/>
        <v>-500</v>
      </c>
      <c r="AC1093" s="158"/>
      <c r="AD1093" s="158"/>
    </row>
    <row r="1094" spans="1:30" ht="12.75" customHeight="1" x14ac:dyDescent="0.3">
      <c r="A1094" s="147">
        <v>47</v>
      </c>
      <c r="B1094" s="158" t="s">
        <v>1010</v>
      </c>
      <c r="C1094" s="158" t="s">
        <v>169</v>
      </c>
      <c r="D1094" s="158" t="s">
        <v>20</v>
      </c>
      <c r="E1094" s="160" t="s">
        <v>871</v>
      </c>
      <c r="F1094" s="158" t="s">
        <v>39</v>
      </c>
      <c r="G1094" s="158" t="s">
        <v>866</v>
      </c>
      <c r="H1094" s="161">
        <v>2782.19</v>
      </c>
      <c r="I1094" s="161">
        <v>0</v>
      </c>
      <c r="J1094" s="161">
        <v>0</v>
      </c>
      <c r="K1094" s="161">
        <v>-24.4</v>
      </c>
      <c r="L1094" s="161">
        <v>-2222.35</v>
      </c>
      <c r="M1094" s="161">
        <v>-45</v>
      </c>
      <c r="N1094" s="161">
        <v>0</v>
      </c>
      <c r="O1094" s="162">
        <f t="shared" si="102"/>
        <v>490.44000000000005</v>
      </c>
      <c r="P1094" s="161">
        <v>-1785.71</v>
      </c>
      <c r="Q1094" s="161">
        <v>0</v>
      </c>
      <c r="R1094" s="161">
        <v>-500</v>
      </c>
      <c r="S1094" s="161">
        <v>0</v>
      </c>
      <c r="T1094" s="161">
        <v>0</v>
      </c>
      <c r="U1094" s="161">
        <v>0</v>
      </c>
      <c r="V1094" s="161">
        <v>0</v>
      </c>
      <c r="W1094" s="161">
        <f t="shared" si="103"/>
        <v>-1795.27</v>
      </c>
      <c r="X1094" s="161">
        <f t="shared" si="104"/>
        <v>0</v>
      </c>
      <c r="Y1094" s="161">
        <f t="shared" si="105"/>
        <v>-1795.27</v>
      </c>
      <c r="Z1094" s="161">
        <v>1795</v>
      </c>
      <c r="AA1094" s="161">
        <f t="shared" si="106"/>
        <v>-0.26999999999998181</v>
      </c>
      <c r="AB1094" s="161">
        <f t="shared" si="107"/>
        <v>2285.17</v>
      </c>
      <c r="AD1094" s="158"/>
    </row>
    <row r="1095" spans="1:30" ht="12.75" customHeight="1" x14ac:dyDescent="0.3">
      <c r="A1095" s="147">
        <v>47</v>
      </c>
      <c r="B1095" s="158" t="s">
        <v>515</v>
      </c>
      <c r="C1095" s="158" t="s">
        <v>347</v>
      </c>
      <c r="D1095" s="158" t="s">
        <v>1122</v>
      </c>
      <c r="E1095" s="158" t="s">
        <v>25</v>
      </c>
      <c r="F1095" s="158" t="s">
        <v>25</v>
      </c>
      <c r="G1095" s="158" t="s">
        <v>866</v>
      </c>
      <c r="H1095" s="161">
        <v>7531.75</v>
      </c>
      <c r="I1095" s="161">
        <v>-40</v>
      </c>
      <c r="J1095" s="161">
        <v>0</v>
      </c>
      <c r="K1095" s="161">
        <v>0</v>
      </c>
      <c r="L1095" s="161">
        <v>-153.97</v>
      </c>
      <c r="M1095" s="161">
        <v>-40</v>
      </c>
      <c r="N1095" s="161">
        <v>0</v>
      </c>
      <c r="O1095" s="162">
        <f t="shared" si="102"/>
        <v>7297.78</v>
      </c>
      <c r="P1095" s="161">
        <v>-2500</v>
      </c>
      <c r="Q1095" s="161">
        <v>0</v>
      </c>
      <c r="R1095" s="161">
        <v>-500</v>
      </c>
      <c r="S1095" s="161">
        <v>0</v>
      </c>
      <c r="T1095" s="161">
        <v>-700</v>
      </c>
      <c r="U1095" s="161">
        <v>0</v>
      </c>
      <c r="V1095" s="161">
        <v>0</v>
      </c>
      <c r="W1095" s="161">
        <f t="shared" si="103"/>
        <v>3597.7799999999997</v>
      </c>
      <c r="X1095" s="161">
        <f t="shared" si="104"/>
        <v>3597.7799999999997</v>
      </c>
      <c r="Y1095" s="161">
        <f t="shared" si="105"/>
        <v>0</v>
      </c>
      <c r="Z1095" s="161">
        <v>0</v>
      </c>
      <c r="AA1095" s="161">
        <f t="shared" si="106"/>
        <v>0</v>
      </c>
      <c r="AB1095" s="161">
        <f t="shared" si="107"/>
        <v>3700</v>
      </c>
      <c r="AC1095" s="158"/>
      <c r="AD1095" s="158"/>
    </row>
    <row r="1096" spans="1:30" ht="12.75" customHeight="1" x14ac:dyDescent="0.3">
      <c r="A1096" s="147">
        <v>47</v>
      </c>
      <c r="B1096" s="158" t="s">
        <v>1120</v>
      </c>
      <c r="C1096" s="158" t="s">
        <v>100</v>
      </c>
      <c r="D1096" s="158" t="s">
        <v>953</v>
      </c>
      <c r="E1096" s="158" t="s">
        <v>25</v>
      </c>
      <c r="F1096" s="158" t="s">
        <v>25</v>
      </c>
      <c r="G1096" s="158" t="s">
        <v>866</v>
      </c>
      <c r="H1096" s="161">
        <v>3462.63</v>
      </c>
      <c r="I1096" s="161">
        <v>-54.61</v>
      </c>
      <c r="J1096" s="161">
        <v>128</v>
      </c>
      <c r="K1096" s="161">
        <v>-43.05</v>
      </c>
      <c r="L1096" s="161">
        <v>-1563.86</v>
      </c>
      <c r="M1096" s="161">
        <v>-50</v>
      </c>
      <c r="N1096" s="161">
        <v>0</v>
      </c>
      <c r="O1096" s="162">
        <f t="shared" si="102"/>
        <v>1879.11</v>
      </c>
      <c r="P1096" s="161">
        <v>-2500</v>
      </c>
      <c r="Q1096" s="161">
        <v>0</v>
      </c>
      <c r="R1096" s="161">
        <v>-500</v>
      </c>
      <c r="S1096" s="161">
        <v>0</v>
      </c>
      <c r="T1096" s="161">
        <v>0</v>
      </c>
      <c r="U1096" s="161">
        <v>0</v>
      </c>
      <c r="V1096" s="161">
        <v>0</v>
      </c>
      <c r="W1096" s="161">
        <f t="shared" si="103"/>
        <v>-1120.8900000000001</v>
      </c>
      <c r="X1096" s="161">
        <f t="shared" si="104"/>
        <v>0</v>
      </c>
      <c r="Y1096" s="161">
        <f t="shared" si="105"/>
        <v>-1120.8900000000001</v>
      </c>
      <c r="Z1096" s="161">
        <v>1121</v>
      </c>
      <c r="AA1096" s="161">
        <f t="shared" si="106"/>
        <v>0.10999999999989996</v>
      </c>
      <c r="AB1096" s="161">
        <f t="shared" si="107"/>
        <v>3000.2199999999993</v>
      </c>
      <c r="AC1096" s="158"/>
      <c r="AD1096" s="158"/>
    </row>
    <row r="1097" spans="1:30" ht="12.75" customHeight="1" x14ac:dyDescent="0.3">
      <c r="A1097" s="147">
        <v>47</v>
      </c>
      <c r="B1097" s="158" t="s">
        <v>1106</v>
      </c>
      <c r="C1097" s="179" t="s">
        <v>104</v>
      </c>
      <c r="D1097" s="158" t="s">
        <v>1132</v>
      </c>
      <c r="E1097" s="158" t="s">
        <v>25</v>
      </c>
      <c r="F1097" s="158" t="s">
        <v>25</v>
      </c>
      <c r="G1097" s="158" t="s">
        <v>866</v>
      </c>
      <c r="H1097" s="161">
        <v>6238.35</v>
      </c>
      <c r="I1097" s="161">
        <v>-98.4</v>
      </c>
      <c r="J1097" s="161">
        <v>0</v>
      </c>
      <c r="K1097" s="161">
        <v>0</v>
      </c>
      <c r="L1097" s="161">
        <v>-2879.35</v>
      </c>
      <c r="M1097" s="161">
        <v>-60</v>
      </c>
      <c r="N1097" s="161">
        <v>0</v>
      </c>
      <c r="O1097" s="162">
        <f t="shared" si="102"/>
        <v>3200.6000000000008</v>
      </c>
      <c r="P1097" s="161">
        <v>-2500</v>
      </c>
      <c r="Q1097" s="161">
        <v>0</v>
      </c>
      <c r="R1097" s="161">
        <v>-500</v>
      </c>
      <c r="S1097" s="161">
        <v>0</v>
      </c>
      <c r="T1097" s="161">
        <v>0</v>
      </c>
      <c r="U1097" s="161">
        <v>0</v>
      </c>
      <c r="V1097" s="161">
        <v>0</v>
      </c>
      <c r="W1097" s="161">
        <f t="shared" si="103"/>
        <v>200.60000000000082</v>
      </c>
      <c r="X1097" s="161">
        <f t="shared" si="104"/>
        <v>200.60000000000082</v>
      </c>
      <c r="Y1097" s="161">
        <f t="shared" si="105"/>
        <v>0</v>
      </c>
      <c r="Z1097" s="161">
        <v>0</v>
      </c>
      <c r="AA1097" s="161">
        <f t="shared" si="106"/>
        <v>0</v>
      </c>
      <c r="AB1097" s="161">
        <f t="shared" si="107"/>
        <v>3000</v>
      </c>
      <c r="AC1097" s="158"/>
      <c r="AD1097" s="158"/>
    </row>
    <row r="1098" spans="1:30" ht="12.75" customHeight="1" x14ac:dyDescent="0.3">
      <c r="A1098" s="147">
        <v>47</v>
      </c>
      <c r="B1098" s="158" t="s">
        <v>1029</v>
      </c>
      <c r="C1098" s="158" t="s">
        <v>68</v>
      </c>
      <c r="D1098" s="158" t="s">
        <v>869</v>
      </c>
      <c r="E1098" s="158" t="s">
        <v>25</v>
      </c>
      <c r="F1098" s="158" t="s">
        <v>25</v>
      </c>
      <c r="G1098" s="158" t="s">
        <v>866</v>
      </c>
      <c r="H1098" s="161">
        <v>4908.1499999999996</v>
      </c>
      <c r="I1098" s="161">
        <v>0</v>
      </c>
      <c r="J1098" s="161">
        <v>0</v>
      </c>
      <c r="K1098" s="161">
        <v>-36.14</v>
      </c>
      <c r="L1098" s="161">
        <v>0</v>
      </c>
      <c r="M1098" s="161">
        <v>-65</v>
      </c>
      <c r="N1098" s="161">
        <v>0</v>
      </c>
      <c r="O1098" s="162">
        <f t="shared" si="102"/>
        <v>4807.0099999999993</v>
      </c>
      <c r="P1098" s="161">
        <v>-2500</v>
      </c>
      <c r="Q1098" s="161">
        <v>0</v>
      </c>
      <c r="R1098" s="161">
        <v>0</v>
      </c>
      <c r="S1098" s="161">
        <v>0</v>
      </c>
      <c r="T1098" s="161">
        <v>0</v>
      </c>
      <c r="U1098" s="161">
        <v>-1000</v>
      </c>
      <c r="V1098" s="161">
        <v>0</v>
      </c>
      <c r="W1098" s="161">
        <f t="shared" si="103"/>
        <v>1307.0099999999993</v>
      </c>
      <c r="X1098" s="161">
        <f t="shared" si="104"/>
        <v>1307.0099999999993</v>
      </c>
      <c r="Y1098" s="161">
        <f t="shared" si="105"/>
        <v>0</v>
      </c>
      <c r="Z1098" s="161">
        <v>0</v>
      </c>
      <c r="AA1098" s="161">
        <f t="shared" si="106"/>
        <v>0</v>
      </c>
      <c r="AB1098" s="161">
        <f t="shared" si="107"/>
        <v>3500</v>
      </c>
      <c r="AC1098" s="158"/>
      <c r="AD1098" s="158"/>
    </row>
    <row r="1099" spans="1:30" ht="12.75" customHeight="1" x14ac:dyDescent="0.3">
      <c r="A1099" s="147">
        <v>47</v>
      </c>
      <c r="B1099" s="158" t="s">
        <v>1088</v>
      </c>
      <c r="C1099" s="158" t="s">
        <v>257</v>
      </c>
      <c r="D1099" s="160" t="s">
        <v>943</v>
      </c>
      <c r="E1099" s="158" t="s">
        <v>25</v>
      </c>
      <c r="F1099" s="158" t="s">
        <v>25</v>
      </c>
      <c r="G1099" s="158" t="s">
        <v>866</v>
      </c>
      <c r="H1099" s="161">
        <v>2983.27</v>
      </c>
      <c r="I1099" s="161">
        <v>0</v>
      </c>
      <c r="J1099" s="161">
        <v>0</v>
      </c>
      <c r="K1099" s="161">
        <v>-24.4</v>
      </c>
      <c r="L1099" s="161">
        <v>0</v>
      </c>
      <c r="M1099" s="161">
        <v>-40</v>
      </c>
      <c r="N1099" s="161">
        <v>-156</v>
      </c>
      <c r="O1099" s="162">
        <f t="shared" si="102"/>
        <v>2762.87</v>
      </c>
      <c r="P1099" s="161">
        <v>-2500</v>
      </c>
      <c r="Q1099" s="161">
        <v>0</v>
      </c>
      <c r="R1099" s="161">
        <v>0</v>
      </c>
      <c r="S1099" s="161">
        <v>0</v>
      </c>
      <c r="T1099" s="161">
        <v>0</v>
      </c>
      <c r="U1099" s="161">
        <v>0</v>
      </c>
      <c r="V1099" s="161">
        <v>0</v>
      </c>
      <c r="W1099" s="161">
        <f t="shared" si="103"/>
        <v>262.86999999999989</v>
      </c>
      <c r="X1099" s="161">
        <f t="shared" si="104"/>
        <v>262.86999999999989</v>
      </c>
      <c r="Y1099" s="161">
        <f t="shared" si="105"/>
        <v>0</v>
      </c>
      <c r="Z1099" s="161">
        <v>0</v>
      </c>
      <c r="AA1099" s="161">
        <f t="shared" si="106"/>
        <v>0</v>
      </c>
      <c r="AB1099" s="161">
        <f t="shared" si="107"/>
        <v>2500</v>
      </c>
      <c r="AC1099" s="158"/>
      <c r="AD1099" s="158"/>
    </row>
    <row r="1100" spans="1:30" ht="12.75" customHeight="1" x14ac:dyDescent="0.3">
      <c r="A1100" s="147">
        <v>47</v>
      </c>
      <c r="B1100" s="158" t="s">
        <v>880</v>
      </c>
      <c r="C1100" s="158" t="s">
        <v>183</v>
      </c>
      <c r="D1100" s="158" t="s">
        <v>887</v>
      </c>
      <c r="E1100" s="158" t="s">
        <v>25</v>
      </c>
      <c r="F1100" s="158" t="s">
        <v>25</v>
      </c>
      <c r="G1100" s="158" t="s">
        <v>866</v>
      </c>
      <c r="H1100" s="161">
        <v>2477.3200000000002</v>
      </c>
      <c r="I1100" s="161">
        <v>0</v>
      </c>
      <c r="J1100" s="161">
        <v>43.72</v>
      </c>
      <c r="K1100" s="161">
        <v>0</v>
      </c>
      <c r="L1100" s="161">
        <v>-489.27</v>
      </c>
      <c r="M1100" s="161">
        <v>-40</v>
      </c>
      <c r="N1100" s="161">
        <v>-441</v>
      </c>
      <c r="O1100" s="162">
        <f t="shared" si="102"/>
        <v>1550.77</v>
      </c>
      <c r="P1100" s="161">
        <f>-2500+357</f>
        <v>-2143</v>
      </c>
      <c r="Q1100" s="161">
        <v>0</v>
      </c>
      <c r="R1100" s="161">
        <v>0</v>
      </c>
      <c r="S1100" s="161">
        <v>0</v>
      </c>
      <c r="T1100" s="161">
        <v>0</v>
      </c>
      <c r="U1100" s="161">
        <v>0</v>
      </c>
      <c r="V1100" s="161">
        <v>0</v>
      </c>
      <c r="W1100" s="161">
        <f t="shared" si="103"/>
        <v>-592.23</v>
      </c>
      <c r="X1100" s="161">
        <f t="shared" si="104"/>
        <v>0</v>
      </c>
      <c r="Y1100" s="161">
        <f t="shared" si="105"/>
        <v>-592.23</v>
      </c>
      <c r="Z1100" s="161">
        <v>0</v>
      </c>
      <c r="AA1100" s="161">
        <f t="shared" si="106"/>
        <v>-592.23</v>
      </c>
      <c r="AB1100" s="161">
        <f t="shared" si="107"/>
        <v>958.54</v>
      </c>
      <c r="AC1100" s="158"/>
      <c r="AD1100" s="158"/>
    </row>
    <row r="1101" spans="1:30" ht="12.75" customHeight="1" x14ac:dyDescent="0.3">
      <c r="A1101" s="147">
        <v>47</v>
      </c>
      <c r="B1101" s="158" t="s">
        <v>408</v>
      </c>
      <c r="C1101" s="158" t="s">
        <v>409</v>
      </c>
      <c r="D1101" s="158" t="s">
        <v>946</v>
      </c>
      <c r="E1101" s="158" t="s">
        <v>25</v>
      </c>
      <c r="F1101" s="158" t="s">
        <v>25</v>
      </c>
      <c r="G1101" s="158" t="s">
        <v>866</v>
      </c>
      <c r="H1101" s="161">
        <v>3833</v>
      </c>
      <c r="I1101" s="161">
        <v>0</v>
      </c>
      <c r="J1101" s="161">
        <v>0</v>
      </c>
      <c r="K1101" s="161">
        <v>0</v>
      </c>
      <c r="L1101" s="161">
        <v>-2413.9499999999998</v>
      </c>
      <c r="M1101" s="161">
        <v>-60</v>
      </c>
      <c r="N1101" s="161">
        <v>0</v>
      </c>
      <c r="O1101" s="162">
        <f t="shared" si="102"/>
        <v>1359.0500000000002</v>
      </c>
      <c r="P1101" s="161">
        <v>-2500</v>
      </c>
      <c r="Q1101" s="161">
        <v>22</v>
      </c>
      <c r="R1101" s="161">
        <v>0</v>
      </c>
      <c r="S1101" s="161">
        <v>0</v>
      </c>
      <c r="T1101" s="161">
        <v>0</v>
      </c>
      <c r="U1101" s="161">
        <v>0</v>
      </c>
      <c r="V1101" s="161">
        <v>0</v>
      </c>
      <c r="W1101" s="161">
        <f t="shared" si="103"/>
        <v>-1118.9499999999998</v>
      </c>
      <c r="X1101" s="161">
        <f t="shared" si="104"/>
        <v>0</v>
      </c>
      <c r="Y1101" s="161">
        <f t="shared" si="105"/>
        <v>-1118.9499999999998</v>
      </c>
      <c r="Z1101" s="161">
        <v>1120</v>
      </c>
      <c r="AA1101" s="161">
        <f t="shared" si="106"/>
        <v>1.0500000000001819</v>
      </c>
      <c r="AB1101" s="161">
        <f t="shared" si="107"/>
        <v>2480.1000000000004</v>
      </c>
      <c r="AC1101" s="158"/>
      <c r="AD1101" s="158"/>
    </row>
    <row r="1102" spans="1:30" ht="12.75" customHeight="1" x14ac:dyDescent="0.3">
      <c r="A1102" s="147">
        <v>47</v>
      </c>
      <c r="B1102" s="158" t="s">
        <v>1067</v>
      </c>
      <c r="C1102" s="158" t="s">
        <v>46</v>
      </c>
      <c r="D1102" s="158" t="s">
        <v>915</v>
      </c>
      <c r="E1102" s="158" t="s">
        <v>25</v>
      </c>
      <c r="F1102" s="158" t="s">
        <v>25</v>
      </c>
      <c r="G1102" s="158" t="s">
        <v>866</v>
      </c>
      <c r="H1102" s="161">
        <v>3341.28</v>
      </c>
      <c r="I1102" s="161">
        <v>0</v>
      </c>
      <c r="J1102" s="161">
        <v>0</v>
      </c>
      <c r="K1102" s="161">
        <v>0</v>
      </c>
      <c r="L1102" s="161">
        <v>-1010.71</v>
      </c>
      <c r="M1102" s="161">
        <v>-50</v>
      </c>
      <c r="N1102" s="161">
        <v>0</v>
      </c>
      <c r="O1102" s="162">
        <f t="shared" si="102"/>
        <v>2280.5700000000002</v>
      </c>
      <c r="P1102" s="161">
        <v>-2500</v>
      </c>
      <c r="Q1102" s="161">
        <v>0</v>
      </c>
      <c r="R1102" s="161">
        <v>0</v>
      </c>
      <c r="S1102" s="161">
        <v>0</v>
      </c>
      <c r="T1102" s="161">
        <v>-700</v>
      </c>
      <c r="U1102" s="161">
        <v>0</v>
      </c>
      <c r="V1102" s="161">
        <v>0</v>
      </c>
      <c r="W1102" s="161">
        <f t="shared" si="103"/>
        <v>-919.42999999999984</v>
      </c>
      <c r="X1102" s="161">
        <f t="shared" si="104"/>
        <v>0</v>
      </c>
      <c r="Y1102" s="161">
        <f t="shared" si="105"/>
        <v>-919.42999999999984</v>
      </c>
      <c r="Z1102" s="161">
        <v>450</v>
      </c>
      <c r="AA1102" s="161">
        <f t="shared" si="106"/>
        <v>-469.42999999999984</v>
      </c>
      <c r="AB1102" s="161">
        <f t="shared" si="107"/>
        <v>2261.1400000000003</v>
      </c>
      <c r="AC1102" s="158" t="s">
        <v>1139</v>
      </c>
      <c r="AD1102" s="158"/>
    </row>
    <row r="1103" spans="1:30" ht="12.75" customHeight="1" x14ac:dyDescent="0.3">
      <c r="A1103" s="147">
        <v>47</v>
      </c>
      <c r="B1103" s="158" t="s">
        <v>620</v>
      </c>
      <c r="C1103" s="158" t="s">
        <v>571</v>
      </c>
      <c r="D1103" s="158" t="s">
        <v>974</v>
      </c>
      <c r="E1103" s="158" t="s">
        <v>25</v>
      </c>
      <c r="F1103" s="158" t="s">
        <v>25</v>
      </c>
      <c r="G1103" s="158" t="s">
        <v>737</v>
      </c>
      <c r="H1103" s="161">
        <v>3069.36</v>
      </c>
      <c r="I1103" s="161">
        <v>0</v>
      </c>
      <c r="J1103" s="161">
        <v>0</v>
      </c>
      <c r="K1103" s="161">
        <v>0</v>
      </c>
      <c r="L1103" s="161">
        <v>-3291.6</v>
      </c>
      <c r="M1103" s="161">
        <v>-85</v>
      </c>
      <c r="N1103" s="161">
        <v>0</v>
      </c>
      <c r="O1103" s="162">
        <f t="shared" si="102"/>
        <v>-307.23999999999978</v>
      </c>
      <c r="P1103" s="161">
        <v>-1250</v>
      </c>
      <c r="Q1103" s="161">
        <v>0</v>
      </c>
      <c r="R1103" s="161">
        <v>0</v>
      </c>
      <c r="S1103" s="161">
        <v>0</v>
      </c>
      <c r="T1103" s="161">
        <v>0</v>
      </c>
      <c r="U1103" s="161">
        <v>0</v>
      </c>
      <c r="V1103" s="161">
        <v>0</v>
      </c>
      <c r="W1103" s="161">
        <f t="shared" si="103"/>
        <v>-1557.2399999999998</v>
      </c>
      <c r="X1103" s="161">
        <f t="shared" si="104"/>
        <v>0</v>
      </c>
      <c r="Y1103" s="161">
        <f t="shared" si="105"/>
        <v>-1557.2399999999998</v>
      </c>
      <c r="Z1103" s="161">
        <v>1557</v>
      </c>
      <c r="AA1103" s="161">
        <f t="shared" si="106"/>
        <v>-0.23999999999978172</v>
      </c>
      <c r="AB1103" s="161">
        <f t="shared" si="107"/>
        <v>1249.5200000000004</v>
      </c>
      <c r="AC1103" s="158" t="s">
        <v>1140</v>
      </c>
      <c r="AD1103" s="158"/>
    </row>
    <row r="1104" spans="1:30" ht="12.75" customHeight="1" x14ac:dyDescent="0.3">
      <c r="A1104" s="147">
        <v>47</v>
      </c>
      <c r="B1104" s="158" t="s">
        <v>620</v>
      </c>
      <c r="C1104" s="158" t="s">
        <v>571</v>
      </c>
      <c r="D1104" s="158" t="s">
        <v>974</v>
      </c>
      <c r="E1104" s="158" t="s">
        <v>25</v>
      </c>
      <c r="F1104" s="158" t="s">
        <v>25</v>
      </c>
      <c r="G1104" s="158" t="s">
        <v>866</v>
      </c>
      <c r="H1104" s="161">
        <v>2229.79</v>
      </c>
      <c r="I1104" s="161">
        <v>0</v>
      </c>
      <c r="J1104" s="161">
        <v>0</v>
      </c>
      <c r="K1104" s="161">
        <v>0</v>
      </c>
      <c r="L1104" s="161">
        <v>-488.46</v>
      </c>
      <c r="M1104" s="161">
        <v>-40</v>
      </c>
      <c r="N1104" s="161">
        <v>0</v>
      </c>
      <c r="O1104" s="162">
        <f t="shared" si="102"/>
        <v>1701.33</v>
      </c>
      <c r="P1104" s="161">
        <v>-1250</v>
      </c>
      <c r="Q1104" s="161">
        <v>0</v>
      </c>
      <c r="R1104" s="161">
        <v>0</v>
      </c>
      <c r="S1104" s="161">
        <v>0</v>
      </c>
      <c r="T1104" s="161">
        <v>0</v>
      </c>
      <c r="U1104" s="161">
        <v>0</v>
      </c>
      <c r="V1104" s="161">
        <v>0</v>
      </c>
      <c r="W1104" s="161">
        <f t="shared" si="103"/>
        <v>451.32999999999993</v>
      </c>
      <c r="X1104" s="161">
        <f t="shared" si="104"/>
        <v>451.32999999999993</v>
      </c>
      <c r="Y1104" s="161">
        <f t="shared" si="105"/>
        <v>0</v>
      </c>
      <c r="Z1104" s="161">
        <v>0</v>
      </c>
      <c r="AA1104" s="161">
        <f t="shared" si="106"/>
        <v>0</v>
      </c>
      <c r="AB1104" s="161">
        <f t="shared" si="107"/>
        <v>1250</v>
      </c>
      <c r="AC1104" s="158"/>
      <c r="AD1104" s="158"/>
    </row>
    <row r="1105" spans="1:30" ht="12.75" customHeight="1" x14ac:dyDescent="0.3">
      <c r="A1105" s="147">
        <v>47</v>
      </c>
      <c r="B1105" s="158" t="s">
        <v>1121</v>
      </c>
      <c r="C1105" s="158" t="s">
        <v>150</v>
      </c>
      <c r="D1105" s="158" t="s">
        <v>1122</v>
      </c>
      <c r="E1105" s="158" t="s">
        <v>25</v>
      </c>
      <c r="F1105" s="158" t="s">
        <v>25</v>
      </c>
      <c r="G1105" s="158" t="s">
        <v>737</v>
      </c>
      <c r="H1105" s="161">
        <v>6604.89</v>
      </c>
      <c r="I1105" s="161">
        <v>0</v>
      </c>
      <c r="J1105" s="161">
        <v>0</v>
      </c>
      <c r="K1105" s="161">
        <v>0</v>
      </c>
      <c r="L1105" s="161">
        <v>-5998.38</v>
      </c>
      <c r="M1105" s="161">
        <v>-120</v>
      </c>
      <c r="N1105" s="161">
        <v>0</v>
      </c>
      <c r="O1105" s="162">
        <f t="shared" si="102"/>
        <v>486.51000000000022</v>
      </c>
      <c r="P1105" s="161">
        <v>-2600</v>
      </c>
      <c r="Q1105" s="161">
        <f>1950+54</f>
        <v>2004</v>
      </c>
      <c r="R1105" s="161">
        <v>-500</v>
      </c>
      <c r="S1105" s="161">
        <v>0</v>
      </c>
      <c r="T1105" s="161">
        <v>0</v>
      </c>
      <c r="U1105" s="161">
        <v>0</v>
      </c>
      <c r="V1105" s="161">
        <v>0</v>
      </c>
      <c r="W1105" s="161">
        <f t="shared" si="103"/>
        <v>-609.48999999999978</v>
      </c>
      <c r="X1105" s="161">
        <f t="shared" si="104"/>
        <v>0</v>
      </c>
      <c r="Y1105" s="161">
        <f t="shared" si="105"/>
        <v>-609.48999999999978</v>
      </c>
      <c r="Z1105" s="161">
        <f>650+650</f>
        <v>1300</v>
      </c>
      <c r="AA1105" s="161">
        <f t="shared" si="106"/>
        <v>690.51000000000022</v>
      </c>
      <c r="AB1105" s="161">
        <f t="shared" si="107"/>
        <v>2477.0200000000004</v>
      </c>
      <c r="AC1105" s="158"/>
      <c r="AD1105" s="158"/>
    </row>
    <row r="1106" spans="1:30" ht="12.75" customHeight="1" x14ac:dyDescent="0.3">
      <c r="A1106" s="147">
        <v>47</v>
      </c>
      <c r="B1106" s="158" t="s">
        <v>922</v>
      </c>
      <c r="C1106" s="179" t="s">
        <v>104</v>
      </c>
      <c r="D1106" s="158" t="s">
        <v>904</v>
      </c>
      <c r="E1106" s="158" t="s">
        <v>25</v>
      </c>
      <c r="F1106" s="158" t="s">
        <v>25</v>
      </c>
      <c r="G1106" s="158" t="s">
        <v>866</v>
      </c>
      <c r="H1106" s="161">
        <v>0</v>
      </c>
      <c r="I1106" s="161">
        <v>0</v>
      </c>
      <c r="J1106" s="161">
        <v>0</v>
      </c>
      <c r="K1106" s="161">
        <v>0</v>
      </c>
      <c r="L1106" s="161">
        <v>0</v>
      </c>
      <c r="M1106" s="161">
        <v>0</v>
      </c>
      <c r="N1106" s="161">
        <v>0</v>
      </c>
      <c r="O1106" s="162">
        <f t="shared" si="102"/>
        <v>0</v>
      </c>
      <c r="P1106" s="161">
        <v>-2500</v>
      </c>
      <c r="Q1106" s="161">
        <v>25</v>
      </c>
      <c r="R1106" s="161">
        <v>0</v>
      </c>
      <c r="S1106" s="161">
        <v>0</v>
      </c>
      <c r="T1106" s="161">
        <v>-500</v>
      </c>
      <c r="U1106" s="161">
        <v>0</v>
      </c>
      <c r="V1106" s="161">
        <v>0</v>
      </c>
      <c r="W1106" s="161">
        <f t="shared" si="103"/>
        <v>-2975</v>
      </c>
      <c r="X1106" s="161">
        <f t="shared" si="104"/>
        <v>0</v>
      </c>
      <c r="Y1106" s="161">
        <f t="shared" si="105"/>
        <v>-2975</v>
      </c>
      <c r="Z1106" s="161">
        <f>2750+250</f>
        <v>3000</v>
      </c>
      <c r="AA1106" s="161">
        <f t="shared" si="106"/>
        <v>25</v>
      </c>
      <c r="AB1106" s="161">
        <f t="shared" si="107"/>
        <v>3025</v>
      </c>
      <c r="AC1106" s="158" t="s">
        <v>1138</v>
      </c>
      <c r="AD1106" s="158"/>
    </row>
    <row r="1107" spans="1:30" ht="12.75" customHeight="1" x14ac:dyDescent="0.3">
      <c r="A1107" s="147">
        <v>47</v>
      </c>
      <c r="B1107" s="158" t="s">
        <v>1003</v>
      </c>
      <c r="C1107" s="158" t="s">
        <v>59</v>
      </c>
      <c r="D1107" s="158" t="s">
        <v>895</v>
      </c>
      <c r="E1107" s="158" t="s">
        <v>25</v>
      </c>
      <c r="F1107" s="158" t="s">
        <v>25</v>
      </c>
      <c r="G1107" s="158" t="s">
        <v>866</v>
      </c>
      <c r="H1107" s="161">
        <v>0</v>
      </c>
      <c r="I1107" s="161">
        <v>0</v>
      </c>
      <c r="J1107" s="161">
        <v>0</v>
      </c>
      <c r="K1107" s="161">
        <v>0</v>
      </c>
      <c r="L1107" s="161">
        <v>0</v>
      </c>
      <c r="M1107" s="161">
        <v>0</v>
      </c>
      <c r="N1107" s="161">
        <v>0</v>
      </c>
      <c r="O1107" s="162">
        <f t="shared" si="102"/>
        <v>0</v>
      </c>
      <c r="P1107" s="161">
        <v>-2500</v>
      </c>
      <c r="Q1107" s="161">
        <v>-299</v>
      </c>
      <c r="R1107" s="161">
        <v>0</v>
      </c>
      <c r="S1107" s="161">
        <v>0</v>
      </c>
      <c r="T1107" s="161">
        <v>0</v>
      </c>
      <c r="U1107" s="161">
        <v>0</v>
      </c>
      <c r="V1107" s="161">
        <v>0</v>
      </c>
      <c r="W1107" s="161">
        <f t="shared" si="103"/>
        <v>-2799</v>
      </c>
      <c r="X1107" s="161">
        <f t="shared" si="104"/>
        <v>0</v>
      </c>
      <c r="Y1107" s="161">
        <f t="shared" si="105"/>
        <v>-2799</v>
      </c>
      <c r="Z1107" s="161">
        <f>1400+1399</f>
        <v>2799</v>
      </c>
      <c r="AA1107" s="161">
        <f t="shared" si="106"/>
        <v>0</v>
      </c>
      <c r="AB1107" s="161">
        <f t="shared" si="107"/>
        <v>2799</v>
      </c>
      <c r="AC1107" s="158"/>
      <c r="AD1107" s="158"/>
    </row>
    <row r="1108" spans="1:30" ht="12.75" customHeight="1" x14ac:dyDescent="0.3">
      <c r="A1108" s="147">
        <v>47</v>
      </c>
      <c r="B1108" s="158" t="s">
        <v>585</v>
      </c>
      <c r="C1108" s="158" t="s">
        <v>42</v>
      </c>
      <c r="D1108" s="158" t="s">
        <v>948</v>
      </c>
      <c r="E1108" s="158" t="s">
        <v>25</v>
      </c>
      <c r="F1108" s="158" t="s">
        <v>25</v>
      </c>
      <c r="G1108" s="158" t="s">
        <v>866</v>
      </c>
      <c r="H1108" s="161">
        <v>0</v>
      </c>
      <c r="I1108" s="161">
        <v>0</v>
      </c>
      <c r="J1108" s="161">
        <v>0</v>
      </c>
      <c r="K1108" s="161">
        <v>0</v>
      </c>
      <c r="L1108" s="161">
        <v>0</v>
      </c>
      <c r="M1108" s="161">
        <v>0</v>
      </c>
      <c r="N1108" s="161">
        <v>0</v>
      </c>
      <c r="O1108" s="162">
        <f t="shared" si="102"/>
        <v>0</v>
      </c>
      <c r="P1108" s="161">
        <v>-2500</v>
      </c>
      <c r="Q1108" s="161">
        <v>0</v>
      </c>
      <c r="R1108" s="161">
        <v>0</v>
      </c>
      <c r="S1108" s="161">
        <v>0</v>
      </c>
      <c r="T1108" s="161">
        <v>0</v>
      </c>
      <c r="U1108" s="161">
        <v>0</v>
      </c>
      <c r="V1108" s="161">
        <v>0</v>
      </c>
      <c r="W1108" s="161">
        <f t="shared" si="103"/>
        <v>-2500</v>
      </c>
      <c r="X1108" s="161">
        <f t="shared" si="104"/>
        <v>0</v>
      </c>
      <c r="Y1108" s="161">
        <f t="shared" si="105"/>
        <v>-2500</v>
      </c>
      <c r="Z1108" s="161">
        <v>2500</v>
      </c>
      <c r="AA1108" s="161">
        <f t="shared" si="106"/>
        <v>0</v>
      </c>
      <c r="AB1108" s="161">
        <f t="shared" si="107"/>
        <v>2500</v>
      </c>
      <c r="AC1108" s="158"/>
      <c r="AD1108" s="158"/>
    </row>
    <row r="1109" spans="1:30" ht="12.75" customHeight="1" x14ac:dyDescent="0.3">
      <c r="A1109" s="147">
        <v>47</v>
      </c>
      <c r="B1109" s="158" t="s">
        <v>913</v>
      </c>
      <c r="C1109" s="158" t="s">
        <v>426</v>
      </c>
      <c r="D1109" s="158" t="s">
        <v>903</v>
      </c>
      <c r="E1109" s="158" t="s">
        <v>25</v>
      </c>
      <c r="F1109" s="158" t="s">
        <v>25</v>
      </c>
      <c r="G1109" s="158" t="s">
        <v>866</v>
      </c>
      <c r="H1109" s="161">
        <v>4305.6400000000003</v>
      </c>
      <c r="I1109" s="161">
        <v>0</v>
      </c>
      <c r="J1109" s="161">
        <v>0</v>
      </c>
      <c r="K1109" s="161">
        <v>0</v>
      </c>
      <c r="L1109" s="161">
        <v>-3523.79</v>
      </c>
      <c r="M1109" s="161">
        <v>-85</v>
      </c>
      <c r="N1109" s="161">
        <v>-222</v>
      </c>
      <c r="O1109" s="162">
        <f t="shared" si="102"/>
        <v>474.85000000000036</v>
      </c>
      <c r="P1109" s="161">
        <v>-2500</v>
      </c>
      <c r="Q1109" s="161">
        <v>-2</v>
      </c>
      <c r="R1109" s="161">
        <v>0</v>
      </c>
      <c r="S1109" s="161">
        <v>0</v>
      </c>
      <c r="T1109" s="161">
        <v>-500</v>
      </c>
      <c r="U1109" s="161">
        <v>0</v>
      </c>
      <c r="V1109" s="161">
        <v>0</v>
      </c>
      <c r="W1109" s="161">
        <f t="shared" si="103"/>
        <v>-2527.1499999999996</v>
      </c>
      <c r="X1109" s="161">
        <f t="shared" si="104"/>
        <v>0</v>
      </c>
      <c r="Y1109" s="161">
        <f t="shared" si="105"/>
        <v>-2527.1499999999996</v>
      </c>
      <c r="Z1109" s="161">
        <v>2000</v>
      </c>
      <c r="AA1109" s="161">
        <f t="shared" si="106"/>
        <v>-527.14999999999964</v>
      </c>
      <c r="AB1109" s="161">
        <f t="shared" si="107"/>
        <v>1947.7000000000007</v>
      </c>
      <c r="AC1109" s="158"/>
      <c r="AD1109" s="158"/>
    </row>
    <row r="1110" spans="1:30" ht="12" customHeight="1" x14ac:dyDescent="0.3">
      <c r="A1110" s="147">
        <v>47</v>
      </c>
      <c r="B1110" s="158" t="s">
        <v>921</v>
      </c>
      <c r="C1110" s="158" t="s">
        <v>257</v>
      </c>
      <c r="D1110" s="160" t="s">
        <v>943</v>
      </c>
      <c r="E1110" s="158" t="s">
        <v>25</v>
      </c>
      <c r="F1110" s="158" t="s">
        <v>25</v>
      </c>
      <c r="G1110" s="158" t="s">
        <v>866</v>
      </c>
      <c r="H1110" s="161">
        <v>0</v>
      </c>
      <c r="I1110" s="161">
        <v>0</v>
      </c>
      <c r="J1110" s="161">
        <v>0</v>
      </c>
      <c r="K1110" s="161">
        <v>0</v>
      </c>
      <c r="L1110" s="161">
        <v>0</v>
      </c>
      <c r="M1110" s="161">
        <v>0</v>
      </c>
      <c r="N1110" s="161">
        <v>0</v>
      </c>
      <c r="O1110" s="162">
        <f t="shared" ref="O1110:O1173" si="108">SUM(H1110:N1110)</f>
        <v>0</v>
      </c>
      <c r="P1110" s="161">
        <v>0</v>
      </c>
      <c r="Q1110" s="161">
        <v>0</v>
      </c>
      <c r="R1110" s="161">
        <v>500</v>
      </c>
      <c r="S1110" s="161">
        <v>0</v>
      </c>
      <c r="T1110" s="161">
        <v>0</v>
      </c>
      <c r="U1110" s="161">
        <v>0</v>
      </c>
      <c r="V1110" s="161">
        <v>0</v>
      </c>
      <c r="W1110" s="161">
        <f t="shared" ref="W1110:W1173" si="109">+O1110+SUM(P1110:V1110)</f>
        <v>500</v>
      </c>
      <c r="X1110" s="161">
        <f t="shared" ref="X1110:X1173" si="110">IF(W1110&gt;=0,W1110,0)</f>
        <v>500</v>
      </c>
      <c r="Y1110" s="161">
        <f t="shared" ref="Y1110:Y1173" si="111">IF(W1110&lt;=0,W1110,0)</f>
        <v>0</v>
      </c>
      <c r="Z1110" s="161">
        <v>0</v>
      </c>
      <c r="AA1110" s="161">
        <f t="shared" si="106"/>
        <v>0</v>
      </c>
      <c r="AB1110" s="161">
        <f t="shared" si="107"/>
        <v>-500</v>
      </c>
      <c r="AC1110" s="158"/>
      <c r="AD1110" s="158"/>
    </row>
    <row r="1111" spans="1:30" ht="12.75" customHeight="1" x14ac:dyDescent="0.3">
      <c r="A1111" s="147">
        <v>47</v>
      </c>
      <c r="B1111" s="158" t="s">
        <v>993</v>
      </c>
      <c r="C1111" s="158" t="s">
        <v>347</v>
      </c>
      <c r="D1111" s="158" t="s">
        <v>20</v>
      </c>
      <c r="E1111" s="158" t="s">
        <v>25</v>
      </c>
      <c r="F1111" s="158" t="s">
        <v>25</v>
      </c>
      <c r="G1111" s="158" t="s">
        <v>866</v>
      </c>
      <c r="H1111" s="161">
        <v>0</v>
      </c>
      <c r="I1111" s="161">
        <v>0</v>
      </c>
      <c r="J1111" s="161">
        <v>0</v>
      </c>
      <c r="K1111" s="161">
        <v>0</v>
      </c>
      <c r="L1111" s="161">
        <v>0</v>
      </c>
      <c r="M1111" s="161">
        <v>0</v>
      </c>
      <c r="N1111" s="161">
        <v>0</v>
      </c>
      <c r="O1111" s="162">
        <f t="shared" si="108"/>
        <v>0</v>
      </c>
      <c r="P1111" s="161">
        <v>0</v>
      </c>
      <c r="Q1111" s="161">
        <v>0</v>
      </c>
      <c r="R1111" s="161">
        <v>500</v>
      </c>
      <c r="S1111" s="161">
        <v>0</v>
      </c>
      <c r="T1111" s="161">
        <v>0</v>
      </c>
      <c r="U1111" s="161">
        <v>0</v>
      </c>
      <c r="V1111" s="161">
        <v>0</v>
      </c>
      <c r="W1111" s="161">
        <f t="shared" si="109"/>
        <v>500</v>
      </c>
      <c r="X1111" s="161">
        <f t="shared" si="110"/>
        <v>500</v>
      </c>
      <c r="Y1111" s="161">
        <f t="shared" si="111"/>
        <v>0</v>
      </c>
      <c r="Z1111" s="161">
        <v>0</v>
      </c>
      <c r="AA1111" s="161">
        <f t="shared" si="106"/>
        <v>0</v>
      </c>
      <c r="AB1111" s="161">
        <f t="shared" si="107"/>
        <v>-500</v>
      </c>
      <c r="AC1111" s="158"/>
      <c r="AD1111" s="158"/>
    </row>
    <row r="1112" spans="1:30" ht="12.75" customHeight="1" x14ac:dyDescent="0.3">
      <c r="A1112" s="147">
        <v>47</v>
      </c>
      <c r="B1112" s="158" t="s">
        <v>1076</v>
      </c>
      <c r="C1112" s="158" t="s">
        <v>80</v>
      </c>
      <c r="D1112" s="158" t="s">
        <v>996</v>
      </c>
      <c r="E1112" s="158" t="s">
        <v>18</v>
      </c>
      <c r="F1112" s="160" t="s">
        <v>18</v>
      </c>
      <c r="G1112" s="158" t="s">
        <v>737</v>
      </c>
      <c r="H1112" s="161">
        <v>6842.63</v>
      </c>
      <c r="I1112" s="161">
        <v>0</v>
      </c>
      <c r="J1112" s="161">
        <v>0</v>
      </c>
      <c r="K1112" s="161">
        <v>0</v>
      </c>
      <c r="L1112" s="161">
        <v>-3303.71</v>
      </c>
      <c r="M1112" s="161">
        <v>0</v>
      </c>
      <c r="N1112" s="161">
        <v>0</v>
      </c>
      <c r="O1112" s="162">
        <f t="shared" si="108"/>
        <v>3538.92</v>
      </c>
      <c r="P1112" s="161">
        <v>-2600</v>
      </c>
      <c r="Q1112" s="161">
        <v>0</v>
      </c>
      <c r="R1112" s="161">
        <v>-500</v>
      </c>
      <c r="S1112" s="161">
        <v>0</v>
      </c>
      <c r="T1112" s="161">
        <v>0</v>
      </c>
      <c r="U1112" s="161">
        <v>0</v>
      </c>
      <c r="V1112" s="161">
        <v>0</v>
      </c>
      <c r="W1112" s="161">
        <f t="shared" si="109"/>
        <v>438.92000000000007</v>
      </c>
      <c r="X1112" s="161">
        <f t="shared" si="110"/>
        <v>438.92000000000007</v>
      </c>
      <c r="Y1112" s="161">
        <f t="shared" si="111"/>
        <v>0</v>
      </c>
      <c r="Z1112" s="161">
        <v>0</v>
      </c>
      <c r="AA1112" s="161">
        <f t="shared" si="106"/>
        <v>0</v>
      </c>
      <c r="AB1112" s="161">
        <f t="shared" si="107"/>
        <v>3100</v>
      </c>
      <c r="AC1112" s="158"/>
      <c r="AD1112" s="158"/>
    </row>
    <row r="1113" spans="1:30" ht="12.75" customHeight="1" x14ac:dyDescent="0.3">
      <c r="A1113" s="147">
        <v>47</v>
      </c>
      <c r="B1113" s="158" t="s">
        <v>874</v>
      </c>
      <c r="C1113" s="158" t="s">
        <v>1071</v>
      </c>
      <c r="D1113" s="158" t="s">
        <v>1111</v>
      </c>
      <c r="E1113" s="158" t="s">
        <v>18</v>
      </c>
      <c r="F1113" s="160" t="s">
        <v>18</v>
      </c>
      <c r="G1113" s="158" t="s">
        <v>737</v>
      </c>
      <c r="H1113" s="161">
        <v>0</v>
      </c>
      <c r="I1113" s="161">
        <v>0</v>
      </c>
      <c r="J1113" s="161">
        <v>0</v>
      </c>
      <c r="K1113" s="161">
        <v>0</v>
      </c>
      <c r="L1113" s="161">
        <v>0</v>
      </c>
      <c r="M1113" s="161">
        <v>0</v>
      </c>
      <c r="N1113" s="161">
        <v>0</v>
      </c>
      <c r="O1113" s="162">
        <f t="shared" si="108"/>
        <v>0</v>
      </c>
      <c r="P1113" s="161">
        <v>-2500</v>
      </c>
      <c r="Q1113" s="161">
        <v>0</v>
      </c>
      <c r="R1113" s="161">
        <v>0</v>
      </c>
      <c r="S1113" s="161">
        <v>0</v>
      </c>
      <c r="T1113" s="161">
        <v>0</v>
      </c>
      <c r="U1113" s="161">
        <v>0</v>
      </c>
      <c r="V1113" s="161">
        <v>0</v>
      </c>
      <c r="W1113" s="161">
        <f t="shared" si="109"/>
        <v>-2500</v>
      </c>
      <c r="X1113" s="161">
        <f t="shared" si="110"/>
        <v>0</v>
      </c>
      <c r="Y1113" s="161">
        <f t="shared" si="111"/>
        <v>-2500</v>
      </c>
      <c r="Z1113" s="161">
        <v>2500</v>
      </c>
      <c r="AA1113" s="161">
        <f t="shared" si="106"/>
        <v>0</v>
      </c>
      <c r="AB1113" s="161">
        <f t="shared" si="107"/>
        <v>2500</v>
      </c>
      <c r="AC1113" s="158"/>
      <c r="AD1113" s="158"/>
    </row>
    <row r="1114" spans="1:30" ht="12.75" customHeight="1" x14ac:dyDescent="0.3">
      <c r="A1114" s="147">
        <v>47</v>
      </c>
      <c r="B1114" s="158" t="s">
        <v>1051</v>
      </c>
      <c r="C1114" s="158" t="s">
        <v>21</v>
      </c>
      <c r="D1114" s="158" t="s">
        <v>20</v>
      </c>
      <c r="E1114" s="158" t="s">
        <v>18</v>
      </c>
      <c r="F1114" s="160" t="s">
        <v>18</v>
      </c>
      <c r="G1114" s="158" t="s">
        <v>866</v>
      </c>
      <c r="H1114" s="161">
        <v>2664.85</v>
      </c>
      <c r="I1114" s="161">
        <v>0</v>
      </c>
      <c r="J1114" s="161">
        <v>0</v>
      </c>
      <c r="K1114" s="161">
        <v>0</v>
      </c>
      <c r="L1114" s="161">
        <v>-1027.57</v>
      </c>
      <c r="M1114" s="161">
        <v>-40</v>
      </c>
      <c r="N1114" s="161">
        <v>0</v>
      </c>
      <c r="O1114" s="162">
        <f t="shared" si="108"/>
        <v>1597.28</v>
      </c>
      <c r="P1114" s="161">
        <v>-2500</v>
      </c>
      <c r="Q1114" s="161">
        <v>0</v>
      </c>
      <c r="R1114" s="161">
        <v>0</v>
      </c>
      <c r="S1114" s="161">
        <v>0</v>
      </c>
      <c r="T1114" s="161">
        <v>0</v>
      </c>
      <c r="U1114" s="161">
        <v>0</v>
      </c>
      <c r="V1114" s="161">
        <v>0</v>
      </c>
      <c r="W1114" s="161">
        <f t="shared" si="109"/>
        <v>-902.72</v>
      </c>
      <c r="X1114" s="161">
        <f t="shared" si="110"/>
        <v>0</v>
      </c>
      <c r="Y1114" s="161">
        <f t="shared" si="111"/>
        <v>-902.72</v>
      </c>
      <c r="Z1114" s="161">
        <v>903</v>
      </c>
      <c r="AA1114" s="161">
        <f t="shared" si="106"/>
        <v>0.27999999999997272</v>
      </c>
      <c r="AB1114" s="161">
        <f t="shared" si="107"/>
        <v>2500.5599999999995</v>
      </c>
      <c r="AC1114" s="158"/>
      <c r="AD1114" s="158"/>
    </row>
    <row r="1115" spans="1:30" ht="12.75" customHeight="1" x14ac:dyDescent="0.3">
      <c r="A1115" s="147">
        <v>47</v>
      </c>
      <c r="B1115" s="158" t="s">
        <v>1141</v>
      </c>
      <c r="C1115" s="158" t="s">
        <v>120</v>
      </c>
      <c r="D1115" s="158" t="s">
        <v>950</v>
      </c>
      <c r="E1115" s="158" t="s">
        <v>25</v>
      </c>
      <c r="F1115" s="158" t="s">
        <v>25</v>
      </c>
      <c r="G1115" s="158" t="s">
        <v>866</v>
      </c>
      <c r="H1115" s="161">
        <v>28.91</v>
      </c>
      <c r="I1115" s="161">
        <v>-4.63</v>
      </c>
      <c r="J1115" s="161">
        <v>0</v>
      </c>
      <c r="K1115" s="161">
        <v>0</v>
      </c>
      <c r="L1115" s="161">
        <v>0</v>
      </c>
      <c r="M1115" s="161">
        <v>-36</v>
      </c>
      <c r="N1115" s="161">
        <v>0</v>
      </c>
      <c r="O1115" s="162">
        <f t="shared" si="108"/>
        <v>-11.719999999999999</v>
      </c>
      <c r="P1115" s="161">
        <v>-1071.42</v>
      </c>
      <c r="Q1115" s="161">
        <v>0</v>
      </c>
      <c r="R1115" s="161">
        <v>-214</v>
      </c>
      <c r="S1115" s="161">
        <v>0</v>
      </c>
      <c r="T1115" s="161">
        <v>0</v>
      </c>
      <c r="U1115" s="161">
        <v>0</v>
      </c>
      <c r="V1115" s="161">
        <v>0</v>
      </c>
      <c r="W1115" s="161">
        <f t="shared" si="109"/>
        <v>-1297.1400000000001</v>
      </c>
      <c r="X1115" s="161">
        <f t="shared" si="110"/>
        <v>0</v>
      </c>
      <c r="Y1115" s="161">
        <f t="shared" si="111"/>
        <v>-1297.1400000000001</v>
      </c>
      <c r="Z1115" s="161">
        <v>1300</v>
      </c>
      <c r="AA1115" s="161">
        <f t="shared" si="106"/>
        <v>2.8599999999999</v>
      </c>
      <c r="AB1115" s="161">
        <f t="shared" si="107"/>
        <v>1291.1399999999999</v>
      </c>
      <c r="AC1115" s="158"/>
      <c r="AD1115" s="158"/>
    </row>
    <row r="1116" spans="1:30" ht="12.75" customHeight="1" x14ac:dyDescent="0.3">
      <c r="A1116" s="147">
        <v>47</v>
      </c>
      <c r="B1116" s="158" t="s">
        <v>1142</v>
      </c>
      <c r="C1116" s="158" t="s">
        <v>101</v>
      </c>
      <c r="D1116" s="158" t="s">
        <v>945</v>
      </c>
      <c r="E1116" s="158" t="s">
        <v>25</v>
      </c>
      <c r="F1116" s="158" t="s">
        <v>25</v>
      </c>
      <c r="G1116" s="158" t="s">
        <v>866</v>
      </c>
      <c r="H1116" s="161">
        <v>1870.8</v>
      </c>
      <c r="I1116" s="161">
        <v>0</v>
      </c>
      <c r="J1116" s="161">
        <v>0</v>
      </c>
      <c r="K1116" s="161">
        <v>0</v>
      </c>
      <c r="L1116" s="161">
        <v>-577.09</v>
      </c>
      <c r="M1116" s="161">
        <v>-40</v>
      </c>
      <c r="N1116" s="161">
        <v>0</v>
      </c>
      <c r="O1116" s="162">
        <f t="shared" si="108"/>
        <v>1253.71</v>
      </c>
      <c r="P1116" s="161">
        <v>-1428.57</v>
      </c>
      <c r="Q1116" s="161">
        <v>0</v>
      </c>
      <c r="R1116" s="161">
        <v>-286</v>
      </c>
      <c r="S1116" s="161">
        <v>0</v>
      </c>
      <c r="T1116" s="161">
        <v>0</v>
      </c>
      <c r="U1116" s="161">
        <v>0</v>
      </c>
      <c r="V1116" s="161">
        <v>0</v>
      </c>
      <c r="W1116" s="161">
        <f t="shared" si="109"/>
        <v>-460.8599999999999</v>
      </c>
      <c r="X1116" s="161">
        <f t="shared" si="110"/>
        <v>0</v>
      </c>
      <c r="Y1116" s="161">
        <f t="shared" si="111"/>
        <v>-460.8599999999999</v>
      </c>
      <c r="Z1116" s="161">
        <v>460</v>
      </c>
      <c r="AA1116" s="161">
        <f t="shared" si="106"/>
        <v>-0.85999999999989996</v>
      </c>
      <c r="AB1116" s="161">
        <f t="shared" si="107"/>
        <v>1712.8500000000001</v>
      </c>
      <c r="AC1116" s="158"/>
      <c r="AD1116" s="158"/>
    </row>
    <row r="1117" spans="1:30" ht="12.75" customHeight="1" x14ac:dyDescent="0.3">
      <c r="A1117" s="147">
        <v>47</v>
      </c>
      <c r="B1117" s="158" t="s">
        <v>1143</v>
      </c>
      <c r="C1117" s="158" t="s">
        <v>53</v>
      </c>
      <c r="D1117" s="158" t="s">
        <v>1144</v>
      </c>
      <c r="E1117" s="158" t="s">
        <v>25</v>
      </c>
      <c r="F1117" s="158" t="s">
        <v>25</v>
      </c>
      <c r="G1117" s="158" t="s">
        <v>866</v>
      </c>
      <c r="H1117" s="161">
        <v>1260.33</v>
      </c>
      <c r="I1117" s="161">
        <v>0</v>
      </c>
      <c r="J1117" s="161">
        <v>0</v>
      </c>
      <c r="K1117" s="161">
        <v>0</v>
      </c>
      <c r="L1117" s="161">
        <v>-552.25</v>
      </c>
      <c r="M1117" s="161">
        <v>-40</v>
      </c>
      <c r="N1117" s="161">
        <v>0</v>
      </c>
      <c r="O1117" s="162">
        <f t="shared" si="108"/>
        <v>668.07999999999993</v>
      </c>
      <c r="P1117" s="161">
        <v>-1250</v>
      </c>
      <c r="Q1117" s="161">
        <v>0</v>
      </c>
      <c r="R1117" s="161">
        <v>-250</v>
      </c>
      <c r="S1117" s="161">
        <v>0</v>
      </c>
      <c r="T1117" s="161">
        <v>0</v>
      </c>
      <c r="U1117" s="161">
        <v>0</v>
      </c>
      <c r="V1117" s="161">
        <v>0</v>
      </c>
      <c r="W1117" s="161">
        <f t="shared" si="109"/>
        <v>-831.92000000000007</v>
      </c>
      <c r="X1117" s="161">
        <f t="shared" si="110"/>
        <v>0</v>
      </c>
      <c r="Y1117" s="161">
        <f t="shared" si="111"/>
        <v>-831.92000000000007</v>
      </c>
      <c r="Z1117" s="161">
        <v>832</v>
      </c>
      <c r="AA1117" s="161">
        <f t="shared" si="106"/>
        <v>7.999999999992724E-2</v>
      </c>
      <c r="AB1117" s="161">
        <f t="shared" si="107"/>
        <v>1500.1599999999999</v>
      </c>
      <c r="AC1117" s="158"/>
      <c r="AD1117" s="158"/>
    </row>
    <row r="1118" spans="1:30" ht="12.75" customHeight="1" x14ac:dyDescent="0.3">
      <c r="A1118" s="147">
        <v>47</v>
      </c>
      <c r="B1118" s="158" t="s">
        <v>837</v>
      </c>
      <c r="C1118" s="158" t="s">
        <v>334</v>
      </c>
      <c r="D1118" s="158" t="s">
        <v>1145</v>
      </c>
      <c r="E1118" s="158" t="s">
        <v>25</v>
      </c>
      <c r="F1118" s="158" t="s">
        <v>25</v>
      </c>
      <c r="G1118" s="158" t="s">
        <v>866</v>
      </c>
      <c r="H1118" s="161">
        <v>3347.04</v>
      </c>
      <c r="I1118" s="161">
        <v>0</v>
      </c>
      <c r="J1118" s="161">
        <v>0</v>
      </c>
      <c r="K1118" s="161">
        <v>0</v>
      </c>
      <c r="L1118" s="161">
        <v>0</v>
      </c>
      <c r="M1118" s="161">
        <v>-45</v>
      </c>
      <c r="N1118" s="161">
        <v>0</v>
      </c>
      <c r="O1118" s="162">
        <f t="shared" si="108"/>
        <v>3302.04</v>
      </c>
      <c r="P1118" s="161">
        <v>-1071</v>
      </c>
      <c r="Q1118" s="161">
        <v>0</v>
      </c>
      <c r="R1118" s="161">
        <v>0</v>
      </c>
      <c r="S1118" s="161">
        <v>0</v>
      </c>
      <c r="T1118" s="161">
        <v>0</v>
      </c>
      <c r="U1118" s="161">
        <v>0</v>
      </c>
      <c r="V1118" s="161">
        <v>0</v>
      </c>
      <c r="W1118" s="161">
        <f t="shared" si="109"/>
        <v>2231.04</v>
      </c>
      <c r="X1118" s="161">
        <f t="shared" si="110"/>
        <v>2231.04</v>
      </c>
      <c r="Y1118" s="161">
        <f t="shared" si="111"/>
        <v>0</v>
      </c>
      <c r="Z1118" s="161">
        <v>0</v>
      </c>
      <c r="AA1118" s="161">
        <f t="shared" si="106"/>
        <v>0</v>
      </c>
      <c r="AB1118" s="161">
        <f t="shared" si="107"/>
        <v>1071</v>
      </c>
      <c r="AC1118" s="158"/>
      <c r="AD1118" s="158"/>
    </row>
    <row r="1119" spans="1:30" ht="12.75" customHeight="1" x14ac:dyDescent="0.3">
      <c r="A1119" s="147">
        <v>47</v>
      </c>
      <c r="B1119" s="158" t="s">
        <v>484</v>
      </c>
      <c r="C1119" s="158" t="s">
        <v>1065</v>
      </c>
      <c r="D1119" s="158" t="s">
        <v>1146</v>
      </c>
      <c r="E1119" s="158" t="s">
        <v>25</v>
      </c>
      <c r="F1119" s="158" t="s">
        <v>25</v>
      </c>
      <c r="G1119" s="158" t="s">
        <v>866</v>
      </c>
      <c r="H1119" s="161">
        <v>4930.3100000000004</v>
      </c>
      <c r="I1119" s="161">
        <v>-178.4</v>
      </c>
      <c r="J1119" s="161">
        <v>0</v>
      </c>
      <c r="K1119" s="161">
        <v>0</v>
      </c>
      <c r="L1119" s="161">
        <v>-2686.18</v>
      </c>
      <c r="M1119" s="161">
        <v>-60</v>
      </c>
      <c r="N1119" s="161">
        <v>0</v>
      </c>
      <c r="O1119" s="162">
        <f t="shared" si="108"/>
        <v>2005.7300000000009</v>
      </c>
      <c r="P1119" s="161">
        <v>-1071</v>
      </c>
      <c r="Q1119" s="161">
        <v>0</v>
      </c>
      <c r="R1119" s="161">
        <v>0</v>
      </c>
      <c r="S1119" s="161">
        <v>0</v>
      </c>
      <c r="T1119" s="161">
        <v>0</v>
      </c>
      <c r="U1119" s="161">
        <v>0</v>
      </c>
      <c r="V1119" s="161">
        <v>0</v>
      </c>
      <c r="W1119" s="161">
        <f t="shared" si="109"/>
        <v>934.73000000000093</v>
      </c>
      <c r="X1119" s="161">
        <f t="shared" si="110"/>
        <v>934.73000000000093</v>
      </c>
      <c r="Y1119" s="161">
        <f t="shared" si="111"/>
        <v>0</v>
      </c>
      <c r="Z1119" s="161">
        <v>0</v>
      </c>
      <c r="AA1119" s="161">
        <f t="shared" si="106"/>
        <v>0</v>
      </c>
      <c r="AB1119" s="161">
        <f t="shared" si="107"/>
        <v>1071</v>
      </c>
      <c r="AC1119" s="158"/>
      <c r="AD1119" s="158"/>
    </row>
    <row r="1120" spans="1:30" ht="12.75" customHeight="1" x14ac:dyDescent="0.3">
      <c r="A1120" s="147">
        <v>47</v>
      </c>
      <c r="B1120" s="158" t="s">
        <v>1062</v>
      </c>
      <c r="C1120" s="158" t="s">
        <v>55</v>
      </c>
      <c r="D1120" s="158" t="s">
        <v>1147</v>
      </c>
      <c r="E1120" s="158" t="s">
        <v>25</v>
      </c>
      <c r="F1120" s="158" t="s">
        <v>25</v>
      </c>
      <c r="G1120" s="158" t="s">
        <v>866</v>
      </c>
      <c r="H1120" s="161">
        <v>1662.73</v>
      </c>
      <c r="I1120" s="161">
        <v>0</v>
      </c>
      <c r="J1120" s="161">
        <v>0</v>
      </c>
      <c r="K1120" s="161">
        <v>0</v>
      </c>
      <c r="L1120" s="161">
        <v>-616.66999999999996</v>
      </c>
      <c r="M1120" s="161">
        <v>-40</v>
      </c>
      <c r="N1120" s="161">
        <v>0</v>
      </c>
      <c r="O1120" s="162">
        <f t="shared" si="108"/>
        <v>1006.06</v>
      </c>
      <c r="P1120" s="161">
        <v>-1071</v>
      </c>
      <c r="Q1120" s="161">
        <v>0</v>
      </c>
      <c r="R1120" s="161">
        <v>0</v>
      </c>
      <c r="S1120" s="161">
        <v>0</v>
      </c>
      <c r="T1120" s="161">
        <v>0</v>
      </c>
      <c r="U1120" s="161">
        <v>0</v>
      </c>
      <c r="V1120" s="161">
        <v>0</v>
      </c>
      <c r="W1120" s="161">
        <f t="shared" si="109"/>
        <v>-64.940000000000055</v>
      </c>
      <c r="X1120" s="161">
        <f t="shared" si="110"/>
        <v>0</v>
      </c>
      <c r="Y1120" s="161">
        <f t="shared" si="111"/>
        <v>-64.940000000000055</v>
      </c>
      <c r="Z1120" s="161">
        <v>65</v>
      </c>
      <c r="AA1120" s="161">
        <f t="shared" si="106"/>
        <v>5.999999999994543E-2</v>
      </c>
      <c r="AB1120" s="161">
        <f t="shared" si="107"/>
        <v>1071.1199999999999</v>
      </c>
      <c r="AC1120" s="158" t="s">
        <v>1148</v>
      </c>
      <c r="AD1120" s="158"/>
    </row>
    <row r="1121" spans="1:30" ht="12.75" customHeight="1" x14ac:dyDescent="0.3">
      <c r="A1121" s="147">
        <v>47</v>
      </c>
      <c r="B1121" s="158" t="s">
        <v>457</v>
      </c>
      <c r="C1121" s="158" t="s">
        <v>573</v>
      </c>
      <c r="D1121" s="158" t="s">
        <v>1149</v>
      </c>
      <c r="E1121" s="158" t="s">
        <v>25</v>
      </c>
      <c r="F1121" s="158" t="s">
        <v>25</v>
      </c>
      <c r="G1121" s="158" t="s">
        <v>866</v>
      </c>
      <c r="H1121" s="161">
        <v>3875.16</v>
      </c>
      <c r="I1121" s="161">
        <v>0</v>
      </c>
      <c r="J1121" s="161">
        <v>0</v>
      </c>
      <c r="K1121" s="161">
        <v>0</v>
      </c>
      <c r="L1121" s="161">
        <v>-2049.98</v>
      </c>
      <c r="M1121" s="161">
        <v>-40</v>
      </c>
      <c r="N1121" s="161">
        <v>0</v>
      </c>
      <c r="O1121" s="162">
        <f t="shared" si="108"/>
        <v>1785.1799999999998</v>
      </c>
      <c r="P1121" s="161">
        <v>-1071</v>
      </c>
      <c r="Q1121" s="161">
        <v>0</v>
      </c>
      <c r="R1121" s="161">
        <v>0</v>
      </c>
      <c r="S1121" s="161">
        <v>0</v>
      </c>
      <c r="T1121" s="161">
        <v>0</v>
      </c>
      <c r="U1121" s="161">
        <v>0</v>
      </c>
      <c r="V1121" s="161">
        <v>0</v>
      </c>
      <c r="W1121" s="161">
        <f t="shared" si="109"/>
        <v>714.17999999999984</v>
      </c>
      <c r="X1121" s="161">
        <f t="shared" si="110"/>
        <v>714.17999999999984</v>
      </c>
      <c r="Y1121" s="161">
        <f t="shared" si="111"/>
        <v>0</v>
      </c>
      <c r="Z1121" s="161">
        <v>0</v>
      </c>
      <c r="AA1121" s="161">
        <f t="shared" si="106"/>
        <v>0</v>
      </c>
      <c r="AB1121" s="161">
        <f t="shared" si="107"/>
        <v>1071</v>
      </c>
      <c r="AC1121" s="158"/>
      <c r="AD1121" s="158"/>
    </row>
    <row r="1122" spans="1:30" ht="15" customHeight="1" x14ac:dyDescent="0.3">
      <c r="A1122" s="147">
        <v>47</v>
      </c>
      <c r="B1122" s="158" t="s">
        <v>1048</v>
      </c>
      <c r="C1122" s="158" t="s">
        <v>55</v>
      </c>
      <c r="D1122" s="158" t="s">
        <v>1147</v>
      </c>
      <c r="E1122" s="158" t="s">
        <v>25</v>
      </c>
      <c r="F1122" s="158" t="s">
        <v>25</v>
      </c>
      <c r="G1122" s="158" t="s">
        <v>866</v>
      </c>
      <c r="H1122" s="161">
        <v>0</v>
      </c>
      <c r="I1122" s="161">
        <v>0</v>
      </c>
      <c r="J1122" s="161">
        <v>0</v>
      </c>
      <c r="K1122" s="161">
        <v>0</v>
      </c>
      <c r="L1122" s="161">
        <v>0</v>
      </c>
      <c r="M1122" s="161">
        <v>0</v>
      </c>
      <c r="N1122" s="161">
        <v>0</v>
      </c>
      <c r="O1122" s="162">
        <f t="shared" si="108"/>
        <v>0</v>
      </c>
      <c r="P1122" s="161">
        <v>0</v>
      </c>
      <c r="Q1122" s="161">
        <v>0</v>
      </c>
      <c r="R1122" s="161">
        <v>2000</v>
      </c>
      <c r="S1122" s="161">
        <v>0</v>
      </c>
      <c r="T1122" s="161">
        <v>0</v>
      </c>
      <c r="U1122" s="161">
        <v>0</v>
      </c>
      <c r="V1122" s="161">
        <v>0</v>
      </c>
      <c r="W1122" s="161">
        <f t="shared" si="109"/>
        <v>2000</v>
      </c>
      <c r="X1122" s="161">
        <f t="shared" si="110"/>
        <v>2000</v>
      </c>
      <c r="Y1122" s="161">
        <f t="shared" si="111"/>
        <v>0</v>
      </c>
      <c r="Z1122" s="161">
        <v>0</v>
      </c>
      <c r="AA1122" s="161">
        <f t="shared" si="106"/>
        <v>0</v>
      </c>
      <c r="AB1122" s="161">
        <f t="shared" si="107"/>
        <v>-2000</v>
      </c>
      <c r="AD1122" s="158"/>
    </row>
    <row r="1123" spans="1:30" ht="12.75" customHeight="1" x14ac:dyDescent="0.3">
      <c r="A1123" s="147">
        <v>47</v>
      </c>
      <c r="B1123" s="158" t="s">
        <v>1010</v>
      </c>
      <c r="C1123" s="158" t="s">
        <v>110</v>
      </c>
      <c r="D1123" s="158" t="s">
        <v>20</v>
      </c>
      <c r="E1123" s="158" t="s">
        <v>18</v>
      </c>
      <c r="F1123" s="160" t="s">
        <v>18</v>
      </c>
      <c r="G1123" s="158" t="s">
        <v>866</v>
      </c>
      <c r="H1123" s="161">
        <v>182.56</v>
      </c>
      <c r="I1123" s="161">
        <v>0</v>
      </c>
      <c r="J1123" s="161">
        <v>0</v>
      </c>
      <c r="K1123" s="161">
        <v>-2.0499999999999998</v>
      </c>
      <c r="L1123" s="161">
        <v>-212.09</v>
      </c>
      <c r="M1123" s="161">
        <v>-15</v>
      </c>
      <c r="N1123" s="161">
        <v>-95</v>
      </c>
      <c r="O1123" s="162">
        <f t="shared" si="108"/>
        <v>-141.58000000000001</v>
      </c>
      <c r="P1123" s="161">
        <v>-714</v>
      </c>
      <c r="Q1123" s="161">
        <v>0</v>
      </c>
      <c r="R1123" s="161">
        <v>0</v>
      </c>
      <c r="S1123" s="161">
        <v>0</v>
      </c>
      <c r="T1123" s="161">
        <v>0</v>
      </c>
      <c r="U1123" s="161">
        <v>0</v>
      </c>
      <c r="V1123" s="161">
        <v>0</v>
      </c>
      <c r="W1123" s="161">
        <f t="shared" si="109"/>
        <v>-855.58</v>
      </c>
      <c r="X1123" s="161">
        <f t="shared" si="110"/>
        <v>0</v>
      </c>
      <c r="Y1123" s="161">
        <f t="shared" si="111"/>
        <v>-855.58</v>
      </c>
      <c r="Z1123" s="161">
        <v>856</v>
      </c>
      <c r="AA1123" s="161">
        <f t="shared" si="106"/>
        <v>0.41999999999995907</v>
      </c>
      <c r="AB1123" s="161">
        <f t="shared" si="107"/>
        <v>714.83999999999992</v>
      </c>
      <c r="AD1123" s="158"/>
    </row>
    <row r="1124" spans="1:30" ht="12" customHeight="1" x14ac:dyDescent="0.3">
      <c r="A1124" s="147">
        <v>48</v>
      </c>
      <c r="B1124" s="158" t="s">
        <v>837</v>
      </c>
      <c r="C1124" s="158" t="s">
        <v>357</v>
      </c>
      <c r="D1124" s="158" t="s">
        <v>1150</v>
      </c>
      <c r="E1124" s="158" t="s">
        <v>25</v>
      </c>
      <c r="F1124" s="158" t="s">
        <v>25</v>
      </c>
      <c r="G1124" s="158" t="s">
        <v>866</v>
      </c>
      <c r="H1124" s="161">
        <v>7081.27</v>
      </c>
      <c r="I1124" s="161">
        <v>0</v>
      </c>
      <c r="J1124" s="161">
        <v>0</v>
      </c>
      <c r="K1124" s="161">
        <v>0</v>
      </c>
      <c r="L1124" s="161">
        <v>0</v>
      </c>
      <c r="M1124" s="161">
        <v>-55</v>
      </c>
      <c r="N1124" s="161">
        <v>0</v>
      </c>
      <c r="O1124" s="162">
        <f t="shared" si="108"/>
        <v>7026.27</v>
      </c>
      <c r="P1124" s="161">
        <v>-2671</v>
      </c>
      <c r="Q1124" s="161">
        <v>0</v>
      </c>
      <c r="R1124" s="161">
        <v>0</v>
      </c>
      <c r="S1124" s="161">
        <v>0</v>
      </c>
      <c r="T1124" s="161">
        <v>0</v>
      </c>
      <c r="U1124" s="161">
        <v>0</v>
      </c>
      <c r="V1124" s="161">
        <v>0</v>
      </c>
      <c r="W1124" s="161">
        <f t="shared" si="109"/>
        <v>4355.2700000000004</v>
      </c>
      <c r="X1124" s="161">
        <f t="shared" si="110"/>
        <v>4355.2700000000004</v>
      </c>
      <c r="Y1124" s="161">
        <f t="shared" si="111"/>
        <v>0</v>
      </c>
      <c r="Z1124" s="161">
        <v>0</v>
      </c>
      <c r="AA1124" s="161">
        <f t="shared" si="106"/>
        <v>0</v>
      </c>
      <c r="AB1124" s="161">
        <f t="shared" si="107"/>
        <v>2671</v>
      </c>
      <c r="AC1124" s="158"/>
      <c r="AD1124" s="158"/>
    </row>
    <row r="1125" spans="1:30" ht="12" customHeight="1" x14ac:dyDescent="0.3">
      <c r="A1125" s="147">
        <v>48</v>
      </c>
      <c r="B1125" s="158" t="s">
        <v>837</v>
      </c>
      <c r="C1125" s="158" t="s">
        <v>334</v>
      </c>
      <c r="D1125" s="158" t="s">
        <v>1145</v>
      </c>
      <c r="E1125" s="158" t="s">
        <v>25</v>
      </c>
      <c r="F1125" s="158" t="s">
        <v>25</v>
      </c>
      <c r="G1125" s="158" t="s">
        <v>866</v>
      </c>
      <c r="H1125" s="161">
        <v>0</v>
      </c>
      <c r="I1125" s="161">
        <v>0</v>
      </c>
      <c r="J1125" s="161">
        <v>9.7899999999999991</v>
      </c>
      <c r="K1125" s="161">
        <v>0</v>
      </c>
      <c r="L1125" s="161">
        <v>0</v>
      </c>
      <c r="M1125" s="161">
        <v>-10</v>
      </c>
      <c r="N1125" s="161">
        <v>0</v>
      </c>
      <c r="O1125" s="162">
        <f t="shared" si="108"/>
        <v>-0.21000000000000085</v>
      </c>
      <c r="P1125" s="161">
        <v>0</v>
      </c>
      <c r="Q1125" s="161">
        <v>0</v>
      </c>
      <c r="R1125" s="161">
        <v>0</v>
      </c>
      <c r="S1125" s="161">
        <v>0</v>
      </c>
      <c r="T1125" s="161">
        <v>0</v>
      </c>
      <c r="U1125" s="161">
        <v>0</v>
      </c>
      <c r="V1125" s="161">
        <v>0</v>
      </c>
      <c r="W1125" s="161">
        <f t="shared" si="109"/>
        <v>-0.21000000000000085</v>
      </c>
      <c r="X1125" s="161">
        <f t="shared" si="110"/>
        <v>0</v>
      </c>
      <c r="Y1125" s="161">
        <f t="shared" si="111"/>
        <v>-0.21000000000000085</v>
      </c>
      <c r="Z1125" s="161">
        <v>0</v>
      </c>
      <c r="AA1125" s="161">
        <f t="shared" si="106"/>
        <v>-0.21000000000000085</v>
      </c>
      <c r="AB1125" s="161">
        <f t="shared" si="107"/>
        <v>-0.42000000000000171</v>
      </c>
      <c r="AD1125" s="158"/>
    </row>
    <row r="1126" spans="1:30" ht="12" customHeight="1" x14ac:dyDescent="0.3">
      <c r="A1126" s="147">
        <v>48</v>
      </c>
      <c r="B1126" s="158" t="s">
        <v>1062</v>
      </c>
      <c r="C1126" s="158" t="s">
        <v>53</v>
      </c>
      <c r="D1126" s="158" t="s">
        <v>1144</v>
      </c>
      <c r="E1126" s="158" t="s">
        <v>25</v>
      </c>
      <c r="F1126" s="158" t="s">
        <v>25</v>
      </c>
      <c r="G1126" s="158" t="s">
        <v>866</v>
      </c>
      <c r="H1126" s="161">
        <v>8644.85</v>
      </c>
      <c r="I1126" s="161">
        <v>0</v>
      </c>
      <c r="J1126" s="161">
        <v>0</v>
      </c>
      <c r="K1126" s="161">
        <v>0</v>
      </c>
      <c r="L1126" s="161">
        <v>-3223.59</v>
      </c>
      <c r="M1126" s="161">
        <v>-65</v>
      </c>
      <c r="N1126" s="161">
        <v>0</v>
      </c>
      <c r="O1126" s="162">
        <f t="shared" si="108"/>
        <v>5356.26</v>
      </c>
      <c r="P1126" s="161">
        <v>-2671</v>
      </c>
      <c r="Q1126" s="161">
        <v>0</v>
      </c>
      <c r="R1126" s="161">
        <v>0</v>
      </c>
      <c r="S1126" s="161">
        <v>0</v>
      </c>
      <c r="T1126" s="161">
        <v>0</v>
      </c>
      <c r="U1126" s="161">
        <v>0</v>
      </c>
      <c r="V1126" s="161">
        <v>0</v>
      </c>
      <c r="W1126" s="161">
        <f t="shared" si="109"/>
        <v>2685.26</v>
      </c>
      <c r="X1126" s="161">
        <f t="shared" si="110"/>
        <v>2685.26</v>
      </c>
      <c r="Y1126" s="161">
        <f t="shared" si="111"/>
        <v>0</v>
      </c>
      <c r="Z1126" s="161">
        <v>0</v>
      </c>
      <c r="AA1126" s="161">
        <f t="shared" si="106"/>
        <v>0</v>
      </c>
      <c r="AB1126" s="161">
        <f t="shared" si="107"/>
        <v>2671</v>
      </c>
      <c r="AD1126" s="158"/>
    </row>
    <row r="1127" spans="1:30" ht="12" customHeight="1" x14ac:dyDescent="0.3">
      <c r="A1127" s="147">
        <v>48</v>
      </c>
      <c r="B1127" s="158" t="s">
        <v>484</v>
      </c>
      <c r="C1127" s="158" t="s">
        <v>1065</v>
      </c>
      <c r="D1127" s="158" t="s">
        <v>903</v>
      </c>
      <c r="E1127" s="158" t="s">
        <v>25</v>
      </c>
      <c r="F1127" s="158" t="s">
        <v>25</v>
      </c>
      <c r="G1127" s="158" t="s">
        <v>866</v>
      </c>
      <c r="H1127" s="161">
        <v>8860.2999999999993</v>
      </c>
      <c r="I1127" s="161">
        <v>-200</v>
      </c>
      <c r="J1127" s="161">
        <v>0</v>
      </c>
      <c r="K1127" s="161">
        <v>0</v>
      </c>
      <c r="L1127" s="161">
        <v>-4282.53</v>
      </c>
      <c r="M1127" s="161">
        <v>-75</v>
      </c>
      <c r="N1127" s="161">
        <v>0</v>
      </c>
      <c r="O1127" s="162">
        <f t="shared" si="108"/>
        <v>4302.7699999999995</v>
      </c>
      <c r="P1127" s="161">
        <v>-2500</v>
      </c>
      <c r="Q1127" s="161">
        <v>0</v>
      </c>
      <c r="R1127" s="161">
        <v>0</v>
      </c>
      <c r="S1127" s="161">
        <v>0</v>
      </c>
      <c r="T1127" s="161">
        <v>-500</v>
      </c>
      <c r="U1127" s="161">
        <v>0</v>
      </c>
      <c r="V1127" s="161">
        <v>0</v>
      </c>
      <c r="W1127" s="161">
        <f t="shared" si="109"/>
        <v>1302.7699999999995</v>
      </c>
      <c r="X1127" s="161">
        <f t="shared" si="110"/>
        <v>1302.7699999999995</v>
      </c>
      <c r="Y1127" s="161">
        <f t="shared" si="111"/>
        <v>0</v>
      </c>
      <c r="Z1127" s="161">
        <v>0</v>
      </c>
      <c r="AA1127" s="161">
        <f t="shared" si="106"/>
        <v>0</v>
      </c>
      <c r="AB1127" s="161">
        <f t="shared" si="107"/>
        <v>3000</v>
      </c>
      <c r="AD1127" s="158"/>
    </row>
    <row r="1128" spans="1:30" ht="12" customHeight="1" x14ac:dyDescent="0.3">
      <c r="A1128" s="147">
        <v>48</v>
      </c>
      <c r="B1128" s="158" t="s">
        <v>457</v>
      </c>
      <c r="C1128" s="158" t="s">
        <v>573</v>
      </c>
      <c r="D1128" s="158" t="s">
        <v>974</v>
      </c>
      <c r="E1128" s="158" t="s">
        <v>25</v>
      </c>
      <c r="F1128" s="158" t="s">
        <v>25</v>
      </c>
      <c r="G1128" s="158" t="s">
        <v>866</v>
      </c>
      <c r="H1128" s="161">
        <v>5022.51</v>
      </c>
      <c r="I1128" s="161">
        <v>0</v>
      </c>
      <c r="J1128" s="161">
        <v>0</v>
      </c>
      <c r="K1128" s="161">
        <v>0</v>
      </c>
      <c r="L1128" s="161">
        <v>-2508.79</v>
      </c>
      <c r="M1128" s="161">
        <v>-55</v>
      </c>
      <c r="N1128" s="161">
        <v>0</v>
      </c>
      <c r="O1128" s="162">
        <f t="shared" si="108"/>
        <v>2458.7200000000003</v>
      </c>
      <c r="P1128" s="161">
        <v>-2500</v>
      </c>
      <c r="Q1128" s="161">
        <v>-744.8</v>
      </c>
      <c r="R1128" s="161">
        <v>0</v>
      </c>
      <c r="S1128" s="161">
        <v>0</v>
      </c>
      <c r="T1128" s="161">
        <v>0</v>
      </c>
      <c r="U1128" s="161">
        <v>0</v>
      </c>
      <c r="V1128" s="161">
        <v>0</v>
      </c>
      <c r="W1128" s="161">
        <f t="shared" si="109"/>
        <v>-786.07999999999993</v>
      </c>
      <c r="X1128" s="161">
        <f t="shared" si="110"/>
        <v>0</v>
      </c>
      <c r="Y1128" s="161">
        <f t="shared" si="111"/>
        <v>-786.07999999999993</v>
      </c>
      <c r="Z1128" s="161">
        <v>400</v>
      </c>
      <c r="AA1128" s="161">
        <f t="shared" si="106"/>
        <v>-386.07999999999993</v>
      </c>
      <c r="AB1128" s="161">
        <f t="shared" si="107"/>
        <v>2472.6400000000003</v>
      </c>
      <c r="AD1128" s="158"/>
    </row>
    <row r="1129" spans="1:30" ht="12" customHeight="1" x14ac:dyDescent="0.3">
      <c r="A1129" s="147">
        <v>48</v>
      </c>
      <c r="B1129" s="158" t="s">
        <v>1030</v>
      </c>
      <c r="C1129" s="158" t="s">
        <v>195</v>
      </c>
      <c r="D1129" s="158" t="s">
        <v>964</v>
      </c>
      <c r="E1129" s="160" t="s">
        <v>871</v>
      </c>
      <c r="F1129" s="158" t="s">
        <v>39</v>
      </c>
      <c r="G1129" s="158" t="s">
        <v>866</v>
      </c>
      <c r="H1129" s="161">
        <v>0</v>
      </c>
      <c r="I1129" s="161">
        <v>0</v>
      </c>
      <c r="J1129" s="161">
        <v>0</v>
      </c>
      <c r="K1129" s="161">
        <v>0</v>
      </c>
      <c r="L1129" s="161">
        <v>0</v>
      </c>
      <c r="M1129" s="161">
        <v>0</v>
      </c>
      <c r="N1129" s="161">
        <v>0</v>
      </c>
      <c r="O1129" s="162">
        <f t="shared" si="108"/>
        <v>0</v>
      </c>
      <c r="P1129" s="161">
        <v>0</v>
      </c>
      <c r="Q1129" s="161">
        <v>0</v>
      </c>
      <c r="R1129" s="161">
        <v>500</v>
      </c>
      <c r="S1129" s="161">
        <v>0</v>
      </c>
      <c r="T1129" s="161">
        <v>0</v>
      </c>
      <c r="U1129" s="161">
        <v>0</v>
      </c>
      <c r="V1129" s="161">
        <v>0</v>
      </c>
      <c r="W1129" s="161">
        <f t="shared" si="109"/>
        <v>500</v>
      </c>
      <c r="X1129" s="161">
        <f t="shared" si="110"/>
        <v>500</v>
      </c>
      <c r="Y1129" s="161">
        <f t="shared" si="111"/>
        <v>0</v>
      </c>
      <c r="Z1129" s="161">
        <v>0</v>
      </c>
      <c r="AA1129" s="161">
        <f t="shared" si="106"/>
        <v>0</v>
      </c>
      <c r="AB1129" s="161">
        <f t="shared" si="107"/>
        <v>-500</v>
      </c>
      <c r="AD1129" s="158"/>
    </row>
    <row r="1130" spans="1:30" ht="12" customHeight="1" x14ac:dyDescent="0.3">
      <c r="A1130" s="147">
        <v>48</v>
      </c>
      <c r="B1130" s="158" t="s">
        <v>515</v>
      </c>
      <c r="C1130" s="158" t="s">
        <v>347</v>
      </c>
      <c r="D1130" s="158" t="s">
        <v>1122</v>
      </c>
      <c r="E1130" s="158" t="s">
        <v>25</v>
      </c>
      <c r="F1130" s="158" t="s">
        <v>25</v>
      </c>
      <c r="G1130" s="158" t="s">
        <v>866</v>
      </c>
      <c r="H1130" s="161">
        <v>8265.99</v>
      </c>
      <c r="I1130" s="161">
        <v>-24</v>
      </c>
      <c r="J1130" s="161">
        <v>-0.41</v>
      </c>
      <c r="K1130" s="161">
        <v>0</v>
      </c>
      <c r="L1130" s="161">
        <v>-309.92</v>
      </c>
      <c r="M1130" s="161">
        <v>-40</v>
      </c>
      <c r="N1130" s="161">
        <v>0</v>
      </c>
      <c r="O1130" s="162">
        <f t="shared" si="108"/>
        <v>7891.66</v>
      </c>
      <c r="P1130" s="161">
        <v>-2500</v>
      </c>
      <c r="Q1130" s="161">
        <v>0</v>
      </c>
      <c r="R1130" s="161">
        <v>-500</v>
      </c>
      <c r="S1130" s="161">
        <v>0</v>
      </c>
      <c r="T1130" s="161">
        <v>-700</v>
      </c>
      <c r="U1130" s="161">
        <v>0</v>
      </c>
      <c r="V1130" s="161">
        <v>0</v>
      </c>
      <c r="W1130" s="161">
        <f t="shared" si="109"/>
        <v>4191.66</v>
      </c>
      <c r="X1130" s="161">
        <f t="shared" si="110"/>
        <v>4191.66</v>
      </c>
      <c r="Y1130" s="161">
        <f t="shared" si="111"/>
        <v>0</v>
      </c>
      <c r="Z1130" s="161">
        <v>0</v>
      </c>
      <c r="AA1130" s="161">
        <f t="shared" si="106"/>
        <v>0</v>
      </c>
      <c r="AB1130" s="161">
        <f t="shared" si="107"/>
        <v>3700</v>
      </c>
      <c r="AD1130" s="158"/>
    </row>
    <row r="1131" spans="1:30" ht="12" customHeight="1" x14ac:dyDescent="0.3">
      <c r="A1131" s="147">
        <v>48</v>
      </c>
      <c r="B1131" s="158" t="s">
        <v>1120</v>
      </c>
      <c r="C1131" s="158" t="s">
        <v>100</v>
      </c>
      <c r="D1131" s="158" t="s">
        <v>953</v>
      </c>
      <c r="E1131" s="158" t="s">
        <v>25</v>
      </c>
      <c r="F1131" s="158" t="s">
        <v>25</v>
      </c>
      <c r="G1131" s="158" t="s">
        <v>866</v>
      </c>
      <c r="H1131" s="161">
        <v>5698.68</v>
      </c>
      <c r="I1131" s="161">
        <v>0</v>
      </c>
      <c r="J1131" s="161">
        <v>0</v>
      </c>
      <c r="K1131" s="161">
        <v>-68.47</v>
      </c>
      <c r="L1131" s="161">
        <v>-2713.76</v>
      </c>
      <c r="M1131" s="161">
        <v>-55</v>
      </c>
      <c r="N1131" s="161">
        <v>0</v>
      </c>
      <c r="O1131" s="162">
        <f t="shared" si="108"/>
        <v>2861.45</v>
      </c>
      <c r="P1131" s="161">
        <v>-2500</v>
      </c>
      <c r="Q1131" s="161">
        <v>0</v>
      </c>
      <c r="R1131" s="161">
        <v>-500</v>
      </c>
      <c r="S1131" s="161">
        <v>0</v>
      </c>
      <c r="T1131" s="161">
        <v>0</v>
      </c>
      <c r="U1131" s="161">
        <v>0</v>
      </c>
      <c r="V1131" s="161">
        <v>0</v>
      </c>
      <c r="W1131" s="161">
        <f t="shared" si="109"/>
        <v>-138.55000000000018</v>
      </c>
      <c r="X1131" s="161">
        <f t="shared" si="110"/>
        <v>0</v>
      </c>
      <c r="Y1131" s="161">
        <f t="shared" si="111"/>
        <v>-138.55000000000018</v>
      </c>
      <c r="Z1131" s="161">
        <v>139</v>
      </c>
      <c r="AA1131" s="161">
        <f t="shared" si="106"/>
        <v>0.4499999999998181</v>
      </c>
      <c r="AB1131" s="161">
        <f t="shared" si="107"/>
        <v>3000.8999999999996</v>
      </c>
      <c r="AD1131" s="158"/>
    </row>
    <row r="1132" spans="1:30" ht="12" customHeight="1" x14ac:dyDescent="0.3">
      <c r="A1132" s="147">
        <v>48</v>
      </c>
      <c r="B1132" s="158" t="s">
        <v>1106</v>
      </c>
      <c r="C1132" s="179" t="s">
        <v>104</v>
      </c>
      <c r="D1132" s="158" t="s">
        <v>1132</v>
      </c>
      <c r="E1132" s="158" t="s">
        <v>25</v>
      </c>
      <c r="F1132" s="158" t="s">
        <v>25</v>
      </c>
      <c r="G1132" s="158" t="s">
        <v>866</v>
      </c>
      <c r="H1132" s="161">
        <v>8713.39</v>
      </c>
      <c r="I1132" s="161">
        <v>-96</v>
      </c>
      <c r="J1132" s="161">
        <v>0</v>
      </c>
      <c r="K1132" s="161">
        <v>0</v>
      </c>
      <c r="L1132" s="161">
        <v>-5872.04</v>
      </c>
      <c r="M1132" s="161">
        <v>-75</v>
      </c>
      <c r="N1132" s="161">
        <v>0</v>
      </c>
      <c r="O1132" s="162">
        <f t="shared" si="108"/>
        <v>2670.3499999999995</v>
      </c>
      <c r="P1132" s="161">
        <v>-2500</v>
      </c>
      <c r="Q1132" s="161">
        <v>0</v>
      </c>
      <c r="R1132" s="161">
        <v>0</v>
      </c>
      <c r="S1132" s="161">
        <v>0</v>
      </c>
      <c r="T1132" s="161">
        <v>0</v>
      </c>
      <c r="U1132" s="161">
        <v>0</v>
      </c>
      <c r="V1132" s="161">
        <v>0</v>
      </c>
      <c r="W1132" s="161">
        <f t="shared" si="109"/>
        <v>170.34999999999945</v>
      </c>
      <c r="X1132" s="161">
        <f t="shared" si="110"/>
        <v>170.34999999999945</v>
      </c>
      <c r="Y1132" s="161">
        <f t="shared" si="111"/>
        <v>0</v>
      </c>
      <c r="Z1132" s="161">
        <v>0</v>
      </c>
      <c r="AA1132" s="161">
        <f t="shared" si="106"/>
        <v>0</v>
      </c>
      <c r="AB1132" s="161">
        <f t="shared" si="107"/>
        <v>2500</v>
      </c>
      <c r="AD1132" s="158"/>
    </row>
    <row r="1133" spans="1:30" ht="12" customHeight="1" x14ac:dyDescent="0.3">
      <c r="A1133" s="147">
        <v>48</v>
      </c>
      <c r="B1133" s="158" t="s">
        <v>1029</v>
      </c>
      <c r="C1133" s="158" t="s">
        <v>68</v>
      </c>
      <c r="D1133" s="158" t="s">
        <v>869</v>
      </c>
      <c r="E1133" s="158" t="s">
        <v>25</v>
      </c>
      <c r="F1133" s="158" t="s">
        <v>25</v>
      </c>
      <c r="G1133" s="158" t="s">
        <v>866</v>
      </c>
      <c r="H1133" s="161">
        <v>6745.28</v>
      </c>
      <c r="I1133" s="161">
        <v>0</v>
      </c>
      <c r="J1133" s="161">
        <v>0</v>
      </c>
      <c r="K1133" s="161">
        <v>-53.82</v>
      </c>
      <c r="L1133" s="161">
        <v>0</v>
      </c>
      <c r="M1133" s="161">
        <v>-60</v>
      </c>
      <c r="N1133" s="161">
        <v>0</v>
      </c>
      <c r="O1133" s="162">
        <f t="shared" si="108"/>
        <v>6631.46</v>
      </c>
      <c r="P1133" s="161">
        <v>-2500</v>
      </c>
      <c r="Q1133" s="161">
        <v>0</v>
      </c>
      <c r="R1133" s="161">
        <v>0</v>
      </c>
      <c r="S1133" s="161">
        <v>0</v>
      </c>
      <c r="T1133" s="161">
        <v>0</v>
      </c>
      <c r="U1133" s="161">
        <v>-1000</v>
      </c>
      <c r="V1133" s="161">
        <v>0</v>
      </c>
      <c r="W1133" s="161">
        <f t="shared" si="109"/>
        <v>3131.46</v>
      </c>
      <c r="X1133" s="161">
        <f t="shared" si="110"/>
        <v>3131.46</v>
      </c>
      <c r="Y1133" s="161">
        <f t="shared" si="111"/>
        <v>0</v>
      </c>
      <c r="Z1133" s="161">
        <v>0</v>
      </c>
      <c r="AA1133" s="161">
        <f t="shared" si="106"/>
        <v>0</v>
      </c>
      <c r="AB1133" s="161">
        <f t="shared" si="107"/>
        <v>3500</v>
      </c>
      <c r="AD1133" s="158"/>
    </row>
    <row r="1134" spans="1:30" ht="12" customHeight="1" x14ac:dyDescent="0.3">
      <c r="A1134" s="147">
        <v>48</v>
      </c>
      <c r="B1134" s="158" t="s">
        <v>1088</v>
      </c>
      <c r="C1134" s="158" t="s">
        <v>257</v>
      </c>
      <c r="D1134" s="160" t="s">
        <v>943</v>
      </c>
      <c r="E1134" s="158" t="s">
        <v>25</v>
      </c>
      <c r="F1134" s="158" t="s">
        <v>25</v>
      </c>
      <c r="G1134" s="158" t="s">
        <v>866</v>
      </c>
      <c r="H1134" s="161">
        <v>3781.6</v>
      </c>
      <c r="I1134" s="161">
        <v>-33.6</v>
      </c>
      <c r="J1134" s="161">
        <v>0</v>
      </c>
      <c r="K1134" s="161">
        <v>-27.1</v>
      </c>
      <c r="L1134" s="161">
        <v>-1072.45</v>
      </c>
      <c r="M1134" s="161">
        <v>-60</v>
      </c>
      <c r="N1134" s="161">
        <v>0</v>
      </c>
      <c r="O1134" s="162">
        <f t="shared" si="108"/>
        <v>2588.4499999999998</v>
      </c>
      <c r="P1134" s="161">
        <v>-2500</v>
      </c>
      <c r="Q1134" s="161">
        <v>0</v>
      </c>
      <c r="R1134" s="161">
        <v>0</v>
      </c>
      <c r="S1134" s="161">
        <v>0</v>
      </c>
      <c r="T1134" s="161">
        <v>0</v>
      </c>
      <c r="U1134" s="161">
        <v>0</v>
      </c>
      <c r="V1134" s="161">
        <v>0</v>
      </c>
      <c r="W1134" s="161">
        <f t="shared" si="109"/>
        <v>88.449999999999818</v>
      </c>
      <c r="X1134" s="161">
        <f t="shared" si="110"/>
        <v>88.449999999999818</v>
      </c>
      <c r="Y1134" s="161">
        <f t="shared" si="111"/>
        <v>0</v>
      </c>
      <c r="Z1134" s="161">
        <v>0</v>
      </c>
      <c r="AA1134" s="161">
        <f t="shared" si="106"/>
        <v>0</v>
      </c>
      <c r="AB1134" s="161">
        <f t="shared" si="107"/>
        <v>2500</v>
      </c>
      <c r="AD1134" s="158"/>
    </row>
    <row r="1135" spans="1:30" ht="12" customHeight="1" x14ac:dyDescent="0.3">
      <c r="A1135" s="147">
        <v>48</v>
      </c>
      <c r="B1135" s="158" t="s">
        <v>880</v>
      </c>
      <c r="C1135" s="158" t="s">
        <v>183</v>
      </c>
      <c r="D1135" s="158" t="s">
        <v>887</v>
      </c>
      <c r="E1135" s="158" t="s">
        <v>25</v>
      </c>
      <c r="F1135" s="158" t="s">
        <v>25</v>
      </c>
      <c r="G1135" s="158" t="s">
        <v>866</v>
      </c>
      <c r="H1135" s="161">
        <v>2396.41</v>
      </c>
      <c r="I1135" s="161">
        <v>0</v>
      </c>
      <c r="J1135" s="161">
        <v>0</v>
      </c>
      <c r="K1135" s="161">
        <v>0</v>
      </c>
      <c r="L1135" s="161">
        <v>-646.95000000000005</v>
      </c>
      <c r="M1135" s="161">
        <v>-65</v>
      </c>
      <c r="N1135" s="161">
        <v>0</v>
      </c>
      <c r="O1135" s="162">
        <f t="shared" si="108"/>
        <v>1684.4599999999998</v>
      </c>
      <c r="P1135" s="161">
        <v>-2500</v>
      </c>
      <c r="Q1135" s="161">
        <v>-663.2976000000001</v>
      </c>
      <c r="R1135" s="161">
        <v>0</v>
      </c>
      <c r="S1135" s="161">
        <v>0</v>
      </c>
      <c r="T1135" s="161">
        <v>0</v>
      </c>
      <c r="U1135" s="161">
        <v>0</v>
      </c>
      <c r="V1135" s="161">
        <v>0</v>
      </c>
      <c r="W1135" s="161">
        <f t="shared" si="109"/>
        <v>-1478.8376000000001</v>
      </c>
      <c r="X1135" s="161">
        <f t="shared" si="110"/>
        <v>0</v>
      </c>
      <c r="Y1135" s="161">
        <f t="shared" si="111"/>
        <v>-1478.8376000000001</v>
      </c>
      <c r="Z1135" s="161">
        <f>151+665</f>
        <v>816</v>
      </c>
      <c r="AA1135" s="161">
        <f t="shared" si="106"/>
        <v>-662.83760000000007</v>
      </c>
      <c r="AB1135" s="161">
        <f t="shared" si="107"/>
        <v>1837.6224</v>
      </c>
      <c r="AD1135" s="158"/>
    </row>
    <row r="1136" spans="1:30" ht="12" customHeight="1" x14ac:dyDescent="0.3">
      <c r="A1136" s="147">
        <v>48</v>
      </c>
      <c r="B1136" s="158" t="s">
        <v>408</v>
      </c>
      <c r="C1136" s="158" t="s">
        <v>409</v>
      </c>
      <c r="D1136" s="158" t="s">
        <v>946</v>
      </c>
      <c r="E1136" s="158" t="s">
        <v>25</v>
      </c>
      <c r="F1136" s="158" t="s">
        <v>25</v>
      </c>
      <c r="G1136" s="158" t="s">
        <v>866</v>
      </c>
      <c r="H1136" s="161">
        <v>1902.43</v>
      </c>
      <c r="I1136" s="161">
        <v>0</v>
      </c>
      <c r="J1136" s="161">
        <v>0</v>
      </c>
      <c r="K1136" s="161">
        <v>0</v>
      </c>
      <c r="L1136" s="161">
        <v>-801.6</v>
      </c>
      <c r="M1136" s="161">
        <v>-65</v>
      </c>
      <c r="N1136" s="161">
        <v>0</v>
      </c>
      <c r="O1136" s="162">
        <f t="shared" si="108"/>
        <v>1035.83</v>
      </c>
      <c r="P1136" s="161">
        <v>-2500</v>
      </c>
      <c r="Q1136" s="161">
        <v>1</v>
      </c>
      <c r="R1136" s="161">
        <v>0</v>
      </c>
      <c r="S1136" s="161">
        <v>0</v>
      </c>
      <c r="T1136" s="161">
        <v>0</v>
      </c>
      <c r="U1136" s="161">
        <v>0</v>
      </c>
      <c r="V1136" s="161">
        <v>0</v>
      </c>
      <c r="W1136" s="161">
        <f t="shared" si="109"/>
        <v>-1463.17</v>
      </c>
      <c r="X1136" s="161">
        <f t="shared" si="110"/>
        <v>0</v>
      </c>
      <c r="Y1136" s="161">
        <f t="shared" si="111"/>
        <v>-1463.17</v>
      </c>
      <c r="Z1136" s="161">
        <v>1400</v>
      </c>
      <c r="AA1136" s="161">
        <f t="shared" si="106"/>
        <v>-63.170000000000073</v>
      </c>
      <c r="AB1136" s="161">
        <f t="shared" si="107"/>
        <v>2372.66</v>
      </c>
      <c r="AD1136" s="158"/>
    </row>
    <row r="1137" spans="1:30" ht="12" customHeight="1" x14ac:dyDescent="0.3">
      <c r="A1137" s="147">
        <v>48</v>
      </c>
      <c r="B1137" s="158" t="s">
        <v>1067</v>
      </c>
      <c r="C1137" s="158" t="s">
        <v>46</v>
      </c>
      <c r="D1137" s="158" t="s">
        <v>915</v>
      </c>
      <c r="E1137" s="158" t="s">
        <v>25</v>
      </c>
      <c r="F1137" s="158" t="s">
        <v>25</v>
      </c>
      <c r="G1137" s="158" t="s">
        <v>866</v>
      </c>
      <c r="H1137" s="161">
        <v>3958.5</v>
      </c>
      <c r="I1137" s="161">
        <v>0</v>
      </c>
      <c r="J1137" s="161">
        <v>0</v>
      </c>
      <c r="K1137" s="161">
        <v>0</v>
      </c>
      <c r="L1137" s="161">
        <v>-752.27</v>
      </c>
      <c r="M1137" s="161">
        <v>-55</v>
      </c>
      <c r="N1137" s="161">
        <v>0</v>
      </c>
      <c r="O1137" s="162">
        <f t="shared" si="108"/>
        <v>3151.23</v>
      </c>
      <c r="P1137" s="161">
        <v>-2500</v>
      </c>
      <c r="Q1137" s="161">
        <v>-525.28</v>
      </c>
      <c r="R1137" s="161">
        <v>0</v>
      </c>
      <c r="S1137" s="161">
        <v>0</v>
      </c>
      <c r="T1137" s="161">
        <v>-700</v>
      </c>
      <c r="U1137" s="161">
        <v>0</v>
      </c>
      <c r="V1137" s="161">
        <v>0</v>
      </c>
      <c r="W1137" s="161">
        <f t="shared" si="109"/>
        <v>-574.04999999999973</v>
      </c>
      <c r="X1137" s="161">
        <f t="shared" si="110"/>
        <v>0</v>
      </c>
      <c r="Y1137" s="161">
        <f t="shared" si="111"/>
        <v>-574.04999999999973</v>
      </c>
      <c r="Z1137" s="161">
        <v>574</v>
      </c>
      <c r="AA1137" s="161">
        <f t="shared" si="106"/>
        <v>-4.9999999999727152E-2</v>
      </c>
      <c r="AB1137" s="161">
        <f t="shared" si="107"/>
        <v>3725.1800000000003</v>
      </c>
      <c r="AD1137" s="158"/>
    </row>
    <row r="1138" spans="1:30" ht="12" customHeight="1" x14ac:dyDescent="0.3">
      <c r="A1138" s="147">
        <v>48</v>
      </c>
      <c r="B1138" s="158" t="s">
        <v>620</v>
      </c>
      <c r="C1138" s="158" t="s">
        <v>571</v>
      </c>
      <c r="D1138" s="158" t="s">
        <v>974</v>
      </c>
      <c r="E1138" s="158" t="s">
        <v>25</v>
      </c>
      <c r="F1138" s="158" t="s">
        <v>25</v>
      </c>
      <c r="G1138" s="158" t="s">
        <v>737</v>
      </c>
      <c r="H1138" s="161">
        <v>3015.84</v>
      </c>
      <c r="I1138" s="161">
        <v>0</v>
      </c>
      <c r="J1138" s="161">
        <v>0</v>
      </c>
      <c r="K1138" s="161">
        <v>0</v>
      </c>
      <c r="L1138" s="161">
        <v>-2685.18</v>
      </c>
      <c r="M1138" s="161">
        <v>-60</v>
      </c>
      <c r="N1138" s="161">
        <v>0</v>
      </c>
      <c r="O1138" s="162">
        <f t="shared" si="108"/>
        <v>270.66000000000031</v>
      </c>
      <c r="P1138" s="161">
        <v>-1250</v>
      </c>
      <c r="Q1138" s="161">
        <v>202</v>
      </c>
      <c r="R1138" s="161">
        <v>0</v>
      </c>
      <c r="S1138" s="161">
        <v>0</v>
      </c>
      <c r="T1138" s="161">
        <v>0</v>
      </c>
      <c r="U1138" s="161">
        <v>0</v>
      </c>
      <c r="V1138" s="161">
        <v>0</v>
      </c>
      <c r="W1138" s="161">
        <f t="shared" si="109"/>
        <v>-777.33999999999969</v>
      </c>
      <c r="X1138" s="161">
        <f t="shared" si="110"/>
        <v>0</v>
      </c>
      <c r="Y1138" s="161">
        <f t="shared" si="111"/>
        <v>-777.33999999999969</v>
      </c>
      <c r="Z1138" s="161">
        <f>26+751</f>
        <v>777</v>
      </c>
      <c r="AA1138" s="161">
        <f t="shared" si="106"/>
        <v>-0.33999999999969077</v>
      </c>
      <c r="AB1138" s="161">
        <f t="shared" si="107"/>
        <v>1047.3200000000006</v>
      </c>
      <c r="AD1138" s="158"/>
    </row>
    <row r="1139" spans="1:30" ht="12" customHeight="1" x14ac:dyDescent="0.3">
      <c r="A1139" s="147">
        <v>48</v>
      </c>
      <c r="B1139" s="158" t="s">
        <v>620</v>
      </c>
      <c r="C1139" s="158" t="s">
        <v>571</v>
      </c>
      <c r="D1139" s="158" t="s">
        <v>974</v>
      </c>
      <c r="E1139" s="158" t="s">
        <v>25</v>
      </c>
      <c r="F1139" s="158" t="s">
        <v>25</v>
      </c>
      <c r="G1139" s="158" t="s">
        <v>866</v>
      </c>
      <c r="H1139" s="161">
        <v>776.38</v>
      </c>
      <c r="I1139" s="161">
        <v>0</v>
      </c>
      <c r="J1139" s="161">
        <v>0</v>
      </c>
      <c r="K1139" s="161">
        <v>0</v>
      </c>
      <c r="L1139" s="161">
        <v>-625.27</v>
      </c>
      <c r="M1139" s="161">
        <v>-75</v>
      </c>
      <c r="N1139" s="161">
        <v>0</v>
      </c>
      <c r="O1139" s="162">
        <f t="shared" si="108"/>
        <v>76.110000000000014</v>
      </c>
      <c r="P1139" s="161">
        <v>-1250</v>
      </c>
      <c r="Q1139" s="161">
        <v>0</v>
      </c>
      <c r="R1139" s="161">
        <v>0</v>
      </c>
      <c r="S1139" s="161">
        <v>0</v>
      </c>
      <c r="T1139" s="161">
        <v>0</v>
      </c>
      <c r="U1139" s="161">
        <v>0</v>
      </c>
      <c r="V1139" s="161">
        <v>0</v>
      </c>
      <c r="W1139" s="161">
        <f t="shared" si="109"/>
        <v>-1173.8899999999999</v>
      </c>
      <c r="X1139" s="161">
        <f t="shared" si="110"/>
        <v>0</v>
      </c>
      <c r="Y1139" s="161">
        <f t="shared" si="111"/>
        <v>-1173.8899999999999</v>
      </c>
      <c r="Z1139" s="161">
        <v>1174</v>
      </c>
      <c r="AA1139" s="161">
        <f t="shared" si="106"/>
        <v>0.11000000000012733</v>
      </c>
      <c r="AB1139" s="161">
        <f t="shared" si="107"/>
        <v>1250.2200000000003</v>
      </c>
      <c r="AD1139" s="158"/>
    </row>
    <row r="1140" spans="1:30" ht="12" customHeight="1" x14ac:dyDescent="0.3">
      <c r="A1140" s="147">
        <v>48</v>
      </c>
      <c r="B1140" s="158" t="s">
        <v>1121</v>
      </c>
      <c r="C1140" s="158" t="s">
        <v>150</v>
      </c>
      <c r="D1140" s="158" t="s">
        <v>1122</v>
      </c>
      <c r="E1140" s="158" t="s">
        <v>25</v>
      </c>
      <c r="F1140" s="158" t="s">
        <v>25</v>
      </c>
      <c r="G1140" s="158" t="s">
        <v>737</v>
      </c>
      <c r="H1140" s="161">
        <v>2741.25</v>
      </c>
      <c r="I1140" s="161">
        <v>0</v>
      </c>
      <c r="J1140" s="161">
        <v>0</v>
      </c>
      <c r="K1140" s="161">
        <v>0</v>
      </c>
      <c r="L1140" s="161">
        <v>-2769.15</v>
      </c>
      <c r="M1140" s="161">
        <v>-125</v>
      </c>
      <c r="N1140" s="161">
        <v>0</v>
      </c>
      <c r="O1140" s="162">
        <f t="shared" si="108"/>
        <v>-152.90000000000009</v>
      </c>
      <c r="P1140" s="161">
        <v>-1486</v>
      </c>
      <c r="Q1140" s="161">
        <v>691</v>
      </c>
      <c r="R1140" s="161">
        <v>-500</v>
      </c>
      <c r="S1140" s="161">
        <v>0</v>
      </c>
      <c r="T1140" s="161">
        <v>0</v>
      </c>
      <c r="U1140" s="161">
        <v>-130</v>
      </c>
      <c r="V1140" s="161">
        <v>0</v>
      </c>
      <c r="W1140" s="161">
        <f t="shared" si="109"/>
        <v>-1577.9</v>
      </c>
      <c r="X1140" s="161">
        <f t="shared" si="110"/>
        <v>0</v>
      </c>
      <c r="Y1140" s="161">
        <f t="shared" si="111"/>
        <v>-1577.9</v>
      </c>
      <c r="Z1140" s="161">
        <v>600</v>
      </c>
      <c r="AA1140" s="161">
        <f t="shared" si="106"/>
        <v>-977.90000000000009</v>
      </c>
      <c r="AB1140" s="161">
        <f t="shared" si="107"/>
        <v>-530.80000000000018</v>
      </c>
      <c r="AD1140" s="158"/>
    </row>
    <row r="1141" spans="1:30" ht="12" customHeight="1" x14ac:dyDescent="0.3">
      <c r="A1141" s="147">
        <v>48</v>
      </c>
      <c r="B1141" s="158" t="s">
        <v>922</v>
      </c>
      <c r="C1141" s="179" t="s">
        <v>104</v>
      </c>
      <c r="D1141" s="158" t="s">
        <v>904</v>
      </c>
      <c r="E1141" s="158" t="s">
        <v>25</v>
      </c>
      <c r="F1141" s="158" t="s">
        <v>25</v>
      </c>
      <c r="G1141" s="158" t="s">
        <v>866</v>
      </c>
      <c r="H1141" s="161">
        <v>0</v>
      </c>
      <c r="I1141" s="161">
        <v>0</v>
      </c>
      <c r="J1141" s="161">
        <v>0</v>
      </c>
      <c r="K1141" s="161">
        <v>0</v>
      </c>
      <c r="L1141" s="161">
        <v>0</v>
      </c>
      <c r="M1141" s="161">
        <v>0</v>
      </c>
      <c r="N1141" s="161">
        <v>0</v>
      </c>
      <c r="O1141" s="162">
        <f t="shared" si="108"/>
        <v>0</v>
      </c>
      <c r="P1141" s="161">
        <v>-2321.42</v>
      </c>
      <c r="Q1141" s="161">
        <v>25</v>
      </c>
      <c r="R1141" s="161">
        <v>0</v>
      </c>
      <c r="S1141" s="161">
        <v>0</v>
      </c>
      <c r="T1141" s="161">
        <v>-500</v>
      </c>
      <c r="U1141" s="161">
        <v>0</v>
      </c>
      <c r="V1141" s="161">
        <v>0</v>
      </c>
      <c r="W1141" s="161">
        <f t="shared" si="109"/>
        <v>-2796.42</v>
      </c>
      <c r="X1141" s="161">
        <f t="shared" si="110"/>
        <v>0</v>
      </c>
      <c r="Y1141" s="161">
        <f t="shared" si="111"/>
        <v>-2796.42</v>
      </c>
      <c r="Z1141" s="161">
        <v>3000</v>
      </c>
      <c r="AA1141" s="161">
        <f t="shared" si="106"/>
        <v>203.57999999999993</v>
      </c>
      <c r="AB1141" s="161">
        <f t="shared" si="107"/>
        <v>3203.58</v>
      </c>
      <c r="AD1141" s="158"/>
    </row>
    <row r="1142" spans="1:30" ht="12" customHeight="1" x14ac:dyDescent="0.3">
      <c r="A1142" s="147">
        <v>48</v>
      </c>
      <c r="B1142" s="158" t="s">
        <v>1003</v>
      </c>
      <c r="C1142" s="158" t="s">
        <v>59</v>
      </c>
      <c r="D1142" s="158" t="s">
        <v>895</v>
      </c>
      <c r="E1142" s="158" t="s">
        <v>25</v>
      </c>
      <c r="F1142" s="158" t="s">
        <v>25</v>
      </c>
      <c r="G1142" s="158" t="s">
        <v>866</v>
      </c>
      <c r="H1142" s="161">
        <v>6567.59</v>
      </c>
      <c r="I1142" s="161">
        <v>0</v>
      </c>
      <c r="J1142" s="161">
        <v>0</v>
      </c>
      <c r="K1142" s="161">
        <v>0</v>
      </c>
      <c r="L1142" s="161">
        <v>0</v>
      </c>
      <c r="M1142" s="161">
        <v>-75</v>
      </c>
      <c r="N1142" s="161">
        <v>-163.52000000000001</v>
      </c>
      <c r="O1142" s="162">
        <f t="shared" si="108"/>
        <v>6329.07</v>
      </c>
      <c r="P1142" s="161">
        <v>-2500</v>
      </c>
      <c r="Q1142" s="161">
        <v>0</v>
      </c>
      <c r="R1142" s="161">
        <v>0</v>
      </c>
      <c r="S1142" s="161">
        <v>0</v>
      </c>
      <c r="T1142" s="161">
        <v>0</v>
      </c>
      <c r="U1142" s="161">
        <v>0</v>
      </c>
      <c r="V1142" s="161">
        <v>0</v>
      </c>
      <c r="W1142" s="161">
        <f t="shared" si="109"/>
        <v>3829.0699999999997</v>
      </c>
      <c r="X1142" s="161">
        <f t="shared" si="110"/>
        <v>3829.0699999999997</v>
      </c>
      <c r="Y1142" s="161">
        <f t="shared" si="111"/>
        <v>0</v>
      </c>
      <c r="Z1142" s="161">
        <v>0</v>
      </c>
      <c r="AA1142" s="161">
        <f t="shared" si="106"/>
        <v>0</v>
      </c>
      <c r="AB1142" s="161">
        <f t="shared" si="107"/>
        <v>2500</v>
      </c>
      <c r="AD1142" s="158"/>
    </row>
    <row r="1143" spans="1:30" ht="12" customHeight="1" x14ac:dyDescent="0.3">
      <c r="A1143" s="147">
        <v>48</v>
      </c>
      <c r="B1143" s="158" t="s">
        <v>585</v>
      </c>
      <c r="C1143" s="158" t="s">
        <v>42</v>
      </c>
      <c r="D1143" s="158" t="s">
        <v>948</v>
      </c>
      <c r="E1143" s="158" t="s">
        <v>25</v>
      </c>
      <c r="F1143" s="158" t="s">
        <v>25</v>
      </c>
      <c r="G1143" s="158" t="s">
        <v>866</v>
      </c>
      <c r="H1143" s="161">
        <v>0</v>
      </c>
      <c r="I1143" s="161">
        <v>0</v>
      </c>
      <c r="J1143" s="161">
        <v>0</v>
      </c>
      <c r="K1143" s="161">
        <v>0</v>
      </c>
      <c r="L1143" s="161">
        <v>0</v>
      </c>
      <c r="M1143" s="161">
        <v>0</v>
      </c>
      <c r="N1143" s="161">
        <v>0</v>
      </c>
      <c r="O1143" s="162">
        <f t="shared" si="108"/>
        <v>0</v>
      </c>
      <c r="P1143" s="161">
        <v>-2500</v>
      </c>
      <c r="Q1143" s="161">
        <v>0</v>
      </c>
      <c r="R1143" s="161">
        <v>0</v>
      </c>
      <c r="S1143" s="161">
        <v>0</v>
      </c>
      <c r="T1143" s="161">
        <v>0</v>
      </c>
      <c r="U1143" s="161">
        <v>0</v>
      </c>
      <c r="V1143" s="161">
        <v>0</v>
      </c>
      <c r="W1143" s="161">
        <f t="shared" si="109"/>
        <v>-2500</v>
      </c>
      <c r="X1143" s="161">
        <f t="shared" si="110"/>
        <v>0</v>
      </c>
      <c r="Y1143" s="161">
        <f t="shared" si="111"/>
        <v>-2500</v>
      </c>
      <c r="Z1143" s="161">
        <v>2500</v>
      </c>
      <c r="AA1143" s="161">
        <f t="shared" si="106"/>
        <v>0</v>
      </c>
      <c r="AB1143" s="161">
        <f t="shared" si="107"/>
        <v>2500</v>
      </c>
      <c r="AD1143" s="158"/>
    </row>
    <row r="1144" spans="1:30" ht="12" customHeight="1" x14ac:dyDescent="0.3">
      <c r="A1144" s="147">
        <v>48</v>
      </c>
      <c r="B1144" s="158" t="s">
        <v>913</v>
      </c>
      <c r="C1144" s="158" t="s">
        <v>361</v>
      </c>
      <c r="D1144" s="158" t="s">
        <v>903</v>
      </c>
      <c r="E1144" s="158" t="s">
        <v>25</v>
      </c>
      <c r="F1144" s="158" t="s">
        <v>25</v>
      </c>
      <c r="G1144" s="158" t="s">
        <v>866</v>
      </c>
      <c r="H1144" s="161">
        <v>4936.5600000000004</v>
      </c>
      <c r="I1144" s="161">
        <v>0</v>
      </c>
      <c r="J1144" s="161">
        <v>0</v>
      </c>
      <c r="K1144" s="161">
        <v>0</v>
      </c>
      <c r="L1144" s="161">
        <v>-4789.1400000000003</v>
      </c>
      <c r="M1144" s="161">
        <v>-60</v>
      </c>
      <c r="N1144" s="161">
        <v>-124.32</v>
      </c>
      <c r="O1144" s="162">
        <f t="shared" si="108"/>
        <v>-36.89999999999992</v>
      </c>
      <c r="P1144" s="161">
        <v>-2643</v>
      </c>
      <c r="Q1144" s="161">
        <v>-590.24</v>
      </c>
      <c r="R1144" s="161">
        <v>0</v>
      </c>
      <c r="S1144" s="161">
        <v>0</v>
      </c>
      <c r="T1144" s="161">
        <v>-700</v>
      </c>
      <c r="U1144" s="161">
        <v>0</v>
      </c>
      <c r="V1144" s="161">
        <v>0</v>
      </c>
      <c r="W1144" s="161">
        <f t="shared" si="109"/>
        <v>-3970.14</v>
      </c>
      <c r="X1144" s="161">
        <f t="shared" si="110"/>
        <v>0</v>
      </c>
      <c r="Y1144" s="161">
        <f t="shared" si="111"/>
        <v>-3970.14</v>
      </c>
      <c r="Z1144" s="161">
        <f>2700+750+520</f>
        <v>3970</v>
      </c>
      <c r="AA1144" s="161">
        <f t="shared" si="106"/>
        <v>-0.13999999999987267</v>
      </c>
      <c r="AB1144" s="161">
        <f t="shared" si="107"/>
        <v>3932.96</v>
      </c>
      <c r="AD1144" s="158"/>
    </row>
    <row r="1145" spans="1:30" ht="12" customHeight="1" x14ac:dyDescent="0.3">
      <c r="A1145" s="147">
        <v>48</v>
      </c>
      <c r="B1145" s="158" t="s">
        <v>921</v>
      </c>
      <c r="C1145" s="158" t="s">
        <v>257</v>
      </c>
      <c r="D1145" s="158" t="s">
        <v>943</v>
      </c>
      <c r="E1145" s="158" t="s">
        <v>25</v>
      </c>
      <c r="F1145" s="158" t="s">
        <v>25</v>
      </c>
      <c r="G1145" s="158" t="s">
        <v>866</v>
      </c>
      <c r="H1145" s="161">
        <v>0</v>
      </c>
      <c r="I1145" s="161">
        <v>0</v>
      </c>
      <c r="J1145" s="161">
        <v>0</v>
      </c>
      <c r="K1145" s="161">
        <v>0</v>
      </c>
      <c r="L1145" s="161">
        <v>0</v>
      </c>
      <c r="M1145" s="161">
        <v>0</v>
      </c>
      <c r="N1145" s="161">
        <v>0</v>
      </c>
      <c r="O1145" s="162">
        <f t="shared" si="108"/>
        <v>0</v>
      </c>
      <c r="P1145" s="161">
        <v>0</v>
      </c>
      <c r="Q1145" s="161">
        <v>0</v>
      </c>
      <c r="R1145" s="161">
        <v>500</v>
      </c>
      <c r="S1145" s="161">
        <v>0</v>
      </c>
      <c r="T1145" s="161">
        <v>0</v>
      </c>
      <c r="U1145" s="161">
        <v>0</v>
      </c>
      <c r="V1145" s="161">
        <v>0</v>
      </c>
      <c r="W1145" s="161">
        <f t="shared" si="109"/>
        <v>500</v>
      </c>
      <c r="X1145" s="161">
        <f t="shared" si="110"/>
        <v>500</v>
      </c>
      <c r="Y1145" s="161">
        <f t="shared" si="111"/>
        <v>0</v>
      </c>
      <c r="Z1145" s="161">
        <v>0</v>
      </c>
      <c r="AA1145" s="161">
        <f t="shared" si="106"/>
        <v>0</v>
      </c>
      <c r="AB1145" s="161">
        <f t="shared" si="107"/>
        <v>-500</v>
      </c>
      <c r="AD1145" s="158"/>
    </row>
    <row r="1146" spans="1:30" ht="12" customHeight="1" x14ac:dyDescent="0.3">
      <c r="A1146" s="147">
        <v>48</v>
      </c>
      <c r="B1146" s="158" t="s">
        <v>993</v>
      </c>
      <c r="C1146" s="158" t="s">
        <v>347</v>
      </c>
      <c r="D1146" s="158" t="s">
        <v>1122</v>
      </c>
      <c r="E1146" s="158" t="s">
        <v>25</v>
      </c>
      <c r="F1146" s="158" t="s">
        <v>25</v>
      </c>
      <c r="G1146" s="158" t="s">
        <v>866</v>
      </c>
      <c r="H1146" s="161">
        <v>0</v>
      </c>
      <c r="I1146" s="161">
        <v>0</v>
      </c>
      <c r="J1146" s="161">
        <v>0</v>
      </c>
      <c r="K1146" s="161">
        <v>0</v>
      </c>
      <c r="L1146" s="161">
        <v>0</v>
      </c>
      <c r="M1146" s="161">
        <v>0</v>
      </c>
      <c r="N1146" s="161">
        <v>0</v>
      </c>
      <c r="O1146" s="162">
        <f t="shared" si="108"/>
        <v>0</v>
      </c>
      <c r="P1146" s="161">
        <v>0</v>
      </c>
      <c r="Q1146" s="161">
        <v>0</v>
      </c>
      <c r="R1146" s="161">
        <v>500</v>
      </c>
      <c r="S1146" s="161">
        <v>0</v>
      </c>
      <c r="T1146" s="161">
        <v>0</v>
      </c>
      <c r="U1146" s="161">
        <v>0</v>
      </c>
      <c r="V1146" s="161">
        <v>0</v>
      </c>
      <c r="W1146" s="161">
        <f t="shared" si="109"/>
        <v>500</v>
      </c>
      <c r="X1146" s="161">
        <f t="shared" si="110"/>
        <v>500</v>
      </c>
      <c r="Y1146" s="161">
        <f t="shared" si="111"/>
        <v>0</v>
      </c>
      <c r="Z1146" s="161">
        <v>0</v>
      </c>
      <c r="AA1146" s="161">
        <f t="shared" si="106"/>
        <v>0</v>
      </c>
      <c r="AB1146" s="161">
        <f t="shared" si="107"/>
        <v>-500</v>
      </c>
      <c r="AD1146" s="158"/>
    </row>
    <row r="1147" spans="1:30" ht="12" customHeight="1" x14ac:dyDescent="0.3">
      <c r="A1147" s="147">
        <v>48</v>
      </c>
      <c r="B1147" s="158" t="s">
        <v>1076</v>
      </c>
      <c r="C1147" s="158" t="s">
        <v>80</v>
      </c>
      <c r="D1147" s="158" t="s">
        <v>996</v>
      </c>
      <c r="E1147" s="158" t="s">
        <v>18</v>
      </c>
      <c r="F1147" s="160" t="s">
        <v>18</v>
      </c>
      <c r="G1147" s="158" t="s">
        <v>737</v>
      </c>
      <c r="H1147" s="161">
        <v>7341</v>
      </c>
      <c r="I1147" s="161">
        <v>0</v>
      </c>
      <c r="J1147" s="161">
        <v>0</v>
      </c>
      <c r="K1147" s="161">
        <v>0</v>
      </c>
      <c r="L1147" s="161">
        <v>-5745</v>
      </c>
      <c r="M1147" s="161">
        <v>-125</v>
      </c>
      <c r="N1147" s="161">
        <v>0</v>
      </c>
      <c r="O1147" s="162">
        <f t="shared" si="108"/>
        <v>1471</v>
      </c>
      <c r="P1147" s="161">
        <v>-2600</v>
      </c>
      <c r="Q1147" s="161">
        <v>0</v>
      </c>
      <c r="R1147" s="161">
        <v>0</v>
      </c>
      <c r="S1147" s="161">
        <v>0</v>
      </c>
      <c r="T1147" s="161">
        <v>0</v>
      </c>
      <c r="U1147" s="161">
        <v>0</v>
      </c>
      <c r="V1147" s="161">
        <v>0</v>
      </c>
      <c r="W1147" s="161">
        <f t="shared" si="109"/>
        <v>-1129</v>
      </c>
      <c r="X1147" s="161">
        <f t="shared" si="110"/>
        <v>0</v>
      </c>
      <c r="Y1147" s="161">
        <f t="shared" si="111"/>
        <v>-1129</v>
      </c>
      <c r="Z1147" s="161">
        <v>-1129</v>
      </c>
      <c r="AA1147" s="161">
        <f t="shared" si="106"/>
        <v>-2258</v>
      </c>
      <c r="AB1147" s="161">
        <f t="shared" si="107"/>
        <v>-1916</v>
      </c>
      <c r="AD1147" s="158"/>
    </row>
    <row r="1148" spans="1:30" ht="12" customHeight="1" x14ac:dyDescent="0.3">
      <c r="A1148" s="147">
        <v>48</v>
      </c>
      <c r="B1148" s="158" t="s">
        <v>874</v>
      </c>
      <c r="C1148" s="158" t="s">
        <v>1071</v>
      </c>
      <c r="D1148" s="158" t="s">
        <v>1111</v>
      </c>
      <c r="E1148" s="158" t="s">
        <v>18</v>
      </c>
      <c r="F1148" s="160" t="s">
        <v>18</v>
      </c>
      <c r="G1148" s="158" t="s">
        <v>737</v>
      </c>
      <c r="H1148" s="161">
        <v>0</v>
      </c>
      <c r="I1148" s="161">
        <v>0</v>
      </c>
      <c r="J1148" s="161">
        <v>0</v>
      </c>
      <c r="K1148" s="161">
        <v>0</v>
      </c>
      <c r="L1148" s="161">
        <v>0</v>
      </c>
      <c r="M1148" s="161">
        <v>0</v>
      </c>
      <c r="N1148" s="161">
        <v>0</v>
      </c>
      <c r="O1148" s="162">
        <f t="shared" si="108"/>
        <v>0</v>
      </c>
      <c r="P1148" s="161">
        <v>-2500</v>
      </c>
      <c r="Q1148" s="161">
        <v>0</v>
      </c>
      <c r="R1148" s="161">
        <v>0</v>
      </c>
      <c r="S1148" s="161">
        <v>0</v>
      </c>
      <c r="T1148" s="161">
        <v>0</v>
      </c>
      <c r="U1148" s="161">
        <v>0</v>
      </c>
      <c r="V1148" s="161">
        <v>0</v>
      </c>
      <c r="W1148" s="161">
        <f t="shared" si="109"/>
        <v>-2500</v>
      </c>
      <c r="X1148" s="161">
        <f t="shared" si="110"/>
        <v>0</v>
      </c>
      <c r="Y1148" s="161">
        <f t="shared" si="111"/>
        <v>-2500</v>
      </c>
      <c r="Z1148" s="161">
        <v>2500</v>
      </c>
      <c r="AA1148" s="161">
        <f t="shared" si="106"/>
        <v>0</v>
      </c>
      <c r="AB1148" s="161">
        <f t="shared" si="107"/>
        <v>2500</v>
      </c>
      <c r="AD1148" s="158"/>
    </row>
    <row r="1149" spans="1:30" ht="12" customHeight="1" x14ac:dyDescent="0.3">
      <c r="A1149" s="147">
        <v>48</v>
      </c>
      <c r="B1149" s="158" t="s">
        <v>1051</v>
      </c>
      <c r="C1149" s="158" t="s">
        <v>21</v>
      </c>
      <c r="D1149" s="158" t="s">
        <v>20</v>
      </c>
      <c r="E1149" s="158" t="s">
        <v>18</v>
      </c>
      <c r="F1149" s="160" t="s">
        <v>18</v>
      </c>
      <c r="G1149" s="158" t="s">
        <v>866</v>
      </c>
      <c r="H1149" s="161">
        <v>4635.41</v>
      </c>
      <c r="I1149" s="161">
        <v>0</v>
      </c>
      <c r="J1149" s="161">
        <v>0</v>
      </c>
      <c r="K1149" s="161">
        <v>0</v>
      </c>
      <c r="L1149" s="161">
        <v>-1951.69</v>
      </c>
      <c r="M1149" s="161">
        <v>-35</v>
      </c>
      <c r="N1149" s="161">
        <v>0</v>
      </c>
      <c r="O1149" s="162">
        <f t="shared" si="108"/>
        <v>2648.72</v>
      </c>
      <c r="P1149" s="161">
        <v>-2500</v>
      </c>
      <c r="Q1149" s="161">
        <v>0</v>
      </c>
      <c r="R1149" s="161">
        <v>0</v>
      </c>
      <c r="S1149" s="161">
        <v>0</v>
      </c>
      <c r="T1149" s="161">
        <v>0</v>
      </c>
      <c r="U1149" s="161">
        <v>-550</v>
      </c>
      <c r="V1149" s="161">
        <v>0</v>
      </c>
      <c r="W1149" s="161">
        <f t="shared" si="109"/>
        <v>-401.2800000000002</v>
      </c>
      <c r="X1149" s="161">
        <f t="shared" si="110"/>
        <v>0</v>
      </c>
      <c r="Y1149" s="161">
        <f t="shared" si="111"/>
        <v>-401.2800000000002</v>
      </c>
      <c r="Z1149" s="161">
        <v>401</v>
      </c>
      <c r="AA1149" s="161">
        <f t="shared" si="106"/>
        <v>-0.28000000000020009</v>
      </c>
      <c r="AB1149" s="161">
        <f t="shared" si="107"/>
        <v>3049.4399999999996</v>
      </c>
      <c r="AD1149" s="158"/>
    </row>
    <row r="1150" spans="1:30" ht="12" customHeight="1" x14ac:dyDescent="0.3">
      <c r="A1150" s="147">
        <v>48</v>
      </c>
      <c r="B1150" s="158" t="s">
        <v>1141</v>
      </c>
      <c r="C1150" s="158" t="s">
        <v>120</v>
      </c>
      <c r="D1150" s="158" t="s">
        <v>950</v>
      </c>
      <c r="E1150" s="158" t="s">
        <v>25</v>
      </c>
      <c r="F1150" s="158" t="s">
        <v>25</v>
      </c>
      <c r="G1150" s="158" t="s">
        <v>866</v>
      </c>
      <c r="H1150" s="161">
        <v>187.23</v>
      </c>
      <c r="I1150" s="161">
        <v>-8.31</v>
      </c>
      <c r="J1150" s="161">
        <v>0</v>
      </c>
      <c r="K1150" s="161">
        <v>0</v>
      </c>
      <c r="L1150" s="161">
        <v>0</v>
      </c>
      <c r="M1150" s="161">
        <v>-60</v>
      </c>
      <c r="N1150" s="161">
        <v>0</v>
      </c>
      <c r="O1150" s="162">
        <f t="shared" si="108"/>
        <v>118.91999999999999</v>
      </c>
      <c r="P1150" s="161">
        <v>-2500</v>
      </c>
      <c r="Q1150" s="161">
        <v>0</v>
      </c>
      <c r="R1150" s="161">
        <v>-500</v>
      </c>
      <c r="S1150" s="161">
        <v>0</v>
      </c>
      <c r="T1150" s="161">
        <v>0</v>
      </c>
      <c r="U1150" s="161">
        <v>0</v>
      </c>
      <c r="V1150" s="161">
        <v>0</v>
      </c>
      <c r="W1150" s="161">
        <f t="shared" si="109"/>
        <v>-2881.08</v>
      </c>
      <c r="X1150" s="161">
        <f t="shared" si="110"/>
        <v>0</v>
      </c>
      <c r="Y1150" s="161">
        <f t="shared" si="111"/>
        <v>-2881.08</v>
      </c>
      <c r="Z1150" s="161">
        <v>2881</v>
      </c>
      <c r="AA1150" s="161">
        <f t="shared" si="106"/>
        <v>-7.999999999992724E-2</v>
      </c>
      <c r="AB1150" s="161">
        <f t="shared" si="107"/>
        <v>2999.84</v>
      </c>
      <c r="AD1150" s="158"/>
    </row>
    <row r="1151" spans="1:30" ht="12" customHeight="1" x14ac:dyDescent="0.3">
      <c r="A1151" s="147">
        <v>48</v>
      </c>
      <c r="B1151" s="158" t="s">
        <v>1142</v>
      </c>
      <c r="C1151" s="158" t="s">
        <v>101</v>
      </c>
      <c r="D1151" s="158" t="s">
        <v>945</v>
      </c>
      <c r="E1151" s="158" t="s">
        <v>25</v>
      </c>
      <c r="F1151" s="158" t="s">
        <v>25</v>
      </c>
      <c r="G1151" s="158" t="s">
        <v>866</v>
      </c>
      <c r="H1151" s="161">
        <v>2882.73</v>
      </c>
      <c r="I1151" s="161">
        <v>0</v>
      </c>
      <c r="J1151" s="161">
        <v>9.7899999999999991</v>
      </c>
      <c r="K1151" s="161">
        <v>0</v>
      </c>
      <c r="L1151" s="161">
        <v>-1028.17</v>
      </c>
      <c r="M1151" s="161">
        <v>-55</v>
      </c>
      <c r="N1151" s="161">
        <v>0</v>
      </c>
      <c r="O1151" s="162">
        <f t="shared" si="108"/>
        <v>1809.35</v>
      </c>
      <c r="P1151" s="161">
        <v>-2500</v>
      </c>
      <c r="Q1151" s="161">
        <v>0</v>
      </c>
      <c r="R1151" s="161">
        <v>-500</v>
      </c>
      <c r="S1151" s="161">
        <v>0</v>
      </c>
      <c r="T1151" s="161">
        <v>0</v>
      </c>
      <c r="U1151" s="161">
        <v>0</v>
      </c>
      <c r="V1151" s="161">
        <v>0</v>
      </c>
      <c r="W1151" s="161">
        <f t="shared" si="109"/>
        <v>-1190.6500000000001</v>
      </c>
      <c r="X1151" s="161">
        <f t="shared" si="110"/>
        <v>0</v>
      </c>
      <c r="Y1151" s="161">
        <f t="shared" si="111"/>
        <v>-1190.6500000000001</v>
      </c>
      <c r="Z1151" s="161">
        <v>1191</v>
      </c>
      <c r="AA1151" s="161">
        <f t="shared" si="106"/>
        <v>0.34999999999990905</v>
      </c>
      <c r="AB1151" s="161">
        <f t="shared" si="107"/>
        <v>3000.7</v>
      </c>
      <c r="AD1151" s="158"/>
    </row>
    <row r="1152" spans="1:30" ht="12" customHeight="1" x14ac:dyDescent="0.3">
      <c r="A1152" s="147">
        <v>48</v>
      </c>
      <c r="B1152" s="158" t="s">
        <v>1143</v>
      </c>
      <c r="C1152" s="158" t="s">
        <v>53</v>
      </c>
      <c r="D1152" s="158" t="s">
        <v>1144</v>
      </c>
      <c r="E1152" s="158" t="s">
        <v>25</v>
      </c>
      <c r="F1152" s="158" t="s">
        <v>25</v>
      </c>
      <c r="G1152" s="158" t="s">
        <v>866</v>
      </c>
      <c r="H1152" s="161">
        <v>227.99</v>
      </c>
      <c r="I1152" s="161">
        <v>-5.36</v>
      </c>
      <c r="J1152" s="161">
        <v>0</v>
      </c>
      <c r="K1152" s="161">
        <v>0</v>
      </c>
      <c r="L1152" s="161">
        <v>-331.93</v>
      </c>
      <c r="M1152" s="161">
        <v>-45</v>
      </c>
      <c r="N1152" s="161">
        <v>0</v>
      </c>
      <c r="O1152" s="162">
        <f t="shared" si="108"/>
        <v>-154.30000000000001</v>
      </c>
      <c r="P1152" s="161">
        <v>-1785.71</v>
      </c>
      <c r="Q1152" s="161">
        <v>0</v>
      </c>
      <c r="R1152" s="161">
        <v>-500</v>
      </c>
      <c r="S1152" s="161">
        <v>0</v>
      </c>
      <c r="T1152" s="161">
        <v>0</v>
      </c>
      <c r="U1152" s="161">
        <v>0</v>
      </c>
      <c r="V1152" s="161">
        <v>0</v>
      </c>
      <c r="W1152" s="161">
        <f t="shared" si="109"/>
        <v>-2440.0100000000002</v>
      </c>
      <c r="X1152" s="161">
        <f t="shared" si="110"/>
        <v>0</v>
      </c>
      <c r="Y1152" s="161">
        <f t="shared" si="111"/>
        <v>-2440.0100000000002</v>
      </c>
      <c r="Z1152" s="161">
        <v>2440</v>
      </c>
      <c r="AA1152" s="161">
        <f t="shared" si="106"/>
        <v>-1.0000000000218279E-2</v>
      </c>
      <c r="AB1152" s="161">
        <f t="shared" si="107"/>
        <v>2285.6899999999996</v>
      </c>
      <c r="AD1152" s="158"/>
    </row>
    <row r="1153" spans="1:30" ht="12" customHeight="1" x14ac:dyDescent="0.3">
      <c r="A1153" s="147">
        <v>48</v>
      </c>
      <c r="B1153" s="158" t="s">
        <v>1048</v>
      </c>
      <c r="C1153" s="158" t="s">
        <v>55</v>
      </c>
      <c r="D1153" s="158" t="s">
        <v>1147</v>
      </c>
      <c r="E1153" s="158" t="s">
        <v>25</v>
      </c>
      <c r="F1153" s="158" t="s">
        <v>25</v>
      </c>
      <c r="G1153" s="158" t="s">
        <v>866</v>
      </c>
      <c r="H1153" s="161">
        <v>0</v>
      </c>
      <c r="I1153" s="161">
        <v>0</v>
      </c>
      <c r="J1153" s="161">
        <v>0</v>
      </c>
      <c r="K1153" s="161">
        <v>0</v>
      </c>
      <c r="L1153" s="161">
        <v>0</v>
      </c>
      <c r="M1153" s="161">
        <v>0</v>
      </c>
      <c r="N1153" s="161">
        <v>0</v>
      </c>
      <c r="O1153" s="162">
        <f t="shared" si="108"/>
        <v>0</v>
      </c>
      <c r="P1153" s="161">
        <v>0</v>
      </c>
      <c r="Q1153" s="161">
        <v>0</v>
      </c>
      <c r="R1153" s="161">
        <v>500</v>
      </c>
      <c r="S1153" s="161">
        <v>0</v>
      </c>
      <c r="T1153" s="161">
        <v>0</v>
      </c>
      <c r="U1153" s="161">
        <v>0</v>
      </c>
      <c r="V1153" s="161">
        <v>0</v>
      </c>
      <c r="W1153" s="161">
        <f t="shared" si="109"/>
        <v>500</v>
      </c>
      <c r="X1153" s="161">
        <f t="shared" si="110"/>
        <v>500</v>
      </c>
      <c r="Y1153" s="161">
        <f t="shared" si="111"/>
        <v>0</v>
      </c>
      <c r="Z1153" s="161">
        <v>0</v>
      </c>
      <c r="AA1153" s="161">
        <f t="shared" si="106"/>
        <v>0</v>
      </c>
      <c r="AB1153" s="161">
        <f t="shared" si="107"/>
        <v>-500</v>
      </c>
      <c r="AD1153" s="158"/>
    </row>
    <row r="1154" spans="1:30" ht="12" customHeight="1" x14ac:dyDescent="0.3">
      <c r="A1154" s="147">
        <v>48</v>
      </c>
      <c r="B1154" s="158" t="s">
        <v>1151</v>
      </c>
      <c r="C1154" s="158" t="s">
        <v>55</v>
      </c>
      <c r="D1154" s="158" t="s">
        <v>1147</v>
      </c>
      <c r="E1154" s="158" t="s">
        <v>25</v>
      </c>
      <c r="F1154" s="158" t="s">
        <v>25</v>
      </c>
      <c r="G1154" s="158" t="s">
        <v>866</v>
      </c>
      <c r="H1154" s="161">
        <v>4157.43</v>
      </c>
      <c r="I1154" s="161">
        <v>-43.2</v>
      </c>
      <c r="J1154" s="161">
        <v>0</v>
      </c>
      <c r="K1154" s="161">
        <v>0</v>
      </c>
      <c r="L1154" s="161">
        <v>0</v>
      </c>
      <c r="M1154" s="161">
        <v>-55</v>
      </c>
      <c r="N1154" s="161">
        <v>0</v>
      </c>
      <c r="O1154" s="162">
        <f t="shared" si="108"/>
        <v>4059.2300000000005</v>
      </c>
      <c r="P1154" s="161">
        <v>-1428.57</v>
      </c>
      <c r="Q1154" s="161">
        <v>0</v>
      </c>
      <c r="R1154" s="161">
        <v>-286</v>
      </c>
      <c r="S1154" s="161">
        <v>0</v>
      </c>
      <c r="T1154" s="161">
        <v>0</v>
      </c>
      <c r="U1154" s="161">
        <v>0</v>
      </c>
      <c r="V1154" s="161">
        <v>0</v>
      </c>
      <c r="W1154" s="161">
        <f t="shared" si="109"/>
        <v>2344.6600000000008</v>
      </c>
      <c r="X1154" s="161">
        <f t="shared" si="110"/>
        <v>2344.6600000000008</v>
      </c>
      <c r="Y1154" s="161">
        <f t="shared" si="111"/>
        <v>0</v>
      </c>
      <c r="Z1154" s="161">
        <v>0</v>
      </c>
      <c r="AA1154" s="161">
        <f t="shared" ref="AA1154:AA1217" si="112">+Y1154+Z1154</f>
        <v>0</v>
      </c>
      <c r="AB1154" s="161">
        <f t="shared" ref="AB1154:AB1217" si="113">+O1154-X1154+Z1154+AA1154</f>
        <v>1714.5699999999997</v>
      </c>
      <c r="AD1154" s="158"/>
    </row>
    <row r="1155" spans="1:30" ht="12" customHeight="1" x14ac:dyDescent="0.3">
      <c r="A1155" s="147">
        <v>48</v>
      </c>
      <c r="B1155" s="158" t="s">
        <v>1152</v>
      </c>
      <c r="C1155" s="158" t="s">
        <v>64</v>
      </c>
      <c r="D1155" s="158" t="s">
        <v>949</v>
      </c>
      <c r="E1155" s="158" t="s">
        <v>25</v>
      </c>
      <c r="F1155" s="158" t="s">
        <v>25</v>
      </c>
      <c r="G1155" s="158" t="s">
        <v>866</v>
      </c>
      <c r="H1155" s="161">
        <v>1637.78</v>
      </c>
      <c r="I1155" s="161">
        <v>0</v>
      </c>
      <c r="J1155" s="161">
        <v>0</v>
      </c>
      <c r="K1155" s="161">
        <v>0</v>
      </c>
      <c r="L1155" s="161">
        <v>-717.98</v>
      </c>
      <c r="M1155" s="161">
        <v>-55</v>
      </c>
      <c r="N1155" s="161">
        <v>0</v>
      </c>
      <c r="O1155" s="162">
        <f t="shared" si="108"/>
        <v>864.8</v>
      </c>
      <c r="P1155" s="161">
        <v>-357.14</v>
      </c>
      <c r="Q1155" s="161">
        <v>0</v>
      </c>
      <c r="R1155" s="161">
        <v>-71.42</v>
      </c>
      <c r="S1155" s="161">
        <v>0</v>
      </c>
      <c r="T1155" s="161">
        <v>0</v>
      </c>
      <c r="U1155" s="161">
        <v>0</v>
      </c>
      <c r="V1155" s="161">
        <v>0</v>
      </c>
      <c r="W1155" s="161">
        <f t="shared" si="109"/>
        <v>436.23999999999995</v>
      </c>
      <c r="X1155" s="161">
        <f t="shared" si="110"/>
        <v>436.23999999999995</v>
      </c>
      <c r="Y1155" s="161">
        <f t="shared" si="111"/>
        <v>0</v>
      </c>
      <c r="Z1155" s="161">
        <v>0</v>
      </c>
      <c r="AA1155" s="161">
        <f t="shared" si="112"/>
        <v>0</v>
      </c>
      <c r="AB1155" s="161">
        <f t="shared" si="113"/>
        <v>428.56</v>
      </c>
      <c r="AD1155" s="158"/>
    </row>
    <row r="1156" spans="1:30" ht="12" customHeight="1" x14ac:dyDescent="0.3">
      <c r="A1156" s="147">
        <v>48</v>
      </c>
      <c r="B1156" s="158" t="s">
        <v>1153</v>
      </c>
      <c r="C1156" s="158" t="s">
        <v>334</v>
      </c>
      <c r="D1156" s="158" t="s">
        <v>1145</v>
      </c>
      <c r="E1156" s="158" t="s">
        <v>25</v>
      </c>
      <c r="F1156" s="158" t="s">
        <v>25</v>
      </c>
      <c r="G1156" s="158" t="s">
        <v>866</v>
      </c>
      <c r="H1156" s="161">
        <v>5170.97</v>
      </c>
      <c r="I1156" s="161">
        <v>-6.91</v>
      </c>
      <c r="J1156" s="161">
        <v>0</v>
      </c>
      <c r="K1156" s="161">
        <v>0</v>
      </c>
      <c r="L1156" s="161">
        <v>-1422.52</v>
      </c>
      <c r="M1156" s="161">
        <v>-55</v>
      </c>
      <c r="N1156" s="161">
        <v>-106.4</v>
      </c>
      <c r="O1156" s="162">
        <f t="shared" si="108"/>
        <v>3580.1400000000003</v>
      </c>
      <c r="P1156" s="161">
        <v>-1785.71</v>
      </c>
      <c r="Q1156" s="161">
        <v>0</v>
      </c>
      <c r="R1156" s="161">
        <v>-357.14</v>
      </c>
      <c r="S1156" s="161">
        <v>0</v>
      </c>
      <c r="T1156" s="161">
        <v>0</v>
      </c>
      <c r="U1156" s="161">
        <v>0</v>
      </c>
      <c r="V1156" s="161">
        <v>0</v>
      </c>
      <c r="W1156" s="161">
        <f t="shared" si="109"/>
        <v>1437.2900000000004</v>
      </c>
      <c r="X1156" s="161">
        <f t="shared" si="110"/>
        <v>1437.2900000000004</v>
      </c>
      <c r="Y1156" s="161">
        <f t="shared" si="111"/>
        <v>0</v>
      </c>
      <c r="Z1156" s="161">
        <v>0</v>
      </c>
      <c r="AA1156" s="161">
        <f t="shared" si="112"/>
        <v>0</v>
      </c>
      <c r="AB1156" s="161">
        <f t="shared" si="113"/>
        <v>2142.85</v>
      </c>
      <c r="AD1156" s="158"/>
    </row>
    <row r="1157" spans="1:30" ht="12" customHeight="1" x14ac:dyDescent="0.3">
      <c r="A1157" s="147">
        <v>48</v>
      </c>
      <c r="B1157" s="158" t="s">
        <v>604</v>
      </c>
      <c r="C1157" s="158" t="s">
        <v>605</v>
      </c>
      <c r="D1157" s="158" t="s">
        <v>20</v>
      </c>
      <c r="E1157" s="158" t="s">
        <v>25</v>
      </c>
      <c r="F1157" s="158" t="s">
        <v>25</v>
      </c>
      <c r="G1157" s="158" t="s">
        <v>866</v>
      </c>
      <c r="H1157" s="161">
        <v>2366.83</v>
      </c>
      <c r="I1157" s="161">
        <v>0</v>
      </c>
      <c r="J1157" s="161">
        <v>0</v>
      </c>
      <c r="K1157" s="161">
        <v>0</v>
      </c>
      <c r="L1157" s="161">
        <v>-1043.76</v>
      </c>
      <c r="M1157" s="161">
        <v>-50</v>
      </c>
      <c r="N1157" s="161">
        <v>0</v>
      </c>
      <c r="O1157" s="162">
        <f t="shared" si="108"/>
        <v>1273.07</v>
      </c>
      <c r="P1157" s="161">
        <v>-1542.85</v>
      </c>
      <c r="Q1157" s="161">
        <v>0</v>
      </c>
      <c r="R1157" s="161">
        <v>0</v>
      </c>
      <c r="S1157" s="161">
        <v>0</v>
      </c>
      <c r="T1157" s="161">
        <v>0</v>
      </c>
      <c r="U1157" s="161">
        <v>-250</v>
      </c>
      <c r="V1157" s="161">
        <v>0</v>
      </c>
      <c r="W1157" s="161">
        <f t="shared" si="109"/>
        <v>-519.78</v>
      </c>
      <c r="X1157" s="161">
        <f t="shared" si="110"/>
        <v>0</v>
      </c>
      <c r="Y1157" s="161">
        <f t="shared" si="111"/>
        <v>-519.78</v>
      </c>
      <c r="Z1157" s="161">
        <v>520</v>
      </c>
      <c r="AA1157" s="161">
        <f t="shared" si="112"/>
        <v>0.22000000000002728</v>
      </c>
      <c r="AB1157" s="161">
        <f t="shared" si="113"/>
        <v>1793.29</v>
      </c>
      <c r="AC1157" s="149" t="s">
        <v>1154</v>
      </c>
      <c r="AD1157" s="158"/>
    </row>
    <row r="1158" spans="1:30" ht="12" customHeight="1" x14ac:dyDescent="0.3">
      <c r="A1158" s="147">
        <v>48</v>
      </c>
      <c r="B1158" s="158" t="s">
        <v>604</v>
      </c>
      <c r="C1158" s="158" t="s">
        <v>123</v>
      </c>
      <c r="D1158" s="158" t="s">
        <v>999</v>
      </c>
      <c r="E1158" s="160" t="s">
        <v>871</v>
      </c>
      <c r="F1158" s="158" t="s">
        <v>39</v>
      </c>
      <c r="G1158" s="158" t="s">
        <v>866</v>
      </c>
      <c r="H1158" s="161">
        <v>3195.07</v>
      </c>
      <c r="I1158" s="161">
        <v>0</v>
      </c>
      <c r="J1158" s="161">
        <v>0</v>
      </c>
      <c r="K1158" s="161">
        <v>0</v>
      </c>
      <c r="L1158" s="161">
        <v>-1408.45</v>
      </c>
      <c r="M1158" s="161">
        <v>-25</v>
      </c>
      <c r="N1158" s="161">
        <v>0</v>
      </c>
      <c r="O1158" s="162">
        <f t="shared" si="108"/>
        <v>1761.6200000000001</v>
      </c>
      <c r="P1158" s="161">
        <v>-1071.42</v>
      </c>
      <c r="Q1158" s="161">
        <v>-86.24</v>
      </c>
      <c r="R1158" s="161">
        <v>0</v>
      </c>
      <c r="S1158" s="161">
        <v>0</v>
      </c>
      <c r="T1158" s="161">
        <v>0</v>
      </c>
      <c r="U1158" s="161">
        <v>0</v>
      </c>
      <c r="V1158" s="161">
        <v>0</v>
      </c>
      <c r="W1158" s="161">
        <f t="shared" si="109"/>
        <v>603.96</v>
      </c>
      <c r="X1158" s="161">
        <f t="shared" si="110"/>
        <v>603.96</v>
      </c>
      <c r="Y1158" s="161">
        <f t="shared" si="111"/>
        <v>0</v>
      </c>
      <c r="Z1158" s="161">
        <v>0</v>
      </c>
      <c r="AA1158" s="161">
        <f t="shared" si="112"/>
        <v>0</v>
      </c>
      <c r="AB1158" s="161">
        <f t="shared" si="113"/>
        <v>1157.6600000000001</v>
      </c>
      <c r="AD1158" s="158"/>
    </row>
    <row r="1159" spans="1:30" ht="12" customHeight="1" x14ac:dyDescent="0.3">
      <c r="A1159" s="147">
        <v>48</v>
      </c>
      <c r="B1159" s="158" t="s">
        <v>1010</v>
      </c>
      <c r="C1159" s="158" t="s">
        <v>169</v>
      </c>
      <c r="D1159" s="158" t="s">
        <v>967</v>
      </c>
      <c r="E1159" s="160" t="s">
        <v>871</v>
      </c>
      <c r="F1159" s="158" t="s">
        <v>39</v>
      </c>
      <c r="G1159" s="158" t="s">
        <v>866</v>
      </c>
      <c r="H1159" s="161">
        <v>1449.53</v>
      </c>
      <c r="I1159" s="161">
        <v>0</v>
      </c>
      <c r="J1159" s="161">
        <v>625.79</v>
      </c>
      <c r="K1159" s="161">
        <v>-24.67</v>
      </c>
      <c r="L1159" s="161">
        <v>0</v>
      </c>
      <c r="M1159" s="161">
        <v>-65</v>
      </c>
      <c r="N1159" s="161">
        <v>0</v>
      </c>
      <c r="O1159" s="162">
        <f t="shared" si="108"/>
        <v>1985.6499999999996</v>
      </c>
      <c r="P1159" s="161">
        <v>-2500</v>
      </c>
      <c r="Q1159" s="161">
        <v>0</v>
      </c>
      <c r="R1159" s="161">
        <v>-500</v>
      </c>
      <c r="S1159" s="161">
        <v>0</v>
      </c>
      <c r="T1159" s="161">
        <v>0</v>
      </c>
      <c r="U1159" s="161">
        <v>0</v>
      </c>
      <c r="V1159" s="161">
        <v>0</v>
      </c>
      <c r="W1159" s="161">
        <f t="shared" si="109"/>
        <v>-1014.3500000000004</v>
      </c>
      <c r="X1159" s="161">
        <f t="shared" si="110"/>
        <v>0</v>
      </c>
      <c r="Y1159" s="161">
        <f t="shared" si="111"/>
        <v>-1014.3500000000004</v>
      </c>
      <c r="Z1159" s="161">
        <v>1000</v>
      </c>
      <c r="AA1159" s="161">
        <f t="shared" si="112"/>
        <v>-14.350000000000364</v>
      </c>
      <c r="AB1159" s="161">
        <f t="shared" si="113"/>
        <v>2971.2999999999993</v>
      </c>
      <c r="AD1159" s="158"/>
    </row>
    <row r="1160" spans="1:30" ht="12" customHeight="1" x14ac:dyDescent="0.3">
      <c r="A1160" s="147">
        <v>48</v>
      </c>
      <c r="B1160" s="158" t="s">
        <v>1025</v>
      </c>
      <c r="C1160" s="158" t="s">
        <v>195</v>
      </c>
      <c r="D1160" s="158" t="s">
        <v>964</v>
      </c>
      <c r="E1160" s="160" t="s">
        <v>871</v>
      </c>
      <c r="F1160" s="158" t="s">
        <v>39</v>
      </c>
      <c r="G1160" s="158" t="s">
        <v>866</v>
      </c>
      <c r="H1160" s="161">
        <v>2944.55</v>
      </c>
      <c r="I1160" s="161">
        <v>0</v>
      </c>
      <c r="J1160" s="161">
        <v>0</v>
      </c>
      <c r="K1160" s="161">
        <v>0</v>
      </c>
      <c r="L1160" s="161">
        <v>-797.51</v>
      </c>
      <c r="M1160" s="161">
        <v>-55</v>
      </c>
      <c r="N1160" s="161">
        <v>0</v>
      </c>
      <c r="O1160" s="162">
        <f t="shared" si="108"/>
        <v>2092.04</v>
      </c>
      <c r="P1160" s="161">
        <v>-2500</v>
      </c>
      <c r="Q1160" s="161">
        <v>-446.88</v>
      </c>
      <c r="R1160" s="161">
        <v>0</v>
      </c>
      <c r="S1160" s="161">
        <v>0</v>
      </c>
      <c r="T1160" s="161">
        <v>-500</v>
      </c>
      <c r="U1160" s="161">
        <v>0</v>
      </c>
      <c r="V1160" s="161">
        <v>0</v>
      </c>
      <c r="W1160" s="161">
        <f t="shared" si="109"/>
        <v>-1354.8400000000001</v>
      </c>
      <c r="X1160" s="161">
        <f t="shared" si="110"/>
        <v>0</v>
      </c>
      <c r="Y1160" s="161">
        <f t="shared" si="111"/>
        <v>-1354.8400000000001</v>
      </c>
      <c r="Z1160" s="161">
        <v>-447</v>
      </c>
      <c r="AA1160" s="161">
        <f t="shared" si="112"/>
        <v>-1801.8400000000001</v>
      </c>
      <c r="AB1160" s="161">
        <f t="shared" si="113"/>
        <v>-156.80000000000018</v>
      </c>
      <c r="AD1160" s="158"/>
    </row>
    <row r="1161" spans="1:30" ht="12" customHeight="1" x14ac:dyDescent="0.3">
      <c r="A1161" s="147">
        <v>48</v>
      </c>
      <c r="B1161" s="158" t="s">
        <v>944</v>
      </c>
      <c r="C1161" s="158" t="s">
        <v>372</v>
      </c>
      <c r="D1161" s="158" t="s">
        <v>1004</v>
      </c>
      <c r="E1161" s="158" t="s">
        <v>39</v>
      </c>
      <c r="F1161" s="158" t="s">
        <v>39</v>
      </c>
      <c r="G1161" s="158" t="s">
        <v>866</v>
      </c>
      <c r="H1161" s="161">
        <v>5470.02</v>
      </c>
      <c r="I1161" s="161">
        <v>0</v>
      </c>
      <c r="J1161" s="161">
        <v>0</v>
      </c>
      <c r="K1161" s="161">
        <v>0</v>
      </c>
      <c r="L1161" s="161">
        <v>-2064.81</v>
      </c>
      <c r="M1161" s="161">
        <v>-75</v>
      </c>
      <c r="N1161" s="161">
        <v>0</v>
      </c>
      <c r="O1161" s="162">
        <f t="shared" si="108"/>
        <v>3330.2100000000005</v>
      </c>
      <c r="P1161" s="161">
        <v>-2500</v>
      </c>
      <c r="Q1161" s="161">
        <v>0</v>
      </c>
      <c r="R1161" s="161">
        <v>0</v>
      </c>
      <c r="S1161" s="161">
        <v>0</v>
      </c>
      <c r="T1161" s="161">
        <v>0</v>
      </c>
      <c r="U1161" s="161">
        <v>0</v>
      </c>
      <c r="V1161" s="161">
        <v>0</v>
      </c>
      <c r="W1161" s="161">
        <f t="shared" si="109"/>
        <v>830.21000000000049</v>
      </c>
      <c r="X1161" s="161">
        <f t="shared" si="110"/>
        <v>830.21000000000049</v>
      </c>
      <c r="Y1161" s="161">
        <f t="shared" si="111"/>
        <v>0</v>
      </c>
      <c r="Z1161" s="161">
        <v>0</v>
      </c>
      <c r="AA1161" s="161">
        <f t="shared" si="112"/>
        <v>0</v>
      </c>
      <c r="AB1161" s="161">
        <f t="shared" si="113"/>
        <v>2500</v>
      </c>
      <c r="AD1161" s="158"/>
    </row>
    <row r="1162" spans="1:30" ht="12" customHeight="1" x14ac:dyDescent="0.3">
      <c r="A1162" s="147">
        <v>48</v>
      </c>
      <c r="B1162" s="158" t="s">
        <v>1100</v>
      </c>
      <c r="C1162" s="182" t="s">
        <v>213</v>
      </c>
      <c r="D1162" s="158" t="s">
        <v>1116</v>
      </c>
      <c r="E1162" s="158" t="s">
        <v>39</v>
      </c>
      <c r="F1162" s="158" t="s">
        <v>39</v>
      </c>
      <c r="G1162" s="158" t="s">
        <v>866</v>
      </c>
      <c r="H1162" s="161">
        <v>2387.3000000000002</v>
      </c>
      <c r="I1162" s="161">
        <v>-7.41</v>
      </c>
      <c r="J1162" s="161">
        <v>9.7899999999999991</v>
      </c>
      <c r="K1162" s="161">
        <v>-15.4</v>
      </c>
      <c r="L1162" s="161">
        <v>0</v>
      </c>
      <c r="M1162" s="161">
        <v>-65</v>
      </c>
      <c r="N1162" s="161">
        <v>0</v>
      </c>
      <c r="O1162" s="162">
        <f t="shared" si="108"/>
        <v>2309.2800000000002</v>
      </c>
      <c r="P1162" s="161">
        <f>-2500+357</f>
        <v>-2143</v>
      </c>
      <c r="Q1162" s="161">
        <v>0</v>
      </c>
      <c r="R1162" s="161">
        <v>-500</v>
      </c>
      <c r="S1162" s="161">
        <v>0</v>
      </c>
      <c r="T1162" s="161">
        <v>0</v>
      </c>
      <c r="U1162" s="161">
        <v>0</v>
      </c>
      <c r="V1162" s="161">
        <v>0</v>
      </c>
      <c r="W1162" s="161">
        <f t="shared" si="109"/>
        <v>-333.7199999999998</v>
      </c>
      <c r="X1162" s="161">
        <f t="shared" si="110"/>
        <v>0</v>
      </c>
      <c r="Y1162" s="161">
        <f t="shared" si="111"/>
        <v>-333.7199999999998</v>
      </c>
      <c r="Z1162" s="161">
        <v>-334</v>
      </c>
      <c r="AA1162" s="161">
        <f t="shared" si="112"/>
        <v>-667.7199999999998</v>
      </c>
      <c r="AB1162" s="161">
        <f t="shared" si="113"/>
        <v>1307.5600000000004</v>
      </c>
      <c r="AD1162" s="158"/>
    </row>
    <row r="1163" spans="1:30" ht="12" customHeight="1" x14ac:dyDescent="0.3">
      <c r="A1163" s="147">
        <v>48</v>
      </c>
      <c r="B1163" s="158" t="s">
        <v>1155</v>
      </c>
      <c r="C1163" s="158" t="s">
        <v>123</v>
      </c>
      <c r="D1163" s="158" t="s">
        <v>999</v>
      </c>
      <c r="E1163" s="160" t="s">
        <v>871</v>
      </c>
      <c r="F1163" s="158" t="s">
        <v>39</v>
      </c>
      <c r="G1163" s="158" t="s">
        <v>866</v>
      </c>
      <c r="H1163" s="161">
        <v>1639.26</v>
      </c>
      <c r="I1163" s="161">
        <v>0</v>
      </c>
      <c r="J1163" s="161">
        <v>0</v>
      </c>
      <c r="K1163" s="161">
        <v>0</v>
      </c>
      <c r="L1163" s="161">
        <v>-454.89</v>
      </c>
      <c r="M1163" s="161">
        <v>-55</v>
      </c>
      <c r="N1163" s="161">
        <v>0</v>
      </c>
      <c r="O1163" s="162">
        <f t="shared" si="108"/>
        <v>1129.3699999999999</v>
      </c>
      <c r="P1163" s="161">
        <v>-1249</v>
      </c>
      <c r="Q1163" s="161">
        <v>0</v>
      </c>
      <c r="R1163" s="161">
        <v>-2000</v>
      </c>
      <c r="S1163" s="161">
        <v>0</v>
      </c>
      <c r="T1163" s="161">
        <v>0</v>
      </c>
      <c r="U1163" s="161">
        <v>0</v>
      </c>
      <c r="V1163" s="161">
        <v>0</v>
      </c>
      <c r="W1163" s="161">
        <f t="shared" si="109"/>
        <v>-2119.63</v>
      </c>
      <c r="X1163" s="161">
        <f t="shared" si="110"/>
        <v>0</v>
      </c>
      <c r="Y1163" s="161">
        <f t="shared" si="111"/>
        <v>-2119.63</v>
      </c>
      <c r="Z1163" s="161">
        <v>2109</v>
      </c>
      <c r="AA1163" s="161">
        <f t="shared" si="112"/>
        <v>-10.630000000000109</v>
      </c>
      <c r="AB1163" s="161">
        <f t="shared" si="113"/>
        <v>3227.74</v>
      </c>
      <c r="AC1163" s="149" t="s">
        <v>1156</v>
      </c>
      <c r="AD1163" s="158"/>
    </row>
    <row r="1164" spans="1:30" ht="12" customHeight="1" x14ac:dyDescent="0.3">
      <c r="A1164" s="147">
        <v>48</v>
      </c>
      <c r="B1164" s="158" t="s">
        <v>872</v>
      </c>
      <c r="C1164" s="158" t="s">
        <v>256</v>
      </c>
      <c r="D1164" s="158" t="s">
        <v>997</v>
      </c>
      <c r="E1164" s="160" t="s">
        <v>871</v>
      </c>
      <c r="F1164" s="158" t="s">
        <v>39</v>
      </c>
      <c r="G1164" s="158" t="s">
        <v>866</v>
      </c>
      <c r="H1164" s="161">
        <v>8993.08</v>
      </c>
      <c r="I1164" s="161">
        <v>-80</v>
      </c>
      <c r="J1164" s="161">
        <v>0</v>
      </c>
      <c r="K1164" s="161">
        <v>-78.19</v>
      </c>
      <c r="L1164" s="161">
        <v>-3137.77</v>
      </c>
      <c r="M1164" s="161">
        <v>-75</v>
      </c>
      <c r="N1164" s="161">
        <v>-26.88</v>
      </c>
      <c r="O1164" s="162">
        <f t="shared" si="108"/>
        <v>5595.2399999999989</v>
      </c>
      <c r="P1164" s="161">
        <v>-2500</v>
      </c>
      <c r="Q1164" s="161">
        <v>0</v>
      </c>
      <c r="R1164" s="161">
        <v>0</v>
      </c>
      <c r="S1164" s="161">
        <v>0</v>
      </c>
      <c r="T1164" s="161">
        <v>-700</v>
      </c>
      <c r="U1164" s="161">
        <v>0</v>
      </c>
      <c r="V1164" s="161">
        <v>0</v>
      </c>
      <c r="W1164" s="161">
        <f t="shared" si="109"/>
        <v>2395.2399999999989</v>
      </c>
      <c r="X1164" s="161">
        <f t="shared" si="110"/>
        <v>2395.2399999999989</v>
      </c>
      <c r="Y1164" s="161">
        <f t="shared" si="111"/>
        <v>0</v>
      </c>
      <c r="Z1164" s="161">
        <v>0</v>
      </c>
      <c r="AA1164" s="161">
        <f t="shared" si="112"/>
        <v>0</v>
      </c>
      <c r="AB1164" s="161">
        <f t="shared" si="113"/>
        <v>3200</v>
      </c>
      <c r="AD1164" s="158"/>
    </row>
    <row r="1165" spans="1:30" ht="12" customHeight="1" x14ac:dyDescent="0.3">
      <c r="A1165" s="147">
        <v>48</v>
      </c>
      <c r="B1165" s="158" t="s">
        <v>1013</v>
      </c>
      <c r="C1165" s="158" t="s">
        <v>101</v>
      </c>
      <c r="D1165" s="158" t="s">
        <v>945</v>
      </c>
      <c r="E1165" s="158" t="s">
        <v>25</v>
      </c>
      <c r="F1165" s="158" t="s">
        <v>25</v>
      </c>
      <c r="G1165" s="158" t="s">
        <v>866</v>
      </c>
      <c r="H1165" s="161">
        <v>0</v>
      </c>
      <c r="I1165" s="162">
        <v>0</v>
      </c>
      <c r="J1165" s="161">
        <v>0</v>
      </c>
      <c r="K1165" s="161">
        <v>0</v>
      </c>
      <c r="L1165" s="161">
        <v>0</v>
      </c>
      <c r="M1165" s="161">
        <v>0</v>
      </c>
      <c r="N1165" s="161">
        <v>0</v>
      </c>
      <c r="O1165" s="162">
        <f t="shared" si="108"/>
        <v>0</v>
      </c>
      <c r="P1165" s="161">
        <v>0</v>
      </c>
      <c r="Q1165" s="161">
        <v>0</v>
      </c>
      <c r="R1165" s="161">
        <v>500</v>
      </c>
      <c r="S1165" s="161">
        <v>0</v>
      </c>
      <c r="T1165" s="161">
        <v>0</v>
      </c>
      <c r="U1165" s="161">
        <v>0</v>
      </c>
      <c r="V1165" s="161">
        <v>0</v>
      </c>
      <c r="W1165" s="161">
        <f t="shared" si="109"/>
        <v>500</v>
      </c>
      <c r="X1165" s="161">
        <f t="shared" si="110"/>
        <v>500</v>
      </c>
      <c r="Y1165" s="161">
        <f t="shared" si="111"/>
        <v>0</v>
      </c>
      <c r="Z1165" s="161">
        <v>0</v>
      </c>
      <c r="AA1165" s="161">
        <f t="shared" si="112"/>
        <v>0</v>
      </c>
      <c r="AB1165" s="161">
        <f t="shared" si="113"/>
        <v>-500</v>
      </c>
      <c r="AD1165" s="158"/>
    </row>
    <row r="1166" spans="1:30" ht="12" customHeight="1" x14ac:dyDescent="0.3">
      <c r="A1166" s="147">
        <v>48</v>
      </c>
      <c r="B1166" s="158" t="s">
        <v>1157</v>
      </c>
      <c r="C1166" s="158" t="s">
        <v>426</v>
      </c>
      <c r="D1166" s="158" t="s">
        <v>903</v>
      </c>
      <c r="E1166" s="158" t="s">
        <v>25</v>
      </c>
      <c r="F1166" s="158" t="s">
        <v>25</v>
      </c>
      <c r="G1166" s="158" t="s">
        <v>866</v>
      </c>
      <c r="H1166" s="161">
        <v>8365.76</v>
      </c>
      <c r="I1166" s="161">
        <v>0</v>
      </c>
      <c r="J1166" s="161">
        <v>0</v>
      </c>
      <c r="K1166" s="161">
        <v>0</v>
      </c>
      <c r="L1166" s="161">
        <v>-4086.69</v>
      </c>
      <c r="M1166" s="161">
        <v>-50</v>
      </c>
      <c r="N1166" s="161">
        <v>0</v>
      </c>
      <c r="O1166" s="162">
        <f t="shared" si="108"/>
        <v>4229.07</v>
      </c>
      <c r="P1166" s="161">
        <v>-1786</v>
      </c>
      <c r="Q1166" s="161">
        <v>0</v>
      </c>
      <c r="R1166" s="161">
        <v>-357</v>
      </c>
      <c r="S1166" s="161">
        <v>0</v>
      </c>
      <c r="T1166" s="161">
        <v>0</v>
      </c>
      <c r="U1166" s="161">
        <v>0</v>
      </c>
      <c r="V1166" s="161">
        <v>0</v>
      </c>
      <c r="W1166" s="161">
        <f t="shared" si="109"/>
        <v>2086.0699999999997</v>
      </c>
      <c r="X1166" s="161">
        <f t="shared" si="110"/>
        <v>2086.0699999999997</v>
      </c>
      <c r="Y1166" s="161">
        <f t="shared" si="111"/>
        <v>0</v>
      </c>
      <c r="Z1166" s="161">
        <v>0</v>
      </c>
      <c r="AA1166" s="161">
        <f t="shared" si="112"/>
        <v>0</v>
      </c>
      <c r="AB1166" s="161">
        <f t="shared" si="113"/>
        <v>2143</v>
      </c>
      <c r="AD1166" s="158"/>
    </row>
    <row r="1167" spans="1:30" ht="12" customHeight="1" x14ac:dyDescent="0.3">
      <c r="A1167" s="147">
        <v>49</v>
      </c>
      <c r="B1167" s="158" t="s">
        <v>837</v>
      </c>
      <c r="C1167" s="177" t="s">
        <v>357</v>
      </c>
      <c r="D1167" s="177" t="s">
        <v>1150</v>
      </c>
      <c r="E1167" s="158" t="s">
        <v>25</v>
      </c>
      <c r="F1167" s="158" t="s">
        <v>25</v>
      </c>
      <c r="G1167" s="158" t="s">
        <v>866</v>
      </c>
      <c r="H1167" s="161">
        <v>5317.39</v>
      </c>
      <c r="I1167" s="161">
        <v>0</v>
      </c>
      <c r="J1167" s="161">
        <v>39.159999999999997</v>
      </c>
      <c r="K1167" s="161">
        <v>0</v>
      </c>
      <c r="L1167" s="161">
        <v>0</v>
      </c>
      <c r="M1167" s="161">
        <v>-85</v>
      </c>
      <c r="N1167" s="161">
        <v>-118.72</v>
      </c>
      <c r="O1167" s="162">
        <f t="shared" si="108"/>
        <v>5152.83</v>
      </c>
      <c r="P1167" s="161">
        <v>-2700</v>
      </c>
      <c r="Q1167" s="161">
        <v>0</v>
      </c>
      <c r="R1167" s="161">
        <v>0</v>
      </c>
      <c r="S1167" s="161">
        <v>0</v>
      </c>
      <c r="T1167" s="161">
        <v>0</v>
      </c>
      <c r="U1167" s="161">
        <v>0</v>
      </c>
      <c r="V1167" s="161">
        <v>0</v>
      </c>
      <c r="W1167" s="161">
        <f t="shared" si="109"/>
        <v>2452.83</v>
      </c>
      <c r="X1167" s="161">
        <f t="shared" si="110"/>
        <v>2452.83</v>
      </c>
      <c r="Y1167" s="161">
        <f t="shared" si="111"/>
        <v>0</v>
      </c>
      <c r="Z1167" s="161">
        <v>0</v>
      </c>
      <c r="AA1167" s="161">
        <f t="shared" si="112"/>
        <v>0</v>
      </c>
      <c r="AB1167" s="161">
        <f t="shared" si="113"/>
        <v>2700</v>
      </c>
      <c r="AD1167" s="158"/>
    </row>
    <row r="1168" spans="1:30" ht="12" customHeight="1" x14ac:dyDescent="0.3">
      <c r="A1168" s="147">
        <v>49</v>
      </c>
      <c r="B1168" s="158" t="s">
        <v>1062</v>
      </c>
      <c r="C1168" s="177" t="s">
        <v>360</v>
      </c>
      <c r="D1168" s="177" t="s">
        <v>1158</v>
      </c>
      <c r="E1168" s="158" t="s">
        <v>25</v>
      </c>
      <c r="F1168" s="158" t="s">
        <v>25</v>
      </c>
      <c r="G1168" s="158" t="s">
        <v>866</v>
      </c>
      <c r="H1168" s="161">
        <v>8909.1</v>
      </c>
      <c r="I1168" s="161">
        <v>-64.84</v>
      </c>
      <c r="J1168" s="161">
        <v>0</v>
      </c>
      <c r="K1168" s="161">
        <v>0</v>
      </c>
      <c r="L1168" s="161">
        <v>-3907.65</v>
      </c>
      <c r="M1168" s="161">
        <v>-85</v>
      </c>
      <c r="N1168" s="161">
        <v>0</v>
      </c>
      <c r="O1168" s="162">
        <f t="shared" si="108"/>
        <v>4851.6100000000006</v>
      </c>
      <c r="P1168" s="161">
        <v>-2700</v>
      </c>
      <c r="Q1168" s="161">
        <v>0</v>
      </c>
      <c r="R1168" s="161">
        <v>0</v>
      </c>
      <c r="S1168" s="161">
        <v>0</v>
      </c>
      <c r="T1168" s="161">
        <v>0</v>
      </c>
      <c r="U1168" s="161">
        <v>-400</v>
      </c>
      <c r="V1168" s="161">
        <v>0</v>
      </c>
      <c r="W1168" s="161">
        <f t="shared" si="109"/>
        <v>1751.6100000000006</v>
      </c>
      <c r="X1168" s="161">
        <f t="shared" si="110"/>
        <v>1751.6100000000006</v>
      </c>
      <c r="Y1168" s="161">
        <f t="shared" si="111"/>
        <v>0</v>
      </c>
      <c r="Z1168" s="161">
        <v>0</v>
      </c>
      <c r="AA1168" s="161">
        <f t="shared" si="112"/>
        <v>0</v>
      </c>
      <c r="AB1168" s="161">
        <f t="shared" si="113"/>
        <v>3100</v>
      </c>
      <c r="AD1168" s="158"/>
    </row>
    <row r="1169" spans="1:30" ht="12" customHeight="1" x14ac:dyDescent="0.3">
      <c r="A1169" s="147">
        <v>49</v>
      </c>
      <c r="B1169" s="158" t="s">
        <v>484</v>
      </c>
      <c r="C1169" s="158" t="s">
        <v>1065</v>
      </c>
      <c r="D1169" s="177" t="s">
        <v>1159</v>
      </c>
      <c r="E1169" s="158" t="s">
        <v>25</v>
      </c>
      <c r="F1169" s="158" t="s">
        <v>25</v>
      </c>
      <c r="G1169" s="158" t="s">
        <v>866</v>
      </c>
      <c r="H1169" s="161">
        <v>9598.15</v>
      </c>
      <c r="I1169" s="161">
        <v>-232</v>
      </c>
      <c r="J1169" s="161">
        <v>0</v>
      </c>
      <c r="K1169" s="161">
        <v>0</v>
      </c>
      <c r="L1169" s="161">
        <v>-4663.1899999999996</v>
      </c>
      <c r="M1169" s="161">
        <v>-60</v>
      </c>
      <c r="N1169" s="161">
        <v>0</v>
      </c>
      <c r="O1169" s="162">
        <f t="shared" si="108"/>
        <v>4642.96</v>
      </c>
      <c r="P1169" s="161">
        <v>-2500</v>
      </c>
      <c r="Q1169" s="161">
        <v>0</v>
      </c>
      <c r="R1169" s="161">
        <v>0</v>
      </c>
      <c r="S1169" s="161">
        <v>0</v>
      </c>
      <c r="T1169" s="161">
        <v>-500</v>
      </c>
      <c r="U1169" s="161">
        <v>0</v>
      </c>
      <c r="V1169" s="161">
        <v>0</v>
      </c>
      <c r="W1169" s="161">
        <f t="shared" si="109"/>
        <v>1642.96</v>
      </c>
      <c r="X1169" s="161">
        <f t="shared" si="110"/>
        <v>1642.96</v>
      </c>
      <c r="Y1169" s="161">
        <f t="shared" si="111"/>
        <v>0</v>
      </c>
      <c r="Z1169" s="161">
        <v>0</v>
      </c>
      <c r="AA1169" s="161">
        <f t="shared" si="112"/>
        <v>0</v>
      </c>
      <c r="AB1169" s="161">
        <f t="shared" si="113"/>
        <v>3000</v>
      </c>
      <c r="AD1169" s="158"/>
    </row>
    <row r="1170" spans="1:30" ht="12" customHeight="1" x14ac:dyDescent="0.3">
      <c r="A1170" s="147">
        <v>49</v>
      </c>
      <c r="B1170" s="158" t="s">
        <v>457</v>
      </c>
      <c r="C1170" s="158" t="s">
        <v>573</v>
      </c>
      <c r="D1170" s="177" t="s">
        <v>1160</v>
      </c>
      <c r="E1170" s="158" t="s">
        <v>25</v>
      </c>
      <c r="F1170" s="158" t="s">
        <v>25</v>
      </c>
      <c r="G1170" s="158" t="s">
        <v>866</v>
      </c>
      <c r="H1170" s="161">
        <v>3401.86</v>
      </c>
      <c r="I1170" s="161">
        <v>-11.56</v>
      </c>
      <c r="J1170" s="161">
        <v>0</v>
      </c>
      <c r="K1170" s="161">
        <v>0</v>
      </c>
      <c r="L1170" s="161">
        <v>-1582.86</v>
      </c>
      <c r="M1170" s="161">
        <v>-60</v>
      </c>
      <c r="N1170" s="161">
        <v>0</v>
      </c>
      <c r="O1170" s="162">
        <f t="shared" si="108"/>
        <v>1747.4400000000003</v>
      </c>
      <c r="P1170" s="161">
        <v>-2500</v>
      </c>
      <c r="Q1170" s="161">
        <v>-432.32</v>
      </c>
      <c r="R1170" s="161">
        <v>0</v>
      </c>
      <c r="S1170" s="161">
        <v>0</v>
      </c>
      <c r="T1170" s="161">
        <v>0</v>
      </c>
      <c r="U1170" s="161">
        <v>0</v>
      </c>
      <c r="V1170" s="161">
        <v>0</v>
      </c>
      <c r="W1170" s="161">
        <f t="shared" si="109"/>
        <v>-1184.8799999999999</v>
      </c>
      <c r="X1170" s="161">
        <f t="shared" si="110"/>
        <v>0</v>
      </c>
      <c r="Y1170" s="161">
        <f t="shared" si="111"/>
        <v>-1184.8799999999999</v>
      </c>
      <c r="Z1170" s="161">
        <f>500+400</f>
        <v>900</v>
      </c>
      <c r="AA1170" s="161">
        <f t="shared" si="112"/>
        <v>-284.87999999999988</v>
      </c>
      <c r="AB1170" s="161">
        <f t="shared" si="113"/>
        <v>2362.5600000000004</v>
      </c>
      <c r="AC1170" s="149" t="s">
        <v>1161</v>
      </c>
      <c r="AD1170" s="158"/>
    </row>
    <row r="1171" spans="1:30" ht="12" customHeight="1" x14ac:dyDescent="0.3">
      <c r="A1171" s="147">
        <v>49</v>
      </c>
      <c r="B1171" s="158" t="s">
        <v>1030</v>
      </c>
      <c r="C1171" s="158" t="s">
        <v>195</v>
      </c>
      <c r="D1171" s="158" t="s">
        <v>964</v>
      </c>
      <c r="E1171" s="160" t="s">
        <v>871</v>
      </c>
      <c r="F1171" s="158" t="s">
        <v>25</v>
      </c>
      <c r="G1171" s="158" t="s">
        <v>866</v>
      </c>
      <c r="H1171" s="161">
        <v>0</v>
      </c>
      <c r="I1171" s="161">
        <v>0</v>
      </c>
      <c r="J1171" s="161">
        <v>0</v>
      </c>
      <c r="K1171" s="161">
        <v>0</v>
      </c>
      <c r="L1171" s="161">
        <v>0</v>
      </c>
      <c r="M1171" s="161">
        <v>0</v>
      </c>
      <c r="N1171" s="161">
        <v>0</v>
      </c>
      <c r="O1171" s="162">
        <f t="shared" si="108"/>
        <v>0</v>
      </c>
      <c r="P1171" s="161">
        <v>0</v>
      </c>
      <c r="Q1171" s="161">
        <v>0</v>
      </c>
      <c r="R1171" s="161">
        <v>500</v>
      </c>
      <c r="S1171" s="161">
        <v>0</v>
      </c>
      <c r="T1171" s="161">
        <v>0</v>
      </c>
      <c r="U1171" s="161">
        <v>0</v>
      </c>
      <c r="V1171" s="161">
        <v>0</v>
      </c>
      <c r="W1171" s="161">
        <f t="shared" si="109"/>
        <v>500</v>
      </c>
      <c r="X1171" s="161">
        <f t="shared" si="110"/>
        <v>500</v>
      </c>
      <c r="Y1171" s="161">
        <f t="shared" si="111"/>
        <v>0</v>
      </c>
      <c r="Z1171" s="161">
        <v>0</v>
      </c>
      <c r="AA1171" s="161">
        <f t="shared" si="112"/>
        <v>0</v>
      </c>
      <c r="AB1171" s="161">
        <f t="shared" si="113"/>
        <v>-500</v>
      </c>
      <c r="AD1171" s="158"/>
    </row>
    <row r="1172" spans="1:30" ht="12" customHeight="1" x14ac:dyDescent="0.3">
      <c r="A1172" s="147">
        <v>49</v>
      </c>
      <c r="B1172" s="158" t="s">
        <v>515</v>
      </c>
      <c r="C1172" s="158" t="s">
        <v>347</v>
      </c>
      <c r="D1172" s="177" t="s">
        <v>1122</v>
      </c>
      <c r="E1172" s="158" t="s">
        <v>25</v>
      </c>
      <c r="F1172" s="158" t="s">
        <v>25</v>
      </c>
      <c r="G1172" s="158" t="s">
        <v>866</v>
      </c>
      <c r="H1172" s="161">
        <v>8547.1200000000008</v>
      </c>
      <c r="I1172" s="161">
        <v>-44.8</v>
      </c>
      <c r="J1172" s="161">
        <v>0</v>
      </c>
      <c r="K1172" s="161">
        <v>0</v>
      </c>
      <c r="L1172" s="161">
        <v>-492.84</v>
      </c>
      <c r="M1172" s="161">
        <v>-60</v>
      </c>
      <c r="N1172" s="161">
        <v>0</v>
      </c>
      <c r="O1172" s="162">
        <f t="shared" si="108"/>
        <v>7949.4800000000014</v>
      </c>
      <c r="P1172" s="161">
        <v>-2500</v>
      </c>
      <c r="Q1172" s="161">
        <v>0</v>
      </c>
      <c r="R1172" s="161">
        <v>-179</v>
      </c>
      <c r="S1172" s="161">
        <v>0</v>
      </c>
      <c r="T1172" s="161">
        <v>-700</v>
      </c>
      <c r="U1172" s="161">
        <v>0</v>
      </c>
      <c r="V1172" s="161">
        <v>0</v>
      </c>
      <c r="W1172" s="161">
        <f t="shared" si="109"/>
        <v>4570.4800000000014</v>
      </c>
      <c r="X1172" s="161">
        <f t="shared" si="110"/>
        <v>4570.4800000000014</v>
      </c>
      <c r="Y1172" s="161">
        <f t="shared" si="111"/>
        <v>0</v>
      </c>
      <c r="Z1172" s="161">
        <v>0</v>
      </c>
      <c r="AA1172" s="161">
        <f t="shared" si="112"/>
        <v>0</v>
      </c>
      <c r="AB1172" s="161">
        <f t="shared" si="113"/>
        <v>3379</v>
      </c>
      <c r="AD1172" s="158"/>
    </row>
    <row r="1173" spans="1:30" ht="12" customHeight="1" x14ac:dyDescent="0.3">
      <c r="A1173" s="147">
        <v>49</v>
      </c>
      <c r="B1173" s="158" t="s">
        <v>1120</v>
      </c>
      <c r="C1173" s="177" t="s">
        <v>100</v>
      </c>
      <c r="D1173" s="177" t="s">
        <v>953</v>
      </c>
      <c r="E1173" s="158" t="s">
        <v>25</v>
      </c>
      <c r="F1173" s="158" t="s">
        <v>25</v>
      </c>
      <c r="G1173" s="158" t="s">
        <v>866</v>
      </c>
      <c r="H1173" s="161">
        <v>7183.34</v>
      </c>
      <c r="I1173" s="161">
        <v>-21.12</v>
      </c>
      <c r="J1173" s="161">
        <v>0</v>
      </c>
      <c r="K1173" s="161">
        <v>-79.81</v>
      </c>
      <c r="L1173" s="161">
        <v>-2097.41</v>
      </c>
      <c r="M1173" s="161">
        <v>-60</v>
      </c>
      <c r="N1173" s="161">
        <v>0</v>
      </c>
      <c r="O1173" s="162">
        <f t="shared" si="108"/>
        <v>4925</v>
      </c>
      <c r="P1173" s="161">
        <v>-2500</v>
      </c>
      <c r="Q1173" s="161">
        <v>0</v>
      </c>
      <c r="R1173" s="161">
        <v>-500</v>
      </c>
      <c r="S1173" s="161">
        <v>0</v>
      </c>
      <c r="T1173" s="161">
        <v>0</v>
      </c>
      <c r="U1173" s="161">
        <v>0</v>
      </c>
      <c r="V1173" s="161">
        <v>0</v>
      </c>
      <c r="W1173" s="161">
        <f t="shared" si="109"/>
        <v>1925</v>
      </c>
      <c r="X1173" s="161">
        <f t="shared" si="110"/>
        <v>1925</v>
      </c>
      <c r="Y1173" s="161">
        <f t="shared" si="111"/>
        <v>0</v>
      </c>
      <c r="Z1173" s="161">
        <v>0</v>
      </c>
      <c r="AA1173" s="161">
        <f t="shared" si="112"/>
        <v>0</v>
      </c>
      <c r="AB1173" s="161">
        <f t="shared" si="113"/>
        <v>3000</v>
      </c>
      <c r="AD1173" s="158"/>
    </row>
    <row r="1174" spans="1:30" ht="12" customHeight="1" x14ac:dyDescent="0.3">
      <c r="A1174" s="147">
        <v>49</v>
      </c>
      <c r="B1174" s="158" t="s">
        <v>1029</v>
      </c>
      <c r="C1174" s="177" t="s">
        <v>64</v>
      </c>
      <c r="D1174" s="177" t="s">
        <v>949</v>
      </c>
      <c r="E1174" s="158" t="s">
        <v>25</v>
      </c>
      <c r="F1174" s="158" t="s">
        <v>25</v>
      </c>
      <c r="G1174" s="158" t="s">
        <v>866</v>
      </c>
      <c r="H1174" s="161">
        <v>8634.34</v>
      </c>
      <c r="I1174" s="161">
        <v>-82.4</v>
      </c>
      <c r="J1174" s="161">
        <v>403.48</v>
      </c>
      <c r="K1174" s="161">
        <v>-66.83</v>
      </c>
      <c r="L1174" s="161">
        <v>0</v>
      </c>
      <c r="M1174" s="161">
        <v>-60</v>
      </c>
      <c r="N1174" s="161">
        <v>0</v>
      </c>
      <c r="O1174" s="162">
        <f t="shared" ref="O1174:O1237" si="114">SUM(H1174:N1174)</f>
        <v>8828.59</v>
      </c>
      <c r="P1174" s="161">
        <v>-2500</v>
      </c>
      <c r="Q1174" s="161">
        <v>0</v>
      </c>
      <c r="R1174" s="161">
        <v>0</v>
      </c>
      <c r="S1174" s="161">
        <v>0</v>
      </c>
      <c r="T1174" s="161">
        <v>0</v>
      </c>
      <c r="U1174" s="161">
        <v>-1000</v>
      </c>
      <c r="V1174" s="161">
        <v>0</v>
      </c>
      <c r="W1174" s="161">
        <f t="shared" ref="W1174:W1237" si="115">+O1174+SUM(P1174:V1174)</f>
        <v>5328.59</v>
      </c>
      <c r="X1174" s="161">
        <f t="shared" ref="X1174:X1237" si="116">IF(W1174&gt;=0,W1174,0)</f>
        <v>5328.59</v>
      </c>
      <c r="Y1174" s="161">
        <f t="shared" ref="Y1174:Y1237" si="117">IF(W1174&lt;=0,W1174,0)</f>
        <v>0</v>
      </c>
      <c r="Z1174" s="161">
        <v>0</v>
      </c>
      <c r="AA1174" s="161">
        <f t="shared" si="112"/>
        <v>0</v>
      </c>
      <c r="AB1174" s="161">
        <f t="shared" si="113"/>
        <v>3500</v>
      </c>
      <c r="AD1174" s="158"/>
    </row>
    <row r="1175" spans="1:30" ht="12" customHeight="1" x14ac:dyDescent="0.3">
      <c r="A1175" s="147">
        <v>49</v>
      </c>
      <c r="B1175" s="158" t="s">
        <v>1088</v>
      </c>
      <c r="C1175" s="177" t="s">
        <v>257</v>
      </c>
      <c r="D1175" s="177" t="s">
        <v>943</v>
      </c>
      <c r="E1175" s="158" t="s">
        <v>25</v>
      </c>
      <c r="F1175" s="158" t="s">
        <v>25</v>
      </c>
      <c r="G1175" s="158" t="s">
        <v>866</v>
      </c>
      <c r="H1175" s="161">
        <v>3189.36</v>
      </c>
      <c r="I1175" s="161">
        <v>-97.48</v>
      </c>
      <c r="J1175" s="161">
        <v>0</v>
      </c>
      <c r="K1175" s="161">
        <v>-20.58</v>
      </c>
      <c r="L1175" s="161">
        <v>0</v>
      </c>
      <c r="M1175" s="161">
        <v>-60</v>
      </c>
      <c r="N1175" s="161">
        <v>0</v>
      </c>
      <c r="O1175" s="162">
        <f t="shared" si="114"/>
        <v>3011.3</v>
      </c>
      <c r="P1175" s="161">
        <v>-2500</v>
      </c>
      <c r="Q1175" s="161">
        <v>0</v>
      </c>
      <c r="R1175" s="161">
        <v>0</v>
      </c>
      <c r="S1175" s="161">
        <v>0</v>
      </c>
      <c r="T1175" s="161">
        <v>0</v>
      </c>
      <c r="U1175" s="161">
        <v>0</v>
      </c>
      <c r="V1175" s="161">
        <v>0</v>
      </c>
      <c r="W1175" s="161">
        <f t="shared" si="115"/>
        <v>511.30000000000018</v>
      </c>
      <c r="X1175" s="161">
        <f t="shared" si="116"/>
        <v>511.30000000000018</v>
      </c>
      <c r="Y1175" s="161">
        <f t="shared" si="117"/>
        <v>0</v>
      </c>
      <c r="Z1175" s="161">
        <v>0</v>
      </c>
      <c r="AA1175" s="161">
        <f t="shared" si="112"/>
        <v>0</v>
      </c>
      <c r="AB1175" s="161">
        <f t="shared" si="113"/>
        <v>2500</v>
      </c>
      <c r="AD1175" s="158"/>
    </row>
    <row r="1176" spans="1:30" ht="12" customHeight="1" x14ac:dyDescent="0.3">
      <c r="A1176" s="147">
        <v>49</v>
      </c>
      <c r="B1176" s="158" t="s">
        <v>880</v>
      </c>
      <c r="C1176" s="177" t="s">
        <v>183</v>
      </c>
      <c r="D1176" s="177" t="s">
        <v>887</v>
      </c>
      <c r="E1176" s="158" t="s">
        <v>25</v>
      </c>
      <c r="F1176" s="158" t="s">
        <v>25</v>
      </c>
      <c r="G1176" s="158" t="s">
        <v>866</v>
      </c>
      <c r="H1176" s="161">
        <v>5581.99</v>
      </c>
      <c r="I1176" s="161">
        <v>0</v>
      </c>
      <c r="J1176" s="161">
        <v>0</v>
      </c>
      <c r="K1176" s="161">
        <v>0</v>
      </c>
      <c r="L1176" s="161">
        <v>-1798.85</v>
      </c>
      <c r="M1176" s="161">
        <v>-60</v>
      </c>
      <c r="N1176" s="161">
        <v>0</v>
      </c>
      <c r="O1176" s="162">
        <f t="shared" si="114"/>
        <v>3723.14</v>
      </c>
      <c r="P1176" s="161">
        <v>-2500</v>
      </c>
      <c r="Q1176" s="161">
        <v>-742.56</v>
      </c>
      <c r="R1176" s="161">
        <v>0</v>
      </c>
      <c r="S1176" s="161">
        <v>0</v>
      </c>
      <c r="T1176" s="161">
        <v>0</v>
      </c>
      <c r="U1176" s="161">
        <v>0</v>
      </c>
      <c r="V1176" s="161">
        <v>0</v>
      </c>
      <c r="W1176" s="161">
        <f t="shared" si="115"/>
        <v>480.57999999999993</v>
      </c>
      <c r="X1176" s="161">
        <f t="shared" si="116"/>
        <v>480.57999999999993</v>
      </c>
      <c r="Y1176" s="161">
        <f t="shared" si="117"/>
        <v>0</v>
      </c>
      <c r="Z1176" s="161">
        <v>0</v>
      </c>
      <c r="AA1176" s="161">
        <f t="shared" si="112"/>
        <v>0</v>
      </c>
      <c r="AB1176" s="161">
        <f t="shared" si="113"/>
        <v>3242.56</v>
      </c>
      <c r="AD1176" s="158"/>
    </row>
    <row r="1177" spans="1:30" ht="12" customHeight="1" x14ac:dyDescent="0.3">
      <c r="A1177" s="147">
        <v>49</v>
      </c>
      <c r="B1177" s="158" t="s">
        <v>408</v>
      </c>
      <c r="C1177" s="177" t="s">
        <v>409</v>
      </c>
      <c r="D1177" s="177" t="s">
        <v>946</v>
      </c>
      <c r="E1177" s="158" t="s">
        <v>25</v>
      </c>
      <c r="F1177" s="158" t="s">
        <v>25</v>
      </c>
      <c r="G1177" s="158" t="s">
        <v>866</v>
      </c>
      <c r="H1177" s="161">
        <v>4372.2700000000004</v>
      </c>
      <c r="I1177" s="161">
        <v>-18.53</v>
      </c>
      <c r="J1177" s="161">
        <v>0</v>
      </c>
      <c r="K1177" s="161">
        <v>0</v>
      </c>
      <c r="L1177" s="161">
        <v>-2861.51</v>
      </c>
      <c r="M1177" s="161">
        <v>-60</v>
      </c>
      <c r="N1177" s="161">
        <v>0</v>
      </c>
      <c r="O1177" s="162">
        <f t="shared" si="114"/>
        <v>1432.2300000000005</v>
      </c>
      <c r="P1177" s="161">
        <v>-2500</v>
      </c>
      <c r="Q1177" s="161">
        <v>-70.56</v>
      </c>
      <c r="R1177" s="161">
        <v>0</v>
      </c>
      <c r="S1177" s="161">
        <v>0</v>
      </c>
      <c r="T1177" s="161">
        <v>0</v>
      </c>
      <c r="U1177" s="161">
        <v>0</v>
      </c>
      <c r="V1177" s="161">
        <v>0</v>
      </c>
      <c r="W1177" s="161">
        <f t="shared" si="115"/>
        <v>-1138.3299999999995</v>
      </c>
      <c r="X1177" s="161">
        <f t="shared" si="116"/>
        <v>0</v>
      </c>
      <c r="Y1177" s="161">
        <f t="shared" si="117"/>
        <v>-1138.3299999999995</v>
      </c>
      <c r="Z1177" s="161">
        <v>1100</v>
      </c>
      <c r="AA1177" s="161">
        <f t="shared" si="112"/>
        <v>-38.329999999999472</v>
      </c>
      <c r="AB1177" s="161">
        <f t="shared" si="113"/>
        <v>2493.900000000001</v>
      </c>
      <c r="AC1177" s="149" t="s">
        <v>1161</v>
      </c>
      <c r="AD1177" s="158"/>
    </row>
    <row r="1178" spans="1:30" ht="12" customHeight="1" x14ac:dyDescent="0.3">
      <c r="A1178" s="147">
        <v>49</v>
      </c>
      <c r="B1178" s="158" t="s">
        <v>1067</v>
      </c>
      <c r="C1178" s="177" t="s">
        <v>46</v>
      </c>
      <c r="D1178" s="177" t="s">
        <v>915</v>
      </c>
      <c r="E1178" s="158" t="s">
        <v>25</v>
      </c>
      <c r="F1178" s="158" t="s">
        <v>25</v>
      </c>
      <c r="G1178" s="158" t="s">
        <v>866</v>
      </c>
      <c r="H1178" s="161">
        <v>3684.26</v>
      </c>
      <c r="I1178" s="161">
        <v>0</v>
      </c>
      <c r="J1178" s="161">
        <v>0</v>
      </c>
      <c r="K1178" s="161">
        <v>0</v>
      </c>
      <c r="L1178" s="161">
        <v>-57.28</v>
      </c>
      <c r="M1178" s="161">
        <v>-60</v>
      </c>
      <c r="N1178" s="161">
        <v>0</v>
      </c>
      <c r="O1178" s="162">
        <f t="shared" si="114"/>
        <v>3566.98</v>
      </c>
      <c r="P1178" s="161">
        <v>-2500</v>
      </c>
      <c r="Q1178" s="161">
        <v>0</v>
      </c>
      <c r="R1178" s="161">
        <v>0</v>
      </c>
      <c r="S1178" s="161">
        <v>0</v>
      </c>
      <c r="T1178" s="161">
        <v>-700</v>
      </c>
      <c r="U1178" s="161">
        <v>0</v>
      </c>
      <c r="V1178" s="161">
        <v>0</v>
      </c>
      <c r="W1178" s="161">
        <f t="shared" si="115"/>
        <v>366.98</v>
      </c>
      <c r="X1178" s="161">
        <f t="shared" si="116"/>
        <v>366.98</v>
      </c>
      <c r="Y1178" s="161">
        <f t="shared" si="117"/>
        <v>0</v>
      </c>
      <c r="Z1178" s="161">
        <v>0</v>
      </c>
      <c r="AA1178" s="161">
        <f t="shared" si="112"/>
        <v>0</v>
      </c>
      <c r="AB1178" s="161">
        <f t="shared" si="113"/>
        <v>3200</v>
      </c>
      <c r="AD1178" s="158"/>
    </row>
    <row r="1179" spans="1:30" ht="12" customHeight="1" x14ac:dyDescent="0.3">
      <c r="A1179" s="147">
        <v>49</v>
      </c>
      <c r="B1179" s="158" t="s">
        <v>620</v>
      </c>
      <c r="C1179" s="177" t="s">
        <v>571</v>
      </c>
      <c r="D1179" s="177" t="s">
        <v>974</v>
      </c>
      <c r="E1179" s="158" t="s">
        <v>25</v>
      </c>
      <c r="F1179" s="158" t="s">
        <v>25</v>
      </c>
      <c r="G1179" s="158" t="s">
        <v>866</v>
      </c>
      <c r="H1179" s="161">
        <v>814.14</v>
      </c>
      <c r="I1179" s="161">
        <v>0</v>
      </c>
      <c r="J1179" s="161">
        <v>0</v>
      </c>
      <c r="K1179" s="161">
        <v>0</v>
      </c>
      <c r="L1179" s="161">
        <v>-500.36</v>
      </c>
      <c r="M1179" s="161">
        <v>-60</v>
      </c>
      <c r="N1179" s="161">
        <v>0</v>
      </c>
      <c r="O1179" s="162">
        <f t="shared" si="114"/>
        <v>253.77999999999997</v>
      </c>
      <c r="P1179" s="161">
        <v>-1250</v>
      </c>
      <c r="Q1179" s="161">
        <v>-226.24</v>
      </c>
      <c r="R1179" s="161">
        <v>0</v>
      </c>
      <c r="S1179" s="161">
        <v>0</v>
      </c>
      <c r="T1179" s="161">
        <v>0</v>
      </c>
      <c r="U1179" s="161">
        <v>202</v>
      </c>
      <c r="V1179" s="161">
        <v>0</v>
      </c>
      <c r="W1179" s="161">
        <f t="shared" si="115"/>
        <v>-1020.46</v>
      </c>
      <c r="X1179" s="161">
        <f t="shared" si="116"/>
        <v>0</v>
      </c>
      <c r="Y1179" s="161">
        <f t="shared" si="117"/>
        <v>-1020.46</v>
      </c>
      <c r="Z1179" s="161">
        <f>535-304+740</f>
        <v>971</v>
      </c>
      <c r="AA1179" s="161">
        <f t="shared" si="112"/>
        <v>-49.460000000000036</v>
      </c>
      <c r="AB1179" s="161">
        <f t="shared" si="113"/>
        <v>1175.32</v>
      </c>
      <c r="AC1179" s="149" t="s">
        <v>1162</v>
      </c>
      <c r="AD1179" s="158"/>
    </row>
    <row r="1180" spans="1:30" ht="12" customHeight="1" x14ac:dyDescent="0.3">
      <c r="A1180" s="147">
        <v>49</v>
      </c>
      <c r="B1180" s="158" t="s">
        <v>620</v>
      </c>
      <c r="C1180" s="177" t="s">
        <v>571</v>
      </c>
      <c r="D1180" s="177" t="s">
        <v>974</v>
      </c>
      <c r="E1180" s="158" t="s">
        <v>25</v>
      </c>
      <c r="F1180" s="158" t="s">
        <v>25</v>
      </c>
      <c r="G1180" s="158" t="s">
        <v>737</v>
      </c>
      <c r="H1180" s="161">
        <v>6151.72</v>
      </c>
      <c r="I1180" s="161">
        <v>0</v>
      </c>
      <c r="J1180" s="161">
        <v>0</v>
      </c>
      <c r="K1180" s="161">
        <v>0</v>
      </c>
      <c r="L1180" s="161">
        <v>-6556.19</v>
      </c>
      <c r="M1180" s="161">
        <v>-200</v>
      </c>
      <c r="N1180" s="161">
        <v>0</v>
      </c>
      <c r="O1180" s="162">
        <f t="shared" si="114"/>
        <v>-604.46999999999935</v>
      </c>
      <c r="P1180" s="161">
        <v>-1250</v>
      </c>
      <c r="Q1180" s="161">
        <v>0</v>
      </c>
      <c r="R1180" s="161">
        <v>0</v>
      </c>
      <c r="S1180" s="161">
        <v>0</v>
      </c>
      <c r="T1180" s="161">
        <v>0</v>
      </c>
      <c r="U1180" s="161">
        <v>0</v>
      </c>
      <c r="V1180" s="161">
        <v>0</v>
      </c>
      <c r="W1180" s="161">
        <f t="shared" si="115"/>
        <v>-1854.4699999999993</v>
      </c>
      <c r="X1180" s="161">
        <f t="shared" si="116"/>
        <v>0</v>
      </c>
      <c r="Y1180" s="161">
        <f t="shared" si="117"/>
        <v>-1854.4699999999993</v>
      </c>
      <c r="Z1180" s="161">
        <f>1550+304</f>
        <v>1854</v>
      </c>
      <c r="AA1180" s="161">
        <f t="shared" si="112"/>
        <v>-0.46999999999934516</v>
      </c>
      <c r="AB1180" s="161">
        <f t="shared" si="113"/>
        <v>1249.0600000000013</v>
      </c>
      <c r="AC1180" s="149" t="s">
        <v>1031</v>
      </c>
      <c r="AD1180" s="158"/>
    </row>
    <row r="1181" spans="1:30" ht="12" customHeight="1" x14ac:dyDescent="0.3">
      <c r="A1181" s="147">
        <v>49</v>
      </c>
      <c r="B1181" s="158" t="s">
        <v>1121</v>
      </c>
      <c r="C1181" s="158" t="s">
        <v>150</v>
      </c>
      <c r="D1181" s="177" t="s">
        <v>877</v>
      </c>
      <c r="E1181" s="158" t="s">
        <v>25</v>
      </c>
      <c r="F1181" s="158" t="s">
        <v>25</v>
      </c>
      <c r="G1181" s="158" t="s">
        <v>737</v>
      </c>
      <c r="H1181" s="161">
        <v>2289.86</v>
      </c>
      <c r="I1181" s="161">
        <v>0</v>
      </c>
      <c r="J1181" s="161">
        <v>0</v>
      </c>
      <c r="K1181" s="161">
        <v>0</v>
      </c>
      <c r="L1181" s="161">
        <v>-2234.12</v>
      </c>
      <c r="M1181" s="161">
        <v>-75</v>
      </c>
      <c r="N1181" s="161">
        <v>0</v>
      </c>
      <c r="O1181" s="162">
        <f t="shared" si="114"/>
        <v>-19.259999999999764</v>
      </c>
      <c r="P1181" s="161">
        <v>-771.42</v>
      </c>
      <c r="Q1181" s="161">
        <v>-977.90000000000009</v>
      </c>
      <c r="R1181" s="161">
        <v>0</v>
      </c>
      <c r="S1181" s="161">
        <v>0</v>
      </c>
      <c r="T1181" s="161">
        <v>0</v>
      </c>
      <c r="U1181" s="161">
        <v>0</v>
      </c>
      <c r="V1181" s="161">
        <v>0</v>
      </c>
      <c r="W1181" s="161">
        <f t="shared" si="115"/>
        <v>-1768.58</v>
      </c>
      <c r="X1181" s="161">
        <f t="shared" si="116"/>
        <v>0</v>
      </c>
      <c r="Y1181" s="161">
        <f t="shared" si="117"/>
        <v>-1768.58</v>
      </c>
      <c r="Z1181" s="161">
        <f>700+700</f>
        <v>1400</v>
      </c>
      <c r="AA1181" s="161">
        <f t="shared" si="112"/>
        <v>-368.57999999999993</v>
      </c>
      <c r="AB1181" s="161">
        <f t="shared" si="113"/>
        <v>1012.1600000000003</v>
      </c>
      <c r="AC1181" s="149" t="s">
        <v>1031</v>
      </c>
      <c r="AD1181" s="158"/>
    </row>
    <row r="1182" spans="1:30" ht="12" customHeight="1" x14ac:dyDescent="0.3">
      <c r="A1182" s="147">
        <v>49</v>
      </c>
      <c r="B1182" s="158" t="s">
        <v>922</v>
      </c>
      <c r="C1182" s="179" t="s">
        <v>104</v>
      </c>
      <c r="D1182" s="177" t="s">
        <v>881</v>
      </c>
      <c r="E1182" s="158" t="s">
        <v>25</v>
      </c>
      <c r="F1182" s="158" t="s">
        <v>25</v>
      </c>
      <c r="G1182" s="158" t="s">
        <v>866</v>
      </c>
      <c r="H1182" s="161">
        <v>0</v>
      </c>
      <c r="I1182" s="161">
        <v>0</v>
      </c>
      <c r="J1182" s="161">
        <v>0</v>
      </c>
      <c r="K1182" s="161">
        <v>0</v>
      </c>
      <c r="L1182" s="161">
        <v>0</v>
      </c>
      <c r="M1182" s="161">
        <v>0</v>
      </c>
      <c r="N1182" s="161">
        <v>0</v>
      </c>
      <c r="O1182" s="162">
        <f t="shared" si="114"/>
        <v>0</v>
      </c>
      <c r="P1182" s="161">
        <v>-2320</v>
      </c>
      <c r="Q1182" s="161">
        <v>204</v>
      </c>
      <c r="R1182" s="161">
        <v>0</v>
      </c>
      <c r="S1182" s="161">
        <v>0</v>
      </c>
      <c r="T1182" s="161">
        <v>-500</v>
      </c>
      <c r="U1182" s="161">
        <v>0</v>
      </c>
      <c r="V1182" s="161">
        <v>0</v>
      </c>
      <c r="W1182" s="161">
        <f t="shared" si="115"/>
        <v>-2616</v>
      </c>
      <c r="X1182" s="161">
        <f t="shared" si="116"/>
        <v>0</v>
      </c>
      <c r="Y1182" s="161">
        <f t="shared" si="117"/>
        <v>-2616</v>
      </c>
      <c r="Z1182" s="161">
        <f>2000+450</f>
        <v>2450</v>
      </c>
      <c r="AA1182" s="161">
        <f t="shared" si="112"/>
        <v>-166</v>
      </c>
      <c r="AB1182" s="161">
        <f t="shared" si="113"/>
        <v>2284</v>
      </c>
      <c r="AC1182" s="149" t="s">
        <v>1163</v>
      </c>
      <c r="AD1182" s="158"/>
    </row>
    <row r="1183" spans="1:30" ht="12" customHeight="1" x14ac:dyDescent="0.3">
      <c r="A1183" s="147">
        <v>49</v>
      </c>
      <c r="B1183" s="158" t="s">
        <v>1003</v>
      </c>
      <c r="C1183" s="177" t="s">
        <v>59</v>
      </c>
      <c r="D1183" s="177" t="s">
        <v>895</v>
      </c>
      <c r="E1183" s="158" t="s">
        <v>25</v>
      </c>
      <c r="F1183" s="158" t="s">
        <v>25</v>
      </c>
      <c r="G1183" s="158" t="s">
        <v>866</v>
      </c>
      <c r="H1183" s="161">
        <v>1228.6199999999999</v>
      </c>
      <c r="I1183" s="161">
        <v>-17.329999999999998</v>
      </c>
      <c r="J1183" s="161">
        <v>0</v>
      </c>
      <c r="K1183" s="161">
        <v>0</v>
      </c>
      <c r="L1183" s="161">
        <v>0</v>
      </c>
      <c r="M1183" s="161">
        <v>-40</v>
      </c>
      <c r="N1183" s="161">
        <v>-14.31</v>
      </c>
      <c r="O1183" s="162">
        <f t="shared" si="114"/>
        <v>1156.98</v>
      </c>
      <c r="P1183" s="161">
        <v>-2500</v>
      </c>
      <c r="Q1183" s="161">
        <v>0</v>
      </c>
      <c r="R1183" s="161">
        <v>0</v>
      </c>
      <c r="S1183" s="161">
        <v>0</v>
      </c>
      <c r="T1183" s="161">
        <v>0</v>
      </c>
      <c r="U1183" s="161">
        <v>0</v>
      </c>
      <c r="V1183" s="161">
        <v>0</v>
      </c>
      <c r="W1183" s="161">
        <f t="shared" si="115"/>
        <v>-1343.02</v>
      </c>
      <c r="X1183" s="161">
        <f t="shared" si="116"/>
        <v>0</v>
      </c>
      <c r="Y1183" s="161">
        <f t="shared" si="117"/>
        <v>-1343.02</v>
      </c>
      <c r="Z1183" s="161">
        <v>1220</v>
      </c>
      <c r="AA1183" s="161">
        <f t="shared" si="112"/>
        <v>-123.01999999999998</v>
      </c>
      <c r="AB1183" s="161">
        <f t="shared" si="113"/>
        <v>2253.96</v>
      </c>
      <c r="AC1183" s="149" t="s">
        <v>1031</v>
      </c>
      <c r="AD1183" s="158"/>
    </row>
    <row r="1184" spans="1:30" ht="12" customHeight="1" x14ac:dyDescent="0.3">
      <c r="A1184" s="147">
        <v>49</v>
      </c>
      <c r="B1184" s="158" t="s">
        <v>585</v>
      </c>
      <c r="C1184" s="177" t="s">
        <v>42</v>
      </c>
      <c r="D1184" s="177" t="s">
        <v>948</v>
      </c>
      <c r="E1184" s="158" t="s">
        <v>25</v>
      </c>
      <c r="F1184" s="158" t="s">
        <v>25</v>
      </c>
      <c r="G1184" s="158" t="s">
        <v>866</v>
      </c>
      <c r="H1184" s="161">
        <v>0</v>
      </c>
      <c r="I1184" s="161">
        <v>0</v>
      </c>
      <c r="J1184" s="161">
        <v>0</v>
      </c>
      <c r="K1184" s="161">
        <v>0</v>
      </c>
      <c r="L1184" s="161">
        <v>0</v>
      </c>
      <c r="M1184" s="161">
        <v>0</v>
      </c>
      <c r="N1184" s="161">
        <v>0</v>
      </c>
      <c r="O1184" s="162">
        <f t="shared" si="114"/>
        <v>0</v>
      </c>
      <c r="P1184" s="161">
        <v>-2500</v>
      </c>
      <c r="Q1184" s="161">
        <v>0</v>
      </c>
      <c r="R1184" s="161">
        <v>0</v>
      </c>
      <c r="S1184" s="161">
        <v>0</v>
      </c>
      <c r="T1184" s="161">
        <v>0</v>
      </c>
      <c r="U1184" s="161">
        <v>0</v>
      </c>
      <c r="V1184" s="161">
        <v>0</v>
      </c>
      <c r="W1184" s="161">
        <f t="shared" si="115"/>
        <v>-2500</v>
      </c>
      <c r="X1184" s="161">
        <f t="shared" si="116"/>
        <v>0</v>
      </c>
      <c r="Y1184" s="161">
        <f t="shared" si="117"/>
        <v>-2500</v>
      </c>
      <c r="Z1184" s="161">
        <v>2500</v>
      </c>
      <c r="AA1184" s="161">
        <f t="shared" si="112"/>
        <v>0</v>
      </c>
      <c r="AB1184" s="161">
        <f t="shared" si="113"/>
        <v>2500</v>
      </c>
      <c r="AC1184" s="149" t="s">
        <v>1031</v>
      </c>
      <c r="AD1184" s="158"/>
    </row>
    <row r="1185" spans="1:30" ht="12" customHeight="1" x14ac:dyDescent="0.3">
      <c r="A1185" s="147">
        <v>49</v>
      </c>
      <c r="B1185" s="158" t="s">
        <v>913</v>
      </c>
      <c r="C1185" s="177" t="s">
        <v>361</v>
      </c>
      <c r="D1185" s="177" t="s">
        <v>1164</v>
      </c>
      <c r="E1185" s="158" t="s">
        <v>25</v>
      </c>
      <c r="F1185" s="158" t="s">
        <v>25</v>
      </c>
      <c r="G1185" s="158" t="s">
        <v>866</v>
      </c>
      <c r="H1185" s="161">
        <v>7010.1</v>
      </c>
      <c r="I1185" s="161">
        <v>0</v>
      </c>
      <c r="J1185" s="161">
        <v>0</v>
      </c>
      <c r="K1185" s="161">
        <v>0</v>
      </c>
      <c r="L1185" s="161">
        <v>-6494.03</v>
      </c>
      <c r="M1185" s="161">
        <v>-60</v>
      </c>
      <c r="N1185" s="161">
        <f>-454.4</f>
        <v>-454.4</v>
      </c>
      <c r="O1185" s="162">
        <f t="shared" si="114"/>
        <v>1.6700000000006412</v>
      </c>
      <c r="P1185" s="161">
        <v>-2700</v>
      </c>
      <c r="Q1185" s="161">
        <v>0</v>
      </c>
      <c r="R1185" s="161">
        <v>0</v>
      </c>
      <c r="S1185" s="161">
        <v>0</v>
      </c>
      <c r="T1185" s="161">
        <v>-700</v>
      </c>
      <c r="U1185" s="161">
        <v>0</v>
      </c>
      <c r="V1185" s="161">
        <v>0</v>
      </c>
      <c r="W1185" s="161">
        <f t="shared" si="115"/>
        <v>-3398.3299999999995</v>
      </c>
      <c r="X1185" s="161">
        <f t="shared" si="116"/>
        <v>0</v>
      </c>
      <c r="Y1185" s="161">
        <f t="shared" si="117"/>
        <v>-3398.3299999999995</v>
      </c>
      <c r="Z1185" s="161">
        <f>2700+500</f>
        <v>3200</v>
      </c>
      <c r="AA1185" s="161">
        <f t="shared" si="112"/>
        <v>-198.32999999999947</v>
      </c>
      <c r="AB1185" s="161">
        <f t="shared" si="113"/>
        <v>3003.3400000000011</v>
      </c>
      <c r="AC1185" s="149" t="s">
        <v>1031</v>
      </c>
      <c r="AD1185" s="158"/>
    </row>
    <row r="1186" spans="1:30" ht="12" customHeight="1" x14ac:dyDescent="0.3">
      <c r="A1186" s="147">
        <v>49</v>
      </c>
      <c r="B1186" s="158" t="s">
        <v>921</v>
      </c>
      <c r="C1186" s="177" t="s">
        <v>36</v>
      </c>
      <c r="D1186" s="177" t="s">
        <v>904</v>
      </c>
      <c r="E1186" s="158" t="s">
        <v>25</v>
      </c>
      <c r="F1186" s="158" t="s">
        <v>25</v>
      </c>
      <c r="G1186" s="158" t="s">
        <v>866</v>
      </c>
      <c r="H1186" s="161">
        <v>0</v>
      </c>
      <c r="I1186" s="161">
        <v>0</v>
      </c>
      <c r="J1186" s="161">
        <v>0</v>
      </c>
      <c r="K1186" s="161">
        <v>0</v>
      </c>
      <c r="L1186" s="161">
        <v>0</v>
      </c>
      <c r="M1186" s="161">
        <v>0</v>
      </c>
      <c r="N1186" s="161">
        <v>0</v>
      </c>
      <c r="O1186" s="162">
        <f t="shared" si="114"/>
        <v>0</v>
      </c>
      <c r="P1186" s="161">
        <v>0</v>
      </c>
      <c r="Q1186" s="161">
        <v>0</v>
      </c>
      <c r="R1186" s="161">
        <v>500</v>
      </c>
      <c r="S1186" s="161">
        <v>0</v>
      </c>
      <c r="T1186" s="161">
        <v>0</v>
      </c>
      <c r="U1186" s="161">
        <v>0</v>
      </c>
      <c r="V1186" s="161">
        <v>0</v>
      </c>
      <c r="W1186" s="161">
        <f t="shared" si="115"/>
        <v>500</v>
      </c>
      <c r="X1186" s="161">
        <f t="shared" si="116"/>
        <v>500</v>
      </c>
      <c r="Y1186" s="161">
        <f t="shared" si="117"/>
        <v>0</v>
      </c>
      <c r="Z1186" s="161">
        <v>0</v>
      </c>
      <c r="AA1186" s="161">
        <f t="shared" si="112"/>
        <v>0</v>
      </c>
      <c r="AB1186" s="161">
        <f t="shared" si="113"/>
        <v>-500</v>
      </c>
      <c r="AD1186" s="158"/>
    </row>
    <row r="1187" spans="1:30" ht="12" customHeight="1" x14ac:dyDescent="0.3">
      <c r="A1187" s="147">
        <v>49</v>
      </c>
      <c r="B1187" s="158" t="s">
        <v>993</v>
      </c>
      <c r="C1187" s="158" t="s">
        <v>347</v>
      </c>
      <c r="D1187" s="177" t="s">
        <v>1122</v>
      </c>
      <c r="E1187" s="158" t="s">
        <v>25</v>
      </c>
      <c r="F1187" s="158" t="s">
        <v>25</v>
      </c>
      <c r="G1187" s="158" t="s">
        <v>866</v>
      </c>
      <c r="H1187" s="161">
        <v>0</v>
      </c>
      <c r="I1187" s="161">
        <v>0</v>
      </c>
      <c r="J1187" s="161">
        <v>0</v>
      </c>
      <c r="K1187" s="161">
        <v>0</v>
      </c>
      <c r="L1187" s="161">
        <v>0</v>
      </c>
      <c r="M1187" s="161">
        <v>0</v>
      </c>
      <c r="N1187" s="161">
        <v>0</v>
      </c>
      <c r="O1187" s="162">
        <f t="shared" si="114"/>
        <v>0</v>
      </c>
      <c r="P1187" s="161">
        <v>0</v>
      </c>
      <c r="Q1187" s="161">
        <v>0</v>
      </c>
      <c r="R1187" s="161">
        <v>500</v>
      </c>
      <c r="S1187" s="161">
        <v>0</v>
      </c>
      <c r="T1187" s="161">
        <v>0</v>
      </c>
      <c r="U1187" s="161">
        <v>0</v>
      </c>
      <c r="V1187" s="161">
        <v>0</v>
      </c>
      <c r="W1187" s="161">
        <f t="shared" si="115"/>
        <v>500</v>
      </c>
      <c r="X1187" s="161">
        <f t="shared" si="116"/>
        <v>500</v>
      </c>
      <c r="Y1187" s="161">
        <f t="shared" si="117"/>
        <v>0</v>
      </c>
      <c r="Z1187" s="161">
        <v>0</v>
      </c>
      <c r="AA1187" s="161">
        <f t="shared" si="112"/>
        <v>0</v>
      </c>
      <c r="AB1187" s="161">
        <f t="shared" si="113"/>
        <v>-500</v>
      </c>
      <c r="AD1187" s="158"/>
    </row>
    <row r="1188" spans="1:30" ht="12" customHeight="1" x14ac:dyDescent="0.3">
      <c r="A1188" s="147">
        <v>49</v>
      </c>
      <c r="B1188" s="158" t="s">
        <v>1076</v>
      </c>
      <c r="C1188" s="177" t="s">
        <v>80</v>
      </c>
      <c r="D1188" s="177" t="s">
        <v>1165</v>
      </c>
      <c r="E1188" s="158" t="s">
        <v>18</v>
      </c>
      <c r="F1188" s="160" t="s">
        <v>18</v>
      </c>
      <c r="G1188" s="158" t="s">
        <v>737</v>
      </c>
      <c r="H1188" s="161">
        <v>7630.11</v>
      </c>
      <c r="I1188" s="161">
        <v>0</v>
      </c>
      <c r="J1188" s="161">
        <v>0</v>
      </c>
      <c r="K1188" s="161">
        <v>0</v>
      </c>
      <c r="L1188" s="161">
        <v>-5195.43</v>
      </c>
      <c r="M1188" s="161">
        <v>-60</v>
      </c>
      <c r="N1188" s="161">
        <v>0</v>
      </c>
      <c r="O1188" s="162">
        <f t="shared" si="114"/>
        <v>2374.6799999999994</v>
      </c>
      <c r="P1188" s="161">
        <v>-2600</v>
      </c>
      <c r="Q1188" s="161">
        <v>0</v>
      </c>
      <c r="R1188" s="161">
        <v>0</v>
      </c>
      <c r="S1188" s="161">
        <v>0</v>
      </c>
      <c r="T1188" s="161">
        <v>0</v>
      </c>
      <c r="U1188" s="161">
        <v>0</v>
      </c>
      <c r="V1188" s="161">
        <v>0</v>
      </c>
      <c r="W1188" s="161">
        <f t="shared" si="115"/>
        <v>-225.32000000000062</v>
      </c>
      <c r="X1188" s="161">
        <f t="shared" si="116"/>
        <v>0</v>
      </c>
      <c r="Y1188" s="161">
        <f t="shared" si="117"/>
        <v>-225.32000000000062</v>
      </c>
      <c r="Z1188" s="161">
        <v>225</v>
      </c>
      <c r="AA1188" s="161">
        <f t="shared" si="112"/>
        <v>-0.32000000000061846</v>
      </c>
      <c r="AB1188" s="161">
        <f t="shared" si="113"/>
        <v>2599.3599999999988</v>
      </c>
      <c r="AC1188" s="149" t="s">
        <v>1166</v>
      </c>
      <c r="AD1188" s="158"/>
    </row>
    <row r="1189" spans="1:30" ht="12" customHeight="1" x14ac:dyDescent="0.3">
      <c r="A1189" s="147">
        <v>49</v>
      </c>
      <c r="B1189" s="158" t="s">
        <v>874</v>
      </c>
      <c r="C1189" s="177" t="s">
        <v>22</v>
      </c>
      <c r="D1189" s="177" t="s">
        <v>1111</v>
      </c>
      <c r="E1189" s="158" t="s">
        <v>18</v>
      </c>
      <c r="F1189" s="160" t="s">
        <v>18</v>
      </c>
      <c r="G1189" s="158" t="s">
        <v>866</v>
      </c>
      <c r="H1189" s="161">
        <v>0</v>
      </c>
      <c r="I1189" s="161">
        <v>0</v>
      </c>
      <c r="J1189" s="161">
        <v>0</v>
      </c>
      <c r="K1189" s="161">
        <v>0</v>
      </c>
      <c r="L1189" s="161">
        <v>0</v>
      </c>
      <c r="M1189" s="161">
        <v>0</v>
      </c>
      <c r="N1189" s="161">
        <v>0</v>
      </c>
      <c r="O1189" s="162">
        <f t="shared" si="114"/>
        <v>0</v>
      </c>
      <c r="P1189" s="161">
        <v>-2500</v>
      </c>
      <c r="Q1189" s="161">
        <v>0</v>
      </c>
      <c r="R1189" s="161">
        <v>0</v>
      </c>
      <c r="S1189" s="161">
        <v>0</v>
      </c>
      <c r="T1189" s="161">
        <v>0</v>
      </c>
      <c r="U1189" s="161">
        <v>0</v>
      </c>
      <c r="V1189" s="161">
        <v>0</v>
      </c>
      <c r="W1189" s="161">
        <f t="shared" si="115"/>
        <v>-2500</v>
      </c>
      <c r="X1189" s="161">
        <f t="shared" si="116"/>
        <v>0</v>
      </c>
      <c r="Y1189" s="161">
        <f t="shared" si="117"/>
        <v>-2500</v>
      </c>
      <c r="Z1189" s="161">
        <f>1800+700</f>
        <v>2500</v>
      </c>
      <c r="AA1189" s="161">
        <f t="shared" si="112"/>
        <v>0</v>
      </c>
      <c r="AB1189" s="161">
        <f t="shared" si="113"/>
        <v>2500</v>
      </c>
      <c r="AC1189" s="149" t="s">
        <v>1166</v>
      </c>
      <c r="AD1189" s="158"/>
    </row>
    <row r="1190" spans="1:30" ht="12" customHeight="1" x14ac:dyDescent="0.3">
      <c r="A1190" s="147">
        <v>49</v>
      </c>
      <c r="B1190" s="158" t="s">
        <v>1051</v>
      </c>
      <c r="C1190" s="177" t="s">
        <v>21</v>
      </c>
      <c r="D1190" s="177" t="s">
        <v>20</v>
      </c>
      <c r="E1190" s="158" t="s">
        <v>18</v>
      </c>
      <c r="F1190" s="160" t="s">
        <v>18</v>
      </c>
      <c r="G1190" s="158" t="s">
        <v>866</v>
      </c>
      <c r="H1190" s="161">
        <v>3783.02</v>
      </c>
      <c r="I1190" s="161">
        <v>0</v>
      </c>
      <c r="J1190" s="161">
        <v>0</v>
      </c>
      <c r="K1190" s="161">
        <v>0</v>
      </c>
      <c r="L1190" s="161">
        <v>-1193.6199999999999</v>
      </c>
      <c r="M1190" s="161">
        <v>-75</v>
      </c>
      <c r="N1190" s="161">
        <v>0</v>
      </c>
      <c r="O1190" s="162">
        <f t="shared" si="114"/>
        <v>2514.4</v>
      </c>
      <c r="P1190" s="161">
        <v>-2500</v>
      </c>
      <c r="Q1190" s="161">
        <v>0</v>
      </c>
      <c r="R1190" s="161">
        <v>0</v>
      </c>
      <c r="S1190" s="161">
        <v>0</v>
      </c>
      <c r="T1190" s="161">
        <v>0</v>
      </c>
      <c r="U1190" s="161">
        <v>-500</v>
      </c>
      <c r="V1190" s="161">
        <v>0</v>
      </c>
      <c r="W1190" s="161">
        <f t="shared" si="115"/>
        <v>-485.59999999999991</v>
      </c>
      <c r="X1190" s="161">
        <f t="shared" si="116"/>
        <v>0</v>
      </c>
      <c r="Y1190" s="161">
        <f t="shared" si="117"/>
        <v>-485.59999999999991</v>
      </c>
      <c r="Z1190" s="161">
        <v>486</v>
      </c>
      <c r="AA1190" s="161">
        <f t="shared" si="112"/>
        <v>0.40000000000009095</v>
      </c>
      <c r="AB1190" s="161">
        <f t="shared" si="113"/>
        <v>3000.8</v>
      </c>
      <c r="AC1190" s="149" t="s">
        <v>1166</v>
      </c>
      <c r="AD1190" s="158"/>
    </row>
    <row r="1191" spans="1:30" ht="12" customHeight="1" x14ac:dyDescent="0.3">
      <c r="A1191" s="147">
        <v>49</v>
      </c>
      <c r="B1191" s="158" t="s">
        <v>1141</v>
      </c>
      <c r="C1191" s="177" t="s">
        <v>120</v>
      </c>
      <c r="D1191" s="177" t="s">
        <v>950</v>
      </c>
      <c r="E1191" s="158" t="s">
        <v>25</v>
      </c>
      <c r="F1191" s="158" t="s">
        <v>25</v>
      </c>
      <c r="G1191" s="158" t="s">
        <v>866</v>
      </c>
      <c r="H1191" s="161">
        <v>1073.1199999999999</v>
      </c>
      <c r="I1191" s="161">
        <v>-2.78</v>
      </c>
      <c r="J1191" s="161">
        <v>0</v>
      </c>
      <c r="K1191" s="161">
        <v>0</v>
      </c>
      <c r="L1191" s="161">
        <v>-435</v>
      </c>
      <c r="M1191" s="161">
        <v>-60</v>
      </c>
      <c r="N1191" s="161">
        <v>0</v>
      </c>
      <c r="O1191" s="162">
        <f t="shared" si="114"/>
        <v>575.33999999999992</v>
      </c>
      <c r="P1191" s="161">
        <v>-2500</v>
      </c>
      <c r="Q1191" s="161">
        <v>0</v>
      </c>
      <c r="R1191" s="161">
        <v>-500</v>
      </c>
      <c r="S1191" s="161">
        <v>0</v>
      </c>
      <c r="T1191" s="161">
        <v>0</v>
      </c>
      <c r="U1191" s="161">
        <v>0</v>
      </c>
      <c r="V1191" s="161">
        <v>0</v>
      </c>
      <c r="W1191" s="161">
        <f t="shared" si="115"/>
        <v>-2424.66</v>
      </c>
      <c r="X1191" s="161">
        <f t="shared" si="116"/>
        <v>0</v>
      </c>
      <c r="Y1191" s="161">
        <f t="shared" si="117"/>
        <v>-2424.66</v>
      </c>
      <c r="Z1191" s="161">
        <v>2480</v>
      </c>
      <c r="AA1191" s="161">
        <f t="shared" si="112"/>
        <v>55.340000000000146</v>
      </c>
      <c r="AB1191" s="161">
        <f t="shared" si="113"/>
        <v>3110.6800000000003</v>
      </c>
      <c r="AC1191" s="149" t="s">
        <v>1031</v>
      </c>
      <c r="AD1191" s="158"/>
    </row>
    <row r="1192" spans="1:30" ht="12" customHeight="1" x14ac:dyDescent="0.3">
      <c r="A1192" s="147">
        <v>49</v>
      </c>
      <c r="B1192" s="158" t="s">
        <v>1142</v>
      </c>
      <c r="C1192" s="177" t="s">
        <v>101</v>
      </c>
      <c r="D1192" s="177" t="s">
        <v>945</v>
      </c>
      <c r="E1192" s="158" t="s">
        <v>25</v>
      </c>
      <c r="F1192" s="158" t="s">
        <v>25</v>
      </c>
      <c r="G1192" s="158" t="s">
        <v>866</v>
      </c>
      <c r="H1192" s="161">
        <v>2493.46</v>
      </c>
      <c r="I1192" s="161">
        <v>0</v>
      </c>
      <c r="J1192" s="161">
        <v>0</v>
      </c>
      <c r="K1192" s="161">
        <v>0</v>
      </c>
      <c r="L1192" s="161">
        <v>-219.92</v>
      </c>
      <c r="M1192" s="161">
        <v>-60</v>
      </c>
      <c r="N1192" s="161">
        <v>0</v>
      </c>
      <c r="O1192" s="162">
        <f t="shared" si="114"/>
        <v>2213.54</v>
      </c>
      <c r="P1192" s="161">
        <v>-2500</v>
      </c>
      <c r="Q1192" s="161">
        <v>0</v>
      </c>
      <c r="R1192" s="161">
        <v>-500</v>
      </c>
      <c r="S1192" s="161">
        <v>0</v>
      </c>
      <c r="T1192" s="161">
        <v>0</v>
      </c>
      <c r="U1192" s="161">
        <v>0</v>
      </c>
      <c r="V1192" s="161">
        <v>0</v>
      </c>
      <c r="W1192" s="161">
        <f t="shared" si="115"/>
        <v>-786.46</v>
      </c>
      <c r="X1192" s="161">
        <f t="shared" si="116"/>
        <v>0</v>
      </c>
      <c r="Y1192" s="161">
        <f t="shared" si="117"/>
        <v>-786.46</v>
      </c>
      <c r="Z1192" s="161">
        <v>786</v>
      </c>
      <c r="AA1192" s="161">
        <f t="shared" si="112"/>
        <v>-0.46000000000003638</v>
      </c>
      <c r="AB1192" s="161">
        <f t="shared" si="113"/>
        <v>2999.08</v>
      </c>
      <c r="AC1192" s="149" t="s">
        <v>1031</v>
      </c>
      <c r="AD1192" s="158"/>
    </row>
    <row r="1193" spans="1:30" ht="12" customHeight="1" x14ac:dyDescent="0.3">
      <c r="A1193" s="147">
        <v>49</v>
      </c>
      <c r="B1193" s="158" t="s">
        <v>1143</v>
      </c>
      <c r="C1193" s="177" t="s">
        <v>53</v>
      </c>
      <c r="D1193" s="177" t="s">
        <v>1167</v>
      </c>
      <c r="E1193" s="158" t="s">
        <v>25</v>
      </c>
      <c r="F1193" s="158" t="s">
        <v>25</v>
      </c>
      <c r="G1193" s="158" t="s">
        <v>866</v>
      </c>
      <c r="H1193" s="161">
        <v>0</v>
      </c>
      <c r="I1193" s="161">
        <v>0</v>
      </c>
      <c r="J1193" s="161">
        <v>0</v>
      </c>
      <c r="K1193" s="161">
        <v>0</v>
      </c>
      <c r="L1193" s="161">
        <v>0</v>
      </c>
      <c r="M1193" s="161">
        <v>0</v>
      </c>
      <c r="N1193" s="161">
        <v>0</v>
      </c>
      <c r="O1193" s="162">
        <f t="shared" si="114"/>
        <v>0</v>
      </c>
      <c r="P1193" s="161">
        <v>-1071.42</v>
      </c>
      <c r="Q1193" s="161">
        <v>0</v>
      </c>
      <c r="R1193" s="161">
        <v>-1000</v>
      </c>
      <c r="S1193" s="161">
        <v>0</v>
      </c>
      <c r="T1193" s="161">
        <v>0</v>
      </c>
      <c r="U1193" s="161">
        <v>0</v>
      </c>
      <c r="V1193" s="161">
        <v>0</v>
      </c>
      <c r="W1193" s="161">
        <f t="shared" si="115"/>
        <v>-2071.42</v>
      </c>
      <c r="X1193" s="161">
        <f t="shared" si="116"/>
        <v>0</v>
      </c>
      <c r="Y1193" s="161">
        <f t="shared" si="117"/>
        <v>-2071.42</v>
      </c>
      <c r="Z1193" s="161">
        <v>2000</v>
      </c>
      <c r="AA1193" s="161">
        <f t="shared" si="112"/>
        <v>-71.420000000000073</v>
      </c>
      <c r="AB1193" s="161">
        <f t="shared" si="113"/>
        <v>1928.58</v>
      </c>
      <c r="AC1193" s="149" t="s">
        <v>1031</v>
      </c>
      <c r="AD1193" s="158"/>
    </row>
    <row r="1194" spans="1:30" ht="12" customHeight="1" x14ac:dyDescent="0.3">
      <c r="A1194" s="147">
        <v>49</v>
      </c>
      <c r="B1194" s="158" t="s">
        <v>1048</v>
      </c>
      <c r="C1194" s="177" t="s">
        <v>55</v>
      </c>
      <c r="D1194" s="177" t="s">
        <v>1168</v>
      </c>
      <c r="E1194" s="158" t="s">
        <v>25</v>
      </c>
      <c r="F1194" s="158" t="s">
        <v>25</v>
      </c>
      <c r="G1194" s="158" t="s">
        <v>866</v>
      </c>
      <c r="H1194" s="161">
        <v>0</v>
      </c>
      <c r="I1194" s="161">
        <v>0</v>
      </c>
      <c r="J1194" s="161">
        <v>0</v>
      </c>
      <c r="K1194" s="161">
        <v>0</v>
      </c>
      <c r="L1194" s="161">
        <v>0</v>
      </c>
      <c r="M1194" s="161">
        <v>0</v>
      </c>
      <c r="N1194" s="161">
        <v>0</v>
      </c>
      <c r="O1194" s="162">
        <f t="shared" si="114"/>
        <v>0</v>
      </c>
      <c r="P1194" s="161">
        <v>0</v>
      </c>
      <c r="Q1194" s="161">
        <v>0</v>
      </c>
      <c r="R1194" s="161">
        <v>500</v>
      </c>
      <c r="S1194" s="161">
        <v>0</v>
      </c>
      <c r="T1194" s="161">
        <v>0</v>
      </c>
      <c r="U1194" s="161">
        <v>0</v>
      </c>
      <c r="V1194" s="161">
        <v>0</v>
      </c>
      <c r="W1194" s="161">
        <f t="shared" si="115"/>
        <v>500</v>
      </c>
      <c r="X1194" s="161">
        <f t="shared" si="116"/>
        <v>500</v>
      </c>
      <c r="Y1194" s="161">
        <f t="shared" si="117"/>
        <v>0</v>
      </c>
      <c r="Z1194" s="161">
        <v>0</v>
      </c>
      <c r="AA1194" s="161">
        <f t="shared" si="112"/>
        <v>0</v>
      </c>
      <c r="AB1194" s="161">
        <f t="shared" si="113"/>
        <v>-500</v>
      </c>
      <c r="AD1194" s="158"/>
    </row>
    <row r="1195" spans="1:30" ht="11.85" customHeight="1" x14ac:dyDescent="0.3">
      <c r="A1195" s="147">
        <v>49</v>
      </c>
      <c r="B1195" s="158" t="s">
        <v>1151</v>
      </c>
      <c r="C1195" s="177" t="s">
        <v>55</v>
      </c>
      <c r="D1195" s="177" t="s">
        <v>1168</v>
      </c>
      <c r="E1195" s="158" t="s">
        <v>25</v>
      </c>
      <c r="F1195" s="158" t="s">
        <v>25</v>
      </c>
      <c r="G1195" s="158" t="s">
        <v>866</v>
      </c>
      <c r="H1195" s="161">
        <v>7964.3</v>
      </c>
      <c r="I1195" s="161">
        <v>-88.8</v>
      </c>
      <c r="J1195" s="161">
        <v>0</v>
      </c>
      <c r="K1195" s="161">
        <v>0</v>
      </c>
      <c r="L1195" s="161">
        <v>-421.12</v>
      </c>
      <c r="M1195" s="161">
        <v>-60</v>
      </c>
      <c r="N1195" s="161">
        <v>0</v>
      </c>
      <c r="O1195" s="162">
        <f t="shared" si="114"/>
        <v>7394.38</v>
      </c>
      <c r="P1195" s="161">
        <v>-2500</v>
      </c>
      <c r="Q1195" s="161">
        <v>0</v>
      </c>
      <c r="R1195" s="161">
        <v>-500</v>
      </c>
      <c r="S1195" s="161">
        <v>0</v>
      </c>
      <c r="T1195" s="161">
        <v>0</v>
      </c>
      <c r="U1195" s="161">
        <v>0</v>
      </c>
      <c r="V1195" s="161">
        <v>0</v>
      </c>
      <c r="W1195" s="161">
        <f t="shared" si="115"/>
        <v>4394.38</v>
      </c>
      <c r="X1195" s="161">
        <f t="shared" si="116"/>
        <v>4394.38</v>
      </c>
      <c r="Y1195" s="161">
        <f t="shared" si="117"/>
        <v>0</v>
      </c>
      <c r="Z1195" s="161">
        <v>0</v>
      </c>
      <c r="AA1195" s="161">
        <f t="shared" si="112"/>
        <v>0</v>
      </c>
      <c r="AB1195" s="161">
        <f t="shared" si="113"/>
        <v>3000</v>
      </c>
      <c r="AD1195" s="158"/>
    </row>
    <row r="1196" spans="1:30" ht="11.85" customHeight="1" x14ac:dyDescent="0.3">
      <c r="A1196" s="147">
        <v>49</v>
      </c>
      <c r="B1196" s="158" t="s">
        <v>1152</v>
      </c>
      <c r="C1196" s="177" t="s">
        <v>64</v>
      </c>
      <c r="D1196" s="177" t="s">
        <v>949</v>
      </c>
      <c r="E1196" s="158" t="s">
        <v>25</v>
      </c>
      <c r="F1196" s="158" t="s">
        <v>25</v>
      </c>
      <c r="G1196" s="158" t="s">
        <v>866</v>
      </c>
      <c r="H1196" s="161">
        <v>5012.76</v>
      </c>
      <c r="I1196" s="161">
        <v>-5.29</v>
      </c>
      <c r="J1196" s="161">
        <v>0</v>
      </c>
      <c r="K1196" s="161">
        <v>0</v>
      </c>
      <c r="L1196" s="161">
        <v>-1935.52</v>
      </c>
      <c r="M1196" s="161">
        <v>-60</v>
      </c>
      <c r="N1196" s="161">
        <v>0</v>
      </c>
      <c r="O1196" s="162">
        <f t="shared" si="114"/>
        <v>3011.9500000000003</v>
      </c>
      <c r="P1196" s="161">
        <v>-2500</v>
      </c>
      <c r="Q1196" s="161">
        <v>0</v>
      </c>
      <c r="R1196" s="161">
        <v>-500</v>
      </c>
      <c r="S1196" s="161">
        <v>0</v>
      </c>
      <c r="T1196" s="161">
        <v>0</v>
      </c>
      <c r="U1196" s="161">
        <v>0</v>
      </c>
      <c r="V1196" s="161">
        <v>0</v>
      </c>
      <c r="W1196" s="161">
        <f t="shared" si="115"/>
        <v>11.950000000000273</v>
      </c>
      <c r="X1196" s="161">
        <f t="shared" si="116"/>
        <v>11.950000000000273</v>
      </c>
      <c r="Y1196" s="161">
        <f t="shared" si="117"/>
        <v>0</v>
      </c>
      <c r="Z1196" s="161">
        <v>0</v>
      </c>
      <c r="AA1196" s="161">
        <f t="shared" si="112"/>
        <v>0</v>
      </c>
      <c r="AB1196" s="161">
        <f t="shared" si="113"/>
        <v>3000</v>
      </c>
      <c r="AD1196" s="158"/>
    </row>
    <row r="1197" spans="1:30" ht="11.85" customHeight="1" x14ac:dyDescent="0.3">
      <c r="A1197" s="147">
        <v>49</v>
      </c>
      <c r="B1197" s="158" t="s">
        <v>1153</v>
      </c>
      <c r="C1197" s="177" t="s">
        <v>334</v>
      </c>
      <c r="D1197" s="177" t="s">
        <v>1169</v>
      </c>
      <c r="E1197" s="158" t="s">
        <v>25</v>
      </c>
      <c r="F1197" s="158" t="s">
        <v>25</v>
      </c>
      <c r="G1197" s="158" t="s">
        <v>866</v>
      </c>
      <c r="H1197" s="161">
        <v>2930.82</v>
      </c>
      <c r="I1197" s="161">
        <v>0</v>
      </c>
      <c r="J1197" s="161">
        <v>0</v>
      </c>
      <c r="K1197" s="161">
        <v>0</v>
      </c>
      <c r="L1197" s="161">
        <v>-328.99</v>
      </c>
      <c r="M1197" s="161">
        <v>-60</v>
      </c>
      <c r="N1197" s="161">
        <v>0</v>
      </c>
      <c r="O1197" s="162">
        <f t="shared" si="114"/>
        <v>2541.83</v>
      </c>
      <c r="P1197" s="161">
        <v>-2500</v>
      </c>
      <c r="Q1197" s="161">
        <v>0</v>
      </c>
      <c r="R1197" s="161">
        <v>-500</v>
      </c>
      <c r="S1197" s="161">
        <v>0</v>
      </c>
      <c r="T1197" s="161">
        <v>0</v>
      </c>
      <c r="U1197" s="161">
        <v>0</v>
      </c>
      <c r="V1197" s="161">
        <v>0</v>
      </c>
      <c r="W1197" s="161">
        <f t="shared" si="115"/>
        <v>-458.17000000000007</v>
      </c>
      <c r="X1197" s="161">
        <f t="shared" si="116"/>
        <v>0</v>
      </c>
      <c r="Y1197" s="161">
        <f t="shared" si="117"/>
        <v>-458.17000000000007</v>
      </c>
      <c r="Z1197" s="161">
        <v>454</v>
      </c>
      <c r="AA1197" s="161">
        <f t="shared" si="112"/>
        <v>-4.1700000000000728</v>
      </c>
      <c r="AB1197" s="161">
        <f t="shared" si="113"/>
        <v>2991.66</v>
      </c>
      <c r="AC1197" s="149" t="s">
        <v>1031</v>
      </c>
      <c r="AD1197" s="158"/>
    </row>
    <row r="1198" spans="1:30" ht="11.85" customHeight="1" x14ac:dyDescent="0.3">
      <c r="A1198" s="147">
        <v>49</v>
      </c>
      <c r="B1198" s="158" t="s">
        <v>604</v>
      </c>
      <c r="C1198" s="177" t="s">
        <v>605</v>
      </c>
      <c r="D1198" s="177" t="s">
        <v>20</v>
      </c>
      <c r="E1198" s="158" t="s">
        <v>25</v>
      </c>
      <c r="F1198" s="158" t="s">
        <v>25</v>
      </c>
      <c r="G1198" s="158" t="s">
        <v>866</v>
      </c>
      <c r="H1198" s="161">
        <v>9747.4500000000007</v>
      </c>
      <c r="I1198" s="161">
        <v>0</v>
      </c>
      <c r="J1198" s="161">
        <v>0</v>
      </c>
      <c r="K1198" s="161">
        <v>0</v>
      </c>
      <c r="L1198" s="161">
        <v>-4339.22</v>
      </c>
      <c r="M1198" s="161">
        <v>-60</v>
      </c>
      <c r="N1198" s="161">
        <v>0</v>
      </c>
      <c r="O1198" s="162">
        <f t="shared" si="114"/>
        <v>5348.2300000000005</v>
      </c>
      <c r="P1198" s="161">
        <v>-2700</v>
      </c>
      <c r="Q1198" s="161">
        <v>0</v>
      </c>
      <c r="R1198" s="161">
        <v>0</v>
      </c>
      <c r="S1198" s="161">
        <v>0</v>
      </c>
      <c r="T1198" s="161">
        <v>0</v>
      </c>
      <c r="U1198" s="161">
        <v>400</v>
      </c>
      <c r="V1198" s="161">
        <v>0</v>
      </c>
      <c r="W1198" s="161">
        <f t="shared" si="115"/>
        <v>3048.2300000000005</v>
      </c>
      <c r="X1198" s="161">
        <f t="shared" si="116"/>
        <v>3048.2300000000005</v>
      </c>
      <c r="Y1198" s="161">
        <f t="shared" si="117"/>
        <v>0</v>
      </c>
      <c r="Z1198" s="161">
        <v>0</v>
      </c>
      <c r="AA1198" s="161">
        <f t="shared" si="112"/>
        <v>0</v>
      </c>
      <c r="AB1198" s="161">
        <f t="shared" si="113"/>
        <v>2300</v>
      </c>
      <c r="AD1198" s="158"/>
    </row>
    <row r="1199" spans="1:30" ht="11.85" customHeight="1" x14ac:dyDescent="0.3">
      <c r="A1199" s="147">
        <v>49</v>
      </c>
      <c r="B1199" s="158" t="s">
        <v>1010</v>
      </c>
      <c r="C1199" s="177" t="s">
        <v>51</v>
      </c>
      <c r="D1199" s="177" t="s">
        <v>1115</v>
      </c>
      <c r="E1199" s="158" t="s">
        <v>25</v>
      </c>
      <c r="F1199" s="158" t="s">
        <v>25</v>
      </c>
      <c r="G1199" s="158" t="s">
        <v>866</v>
      </c>
      <c r="H1199" s="161">
        <v>2256.09</v>
      </c>
      <c r="I1199" s="161">
        <v>0</v>
      </c>
      <c r="J1199" s="161">
        <v>0</v>
      </c>
      <c r="K1199" s="161">
        <v>-24.75</v>
      </c>
      <c r="L1199" s="161">
        <v>-1086.68</v>
      </c>
      <c r="M1199" s="161">
        <v>-60</v>
      </c>
      <c r="N1199" s="161">
        <v>-81.78</v>
      </c>
      <c r="O1199" s="162">
        <f t="shared" si="114"/>
        <v>1002.8800000000001</v>
      </c>
      <c r="P1199" s="161">
        <v>-2500</v>
      </c>
      <c r="Q1199" s="161">
        <v>-15.68</v>
      </c>
      <c r="R1199" s="161">
        <v>-500</v>
      </c>
      <c r="S1199" s="161">
        <v>0</v>
      </c>
      <c r="T1199" s="161">
        <v>0</v>
      </c>
      <c r="U1199" s="161">
        <v>0</v>
      </c>
      <c r="V1199" s="161">
        <v>0</v>
      </c>
      <c r="W1199" s="161">
        <f t="shared" si="115"/>
        <v>-2012.7999999999997</v>
      </c>
      <c r="X1199" s="161">
        <f t="shared" si="116"/>
        <v>0</v>
      </c>
      <c r="Y1199" s="161">
        <f t="shared" si="117"/>
        <v>-2012.7999999999997</v>
      </c>
      <c r="Z1199" s="161">
        <v>2000</v>
      </c>
      <c r="AA1199" s="161">
        <f t="shared" si="112"/>
        <v>-12.799999999999727</v>
      </c>
      <c r="AB1199" s="161">
        <f t="shared" si="113"/>
        <v>2990.0800000000004</v>
      </c>
      <c r="AC1199" s="149" t="s">
        <v>1031</v>
      </c>
      <c r="AD1199" s="158"/>
    </row>
    <row r="1200" spans="1:30" ht="11.85" customHeight="1" x14ac:dyDescent="0.3">
      <c r="A1200" s="147">
        <v>49</v>
      </c>
      <c r="B1200" s="158" t="s">
        <v>1058</v>
      </c>
      <c r="C1200" s="177" t="s">
        <v>152</v>
      </c>
      <c r="D1200" s="177" t="s">
        <v>1108</v>
      </c>
      <c r="E1200" s="160" t="s">
        <v>25</v>
      </c>
      <c r="F1200" s="158" t="s">
        <v>25</v>
      </c>
      <c r="G1200" s="158" t="s">
        <v>866</v>
      </c>
      <c r="H1200" s="161">
        <v>1105.54</v>
      </c>
      <c r="I1200" s="161">
        <v>0</v>
      </c>
      <c r="J1200" s="161">
        <v>0</v>
      </c>
      <c r="K1200" s="161">
        <v>0</v>
      </c>
      <c r="L1200" s="161">
        <v>-424.09</v>
      </c>
      <c r="M1200" s="161">
        <v>-60</v>
      </c>
      <c r="N1200" s="161">
        <v>0</v>
      </c>
      <c r="O1200" s="162">
        <f t="shared" si="114"/>
        <v>621.45000000000005</v>
      </c>
      <c r="P1200" s="161">
        <v>-893</v>
      </c>
      <c r="Q1200" s="161">
        <v>0</v>
      </c>
      <c r="R1200" s="161">
        <v>0</v>
      </c>
      <c r="S1200" s="161">
        <v>0</v>
      </c>
      <c r="T1200" s="161">
        <v>0</v>
      </c>
      <c r="U1200" s="161">
        <v>0</v>
      </c>
      <c r="V1200" s="161">
        <v>0</v>
      </c>
      <c r="W1200" s="161">
        <f t="shared" si="115"/>
        <v>-271.54999999999995</v>
      </c>
      <c r="X1200" s="161">
        <f t="shared" si="116"/>
        <v>0</v>
      </c>
      <c r="Y1200" s="161">
        <f t="shared" si="117"/>
        <v>-271.54999999999995</v>
      </c>
      <c r="Z1200" s="161">
        <v>0</v>
      </c>
      <c r="AA1200" s="161">
        <f t="shared" si="112"/>
        <v>-271.54999999999995</v>
      </c>
      <c r="AB1200" s="161">
        <f t="shared" si="113"/>
        <v>349.90000000000009</v>
      </c>
      <c r="AC1200" s="149" t="s">
        <v>937</v>
      </c>
      <c r="AD1200" s="158"/>
    </row>
    <row r="1201" spans="1:30" ht="11.85" customHeight="1" x14ac:dyDescent="0.3">
      <c r="A1201" s="147">
        <v>49</v>
      </c>
      <c r="B1201" s="158" t="s">
        <v>1157</v>
      </c>
      <c r="C1201" s="177" t="s">
        <v>426</v>
      </c>
      <c r="D1201" s="177" t="s">
        <v>903</v>
      </c>
      <c r="E1201" s="158" t="s">
        <v>25</v>
      </c>
      <c r="F1201" s="158" t="s">
        <v>25</v>
      </c>
      <c r="G1201" s="158" t="s">
        <v>866</v>
      </c>
      <c r="H1201" s="161">
        <v>13445.81</v>
      </c>
      <c r="I1201" s="161">
        <v>-346.19</v>
      </c>
      <c r="J1201" s="161">
        <v>0</v>
      </c>
      <c r="K1201" s="161">
        <v>0</v>
      </c>
      <c r="L1201" s="161">
        <v>-4875.9399999999996</v>
      </c>
      <c r="M1201" s="161">
        <v>-60</v>
      </c>
      <c r="N1201" s="161">
        <v>0</v>
      </c>
      <c r="O1201" s="162">
        <f t="shared" si="114"/>
        <v>8163.68</v>
      </c>
      <c r="P1201" s="161">
        <v>-2500</v>
      </c>
      <c r="Q1201" s="161">
        <v>0</v>
      </c>
      <c r="R1201" s="161">
        <v>-500</v>
      </c>
      <c r="S1201" s="161">
        <v>0</v>
      </c>
      <c r="T1201" s="161">
        <v>0</v>
      </c>
      <c r="U1201" s="161">
        <v>0</v>
      </c>
      <c r="V1201" s="161">
        <v>0</v>
      </c>
      <c r="W1201" s="161">
        <f t="shared" si="115"/>
        <v>5163.68</v>
      </c>
      <c r="X1201" s="161">
        <f t="shared" si="116"/>
        <v>5163.68</v>
      </c>
      <c r="Y1201" s="161">
        <f t="shared" si="117"/>
        <v>0</v>
      </c>
      <c r="Z1201" s="161">
        <v>0</v>
      </c>
      <c r="AA1201" s="161">
        <f t="shared" si="112"/>
        <v>0</v>
      </c>
      <c r="AB1201" s="161">
        <f t="shared" si="113"/>
        <v>3000</v>
      </c>
      <c r="AD1201" s="158"/>
    </row>
    <row r="1202" spans="1:30" ht="11.85" customHeight="1" x14ac:dyDescent="0.3">
      <c r="A1202" s="147">
        <v>49</v>
      </c>
      <c r="B1202" s="158" t="s">
        <v>612</v>
      </c>
      <c r="C1202" s="177" t="s">
        <v>36</v>
      </c>
      <c r="D1202" s="177" t="s">
        <v>904</v>
      </c>
      <c r="E1202" s="158" t="s">
        <v>25</v>
      </c>
      <c r="F1202" s="158" t="s">
        <v>25</v>
      </c>
      <c r="G1202" s="158" t="s">
        <v>866</v>
      </c>
      <c r="H1202" s="161">
        <v>4312.43</v>
      </c>
      <c r="I1202" s="161">
        <v>-29.62</v>
      </c>
      <c r="J1202" s="161">
        <v>0</v>
      </c>
      <c r="K1202" s="161">
        <v>0</v>
      </c>
      <c r="L1202" s="161">
        <v>-678.29</v>
      </c>
      <c r="M1202" s="161">
        <v>-60</v>
      </c>
      <c r="N1202" s="161">
        <v>0</v>
      </c>
      <c r="O1202" s="162">
        <f t="shared" si="114"/>
        <v>3544.5200000000004</v>
      </c>
      <c r="P1202" s="161">
        <v>-1785.71</v>
      </c>
      <c r="Q1202" s="161">
        <v>0</v>
      </c>
      <c r="R1202" s="161">
        <v>0</v>
      </c>
      <c r="S1202" s="161">
        <v>0</v>
      </c>
      <c r="T1202" s="161">
        <v>0</v>
      </c>
      <c r="U1202" s="161">
        <v>0</v>
      </c>
      <c r="V1202" s="161">
        <v>0</v>
      </c>
      <c r="W1202" s="161">
        <f t="shared" si="115"/>
        <v>1758.8100000000004</v>
      </c>
      <c r="X1202" s="161">
        <f t="shared" si="116"/>
        <v>1758.8100000000004</v>
      </c>
      <c r="Y1202" s="161">
        <f t="shared" si="117"/>
        <v>0</v>
      </c>
      <c r="Z1202" s="161">
        <v>0</v>
      </c>
      <c r="AA1202" s="161">
        <f t="shared" si="112"/>
        <v>0</v>
      </c>
      <c r="AB1202" s="161">
        <f t="shared" si="113"/>
        <v>1785.71</v>
      </c>
      <c r="AD1202" s="158"/>
    </row>
    <row r="1203" spans="1:30" ht="11.85" customHeight="1" x14ac:dyDescent="0.3">
      <c r="A1203" s="147">
        <v>49</v>
      </c>
      <c r="B1203" s="158" t="s">
        <v>612</v>
      </c>
      <c r="C1203" s="177" t="s">
        <v>169</v>
      </c>
      <c r="D1203" s="177" t="s">
        <v>967</v>
      </c>
      <c r="E1203" s="160" t="s">
        <v>871</v>
      </c>
      <c r="F1203" s="158" t="s">
        <v>39</v>
      </c>
      <c r="G1203" s="158" t="s">
        <v>866</v>
      </c>
      <c r="H1203" s="161">
        <v>628.5</v>
      </c>
      <c r="I1203" s="161">
        <v>0</v>
      </c>
      <c r="J1203" s="161">
        <v>0</v>
      </c>
      <c r="K1203" s="161">
        <v>0</v>
      </c>
      <c r="L1203" s="161">
        <v>-235.03</v>
      </c>
      <c r="M1203" s="161">
        <v>-20</v>
      </c>
      <c r="N1203" s="161">
        <v>-106</v>
      </c>
      <c r="O1203" s="162">
        <f t="shared" si="114"/>
        <v>267.47000000000003</v>
      </c>
      <c r="P1203" s="161">
        <v>-714.28</v>
      </c>
      <c r="Q1203" s="161">
        <v>0</v>
      </c>
      <c r="R1203" s="161">
        <v>0</v>
      </c>
      <c r="S1203" s="161">
        <v>0</v>
      </c>
      <c r="T1203" s="161">
        <v>0</v>
      </c>
      <c r="U1203" s="161">
        <v>0</v>
      </c>
      <c r="V1203" s="161">
        <v>0</v>
      </c>
      <c r="W1203" s="161">
        <f t="shared" si="115"/>
        <v>-446.80999999999995</v>
      </c>
      <c r="X1203" s="161">
        <f t="shared" si="116"/>
        <v>0</v>
      </c>
      <c r="Y1203" s="161">
        <f t="shared" si="117"/>
        <v>-446.80999999999995</v>
      </c>
      <c r="Z1203" s="161">
        <v>447</v>
      </c>
      <c r="AA1203" s="161">
        <f t="shared" si="112"/>
        <v>0.19000000000005457</v>
      </c>
      <c r="AB1203" s="161">
        <f t="shared" si="113"/>
        <v>714.66000000000008</v>
      </c>
      <c r="AC1203" s="149" t="s">
        <v>1170</v>
      </c>
      <c r="AD1203" s="158"/>
    </row>
    <row r="1204" spans="1:30" ht="11.85" customHeight="1" x14ac:dyDescent="0.3">
      <c r="A1204" s="147">
        <v>49</v>
      </c>
      <c r="B1204" s="158" t="s">
        <v>1025</v>
      </c>
      <c r="C1204" s="177" t="s">
        <v>195</v>
      </c>
      <c r="D1204" s="177" t="s">
        <v>964</v>
      </c>
      <c r="E1204" s="160" t="s">
        <v>871</v>
      </c>
      <c r="F1204" s="158" t="s">
        <v>39</v>
      </c>
      <c r="G1204" s="158" t="s">
        <v>866</v>
      </c>
      <c r="H1204" s="161">
        <v>1072.3900000000001</v>
      </c>
      <c r="I1204" s="161">
        <v>0</v>
      </c>
      <c r="J1204" s="161">
        <v>0</v>
      </c>
      <c r="K1204" s="161">
        <v>0</v>
      </c>
      <c r="L1204" s="161">
        <v>-529.55999999999995</v>
      </c>
      <c r="M1204" s="161">
        <v>-60</v>
      </c>
      <c r="N1204" s="161">
        <v>0</v>
      </c>
      <c r="O1204" s="162">
        <f t="shared" si="114"/>
        <v>482.83000000000015</v>
      </c>
      <c r="P1204" s="161">
        <v>-1428.57</v>
      </c>
      <c r="Q1204" s="161">
        <v>-1016.97</v>
      </c>
      <c r="R1204" s="161">
        <v>0</v>
      </c>
      <c r="S1204" s="161">
        <v>0</v>
      </c>
      <c r="T1204" s="161">
        <v>-500</v>
      </c>
      <c r="U1204" s="161">
        <v>0</v>
      </c>
      <c r="V1204" s="161">
        <v>0</v>
      </c>
      <c r="W1204" s="161">
        <f t="shared" si="115"/>
        <v>-2462.71</v>
      </c>
      <c r="X1204" s="161">
        <f t="shared" si="116"/>
        <v>0</v>
      </c>
      <c r="Y1204" s="161">
        <f t="shared" si="117"/>
        <v>-2462.71</v>
      </c>
      <c r="Z1204" s="161">
        <v>0</v>
      </c>
      <c r="AA1204" s="161">
        <f t="shared" si="112"/>
        <v>-2462.71</v>
      </c>
      <c r="AB1204" s="161">
        <f t="shared" si="113"/>
        <v>-1979.8799999999999</v>
      </c>
      <c r="AD1204" s="158"/>
    </row>
    <row r="1205" spans="1:30" ht="11.85" customHeight="1" x14ac:dyDescent="0.3">
      <c r="A1205" s="147">
        <v>49</v>
      </c>
      <c r="B1205" s="158" t="s">
        <v>944</v>
      </c>
      <c r="C1205" s="177" t="s">
        <v>372</v>
      </c>
      <c r="D1205" s="177" t="s">
        <v>1004</v>
      </c>
      <c r="E1205" s="158" t="s">
        <v>39</v>
      </c>
      <c r="F1205" s="158" t="s">
        <v>39</v>
      </c>
      <c r="G1205" s="158" t="s">
        <v>866</v>
      </c>
      <c r="H1205" s="161">
        <v>7187.7</v>
      </c>
      <c r="I1205" s="161">
        <v>-7.72</v>
      </c>
      <c r="J1205" s="161">
        <v>0</v>
      </c>
      <c r="K1205" s="161">
        <v>0</v>
      </c>
      <c r="L1205" s="161">
        <v>-2677.5</v>
      </c>
      <c r="M1205" s="161">
        <v>-60</v>
      </c>
      <c r="N1205" s="161">
        <v>0</v>
      </c>
      <c r="O1205" s="162">
        <f t="shared" si="114"/>
        <v>4442.4799999999996</v>
      </c>
      <c r="P1205" s="161">
        <v>-2500</v>
      </c>
      <c r="Q1205" s="161">
        <v>0</v>
      </c>
      <c r="R1205" s="161">
        <v>0</v>
      </c>
      <c r="S1205" s="161">
        <v>0</v>
      </c>
      <c r="T1205" s="161">
        <v>-700</v>
      </c>
      <c r="U1205" s="161">
        <v>0</v>
      </c>
      <c r="V1205" s="161">
        <v>0</v>
      </c>
      <c r="W1205" s="161">
        <f t="shared" si="115"/>
        <v>1242.4799999999996</v>
      </c>
      <c r="X1205" s="161">
        <f t="shared" si="116"/>
        <v>1242.4799999999996</v>
      </c>
      <c r="Y1205" s="161">
        <f t="shared" si="117"/>
        <v>0</v>
      </c>
      <c r="Z1205" s="161">
        <v>0</v>
      </c>
      <c r="AA1205" s="161">
        <f t="shared" si="112"/>
        <v>0</v>
      </c>
      <c r="AB1205" s="161">
        <f t="shared" si="113"/>
        <v>3200</v>
      </c>
      <c r="AD1205" s="158"/>
    </row>
    <row r="1206" spans="1:30" ht="11.85" customHeight="1" x14ac:dyDescent="0.3">
      <c r="A1206" s="147">
        <v>49</v>
      </c>
      <c r="B1206" s="158" t="s">
        <v>1100</v>
      </c>
      <c r="C1206" s="182" t="s">
        <v>213</v>
      </c>
      <c r="D1206" s="177" t="s">
        <v>1116</v>
      </c>
      <c r="E1206" s="158" t="s">
        <v>39</v>
      </c>
      <c r="F1206" s="158" t="s">
        <v>39</v>
      </c>
      <c r="G1206" s="158" t="s">
        <v>866</v>
      </c>
      <c r="H1206" s="161">
        <v>4926.43</v>
      </c>
      <c r="I1206" s="161">
        <v>0</v>
      </c>
      <c r="J1206" s="161">
        <v>0</v>
      </c>
      <c r="K1206" s="161">
        <v>-37.520000000000003</v>
      </c>
      <c r="L1206" s="161">
        <v>-1248.06</v>
      </c>
      <c r="M1206" s="161">
        <v>-60</v>
      </c>
      <c r="N1206" s="161">
        <v>0</v>
      </c>
      <c r="O1206" s="162">
        <f t="shared" si="114"/>
        <v>3580.85</v>
      </c>
      <c r="P1206" s="161">
        <v>-2142.85</v>
      </c>
      <c r="Q1206" s="161">
        <v>0</v>
      </c>
      <c r="R1206" s="161">
        <v>-500</v>
      </c>
      <c r="S1206" s="161">
        <v>0</v>
      </c>
      <c r="T1206" s="161">
        <v>0</v>
      </c>
      <c r="U1206" s="161">
        <v>0</v>
      </c>
      <c r="V1206" s="161">
        <v>0</v>
      </c>
      <c r="W1206" s="161">
        <f t="shared" si="115"/>
        <v>938</v>
      </c>
      <c r="X1206" s="161">
        <f t="shared" si="116"/>
        <v>938</v>
      </c>
      <c r="Y1206" s="161">
        <f t="shared" si="117"/>
        <v>0</v>
      </c>
      <c r="Z1206" s="161">
        <v>0</v>
      </c>
      <c r="AA1206" s="161">
        <f t="shared" si="112"/>
        <v>0</v>
      </c>
      <c r="AB1206" s="161">
        <f t="shared" si="113"/>
        <v>2642.85</v>
      </c>
      <c r="AD1206" s="158"/>
    </row>
    <row r="1207" spans="1:30" ht="11.85" customHeight="1" x14ac:dyDescent="0.3">
      <c r="A1207" s="147">
        <v>49</v>
      </c>
      <c r="B1207" s="158" t="s">
        <v>1155</v>
      </c>
      <c r="C1207" s="177" t="s">
        <v>123</v>
      </c>
      <c r="D1207" s="177" t="s">
        <v>999</v>
      </c>
      <c r="E1207" s="160" t="s">
        <v>871</v>
      </c>
      <c r="F1207" s="158" t="s">
        <v>39</v>
      </c>
      <c r="G1207" s="158" t="s">
        <v>866</v>
      </c>
      <c r="H1207" s="161">
        <v>6520.16</v>
      </c>
      <c r="I1207" s="161">
        <v>0</v>
      </c>
      <c r="J1207" s="161">
        <v>0</v>
      </c>
      <c r="K1207" s="161">
        <v>0</v>
      </c>
      <c r="L1207" s="161">
        <v>-2812.11</v>
      </c>
      <c r="M1207" s="161">
        <v>-60</v>
      </c>
      <c r="N1207" s="161">
        <v>0</v>
      </c>
      <c r="O1207" s="162">
        <f t="shared" si="114"/>
        <v>3648.0499999999997</v>
      </c>
      <c r="P1207" s="161">
        <v>-2500</v>
      </c>
      <c r="Q1207" s="161">
        <v>-12</v>
      </c>
      <c r="R1207" s="161">
        <v>0</v>
      </c>
      <c r="S1207" s="161">
        <v>0</v>
      </c>
      <c r="T1207" s="161">
        <v>0</v>
      </c>
      <c r="U1207" s="161">
        <v>-400</v>
      </c>
      <c r="V1207" s="161">
        <v>0</v>
      </c>
      <c r="W1207" s="161">
        <f t="shared" si="115"/>
        <v>736.04999999999973</v>
      </c>
      <c r="X1207" s="161">
        <f t="shared" si="116"/>
        <v>736.04999999999973</v>
      </c>
      <c r="Y1207" s="161">
        <f t="shared" si="117"/>
        <v>0</v>
      </c>
      <c r="Z1207" s="161">
        <v>0</v>
      </c>
      <c r="AA1207" s="161">
        <f t="shared" si="112"/>
        <v>0</v>
      </c>
      <c r="AB1207" s="161">
        <f t="shared" si="113"/>
        <v>2912</v>
      </c>
      <c r="AD1207" s="158"/>
    </row>
    <row r="1208" spans="1:30" ht="11.85" customHeight="1" x14ac:dyDescent="0.3">
      <c r="A1208" s="147">
        <v>49</v>
      </c>
      <c r="B1208" s="158" t="s">
        <v>872</v>
      </c>
      <c r="C1208" s="177" t="s">
        <v>256</v>
      </c>
      <c r="D1208" s="177" t="s">
        <v>997</v>
      </c>
      <c r="E1208" s="160" t="s">
        <v>871</v>
      </c>
      <c r="F1208" s="158" t="s">
        <v>39</v>
      </c>
      <c r="G1208" s="158" t="s">
        <v>866</v>
      </c>
      <c r="H1208" s="161">
        <v>9009.23</v>
      </c>
      <c r="I1208" s="161">
        <v>-131.19999999999999</v>
      </c>
      <c r="J1208" s="161">
        <v>0</v>
      </c>
      <c r="K1208" s="161">
        <v>-74.97</v>
      </c>
      <c r="L1208" s="161">
        <v>-4630.32</v>
      </c>
      <c r="M1208" s="161">
        <v>-60</v>
      </c>
      <c r="N1208" s="161">
        <v>-252</v>
      </c>
      <c r="O1208" s="162">
        <f t="shared" si="114"/>
        <v>3860.74</v>
      </c>
      <c r="P1208" s="161">
        <v>-2500</v>
      </c>
      <c r="Q1208" s="161">
        <v>0</v>
      </c>
      <c r="R1208" s="161">
        <v>0</v>
      </c>
      <c r="S1208" s="161">
        <v>0</v>
      </c>
      <c r="T1208" s="161">
        <v>-700</v>
      </c>
      <c r="U1208" s="161">
        <v>0</v>
      </c>
      <c r="V1208" s="161">
        <v>0</v>
      </c>
      <c r="W1208" s="161">
        <f t="shared" si="115"/>
        <v>660.73999999999978</v>
      </c>
      <c r="X1208" s="161">
        <f t="shared" si="116"/>
        <v>660.73999999999978</v>
      </c>
      <c r="Y1208" s="161">
        <f t="shared" si="117"/>
        <v>0</v>
      </c>
      <c r="Z1208" s="161">
        <v>0</v>
      </c>
      <c r="AA1208" s="161">
        <f t="shared" si="112"/>
        <v>0</v>
      </c>
      <c r="AB1208" s="161">
        <f t="shared" si="113"/>
        <v>3200</v>
      </c>
      <c r="AD1208" s="158"/>
    </row>
    <row r="1209" spans="1:30" ht="11.85" customHeight="1" x14ac:dyDescent="0.3">
      <c r="A1209" s="147">
        <v>49</v>
      </c>
      <c r="B1209" s="158" t="s">
        <v>1013</v>
      </c>
      <c r="C1209" s="177" t="s">
        <v>101</v>
      </c>
      <c r="D1209" s="177" t="s">
        <v>945</v>
      </c>
      <c r="E1209" s="158" t="s">
        <v>25</v>
      </c>
      <c r="F1209" s="158" t="s">
        <v>39</v>
      </c>
      <c r="G1209" s="158" t="s">
        <v>866</v>
      </c>
      <c r="H1209" s="161">
        <v>0</v>
      </c>
      <c r="I1209" s="161">
        <v>0</v>
      </c>
      <c r="J1209" s="161">
        <v>0</v>
      </c>
      <c r="K1209" s="161">
        <v>0</v>
      </c>
      <c r="L1209" s="161">
        <v>0</v>
      </c>
      <c r="M1209" s="161">
        <v>0</v>
      </c>
      <c r="N1209" s="161">
        <v>0</v>
      </c>
      <c r="O1209" s="162">
        <f t="shared" si="114"/>
        <v>0</v>
      </c>
      <c r="P1209" s="161">
        <v>0</v>
      </c>
      <c r="Q1209" s="161">
        <v>0</v>
      </c>
      <c r="R1209" s="161">
        <v>500</v>
      </c>
      <c r="S1209" s="161">
        <v>0</v>
      </c>
      <c r="T1209" s="161">
        <v>0</v>
      </c>
      <c r="U1209" s="161">
        <v>0</v>
      </c>
      <c r="V1209" s="161">
        <v>0</v>
      </c>
      <c r="W1209" s="161">
        <f t="shared" si="115"/>
        <v>500</v>
      </c>
      <c r="X1209" s="161">
        <f t="shared" si="116"/>
        <v>500</v>
      </c>
      <c r="Y1209" s="161">
        <f t="shared" si="117"/>
        <v>0</v>
      </c>
      <c r="Z1209" s="161">
        <v>0</v>
      </c>
      <c r="AA1209" s="161">
        <f t="shared" si="112"/>
        <v>0</v>
      </c>
      <c r="AB1209" s="161">
        <f t="shared" si="113"/>
        <v>-500</v>
      </c>
      <c r="AD1209" s="158"/>
    </row>
    <row r="1210" spans="1:30" ht="11.85" customHeight="1" x14ac:dyDescent="0.3">
      <c r="A1210" s="147">
        <v>49</v>
      </c>
      <c r="B1210" s="158" t="s">
        <v>1082</v>
      </c>
      <c r="C1210" s="177" t="s">
        <v>152</v>
      </c>
      <c r="D1210" s="177" t="s">
        <v>1108</v>
      </c>
      <c r="E1210" s="160" t="s">
        <v>25</v>
      </c>
      <c r="F1210" s="158" t="s">
        <v>25</v>
      </c>
      <c r="G1210" s="158" t="s">
        <v>866</v>
      </c>
      <c r="H1210" s="161">
        <v>0</v>
      </c>
      <c r="I1210" s="161">
        <v>0</v>
      </c>
      <c r="J1210" s="161">
        <v>0</v>
      </c>
      <c r="K1210" s="161">
        <v>0</v>
      </c>
      <c r="L1210" s="161">
        <v>0</v>
      </c>
      <c r="M1210" s="161">
        <v>0</v>
      </c>
      <c r="N1210" s="161">
        <v>0</v>
      </c>
      <c r="O1210" s="162">
        <f t="shared" si="114"/>
        <v>0</v>
      </c>
      <c r="P1210" s="161">
        <v>0</v>
      </c>
      <c r="Q1210" s="161">
        <v>0</v>
      </c>
      <c r="R1210" s="161">
        <v>1000</v>
      </c>
      <c r="S1210" s="161">
        <v>0</v>
      </c>
      <c r="T1210" s="161">
        <v>0</v>
      </c>
      <c r="U1210" s="161">
        <v>0</v>
      </c>
      <c r="V1210" s="161">
        <v>0</v>
      </c>
      <c r="W1210" s="161">
        <f t="shared" si="115"/>
        <v>1000</v>
      </c>
      <c r="X1210" s="161">
        <f t="shared" si="116"/>
        <v>1000</v>
      </c>
      <c r="Y1210" s="161">
        <f t="shared" si="117"/>
        <v>0</v>
      </c>
      <c r="Z1210" s="161">
        <v>0</v>
      </c>
      <c r="AA1210" s="161">
        <f t="shared" si="112"/>
        <v>0</v>
      </c>
      <c r="AB1210" s="161">
        <f t="shared" si="113"/>
        <v>-1000</v>
      </c>
      <c r="AD1210" s="158"/>
    </row>
    <row r="1211" spans="1:30" ht="11.85" customHeight="1" x14ac:dyDescent="0.3">
      <c r="A1211" s="147">
        <v>49</v>
      </c>
      <c r="B1211" s="158" t="s">
        <v>1171</v>
      </c>
      <c r="C1211" s="177" t="s">
        <v>480</v>
      </c>
      <c r="D1211" s="177" t="s">
        <v>20</v>
      </c>
      <c r="E1211" s="158" t="s">
        <v>25</v>
      </c>
      <c r="F1211" s="158" t="s">
        <v>25</v>
      </c>
      <c r="G1211" s="158" t="s">
        <v>866</v>
      </c>
      <c r="H1211" s="161">
        <v>0</v>
      </c>
      <c r="I1211" s="161">
        <v>0</v>
      </c>
      <c r="J1211" s="161">
        <v>0</v>
      </c>
      <c r="K1211" s="161">
        <v>0</v>
      </c>
      <c r="L1211" s="161">
        <v>0</v>
      </c>
      <c r="M1211" s="161">
        <v>0</v>
      </c>
      <c r="N1211" s="161">
        <v>0</v>
      </c>
      <c r="O1211" s="162">
        <f t="shared" si="114"/>
        <v>0</v>
      </c>
      <c r="P1211" s="161">
        <v>-2700</v>
      </c>
      <c r="Q1211" s="161">
        <v>0</v>
      </c>
      <c r="R1211" s="161">
        <v>0</v>
      </c>
      <c r="S1211" s="161">
        <v>0</v>
      </c>
      <c r="T1211" s="161">
        <v>0</v>
      </c>
      <c r="U1211" s="161">
        <v>0</v>
      </c>
      <c r="V1211" s="161">
        <v>0</v>
      </c>
      <c r="W1211" s="161">
        <f t="shared" si="115"/>
        <v>-2700</v>
      </c>
      <c r="X1211" s="161">
        <f t="shared" si="116"/>
        <v>0</v>
      </c>
      <c r="Y1211" s="161">
        <f t="shared" si="117"/>
        <v>-2700</v>
      </c>
      <c r="Z1211" s="161">
        <v>2700</v>
      </c>
      <c r="AA1211" s="161">
        <f t="shared" si="112"/>
        <v>0</v>
      </c>
      <c r="AB1211" s="161">
        <f t="shared" si="113"/>
        <v>2700</v>
      </c>
      <c r="AC1211" s="149" t="s">
        <v>1031</v>
      </c>
      <c r="AD1211" s="158"/>
    </row>
    <row r="1212" spans="1:30" ht="15" customHeight="1" x14ac:dyDescent="0.3">
      <c r="A1212" s="147">
        <v>50</v>
      </c>
      <c r="B1212" s="158" t="s">
        <v>837</v>
      </c>
      <c r="C1212" s="177" t="s">
        <v>357</v>
      </c>
      <c r="D1212" s="177" t="s">
        <v>1150</v>
      </c>
      <c r="E1212" s="158" t="s">
        <v>25</v>
      </c>
      <c r="F1212" s="158" t="s">
        <v>25</v>
      </c>
      <c r="G1212" s="158" t="s">
        <v>866</v>
      </c>
      <c r="H1212" s="161">
        <v>5892.29</v>
      </c>
      <c r="I1212" s="161">
        <v>0</v>
      </c>
      <c r="J1212" s="161">
        <v>0</v>
      </c>
      <c r="K1212" s="161">
        <v>0</v>
      </c>
      <c r="L1212" s="161">
        <v>0</v>
      </c>
      <c r="M1212" s="161">
        <v>-65</v>
      </c>
      <c r="N1212" s="161">
        <v>0</v>
      </c>
      <c r="O1212" s="162">
        <f t="shared" si="114"/>
        <v>5827.29</v>
      </c>
      <c r="P1212" s="161">
        <v>-2700</v>
      </c>
      <c r="Q1212" s="161">
        <v>0</v>
      </c>
      <c r="R1212" s="161">
        <v>0</v>
      </c>
      <c r="S1212" s="161">
        <v>0</v>
      </c>
      <c r="T1212" s="161">
        <v>0</v>
      </c>
      <c r="U1212" s="161">
        <v>0</v>
      </c>
      <c r="V1212" s="161">
        <v>0</v>
      </c>
      <c r="W1212" s="161">
        <f t="shared" si="115"/>
        <v>3127.29</v>
      </c>
      <c r="X1212" s="161">
        <f t="shared" si="116"/>
        <v>3127.29</v>
      </c>
      <c r="Y1212" s="161">
        <f t="shared" si="117"/>
        <v>0</v>
      </c>
      <c r="Z1212" s="161">
        <v>0</v>
      </c>
      <c r="AA1212" s="161">
        <f t="shared" si="112"/>
        <v>0</v>
      </c>
      <c r="AB1212" s="161">
        <f t="shared" si="113"/>
        <v>2700</v>
      </c>
      <c r="AC1212" s="149" t="s">
        <v>1124</v>
      </c>
      <c r="AD1212" s="158"/>
    </row>
    <row r="1213" spans="1:30" ht="15" customHeight="1" x14ac:dyDescent="0.3">
      <c r="A1213" s="147">
        <v>50</v>
      </c>
      <c r="B1213" s="158" t="s">
        <v>1062</v>
      </c>
      <c r="C1213" s="177" t="s">
        <v>360</v>
      </c>
      <c r="D1213" s="177" t="s">
        <v>1158</v>
      </c>
      <c r="E1213" s="158" t="s">
        <v>25</v>
      </c>
      <c r="F1213" s="158" t="s">
        <v>25</v>
      </c>
      <c r="G1213" s="158" t="s">
        <v>866</v>
      </c>
      <c r="H1213" s="161">
        <v>8978.07</v>
      </c>
      <c r="I1213" s="161">
        <v>-51.45</v>
      </c>
      <c r="J1213" s="161">
        <v>0</v>
      </c>
      <c r="K1213" s="161">
        <v>0</v>
      </c>
      <c r="L1213" s="161">
        <v>-2054.0300000000002</v>
      </c>
      <c r="M1213" s="161">
        <v>-60</v>
      </c>
      <c r="N1213" s="161">
        <v>0</v>
      </c>
      <c r="O1213" s="162">
        <f t="shared" si="114"/>
        <v>6812.5899999999983</v>
      </c>
      <c r="P1213" s="161">
        <v>-2700</v>
      </c>
      <c r="Q1213" s="161">
        <v>0</v>
      </c>
      <c r="R1213" s="161">
        <v>0</v>
      </c>
      <c r="S1213" s="161">
        <v>0</v>
      </c>
      <c r="T1213" s="161">
        <v>0</v>
      </c>
      <c r="U1213" s="161">
        <v>-400</v>
      </c>
      <c r="V1213" s="161">
        <v>0</v>
      </c>
      <c r="W1213" s="161">
        <f t="shared" si="115"/>
        <v>3712.5899999999983</v>
      </c>
      <c r="X1213" s="161">
        <f t="shared" si="116"/>
        <v>3712.5899999999983</v>
      </c>
      <c r="Y1213" s="161">
        <f t="shared" si="117"/>
        <v>0</v>
      </c>
      <c r="Z1213" s="161">
        <v>0</v>
      </c>
      <c r="AA1213" s="161">
        <f t="shared" si="112"/>
        <v>0</v>
      </c>
      <c r="AB1213" s="161">
        <f t="shared" si="113"/>
        <v>3100</v>
      </c>
      <c r="AC1213" s="149" t="s">
        <v>1124</v>
      </c>
      <c r="AD1213" s="158"/>
    </row>
    <row r="1214" spans="1:30" ht="15" customHeight="1" x14ac:dyDescent="0.3">
      <c r="A1214" s="147">
        <v>50</v>
      </c>
      <c r="B1214" s="158" t="s">
        <v>484</v>
      </c>
      <c r="C1214" s="158" t="s">
        <v>1065</v>
      </c>
      <c r="D1214" s="177" t="s">
        <v>1159</v>
      </c>
      <c r="E1214" s="158" t="s">
        <v>25</v>
      </c>
      <c r="F1214" s="158" t="s">
        <v>25</v>
      </c>
      <c r="G1214" s="158" t="s">
        <v>866</v>
      </c>
      <c r="H1214" s="161">
        <v>9143.77</v>
      </c>
      <c r="I1214" s="161">
        <v>-175.2</v>
      </c>
      <c r="J1214" s="161">
        <v>0</v>
      </c>
      <c r="K1214" s="161">
        <v>0</v>
      </c>
      <c r="L1214" s="161">
        <v>-4900.28</v>
      </c>
      <c r="M1214" s="161">
        <v>-80</v>
      </c>
      <c r="N1214" s="161">
        <v>0</v>
      </c>
      <c r="O1214" s="162">
        <f t="shared" si="114"/>
        <v>3988.29</v>
      </c>
      <c r="P1214" s="161">
        <v>-2500</v>
      </c>
      <c r="Q1214" s="161">
        <v>43</v>
      </c>
      <c r="R1214" s="161">
        <v>0</v>
      </c>
      <c r="S1214" s="161">
        <v>0</v>
      </c>
      <c r="T1214" s="161">
        <v>-500</v>
      </c>
      <c r="U1214" s="161">
        <v>0</v>
      </c>
      <c r="V1214" s="161">
        <v>0</v>
      </c>
      <c r="W1214" s="161">
        <f t="shared" si="115"/>
        <v>1031.29</v>
      </c>
      <c r="X1214" s="161">
        <f t="shared" si="116"/>
        <v>1031.29</v>
      </c>
      <c r="Y1214" s="161">
        <f t="shared" si="117"/>
        <v>0</v>
      </c>
      <c r="Z1214" s="161">
        <v>0</v>
      </c>
      <c r="AA1214" s="161">
        <f t="shared" si="112"/>
        <v>0</v>
      </c>
      <c r="AB1214" s="161">
        <f t="shared" si="113"/>
        <v>2957</v>
      </c>
      <c r="AC1214" s="149" t="s">
        <v>1172</v>
      </c>
      <c r="AD1214" s="158"/>
    </row>
    <row r="1215" spans="1:30" ht="15" customHeight="1" x14ac:dyDescent="0.3">
      <c r="A1215" s="147">
        <v>50</v>
      </c>
      <c r="B1215" s="158" t="s">
        <v>457</v>
      </c>
      <c r="C1215" s="177" t="s">
        <v>672</v>
      </c>
      <c r="D1215" s="177" t="s">
        <v>20</v>
      </c>
      <c r="E1215" s="158" t="s">
        <v>25</v>
      </c>
      <c r="F1215" s="158" t="s">
        <v>39</v>
      </c>
      <c r="G1215" s="158" t="s">
        <v>866</v>
      </c>
      <c r="H1215" s="161">
        <v>3884.02</v>
      </c>
      <c r="I1215" s="161">
        <v>0</v>
      </c>
      <c r="J1215" s="161">
        <v>0</v>
      </c>
      <c r="K1215" s="161">
        <v>0</v>
      </c>
      <c r="L1215" s="161">
        <v>-1730.8</v>
      </c>
      <c r="M1215" s="161">
        <v>-30</v>
      </c>
      <c r="N1215" s="161">
        <v>0</v>
      </c>
      <c r="O1215" s="162">
        <f t="shared" si="114"/>
        <v>2123.2200000000003</v>
      </c>
      <c r="P1215" s="161">
        <v>-1428.57</v>
      </c>
      <c r="Q1215" s="161">
        <v>0</v>
      </c>
      <c r="R1215" s="161">
        <v>0</v>
      </c>
      <c r="S1215" s="161">
        <v>0</v>
      </c>
      <c r="T1215" s="161">
        <v>0</v>
      </c>
      <c r="U1215" s="161">
        <v>-250</v>
      </c>
      <c r="V1215" s="161">
        <v>0</v>
      </c>
      <c r="W1215" s="161">
        <f t="shared" si="115"/>
        <v>444.65000000000032</v>
      </c>
      <c r="X1215" s="161">
        <f t="shared" si="116"/>
        <v>444.65000000000032</v>
      </c>
      <c r="Y1215" s="161">
        <f t="shared" si="117"/>
        <v>0</v>
      </c>
      <c r="Z1215" s="161">
        <v>0</v>
      </c>
      <c r="AA1215" s="161">
        <f t="shared" si="112"/>
        <v>0</v>
      </c>
      <c r="AB1215" s="161">
        <f t="shared" si="113"/>
        <v>1678.57</v>
      </c>
      <c r="AC1215" s="149" t="s">
        <v>1173</v>
      </c>
      <c r="AD1215" s="158"/>
    </row>
    <row r="1216" spans="1:30" ht="15" customHeight="1" x14ac:dyDescent="0.3">
      <c r="A1216" s="147">
        <v>50</v>
      </c>
      <c r="B1216" s="158" t="s">
        <v>457</v>
      </c>
      <c r="C1216" s="158" t="s">
        <v>573</v>
      </c>
      <c r="D1216" s="177" t="s">
        <v>1160</v>
      </c>
      <c r="E1216" s="158" t="s">
        <v>25</v>
      </c>
      <c r="F1216" s="158" t="s">
        <v>25</v>
      </c>
      <c r="G1216" s="158" t="s">
        <v>866</v>
      </c>
      <c r="H1216" s="161">
        <v>1048.57</v>
      </c>
      <c r="I1216" s="161">
        <v>0</v>
      </c>
      <c r="J1216" s="161">
        <v>0</v>
      </c>
      <c r="K1216" s="161">
        <v>0</v>
      </c>
      <c r="L1216" s="161">
        <v>-723.9</v>
      </c>
      <c r="M1216" s="161">
        <v>-35</v>
      </c>
      <c r="N1216" s="161">
        <v>0</v>
      </c>
      <c r="O1216" s="162">
        <f t="shared" si="114"/>
        <v>289.66999999999996</v>
      </c>
      <c r="P1216" s="161">
        <v>-1071.72</v>
      </c>
      <c r="Q1216" s="161">
        <v>-319</v>
      </c>
      <c r="R1216" s="161">
        <v>0</v>
      </c>
      <c r="S1216" s="161">
        <v>0</v>
      </c>
      <c r="T1216" s="161">
        <v>0</v>
      </c>
      <c r="U1216" s="161">
        <v>0</v>
      </c>
      <c r="V1216" s="161">
        <v>0</v>
      </c>
      <c r="W1216" s="161">
        <f t="shared" si="115"/>
        <v>-1101.0500000000002</v>
      </c>
      <c r="X1216" s="161">
        <f t="shared" si="116"/>
        <v>0</v>
      </c>
      <c r="Y1216" s="161">
        <f t="shared" si="117"/>
        <v>-1101.0500000000002</v>
      </c>
      <c r="Z1216" s="161">
        <f>445+656+700</f>
        <v>1801</v>
      </c>
      <c r="AA1216" s="161">
        <f t="shared" si="112"/>
        <v>699.94999999999982</v>
      </c>
      <c r="AB1216" s="161">
        <f t="shared" si="113"/>
        <v>2790.62</v>
      </c>
      <c r="AC1216" s="149" t="s">
        <v>1174</v>
      </c>
      <c r="AD1216" s="158"/>
    </row>
    <row r="1217" spans="1:30" ht="15" customHeight="1" x14ac:dyDescent="0.3">
      <c r="A1217" s="147">
        <v>50</v>
      </c>
      <c r="B1217" s="158" t="s">
        <v>515</v>
      </c>
      <c r="C1217" s="158" t="s">
        <v>347</v>
      </c>
      <c r="D1217" s="177" t="s">
        <v>1122</v>
      </c>
      <c r="E1217" s="158" t="s">
        <v>25</v>
      </c>
      <c r="F1217" s="158" t="s">
        <v>25</v>
      </c>
      <c r="G1217" s="158" t="s">
        <v>866</v>
      </c>
      <c r="H1217" s="161">
        <v>7951.5</v>
      </c>
      <c r="I1217" s="161">
        <v>-52</v>
      </c>
      <c r="J1217" s="161">
        <v>125.79</v>
      </c>
      <c r="K1217" s="161">
        <v>0</v>
      </c>
      <c r="L1217" s="161">
        <v>-501.94</v>
      </c>
      <c r="M1217" s="161">
        <v>-65</v>
      </c>
      <c r="N1217" s="161">
        <v>0</v>
      </c>
      <c r="O1217" s="162">
        <f t="shared" si="114"/>
        <v>7458.35</v>
      </c>
      <c r="P1217" s="161">
        <v>-2321.42</v>
      </c>
      <c r="Q1217" s="161">
        <v>0</v>
      </c>
      <c r="R1217" s="161">
        <v>0</v>
      </c>
      <c r="S1217" s="161">
        <v>0</v>
      </c>
      <c r="T1217" s="161">
        <v>-700</v>
      </c>
      <c r="U1217" s="161">
        <v>0</v>
      </c>
      <c r="V1217" s="161">
        <v>0</v>
      </c>
      <c r="W1217" s="161">
        <f t="shared" si="115"/>
        <v>4436.93</v>
      </c>
      <c r="X1217" s="161">
        <f t="shared" si="116"/>
        <v>4436.93</v>
      </c>
      <c r="Y1217" s="161">
        <f t="shared" si="117"/>
        <v>0</v>
      </c>
      <c r="Z1217" s="161">
        <v>0</v>
      </c>
      <c r="AA1217" s="161">
        <f t="shared" si="112"/>
        <v>0</v>
      </c>
      <c r="AB1217" s="161">
        <f t="shared" si="113"/>
        <v>3021.42</v>
      </c>
      <c r="AC1217" s="149" t="s">
        <v>1124</v>
      </c>
      <c r="AD1217" s="158"/>
    </row>
    <row r="1218" spans="1:30" ht="15" customHeight="1" x14ac:dyDescent="0.3">
      <c r="A1218" s="147">
        <v>50</v>
      </c>
      <c r="B1218" s="158" t="s">
        <v>1120</v>
      </c>
      <c r="C1218" s="177" t="s">
        <v>100</v>
      </c>
      <c r="D1218" s="177" t="s">
        <v>953</v>
      </c>
      <c r="E1218" s="158" t="s">
        <v>25</v>
      </c>
      <c r="F1218" s="158" t="s">
        <v>25</v>
      </c>
      <c r="G1218" s="158" t="s">
        <v>866</v>
      </c>
      <c r="H1218" s="161">
        <v>6540.46</v>
      </c>
      <c r="I1218" s="161">
        <v>-60.51</v>
      </c>
      <c r="J1218" s="161">
        <v>0</v>
      </c>
      <c r="K1218" s="161">
        <v>-70.09</v>
      </c>
      <c r="L1218" s="161">
        <v>-1175.6199999999999</v>
      </c>
      <c r="M1218" s="161">
        <v>-30</v>
      </c>
      <c r="N1218" s="161">
        <v>0</v>
      </c>
      <c r="O1218" s="162">
        <f t="shared" si="114"/>
        <v>5204.24</v>
      </c>
      <c r="P1218" s="161">
        <v>-2500</v>
      </c>
      <c r="Q1218" s="161">
        <v>0</v>
      </c>
      <c r="R1218" s="161">
        <v>-500</v>
      </c>
      <c r="S1218" s="161">
        <v>0</v>
      </c>
      <c r="T1218" s="161">
        <v>0</v>
      </c>
      <c r="U1218" s="161">
        <v>0</v>
      </c>
      <c r="V1218" s="161">
        <v>0</v>
      </c>
      <c r="W1218" s="161">
        <f t="shared" si="115"/>
        <v>2204.2399999999998</v>
      </c>
      <c r="X1218" s="161">
        <f t="shared" si="116"/>
        <v>2204.2399999999998</v>
      </c>
      <c r="Y1218" s="161">
        <f t="shared" si="117"/>
        <v>0</v>
      </c>
      <c r="Z1218" s="161">
        <v>0</v>
      </c>
      <c r="AA1218" s="161">
        <f t="shared" ref="AA1218:AA1281" si="118">+Y1218+Z1218</f>
        <v>0</v>
      </c>
      <c r="AB1218" s="161">
        <f t="shared" ref="AB1218:AB1281" si="119">+O1218-X1218+Z1218+AA1218</f>
        <v>3000</v>
      </c>
      <c r="AC1218" s="149" t="s">
        <v>1124</v>
      </c>
      <c r="AD1218" s="158"/>
    </row>
    <row r="1219" spans="1:30" ht="15" customHeight="1" x14ac:dyDescent="0.3">
      <c r="A1219" s="147">
        <v>50</v>
      </c>
      <c r="B1219" s="158" t="s">
        <v>1029</v>
      </c>
      <c r="C1219" s="177" t="s">
        <v>64</v>
      </c>
      <c r="D1219" s="177" t="s">
        <v>949</v>
      </c>
      <c r="E1219" s="158" t="s">
        <v>25</v>
      </c>
      <c r="F1219" s="158" t="s">
        <v>25</v>
      </c>
      <c r="G1219" s="158" t="s">
        <v>866</v>
      </c>
      <c r="H1219" s="161">
        <v>9776.66</v>
      </c>
      <c r="I1219" s="161">
        <v>-171.64</v>
      </c>
      <c r="J1219" s="161">
        <v>0</v>
      </c>
      <c r="K1219" s="161">
        <v>-63.7</v>
      </c>
      <c r="L1219" s="161">
        <v>0</v>
      </c>
      <c r="M1219" s="161">
        <v>-20</v>
      </c>
      <c r="N1219" s="161">
        <v>-134</v>
      </c>
      <c r="O1219" s="162">
        <f t="shared" si="114"/>
        <v>9387.32</v>
      </c>
      <c r="P1219" s="161">
        <v>-2142.85</v>
      </c>
      <c r="Q1219" s="161">
        <v>0</v>
      </c>
      <c r="R1219" s="161">
        <v>0</v>
      </c>
      <c r="S1219" s="161">
        <v>0</v>
      </c>
      <c r="T1219" s="161">
        <v>0</v>
      </c>
      <c r="U1219" s="161">
        <v>-880</v>
      </c>
      <c r="V1219" s="161">
        <v>0</v>
      </c>
      <c r="W1219" s="161">
        <f t="shared" si="115"/>
        <v>6364.4699999999993</v>
      </c>
      <c r="X1219" s="161">
        <f t="shared" si="116"/>
        <v>6364.4699999999993</v>
      </c>
      <c r="Y1219" s="161">
        <f t="shared" si="117"/>
        <v>0</v>
      </c>
      <c r="Z1219" s="161">
        <v>0</v>
      </c>
      <c r="AA1219" s="161">
        <f t="shared" si="118"/>
        <v>0</v>
      </c>
      <c r="AB1219" s="161">
        <f t="shared" si="119"/>
        <v>3022.8500000000004</v>
      </c>
      <c r="AC1219" s="149" t="s">
        <v>1124</v>
      </c>
      <c r="AD1219" s="158"/>
    </row>
    <row r="1220" spans="1:30" ht="15" customHeight="1" x14ac:dyDescent="0.3">
      <c r="A1220" s="147">
        <v>50</v>
      </c>
      <c r="B1220" s="158" t="s">
        <v>1088</v>
      </c>
      <c r="C1220" s="177" t="s">
        <v>257</v>
      </c>
      <c r="D1220" s="177" t="s">
        <v>943</v>
      </c>
      <c r="E1220" s="158" t="s">
        <v>25</v>
      </c>
      <c r="F1220" s="158" t="s">
        <v>25</v>
      </c>
      <c r="G1220" s="158" t="s">
        <v>866</v>
      </c>
      <c r="H1220" s="161">
        <v>5193.51</v>
      </c>
      <c r="I1220" s="161">
        <v>-32.67</v>
      </c>
      <c r="J1220" s="161">
        <v>0</v>
      </c>
      <c r="K1220" s="161">
        <v>-35.119999999999997</v>
      </c>
      <c r="L1220" s="161">
        <v>-898.95</v>
      </c>
      <c r="M1220" s="161">
        <v>-40</v>
      </c>
      <c r="N1220" s="161">
        <v>0</v>
      </c>
      <c r="O1220" s="162">
        <f t="shared" si="114"/>
        <v>4186.7700000000004</v>
      </c>
      <c r="P1220" s="161">
        <v>-2500</v>
      </c>
      <c r="Q1220" s="161">
        <v>88</v>
      </c>
      <c r="R1220" s="161">
        <v>0</v>
      </c>
      <c r="S1220" s="161">
        <v>0</v>
      </c>
      <c r="T1220" s="161">
        <v>0</v>
      </c>
      <c r="U1220" s="161">
        <v>0</v>
      </c>
      <c r="V1220" s="161">
        <v>0</v>
      </c>
      <c r="W1220" s="161">
        <f t="shared" si="115"/>
        <v>1774.7700000000004</v>
      </c>
      <c r="X1220" s="161">
        <f t="shared" si="116"/>
        <v>1774.7700000000004</v>
      </c>
      <c r="Y1220" s="161">
        <f t="shared" si="117"/>
        <v>0</v>
      </c>
      <c r="Z1220" s="161">
        <v>0</v>
      </c>
      <c r="AA1220" s="161">
        <f t="shared" si="118"/>
        <v>0</v>
      </c>
      <c r="AB1220" s="161">
        <f t="shared" si="119"/>
        <v>2412</v>
      </c>
      <c r="AC1220" s="149" t="s">
        <v>1124</v>
      </c>
      <c r="AD1220" s="158"/>
    </row>
    <row r="1221" spans="1:30" ht="15" customHeight="1" x14ac:dyDescent="0.3">
      <c r="A1221" s="147">
        <v>50</v>
      </c>
      <c r="B1221" s="158" t="s">
        <v>880</v>
      </c>
      <c r="C1221" s="177" t="s">
        <v>183</v>
      </c>
      <c r="D1221" s="177" t="s">
        <v>887</v>
      </c>
      <c r="E1221" s="158" t="s">
        <v>25</v>
      </c>
      <c r="F1221" s="158" t="s">
        <v>25</v>
      </c>
      <c r="G1221" s="158" t="s">
        <v>866</v>
      </c>
      <c r="H1221" s="161">
        <v>2776.47</v>
      </c>
      <c r="I1221" s="161">
        <v>0</v>
      </c>
      <c r="J1221" s="161">
        <v>0</v>
      </c>
      <c r="K1221" s="161">
        <v>0</v>
      </c>
      <c r="L1221" s="161">
        <v>-962.2</v>
      </c>
      <c r="M1221" s="161">
        <v>-40</v>
      </c>
      <c r="N1221" s="161">
        <v>0</v>
      </c>
      <c r="O1221" s="162">
        <f t="shared" si="114"/>
        <v>1774.2699999999998</v>
      </c>
      <c r="P1221" s="161">
        <v>-2500</v>
      </c>
      <c r="Q1221" s="161">
        <v>0</v>
      </c>
      <c r="R1221" s="161">
        <v>0</v>
      </c>
      <c r="S1221" s="161">
        <v>0</v>
      </c>
      <c r="T1221" s="161">
        <v>0</v>
      </c>
      <c r="U1221" s="161">
        <v>0</v>
      </c>
      <c r="V1221" s="161">
        <v>0</v>
      </c>
      <c r="W1221" s="161">
        <f t="shared" si="115"/>
        <v>-725.73000000000025</v>
      </c>
      <c r="X1221" s="161">
        <f t="shared" si="116"/>
        <v>0</v>
      </c>
      <c r="Y1221" s="161">
        <f t="shared" si="117"/>
        <v>-725.73000000000025</v>
      </c>
      <c r="Z1221" s="161">
        <v>726</v>
      </c>
      <c r="AA1221" s="161">
        <f t="shared" si="118"/>
        <v>0.26999999999975444</v>
      </c>
      <c r="AB1221" s="161">
        <f t="shared" si="119"/>
        <v>2500.5399999999991</v>
      </c>
      <c r="AD1221" s="158"/>
    </row>
    <row r="1222" spans="1:30" ht="15" customHeight="1" x14ac:dyDescent="0.3">
      <c r="A1222" s="147">
        <v>50</v>
      </c>
      <c r="B1222" s="158" t="s">
        <v>408</v>
      </c>
      <c r="C1222" s="177" t="s">
        <v>409</v>
      </c>
      <c r="D1222" s="177" t="s">
        <v>946</v>
      </c>
      <c r="E1222" s="158" t="s">
        <v>25</v>
      </c>
      <c r="F1222" s="158" t="s">
        <v>25</v>
      </c>
      <c r="G1222" s="158" t="s">
        <v>866</v>
      </c>
      <c r="H1222" s="161">
        <v>3494.06</v>
      </c>
      <c r="I1222" s="161">
        <v>-61.39</v>
      </c>
      <c r="J1222" s="161">
        <v>0</v>
      </c>
      <c r="K1222" s="161">
        <v>0</v>
      </c>
      <c r="L1222" s="161">
        <v>-150.4</v>
      </c>
      <c r="M1222" s="161">
        <v>-40</v>
      </c>
      <c r="N1222" s="161">
        <v>0</v>
      </c>
      <c r="O1222" s="162">
        <f t="shared" si="114"/>
        <v>3242.27</v>
      </c>
      <c r="P1222" s="161">
        <v>-2500</v>
      </c>
      <c r="Q1222" s="161">
        <v>-43</v>
      </c>
      <c r="R1222" s="161">
        <v>0</v>
      </c>
      <c r="S1222" s="161">
        <v>0</v>
      </c>
      <c r="T1222" s="161">
        <v>0</v>
      </c>
      <c r="U1222" s="161">
        <v>0</v>
      </c>
      <c r="V1222" s="161">
        <v>0</v>
      </c>
      <c r="W1222" s="161">
        <f t="shared" si="115"/>
        <v>699.27</v>
      </c>
      <c r="X1222" s="161">
        <f t="shared" si="116"/>
        <v>699.27</v>
      </c>
      <c r="Y1222" s="161">
        <f t="shared" si="117"/>
        <v>0</v>
      </c>
      <c r="Z1222" s="161">
        <v>0</v>
      </c>
      <c r="AA1222" s="161">
        <f t="shared" si="118"/>
        <v>0</v>
      </c>
      <c r="AB1222" s="161">
        <f t="shared" si="119"/>
        <v>2543</v>
      </c>
      <c r="AC1222" s="149" t="s">
        <v>1124</v>
      </c>
      <c r="AD1222" s="158"/>
    </row>
    <row r="1223" spans="1:30" ht="15" customHeight="1" x14ac:dyDescent="0.3">
      <c r="A1223" s="147">
        <v>50</v>
      </c>
      <c r="B1223" s="158" t="s">
        <v>1067</v>
      </c>
      <c r="C1223" s="158" t="s">
        <v>110</v>
      </c>
      <c r="D1223" s="177" t="s">
        <v>20</v>
      </c>
      <c r="E1223" s="158" t="s">
        <v>18</v>
      </c>
      <c r="F1223" s="160" t="s">
        <v>18</v>
      </c>
      <c r="G1223" s="158" t="s">
        <v>866</v>
      </c>
      <c r="H1223" s="161">
        <v>2169.1</v>
      </c>
      <c r="I1223" s="162">
        <v>-62.37</v>
      </c>
      <c r="J1223" s="161">
        <v>0</v>
      </c>
      <c r="K1223" s="161">
        <v>0</v>
      </c>
      <c r="L1223" s="161">
        <v>-684.01</v>
      </c>
      <c r="M1223" s="161">
        <v>-20</v>
      </c>
      <c r="N1223" s="161">
        <v>0</v>
      </c>
      <c r="O1223" s="162">
        <f t="shared" si="114"/>
        <v>1402.72</v>
      </c>
      <c r="P1223" s="161">
        <v>-536</v>
      </c>
      <c r="Q1223" s="161">
        <v>0</v>
      </c>
      <c r="R1223" s="161">
        <v>0</v>
      </c>
      <c r="S1223" s="161">
        <v>0</v>
      </c>
      <c r="T1223" s="161">
        <v>0</v>
      </c>
      <c r="U1223" s="161">
        <v>0</v>
      </c>
      <c r="V1223" s="161">
        <v>0</v>
      </c>
      <c r="W1223" s="161">
        <f t="shared" si="115"/>
        <v>866.72</v>
      </c>
      <c r="X1223" s="161">
        <f t="shared" si="116"/>
        <v>866.72</v>
      </c>
      <c r="Y1223" s="161">
        <f t="shared" si="117"/>
        <v>0</v>
      </c>
      <c r="Z1223" s="161">
        <v>0</v>
      </c>
      <c r="AA1223" s="161">
        <f t="shared" si="118"/>
        <v>0</v>
      </c>
      <c r="AB1223" s="161">
        <f t="shared" si="119"/>
        <v>536</v>
      </c>
      <c r="AC1223" s="149" t="s">
        <v>1175</v>
      </c>
      <c r="AD1223" s="158"/>
    </row>
    <row r="1224" spans="1:30" ht="15" customHeight="1" x14ac:dyDescent="0.3">
      <c r="A1224" s="147">
        <v>50</v>
      </c>
      <c r="B1224" s="158" t="s">
        <v>1067</v>
      </c>
      <c r="C1224" s="177" t="s">
        <v>46</v>
      </c>
      <c r="D1224" s="177" t="s">
        <v>915</v>
      </c>
      <c r="E1224" s="158" t="s">
        <v>25</v>
      </c>
      <c r="F1224" s="158" t="s">
        <v>25</v>
      </c>
      <c r="G1224" s="158" t="s">
        <v>866</v>
      </c>
      <c r="H1224" s="161">
        <v>2733.95</v>
      </c>
      <c r="I1224" s="161">
        <v>0</v>
      </c>
      <c r="J1224" s="161">
        <v>0</v>
      </c>
      <c r="K1224" s="161">
        <v>0</v>
      </c>
      <c r="L1224" s="161">
        <v>-1225.3800000000001</v>
      </c>
      <c r="M1224" s="161">
        <v>-40</v>
      </c>
      <c r="N1224" s="161">
        <v>0</v>
      </c>
      <c r="O1224" s="162">
        <f t="shared" si="114"/>
        <v>1468.5699999999997</v>
      </c>
      <c r="P1224" s="161">
        <v>-1785.51</v>
      </c>
      <c r="Q1224" s="161">
        <v>0</v>
      </c>
      <c r="R1224" s="161">
        <v>0</v>
      </c>
      <c r="S1224" s="161">
        <v>0</v>
      </c>
      <c r="T1224" s="161">
        <v>-700</v>
      </c>
      <c r="U1224" s="161">
        <v>0</v>
      </c>
      <c r="V1224" s="161">
        <v>0</v>
      </c>
      <c r="W1224" s="161">
        <f t="shared" si="115"/>
        <v>-1016.9400000000005</v>
      </c>
      <c r="X1224" s="161">
        <f t="shared" si="116"/>
        <v>0</v>
      </c>
      <c r="Y1224" s="161">
        <f t="shared" si="117"/>
        <v>-1016.9400000000005</v>
      </c>
      <c r="Z1224" s="161">
        <f>877+140</f>
        <v>1017</v>
      </c>
      <c r="AA1224" s="161">
        <f t="shared" si="118"/>
        <v>5.9999999999490683E-2</v>
      </c>
      <c r="AB1224" s="161">
        <f t="shared" si="119"/>
        <v>2485.6299999999992</v>
      </c>
      <c r="AC1224" s="149" t="s">
        <v>1176</v>
      </c>
      <c r="AD1224" s="158"/>
    </row>
    <row r="1225" spans="1:30" ht="15" customHeight="1" x14ac:dyDescent="0.3">
      <c r="A1225" s="147">
        <v>50</v>
      </c>
      <c r="B1225" s="158" t="s">
        <v>620</v>
      </c>
      <c r="C1225" s="177" t="s">
        <v>571</v>
      </c>
      <c r="D1225" s="177" t="s">
        <v>974</v>
      </c>
      <c r="E1225" s="158" t="s">
        <v>25</v>
      </c>
      <c r="F1225" s="158" t="s">
        <v>25</v>
      </c>
      <c r="G1225" s="158" t="s">
        <v>866</v>
      </c>
      <c r="H1225" s="161">
        <v>265.14</v>
      </c>
      <c r="I1225" s="161">
        <v>0</v>
      </c>
      <c r="J1225" s="161">
        <v>0</v>
      </c>
      <c r="K1225" s="161">
        <v>0</v>
      </c>
      <c r="L1225" s="161">
        <v>-40.19</v>
      </c>
      <c r="M1225" s="161">
        <v>0</v>
      </c>
      <c r="N1225" s="161">
        <v>0</v>
      </c>
      <c r="O1225" s="162">
        <f t="shared" si="114"/>
        <v>224.95</v>
      </c>
      <c r="P1225" s="161">
        <v>-1250</v>
      </c>
      <c r="Q1225" s="161">
        <v>-55</v>
      </c>
      <c r="R1225" s="161">
        <v>0</v>
      </c>
      <c r="S1225" s="161">
        <v>0</v>
      </c>
      <c r="T1225" s="161">
        <v>0</v>
      </c>
      <c r="U1225" s="161">
        <v>0</v>
      </c>
      <c r="V1225" s="161">
        <v>0</v>
      </c>
      <c r="W1225" s="161">
        <f t="shared" si="115"/>
        <v>-1080.05</v>
      </c>
      <c r="X1225" s="161">
        <f t="shared" si="116"/>
        <v>0</v>
      </c>
      <c r="Y1225" s="161">
        <f t="shared" si="117"/>
        <v>-1080.05</v>
      </c>
      <c r="Z1225" s="161">
        <v>1080</v>
      </c>
      <c r="AA1225" s="161">
        <f t="shared" si="118"/>
        <v>-4.9999999999954525E-2</v>
      </c>
      <c r="AB1225" s="161">
        <f t="shared" si="119"/>
        <v>1304.9000000000001</v>
      </c>
      <c r="AC1225" s="149" t="s">
        <v>1177</v>
      </c>
      <c r="AD1225" s="158"/>
    </row>
    <row r="1226" spans="1:30" ht="15" customHeight="1" x14ac:dyDescent="0.3">
      <c r="A1226" s="147">
        <v>50</v>
      </c>
      <c r="B1226" s="158" t="s">
        <v>620</v>
      </c>
      <c r="C1226" s="177" t="s">
        <v>571</v>
      </c>
      <c r="D1226" s="177" t="s">
        <v>974</v>
      </c>
      <c r="E1226" s="158" t="s">
        <v>25</v>
      </c>
      <c r="F1226" s="158" t="s">
        <v>25</v>
      </c>
      <c r="G1226" s="158" t="s">
        <v>737</v>
      </c>
      <c r="H1226" s="161">
        <v>6309.29</v>
      </c>
      <c r="I1226" s="161">
        <v>0</v>
      </c>
      <c r="J1226" s="161">
        <v>0</v>
      </c>
      <c r="K1226" s="161">
        <v>0</v>
      </c>
      <c r="L1226" s="161">
        <v>-5683.66</v>
      </c>
      <c r="M1226" s="161">
        <v>-100</v>
      </c>
      <c r="N1226" s="161">
        <v>0</v>
      </c>
      <c r="O1226" s="162">
        <f t="shared" si="114"/>
        <v>525.63000000000011</v>
      </c>
      <c r="P1226" s="161">
        <v>-1250</v>
      </c>
      <c r="Q1226" s="161">
        <v>0</v>
      </c>
      <c r="R1226" s="161">
        <v>0</v>
      </c>
      <c r="S1226" s="161">
        <v>0</v>
      </c>
      <c r="T1226" s="161">
        <v>0</v>
      </c>
      <c r="U1226" s="161">
        <v>0</v>
      </c>
      <c r="V1226" s="161">
        <v>0</v>
      </c>
      <c r="W1226" s="161">
        <f t="shared" si="115"/>
        <v>-724.36999999999989</v>
      </c>
      <c r="X1226" s="161">
        <f t="shared" si="116"/>
        <v>0</v>
      </c>
      <c r="Y1226" s="161">
        <f t="shared" si="117"/>
        <v>-724.36999999999989</v>
      </c>
      <c r="Z1226" s="161">
        <v>725</v>
      </c>
      <c r="AA1226" s="161">
        <f t="shared" si="118"/>
        <v>0.63000000000010914</v>
      </c>
      <c r="AB1226" s="161">
        <f t="shared" si="119"/>
        <v>1251.2600000000002</v>
      </c>
      <c r="AC1226" s="149" t="s">
        <v>1177</v>
      </c>
      <c r="AD1226" s="158"/>
    </row>
    <row r="1227" spans="1:30" ht="14.4" x14ac:dyDescent="0.3">
      <c r="A1227" s="147">
        <v>50</v>
      </c>
      <c r="B1227" s="158" t="s">
        <v>1121</v>
      </c>
      <c r="C1227" s="158" t="s">
        <v>150</v>
      </c>
      <c r="D1227" s="177" t="s">
        <v>877</v>
      </c>
      <c r="E1227" s="158" t="s">
        <v>25</v>
      </c>
      <c r="F1227" s="158" t="s">
        <v>25</v>
      </c>
      <c r="G1227" s="158" t="s">
        <v>737</v>
      </c>
      <c r="H1227" s="161">
        <v>8884.07</v>
      </c>
      <c r="I1227" s="161">
        <v>0</v>
      </c>
      <c r="J1227" s="161">
        <v>0</v>
      </c>
      <c r="K1227" s="161">
        <v>0</v>
      </c>
      <c r="L1227" s="161">
        <v>-8784.1299999999992</v>
      </c>
      <c r="M1227" s="161">
        <v>-125</v>
      </c>
      <c r="N1227" s="161">
        <v>0</v>
      </c>
      <c r="O1227" s="162">
        <f t="shared" si="114"/>
        <v>-25.059999999999491</v>
      </c>
      <c r="P1227" s="161">
        <v>-2600</v>
      </c>
      <c r="Q1227" s="161">
        <v>-368.57999999999993</v>
      </c>
      <c r="R1227" s="161">
        <v>0</v>
      </c>
      <c r="S1227" s="161">
        <v>0</v>
      </c>
      <c r="T1227" s="161">
        <v>0</v>
      </c>
      <c r="U1227" s="161">
        <v>0</v>
      </c>
      <c r="V1227" s="161">
        <v>0</v>
      </c>
      <c r="W1227" s="161">
        <f t="shared" si="115"/>
        <v>-2993.6399999999994</v>
      </c>
      <c r="X1227" s="161">
        <f t="shared" si="116"/>
        <v>0</v>
      </c>
      <c r="Y1227" s="161">
        <f t="shared" si="117"/>
        <v>-2993.6399999999994</v>
      </c>
      <c r="Z1227" s="161">
        <f>700+700+700+700</f>
        <v>2800</v>
      </c>
      <c r="AA1227" s="161">
        <f t="shared" si="118"/>
        <v>-193.63999999999942</v>
      </c>
      <c r="AB1227" s="161">
        <f t="shared" si="119"/>
        <v>2581.3000000000011</v>
      </c>
      <c r="AC1227" s="149" t="s">
        <v>1178</v>
      </c>
      <c r="AD1227" s="158"/>
    </row>
    <row r="1228" spans="1:30" ht="15" customHeight="1" x14ac:dyDescent="0.3">
      <c r="A1228" s="147">
        <v>50</v>
      </c>
      <c r="B1228" s="158" t="s">
        <v>922</v>
      </c>
      <c r="C1228" s="179" t="s">
        <v>104</v>
      </c>
      <c r="D1228" s="177" t="s">
        <v>20</v>
      </c>
      <c r="E1228" s="158" t="s">
        <v>25</v>
      </c>
      <c r="F1228" s="158" t="s">
        <v>25</v>
      </c>
      <c r="G1228" s="158" t="s">
        <v>737</v>
      </c>
      <c r="H1228" s="161">
        <v>2524.42</v>
      </c>
      <c r="I1228" s="161">
        <v>0</v>
      </c>
      <c r="J1228" s="161">
        <v>0</v>
      </c>
      <c r="K1228" s="161">
        <v>0</v>
      </c>
      <c r="L1228" s="161">
        <v>-1165.27</v>
      </c>
      <c r="M1228" s="161">
        <v>0</v>
      </c>
      <c r="N1228" s="161">
        <v>0</v>
      </c>
      <c r="O1228" s="162">
        <f t="shared" si="114"/>
        <v>1359.15</v>
      </c>
      <c r="P1228" s="161">
        <v>-1071.42</v>
      </c>
      <c r="Q1228" s="161">
        <v>0</v>
      </c>
      <c r="R1228" s="161">
        <v>0</v>
      </c>
      <c r="S1228" s="161">
        <v>0</v>
      </c>
      <c r="T1228" s="161">
        <v>0</v>
      </c>
      <c r="U1228" s="161">
        <v>0</v>
      </c>
      <c r="V1228" s="161">
        <v>0</v>
      </c>
      <c r="W1228" s="161">
        <f t="shared" si="115"/>
        <v>287.73</v>
      </c>
      <c r="X1228" s="161">
        <f t="shared" si="116"/>
        <v>287.73</v>
      </c>
      <c r="Y1228" s="161">
        <f t="shared" si="117"/>
        <v>0</v>
      </c>
      <c r="Z1228" s="161">
        <v>0</v>
      </c>
      <c r="AA1228" s="161">
        <f t="shared" si="118"/>
        <v>0</v>
      </c>
      <c r="AB1228" s="161">
        <f t="shared" si="119"/>
        <v>1071.42</v>
      </c>
      <c r="AC1228" s="149" t="s">
        <v>1124</v>
      </c>
      <c r="AD1228" s="158"/>
    </row>
    <row r="1229" spans="1:30" ht="15" customHeight="1" x14ac:dyDescent="0.3">
      <c r="A1229" s="147">
        <v>50</v>
      </c>
      <c r="B1229" s="158" t="s">
        <v>922</v>
      </c>
      <c r="C1229" s="179" t="s">
        <v>104</v>
      </c>
      <c r="D1229" s="177" t="s">
        <v>881</v>
      </c>
      <c r="E1229" s="158" t="s">
        <v>25</v>
      </c>
      <c r="F1229" s="158" t="s">
        <v>25</v>
      </c>
      <c r="G1229" s="158" t="s">
        <v>866</v>
      </c>
      <c r="H1229" s="161">
        <v>232.74</v>
      </c>
      <c r="I1229" s="161">
        <v>0</v>
      </c>
      <c r="J1229" s="161">
        <v>0</v>
      </c>
      <c r="K1229" s="161">
        <v>0</v>
      </c>
      <c r="L1229" s="161">
        <v>0</v>
      </c>
      <c r="M1229" s="161">
        <v>-65</v>
      </c>
      <c r="N1229" s="161">
        <v>0</v>
      </c>
      <c r="O1229" s="162">
        <f t="shared" si="114"/>
        <v>167.74</v>
      </c>
      <c r="P1229" s="161">
        <v>-1429</v>
      </c>
      <c r="Q1229" s="161">
        <v>-186</v>
      </c>
      <c r="R1229" s="161">
        <v>0</v>
      </c>
      <c r="S1229" s="161">
        <v>0</v>
      </c>
      <c r="T1229" s="161">
        <v>-500</v>
      </c>
      <c r="U1229" s="161">
        <v>0</v>
      </c>
      <c r="V1229" s="161">
        <v>0</v>
      </c>
      <c r="W1229" s="161">
        <f t="shared" si="115"/>
        <v>-1947.26</v>
      </c>
      <c r="X1229" s="161">
        <f t="shared" si="116"/>
        <v>0</v>
      </c>
      <c r="Y1229" s="161">
        <f t="shared" si="117"/>
        <v>-1947.26</v>
      </c>
      <c r="Z1229" s="161">
        <v>288</v>
      </c>
      <c r="AA1229" s="161">
        <f t="shared" si="118"/>
        <v>-1659.26</v>
      </c>
      <c r="AB1229" s="161">
        <f t="shared" si="119"/>
        <v>-1203.52</v>
      </c>
      <c r="AC1229" s="149" t="s">
        <v>1179</v>
      </c>
      <c r="AD1229" s="158"/>
    </row>
    <row r="1230" spans="1:30" ht="15" customHeight="1" x14ac:dyDescent="0.3">
      <c r="A1230" s="147">
        <v>50</v>
      </c>
      <c r="B1230" s="158" t="s">
        <v>1003</v>
      </c>
      <c r="C1230" s="177" t="s">
        <v>59</v>
      </c>
      <c r="D1230" s="177" t="s">
        <v>895</v>
      </c>
      <c r="E1230" s="158" t="s">
        <v>25</v>
      </c>
      <c r="F1230" s="158" t="s">
        <v>25</v>
      </c>
      <c r="G1230" s="158" t="s">
        <v>866</v>
      </c>
      <c r="H1230" s="161">
        <v>876.78</v>
      </c>
      <c r="I1230" s="161">
        <v>-16.09</v>
      </c>
      <c r="J1230" s="161">
        <v>0</v>
      </c>
      <c r="K1230" s="161">
        <v>0</v>
      </c>
      <c r="L1230" s="161">
        <v>0</v>
      </c>
      <c r="M1230" s="161">
        <v>0</v>
      </c>
      <c r="N1230" s="161">
        <v>-37</v>
      </c>
      <c r="O1230" s="162">
        <f t="shared" si="114"/>
        <v>823.68999999999994</v>
      </c>
      <c r="P1230" s="161">
        <v>-2500</v>
      </c>
      <c r="Q1230" s="161">
        <v>-138</v>
      </c>
      <c r="R1230" s="161">
        <v>0</v>
      </c>
      <c r="S1230" s="161">
        <v>0</v>
      </c>
      <c r="T1230" s="161">
        <v>0</v>
      </c>
      <c r="U1230" s="161">
        <v>0</v>
      </c>
      <c r="V1230" s="161">
        <v>0</v>
      </c>
      <c r="W1230" s="161">
        <f t="shared" si="115"/>
        <v>-1814.31</v>
      </c>
      <c r="X1230" s="161">
        <f t="shared" si="116"/>
        <v>0</v>
      </c>
      <c r="Y1230" s="161">
        <f t="shared" si="117"/>
        <v>-1814.31</v>
      </c>
      <c r="Z1230" s="161">
        <f>1300+514</f>
        <v>1814</v>
      </c>
      <c r="AA1230" s="161">
        <f t="shared" si="118"/>
        <v>-0.30999999999994543</v>
      </c>
      <c r="AB1230" s="161">
        <f t="shared" si="119"/>
        <v>2637.38</v>
      </c>
      <c r="AC1230" s="149" t="s">
        <v>1180</v>
      </c>
      <c r="AD1230" s="158"/>
    </row>
    <row r="1231" spans="1:30" ht="15" customHeight="1" x14ac:dyDescent="0.3">
      <c r="A1231" s="147">
        <v>50</v>
      </c>
      <c r="B1231" s="158" t="s">
        <v>585</v>
      </c>
      <c r="C1231" s="177" t="s">
        <v>42</v>
      </c>
      <c r="D1231" s="177" t="s">
        <v>948</v>
      </c>
      <c r="E1231" s="158" t="s">
        <v>25</v>
      </c>
      <c r="F1231" s="158" t="s">
        <v>25</v>
      </c>
      <c r="G1231" s="158" t="s">
        <v>866</v>
      </c>
      <c r="H1231" s="161">
        <v>0</v>
      </c>
      <c r="I1231" s="161">
        <v>0</v>
      </c>
      <c r="J1231" s="161">
        <v>0</v>
      </c>
      <c r="K1231" s="161">
        <v>0</v>
      </c>
      <c r="L1231" s="161">
        <v>0</v>
      </c>
      <c r="M1231" s="161">
        <v>0</v>
      </c>
      <c r="N1231" s="161">
        <v>0</v>
      </c>
      <c r="O1231" s="162">
        <f t="shared" si="114"/>
        <v>0</v>
      </c>
      <c r="P1231" s="161">
        <v>-2500</v>
      </c>
      <c r="Q1231" s="161">
        <v>0</v>
      </c>
      <c r="R1231" s="161">
        <v>0</v>
      </c>
      <c r="S1231" s="161">
        <v>0</v>
      </c>
      <c r="T1231" s="161">
        <v>0</v>
      </c>
      <c r="U1231" s="161">
        <v>650</v>
      </c>
      <c r="V1231" s="161">
        <v>0</v>
      </c>
      <c r="W1231" s="161">
        <f t="shared" si="115"/>
        <v>-1850</v>
      </c>
      <c r="X1231" s="161">
        <f t="shared" si="116"/>
        <v>0</v>
      </c>
      <c r="Y1231" s="161">
        <f t="shared" si="117"/>
        <v>-1850</v>
      </c>
      <c r="Z1231" s="161">
        <v>1850</v>
      </c>
      <c r="AA1231" s="161">
        <f t="shared" si="118"/>
        <v>0</v>
      </c>
      <c r="AB1231" s="161">
        <f t="shared" si="119"/>
        <v>1850</v>
      </c>
      <c r="AC1231" s="149" t="s">
        <v>1181</v>
      </c>
      <c r="AD1231" s="158"/>
    </row>
    <row r="1232" spans="1:30" ht="15" customHeight="1" x14ac:dyDescent="0.3">
      <c r="A1232" s="147">
        <v>50</v>
      </c>
      <c r="B1232" s="158" t="s">
        <v>913</v>
      </c>
      <c r="C1232" s="177" t="s">
        <v>361</v>
      </c>
      <c r="D1232" s="177" t="s">
        <v>1164</v>
      </c>
      <c r="E1232" s="158" t="s">
        <v>25</v>
      </c>
      <c r="F1232" s="158" t="s">
        <v>25</v>
      </c>
      <c r="G1232" s="158" t="s">
        <v>866</v>
      </c>
      <c r="H1232" s="161">
        <v>5987.51</v>
      </c>
      <c r="I1232" s="161">
        <v>-41.6</v>
      </c>
      <c r="J1232" s="161">
        <v>0</v>
      </c>
      <c r="K1232" s="161">
        <v>0</v>
      </c>
      <c r="L1232" s="161">
        <v>-3326.51</v>
      </c>
      <c r="M1232" s="161">
        <v>-60</v>
      </c>
      <c r="N1232" s="161">
        <v>-132</v>
      </c>
      <c r="O1232" s="162">
        <f t="shared" si="114"/>
        <v>2427.3999999999996</v>
      </c>
      <c r="P1232" s="161">
        <v>-2700</v>
      </c>
      <c r="Q1232" s="161">
        <v>-222</v>
      </c>
      <c r="R1232" s="161">
        <v>0</v>
      </c>
      <c r="S1232" s="161">
        <v>0</v>
      </c>
      <c r="T1232" s="161">
        <v>-500</v>
      </c>
      <c r="U1232" s="161">
        <v>0</v>
      </c>
      <c r="V1232" s="161">
        <v>0</v>
      </c>
      <c r="W1232" s="161">
        <f t="shared" si="115"/>
        <v>-994.60000000000036</v>
      </c>
      <c r="X1232" s="161">
        <f t="shared" si="116"/>
        <v>0</v>
      </c>
      <c r="Y1232" s="161">
        <f t="shared" si="117"/>
        <v>-994.60000000000036</v>
      </c>
      <c r="Z1232" s="161">
        <v>800</v>
      </c>
      <c r="AA1232" s="161">
        <f t="shared" si="118"/>
        <v>-194.60000000000036</v>
      </c>
      <c r="AB1232" s="161">
        <f t="shared" si="119"/>
        <v>3032.7999999999993</v>
      </c>
      <c r="AC1232" s="149" t="s">
        <v>1182</v>
      </c>
      <c r="AD1232" s="158"/>
    </row>
    <row r="1233" spans="1:30" ht="15" customHeight="1" x14ac:dyDescent="0.3">
      <c r="A1233" s="147">
        <v>50</v>
      </c>
      <c r="B1233" s="158" t="s">
        <v>921</v>
      </c>
      <c r="C1233" s="177" t="s">
        <v>36</v>
      </c>
      <c r="D1233" s="177" t="s">
        <v>904</v>
      </c>
      <c r="E1233" s="158" t="s">
        <v>25</v>
      </c>
      <c r="F1233" s="158" t="s">
        <v>25</v>
      </c>
      <c r="G1233" s="158" t="s">
        <v>866</v>
      </c>
      <c r="H1233" s="161">
        <v>0</v>
      </c>
      <c r="I1233" s="161">
        <v>0</v>
      </c>
      <c r="J1233" s="161">
        <v>0</v>
      </c>
      <c r="K1233" s="161">
        <v>0</v>
      </c>
      <c r="L1233" s="161">
        <v>0</v>
      </c>
      <c r="M1233" s="161">
        <v>0</v>
      </c>
      <c r="N1233" s="161">
        <v>0</v>
      </c>
      <c r="O1233" s="162">
        <f t="shared" si="114"/>
        <v>0</v>
      </c>
      <c r="P1233" s="161">
        <v>0</v>
      </c>
      <c r="Q1233" s="161">
        <v>0</v>
      </c>
      <c r="R1233" s="161">
        <v>495</v>
      </c>
      <c r="S1233" s="161">
        <v>0</v>
      </c>
      <c r="T1233" s="161">
        <v>0</v>
      </c>
      <c r="U1233" s="161">
        <v>0</v>
      </c>
      <c r="V1233" s="161">
        <v>0</v>
      </c>
      <c r="W1233" s="161">
        <f t="shared" si="115"/>
        <v>495</v>
      </c>
      <c r="X1233" s="161">
        <f t="shared" si="116"/>
        <v>495</v>
      </c>
      <c r="Y1233" s="161">
        <f t="shared" si="117"/>
        <v>0</v>
      </c>
      <c r="Z1233" s="161">
        <v>0</v>
      </c>
      <c r="AA1233" s="161">
        <f t="shared" si="118"/>
        <v>0</v>
      </c>
      <c r="AB1233" s="161">
        <f t="shared" si="119"/>
        <v>-495</v>
      </c>
      <c r="AC1233" s="149" t="s">
        <v>1124</v>
      </c>
      <c r="AD1233" s="158"/>
    </row>
    <row r="1234" spans="1:30" ht="15" customHeight="1" x14ac:dyDescent="0.3">
      <c r="A1234" s="147">
        <v>50</v>
      </c>
      <c r="B1234" s="158" t="s">
        <v>993</v>
      </c>
      <c r="C1234" s="158" t="s">
        <v>347</v>
      </c>
      <c r="D1234" s="177" t="s">
        <v>1122</v>
      </c>
      <c r="E1234" s="158" t="s">
        <v>25</v>
      </c>
      <c r="F1234" s="158" t="s">
        <v>25</v>
      </c>
      <c r="G1234" s="158" t="s">
        <v>866</v>
      </c>
      <c r="H1234" s="161">
        <v>0</v>
      </c>
      <c r="I1234" s="161">
        <v>0</v>
      </c>
      <c r="J1234" s="161">
        <v>0</v>
      </c>
      <c r="K1234" s="161">
        <v>0</v>
      </c>
      <c r="L1234" s="161">
        <v>0</v>
      </c>
      <c r="M1234" s="161">
        <v>0</v>
      </c>
      <c r="N1234" s="161">
        <v>0</v>
      </c>
      <c r="O1234" s="162">
        <f t="shared" si="114"/>
        <v>0</v>
      </c>
      <c r="P1234" s="161">
        <v>0</v>
      </c>
      <c r="Q1234" s="161">
        <v>0</v>
      </c>
      <c r="R1234" s="161">
        <v>594</v>
      </c>
      <c r="S1234" s="161">
        <v>0</v>
      </c>
      <c r="T1234" s="161">
        <v>0</v>
      </c>
      <c r="U1234" s="161">
        <v>0</v>
      </c>
      <c r="V1234" s="161">
        <v>0</v>
      </c>
      <c r="W1234" s="161">
        <f t="shared" si="115"/>
        <v>594</v>
      </c>
      <c r="X1234" s="161">
        <f t="shared" si="116"/>
        <v>594</v>
      </c>
      <c r="Y1234" s="161">
        <f t="shared" si="117"/>
        <v>0</v>
      </c>
      <c r="Z1234" s="161">
        <v>0</v>
      </c>
      <c r="AA1234" s="161">
        <f t="shared" si="118"/>
        <v>0</v>
      </c>
      <c r="AB1234" s="161">
        <f t="shared" si="119"/>
        <v>-594</v>
      </c>
      <c r="AC1234" s="149" t="s">
        <v>1124</v>
      </c>
      <c r="AD1234" s="158"/>
    </row>
    <row r="1235" spans="1:30" ht="15" customHeight="1" x14ac:dyDescent="0.3">
      <c r="A1235" s="147">
        <v>50</v>
      </c>
      <c r="B1235" s="158" t="s">
        <v>1076</v>
      </c>
      <c r="C1235" s="177" t="s">
        <v>80</v>
      </c>
      <c r="D1235" s="177" t="s">
        <v>1165</v>
      </c>
      <c r="E1235" s="158" t="s">
        <v>18</v>
      </c>
      <c r="F1235" s="160" t="s">
        <v>18</v>
      </c>
      <c r="G1235" s="158" t="s">
        <v>737</v>
      </c>
      <c r="H1235" s="161">
        <v>11151.84</v>
      </c>
      <c r="I1235" s="161">
        <v>0</v>
      </c>
      <c r="J1235" s="161">
        <v>0</v>
      </c>
      <c r="K1235" s="161">
        <v>0</v>
      </c>
      <c r="L1235" s="161">
        <v>-7572.04</v>
      </c>
      <c r="M1235" s="161">
        <v>-125</v>
      </c>
      <c r="N1235" s="161">
        <v>0</v>
      </c>
      <c r="O1235" s="162">
        <f t="shared" si="114"/>
        <v>3454.8</v>
      </c>
      <c r="P1235" s="161">
        <v>-2600</v>
      </c>
      <c r="Q1235" s="161">
        <v>0</v>
      </c>
      <c r="R1235" s="161">
        <v>0</v>
      </c>
      <c r="S1235" s="161">
        <v>0</v>
      </c>
      <c r="T1235" s="161">
        <v>0</v>
      </c>
      <c r="U1235" s="161">
        <v>0</v>
      </c>
      <c r="V1235" s="161">
        <v>0</v>
      </c>
      <c r="W1235" s="161">
        <f t="shared" si="115"/>
        <v>854.80000000000018</v>
      </c>
      <c r="X1235" s="161">
        <f t="shared" si="116"/>
        <v>854.80000000000018</v>
      </c>
      <c r="Y1235" s="161">
        <f t="shared" si="117"/>
        <v>0</v>
      </c>
      <c r="Z1235" s="161">
        <v>0</v>
      </c>
      <c r="AA1235" s="161">
        <f t="shared" si="118"/>
        <v>0</v>
      </c>
      <c r="AB1235" s="161">
        <f t="shared" si="119"/>
        <v>2600</v>
      </c>
      <c r="AD1235" s="158"/>
    </row>
    <row r="1236" spans="1:30" ht="15" customHeight="1" x14ac:dyDescent="0.3">
      <c r="A1236" s="147">
        <v>50</v>
      </c>
      <c r="B1236" s="158" t="s">
        <v>874</v>
      </c>
      <c r="C1236" s="177" t="s">
        <v>22</v>
      </c>
      <c r="D1236" s="177" t="s">
        <v>1111</v>
      </c>
      <c r="E1236" s="158" t="s">
        <v>18</v>
      </c>
      <c r="F1236" s="160" t="s">
        <v>18</v>
      </c>
      <c r="G1236" s="158" t="s">
        <v>866</v>
      </c>
      <c r="H1236" s="161">
        <v>0</v>
      </c>
      <c r="I1236" s="161">
        <v>0</v>
      </c>
      <c r="J1236" s="161">
        <v>0</v>
      </c>
      <c r="K1236" s="161">
        <v>0</v>
      </c>
      <c r="L1236" s="161">
        <v>0</v>
      </c>
      <c r="M1236" s="161">
        <v>0</v>
      </c>
      <c r="N1236" s="161">
        <v>0</v>
      </c>
      <c r="O1236" s="162">
        <f t="shared" si="114"/>
        <v>0</v>
      </c>
      <c r="P1236" s="161">
        <v>-2500</v>
      </c>
      <c r="Q1236" s="161">
        <v>0</v>
      </c>
      <c r="R1236" s="161">
        <v>0</v>
      </c>
      <c r="S1236" s="161">
        <v>0</v>
      </c>
      <c r="T1236" s="161">
        <v>0</v>
      </c>
      <c r="U1236" s="161">
        <v>0</v>
      </c>
      <c r="V1236" s="161">
        <v>0</v>
      </c>
      <c r="W1236" s="161">
        <f t="shared" si="115"/>
        <v>-2500</v>
      </c>
      <c r="X1236" s="161">
        <f t="shared" si="116"/>
        <v>0</v>
      </c>
      <c r="Y1236" s="161">
        <f t="shared" si="117"/>
        <v>-2500</v>
      </c>
      <c r="Z1236" s="161">
        <v>2500</v>
      </c>
      <c r="AA1236" s="161">
        <f t="shared" si="118"/>
        <v>0</v>
      </c>
      <c r="AB1236" s="161">
        <f t="shared" si="119"/>
        <v>2500</v>
      </c>
      <c r="AC1236" s="149" t="s">
        <v>1134</v>
      </c>
      <c r="AD1236" s="158"/>
    </row>
    <row r="1237" spans="1:30" ht="15" customHeight="1" x14ac:dyDescent="0.3">
      <c r="A1237" s="147">
        <v>50</v>
      </c>
      <c r="B1237" s="158" t="s">
        <v>1051</v>
      </c>
      <c r="C1237" s="177" t="s">
        <v>21</v>
      </c>
      <c r="D1237" s="177" t="s">
        <v>20</v>
      </c>
      <c r="E1237" s="158" t="s">
        <v>18</v>
      </c>
      <c r="F1237" s="160" t="s">
        <v>18</v>
      </c>
      <c r="G1237" s="158" t="s">
        <v>866</v>
      </c>
      <c r="H1237" s="161">
        <v>4097.5200000000004</v>
      </c>
      <c r="I1237" s="161">
        <v>0</v>
      </c>
      <c r="J1237" s="161">
        <v>0</v>
      </c>
      <c r="K1237" s="161">
        <v>0</v>
      </c>
      <c r="L1237" s="161">
        <v>-1604.09</v>
      </c>
      <c r="M1237" s="161">
        <v>-70</v>
      </c>
      <c r="N1237" s="161">
        <v>0</v>
      </c>
      <c r="O1237" s="162">
        <f t="shared" si="114"/>
        <v>2423.4300000000003</v>
      </c>
      <c r="P1237" s="161">
        <v>-2500</v>
      </c>
      <c r="Q1237" s="161">
        <v>0</v>
      </c>
      <c r="R1237" s="161">
        <v>0</v>
      </c>
      <c r="S1237" s="161">
        <v>0</v>
      </c>
      <c r="T1237" s="161">
        <v>0</v>
      </c>
      <c r="U1237" s="161">
        <v>0</v>
      </c>
      <c r="V1237" s="161">
        <v>0</v>
      </c>
      <c r="W1237" s="161">
        <f t="shared" si="115"/>
        <v>-76.569999999999709</v>
      </c>
      <c r="X1237" s="161">
        <f t="shared" si="116"/>
        <v>0</v>
      </c>
      <c r="Y1237" s="161">
        <f t="shared" si="117"/>
        <v>-76.569999999999709</v>
      </c>
      <c r="Z1237" s="161">
        <v>77</v>
      </c>
      <c r="AA1237" s="161">
        <f t="shared" si="118"/>
        <v>0.43000000000029104</v>
      </c>
      <c r="AB1237" s="161">
        <f t="shared" si="119"/>
        <v>2500.8600000000006</v>
      </c>
      <c r="AC1237" s="149" t="s">
        <v>1134</v>
      </c>
      <c r="AD1237" s="158"/>
    </row>
    <row r="1238" spans="1:30" ht="15" customHeight="1" x14ac:dyDescent="0.3">
      <c r="A1238" s="147">
        <v>50</v>
      </c>
      <c r="B1238" s="158" t="s">
        <v>1141</v>
      </c>
      <c r="C1238" s="177" t="s">
        <v>120</v>
      </c>
      <c r="D1238" s="177" t="s">
        <v>950</v>
      </c>
      <c r="E1238" s="158" t="s">
        <v>25</v>
      </c>
      <c r="F1238" s="158" t="s">
        <v>25</v>
      </c>
      <c r="G1238" s="158" t="s">
        <v>866</v>
      </c>
      <c r="H1238" s="161">
        <v>2176.73</v>
      </c>
      <c r="I1238" s="161">
        <v>0</v>
      </c>
      <c r="J1238" s="161">
        <v>14.69</v>
      </c>
      <c r="K1238" s="161">
        <v>0</v>
      </c>
      <c r="L1238" s="161">
        <v>-1126.76</v>
      </c>
      <c r="M1238" s="161">
        <v>-60</v>
      </c>
      <c r="N1238" s="161">
        <v>0</v>
      </c>
      <c r="O1238" s="162">
        <f t="shared" ref="O1238:O1301" si="120">SUM(H1238:N1238)</f>
        <v>1004.6600000000001</v>
      </c>
      <c r="P1238" s="161">
        <v>-2500</v>
      </c>
      <c r="Q1238" s="161">
        <v>55</v>
      </c>
      <c r="R1238" s="161">
        <v>-500</v>
      </c>
      <c r="S1238" s="161">
        <v>0</v>
      </c>
      <c r="T1238" s="161">
        <v>0</v>
      </c>
      <c r="U1238" s="161">
        <v>0</v>
      </c>
      <c r="V1238" s="161">
        <v>0</v>
      </c>
      <c r="W1238" s="161">
        <f t="shared" ref="W1238:W1301" si="121">+O1238+SUM(P1238:V1238)</f>
        <v>-1940.34</v>
      </c>
      <c r="X1238" s="161">
        <f t="shared" ref="X1238:X1301" si="122">IF(W1238&gt;=0,W1238,0)</f>
        <v>0</v>
      </c>
      <c r="Y1238" s="161">
        <f t="shared" ref="Y1238:Y1301" si="123">IF(W1238&lt;=0,W1238,0)</f>
        <v>-1940.34</v>
      </c>
      <c r="Z1238" s="161">
        <v>1900</v>
      </c>
      <c r="AA1238" s="161">
        <f t="shared" si="118"/>
        <v>-40.339999999999918</v>
      </c>
      <c r="AB1238" s="161">
        <f t="shared" si="119"/>
        <v>2864.3199999999997</v>
      </c>
      <c r="AC1238" s="149" t="s">
        <v>1183</v>
      </c>
      <c r="AD1238" s="158"/>
    </row>
    <row r="1239" spans="1:30" ht="15" customHeight="1" x14ac:dyDescent="0.3">
      <c r="A1239" s="147">
        <v>50</v>
      </c>
      <c r="B1239" s="158" t="s">
        <v>1142</v>
      </c>
      <c r="C1239" s="177" t="s">
        <v>101</v>
      </c>
      <c r="D1239" s="177" t="s">
        <v>945</v>
      </c>
      <c r="E1239" s="158" t="s">
        <v>25</v>
      </c>
      <c r="F1239" s="158" t="s">
        <v>25</v>
      </c>
      <c r="G1239" s="158" t="s">
        <v>866</v>
      </c>
      <c r="H1239" s="161">
        <v>3089.61</v>
      </c>
      <c r="I1239" s="161">
        <v>0</v>
      </c>
      <c r="J1239" s="161">
        <v>0</v>
      </c>
      <c r="K1239" s="161">
        <v>0</v>
      </c>
      <c r="L1239" s="161">
        <v>-943.33</v>
      </c>
      <c r="M1239" s="161">
        <v>-60</v>
      </c>
      <c r="N1239" s="161">
        <v>0</v>
      </c>
      <c r="O1239" s="162">
        <f t="shared" si="120"/>
        <v>2086.2800000000002</v>
      </c>
      <c r="P1239" s="161">
        <v>-2500</v>
      </c>
      <c r="Q1239" s="161">
        <v>0</v>
      </c>
      <c r="R1239" s="161">
        <v>-500</v>
      </c>
      <c r="S1239" s="161">
        <v>0</v>
      </c>
      <c r="T1239" s="161">
        <v>0</v>
      </c>
      <c r="U1239" s="161">
        <v>0</v>
      </c>
      <c r="V1239" s="161">
        <v>0</v>
      </c>
      <c r="W1239" s="161">
        <f t="shared" si="121"/>
        <v>-913.7199999999998</v>
      </c>
      <c r="X1239" s="161">
        <f t="shared" si="122"/>
        <v>0</v>
      </c>
      <c r="Y1239" s="161">
        <f t="shared" si="123"/>
        <v>-913.7199999999998</v>
      </c>
      <c r="Z1239" s="161">
        <v>914</v>
      </c>
      <c r="AA1239" s="161">
        <f t="shared" si="118"/>
        <v>0.28000000000020009</v>
      </c>
      <c r="AB1239" s="161">
        <f t="shared" si="119"/>
        <v>3000.5600000000004</v>
      </c>
      <c r="AC1239" s="149" t="s">
        <v>1184</v>
      </c>
      <c r="AD1239" s="158"/>
    </row>
    <row r="1240" spans="1:30" ht="15" customHeight="1" x14ac:dyDescent="0.3">
      <c r="A1240" s="147">
        <v>50</v>
      </c>
      <c r="B1240" s="158" t="s">
        <v>1143</v>
      </c>
      <c r="C1240" s="177" t="s">
        <v>53</v>
      </c>
      <c r="D1240" s="177" t="s">
        <v>1167</v>
      </c>
      <c r="E1240" s="158" t="s">
        <v>25</v>
      </c>
      <c r="F1240" s="158" t="s">
        <v>25</v>
      </c>
      <c r="G1240" s="158" t="s">
        <v>866</v>
      </c>
      <c r="H1240" s="161">
        <v>811.8</v>
      </c>
      <c r="I1240" s="161">
        <v>-30.84</v>
      </c>
      <c r="J1240" s="161">
        <v>0</v>
      </c>
      <c r="K1240" s="161">
        <v>0</v>
      </c>
      <c r="L1240" s="161">
        <v>0</v>
      </c>
      <c r="M1240" s="161">
        <v>-30</v>
      </c>
      <c r="N1240" s="161">
        <v>0</v>
      </c>
      <c r="O1240" s="162">
        <f t="shared" si="120"/>
        <v>750.95999999999992</v>
      </c>
      <c r="P1240" s="161">
        <v>-2500</v>
      </c>
      <c r="Q1240" s="161">
        <v>-80</v>
      </c>
      <c r="R1240" s="161">
        <v>-500</v>
      </c>
      <c r="S1240" s="161">
        <v>0</v>
      </c>
      <c r="T1240" s="161">
        <v>0</v>
      </c>
      <c r="U1240" s="161">
        <v>0</v>
      </c>
      <c r="V1240" s="161">
        <v>0</v>
      </c>
      <c r="W1240" s="161">
        <f t="shared" si="121"/>
        <v>-2329.04</v>
      </c>
      <c r="X1240" s="161">
        <f t="shared" si="122"/>
        <v>0</v>
      </c>
      <c r="Y1240" s="161">
        <f t="shared" si="123"/>
        <v>-2329.04</v>
      </c>
      <c r="Z1240" s="161">
        <v>0</v>
      </c>
      <c r="AA1240" s="161">
        <f t="shared" si="118"/>
        <v>-2329.04</v>
      </c>
      <c r="AB1240" s="161">
        <f t="shared" si="119"/>
        <v>-1578.08</v>
      </c>
      <c r="AC1240" s="149" t="s">
        <v>1185</v>
      </c>
      <c r="AD1240" s="158"/>
    </row>
    <row r="1241" spans="1:30" ht="15" customHeight="1" x14ac:dyDescent="0.3">
      <c r="A1241" s="147">
        <v>50</v>
      </c>
      <c r="B1241" s="158" t="s">
        <v>1048</v>
      </c>
      <c r="C1241" s="177" t="s">
        <v>55</v>
      </c>
      <c r="D1241" s="177" t="s">
        <v>1168</v>
      </c>
      <c r="E1241" s="158" t="s">
        <v>25</v>
      </c>
      <c r="F1241" s="158" t="s">
        <v>25</v>
      </c>
      <c r="G1241" s="158" t="s">
        <v>866</v>
      </c>
      <c r="H1241" s="161">
        <v>0</v>
      </c>
      <c r="I1241" s="161">
        <v>0</v>
      </c>
      <c r="J1241" s="161">
        <v>0</v>
      </c>
      <c r="K1241" s="161">
        <v>0</v>
      </c>
      <c r="L1241" s="161">
        <v>0</v>
      </c>
      <c r="M1241" s="161">
        <v>0</v>
      </c>
      <c r="N1241" s="161">
        <v>0</v>
      </c>
      <c r="O1241" s="162">
        <f t="shared" si="120"/>
        <v>0</v>
      </c>
      <c r="P1241" s="161">
        <v>0</v>
      </c>
      <c r="Q1241" s="161">
        <v>0</v>
      </c>
      <c r="R1241" s="161">
        <v>500</v>
      </c>
      <c r="S1241" s="161">
        <v>0</v>
      </c>
      <c r="T1241" s="161">
        <v>0</v>
      </c>
      <c r="U1241" s="161">
        <v>0</v>
      </c>
      <c r="V1241" s="161">
        <v>0</v>
      </c>
      <c r="W1241" s="161">
        <f t="shared" si="121"/>
        <v>500</v>
      </c>
      <c r="X1241" s="161">
        <f t="shared" si="122"/>
        <v>500</v>
      </c>
      <c r="Y1241" s="161">
        <f t="shared" si="123"/>
        <v>0</v>
      </c>
      <c r="Z1241" s="161">
        <v>0</v>
      </c>
      <c r="AA1241" s="161">
        <f t="shared" si="118"/>
        <v>0</v>
      </c>
      <c r="AB1241" s="161">
        <f t="shared" si="119"/>
        <v>-500</v>
      </c>
      <c r="AC1241" s="149" t="s">
        <v>1124</v>
      </c>
      <c r="AD1241" s="158"/>
    </row>
    <row r="1242" spans="1:30" ht="15" customHeight="1" x14ac:dyDescent="0.3">
      <c r="A1242" s="147">
        <v>50</v>
      </c>
      <c r="B1242" s="158" t="s">
        <v>1151</v>
      </c>
      <c r="C1242" s="177" t="s">
        <v>55</v>
      </c>
      <c r="D1242" s="177" t="s">
        <v>1168</v>
      </c>
      <c r="E1242" s="158" t="s">
        <v>25</v>
      </c>
      <c r="F1242" s="158" t="s">
        <v>25</v>
      </c>
      <c r="G1242" s="158" t="s">
        <v>866</v>
      </c>
      <c r="H1242" s="161">
        <v>9260.5400000000009</v>
      </c>
      <c r="I1242" s="161">
        <v>-174.85</v>
      </c>
      <c r="J1242" s="161">
        <v>79.34</v>
      </c>
      <c r="K1242" s="161">
        <v>0</v>
      </c>
      <c r="L1242" s="161">
        <v>0</v>
      </c>
      <c r="M1242" s="161">
        <v>0</v>
      </c>
      <c r="N1242" s="161">
        <v>0</v>
      </c>
      <c r="O1242" s="162">
        <f t="shared" si="120"/>
        <v>9165.0300000000007</v>
      </c>
      <c r="P1242" s="161">
        <v>-2500</v>
      </c>
      <c r="Q1242" s="161">
        <v>0</v>
      </c>
      <c r="R1242" s="161">
        <v>-500</v>
      </c>
      <c r="S1242" s="161">
        <v>0</v>
      </c>
      <c r="T1242" s="161">
        <v>0</v>
      </c>
      <c r="U1242" s="161">
        <v>0</v>
      </c>
      <c r="V1242" s="161">
        <v>0</v>
      </c>
      <c r="W1242" s="161">
        <f t="shared" si="121"/>
        <v>6165.0300000000007</v>
      </c>
      <c r="X1242" s="161">
        <f t="shared" si="122"/>
        <v>6165.0300000000007</v>
      </c>
      <c r="Y1242" s="161">
        <f t="shared" si="123"/>
        <v>0</v>
      </c>
      <c r="Z1242" s="161">
        <v>0</v>
      </c>
      <c r="AA1242" s="161">
        <f t="shared" si="118"/>
        <v>0</v>
      </c>
      <c r="AB1242" s="161">
        <f t="shared" si="119"/>
        <v>3000</v>
      </c>
      <c r="AC1242" s="149" t="s">
        <v>1124</v>
      </c>
      <c r="AD1242" s="158"/>
    </row>
    <row r="1243" spans="1:30" ht="15" customHeight="1" x14ac:dyDescent="0.3">
      <c r="A1243" s="147">
        <v>50</v>
      </c>
      <c r="B1243" s="158" t="s">
        <v>1152</v>
      </c>
      <c r="C1243" s="177" t="s">
        <v>64</v>
      </c>
      <c r="D1243" s="177" t="s">
        <v>949</v>
      </c>
      <c r="E1243" s="158" t="s">
        <v>25</v>
      </c>
      <c r="F1243" s="158" t="s">
        <v>25</v>
      </c>
      <c r="G1243" s="158" t="s">
        <v>866</v>
      </c>
      <c r="H1243" s="161">
        <v>3866.66</v>
      </c>
      <c r="I1243" s="161">
        <v>-18.14</v>
      </c>
      <c r="J1243" s="161">
        <v>-51.55</v>
      </c>
      <c r="K1243" s="161">
        <v>0</v>
      </c>
      <c r="L1243" s="161">
        <v>-219.8</v>
      </c>
      <c r="M1243" s="161">
        <v>-19</v>
      </c>
      <c r="N1243" s="161">
        <v>0</v>
      </c>
      <c r="O1243" s="162">
        <f t="shared" si="120"/>
        <v>3558.1699999999996</v>
      </c>
      <c r="P1243" s="161">
        <v>-2500</v>
      </c>
      <c r="Q1243" s="161">
        <v>0</v>
      </c>
      <c r="R1243" s="161">
        <v>-500</v>
      </c>
      <c r="S1243" s="161">
        <v>0</v>
      </c>
      <c r="T1243" s="161">
        <v>0</v>
      </c>
      <c r="U1243" s="161">
        <v>0</v>
      </c>
      <c r="V1243" s="161">
        <v>0</v>
      </c>
      <c r="W1243" s="161">
        <f t="shared" si="121"/>
        <v>558.16999999999962</v>
      </c>
      <c r="X1243" s="161">
        <f t="shared" si="122"/>
        <v>558.16999999999962</v>
      </c>
      <c r="Y1243" s="161">
        <f t="shared" si="123"/>
        <v>0</v>
      </c>
      <c r="Z1243" s="161">
        <v>0</v>
      </c>
      <c r="AA1243" s="161">
        <f t="shared" si="118"/>
        <v>0</v>
      </c>
      <c r="AB1243" s="161">
        <f t="shared" si="119"/>
        <v>3000</v>
      </c>
      <c r="AC1243" s="149" t="s">
        <v>1124</v>
      </c>
      <c r="AD1243" s="158"/>
    </row>
    <row r="1244" spans="1:30" ht="15" customHeight="1" x14ac:dyDescent="0.3">
      <c r="A1244" s="147">
        <v>50</v>
      </c>
      <c r="B1244" s="158" t="s">
        <v>1153</v>
      </c>
      <c r="C1244" s="177" t="s">
        <v>334</v>
      </c>
      <c r="D1244" s="177" t="s">
        <v>1169</v>
      </c>
      <c r="E1244" s="158" t="s">
        <v>25</v>
      </c>
      <c r="F1244" s="158" t="s">
        <v>25</v>
      </c>
      <c r="G1244" s="158" t="s">
        <v>866</v>
      </c>
      <c r="H1244" s="161">
        <v>4627.8500000000004</v>
      </c>
      <c r="I1244" s="161">
        <v>0</v>
      </c>
      <c r="J1244" s="161">
        <v>0</v>
      </c>
      <c r="K1244" s="161">
        <v>0</v>
      </c>
      <c r="L1244" s="161">
        <v>-1007.21</v>
      </c>
      <c r="M1244" s="161">
        <v>-40</v>
      </c>
      <c r="N1244" s="161">
        <v>-218</v>
      </c>
      <c r="O1244" s="162">
        <f t="shared" si="120"/>
        <v>3362.6400000000003</v>
      </c>
      <c r="P1244" s="161">
        <v>-2500</v>
      </c>
      <c r="Q1244" s="161">
        <v>-5</v>
      </c>
      <c r="R1244" s="161">
        <v>-500</v>
      </c>
      <c r="S1244" s="161">
        <v>0</v>
      </c>
      <c r="T1244" s="161">
        <v>0</v>
      </c>
      <c r="U1244" s="161">
        <v>0</v>
      </c>
      <c r="V1244" s="161">
        <v>0</v>
      </c>
      <c r="W1244" s="161">
        <f t="shared" si="121"/>
        <v>357.64000000000033</v>
      </c>
      <c r="X1244" s="161">
        <f t="shared" si="122"/>
        <v>357.64000000000033</v>
      </c>
      <c r="Y1244" s="161">
        <f t="shared" si="123"/>
        <v>0</v>
      </c>
      <c r="Z1244" s="161">
        <v>0</v>
      </c>
      <c r="AA1244" s="161">
        <f t="shared" si="118"/>
        <v>0</v>
      </c>
      <c r="AB1244" s="161">
        <f t="shared" si="119"/>
        <v>3005</v>
      </c>
      <c r="AC1244" s="149" t="s">
        <v>1124</v>
      </c>
      <c r="AD1244" s="158"/>
    </row>
    <row r="1245" spans="1:30" ht="15" customHeight="1" x14ac:dyDescent="0.3">
      <c r="A1245" s="147">
        <v>50</v>
      </c>
      <c r="B1245" s="158" t="s">
        <v>604</v>
      </c>
      <c r="C1245" s="177" t="s">
        <v>605</v>
      </c>
      <c r="D1245" s="177" t="s">
        <v>20</v>
      </c>
      <c r="E1245" s="158" t="s">
        <v>25</v>
      </c>
      <c r="F1245" s="158" t="s">
        <v>25</v>
      </c>
      <c r="G1245" s="158" t="s">
        <v>866</v>
      </c>
      <c r="H1245" s="161">
        <v>7189.03</v>
      </c>
      <c r="I1245" s="161">
        <v>0</v>
      </c>
      <c r="J1245" s="161">
        <v>198.07</v>
      </c>
      <c r="K1245" s="161">
        <v>0</v>
      </c>
      <c r="L1245" s="161">
        <v>-4119.3500000000004</v>
      </c>
      <c r="M1245" s="161">
        <v>-70</v>
      </c>
      <c r="N1245" s="161">
        <v>0</v>
      </c>
      <c r="O1245" s="162">
        <f t="shared" si="120"/>
        <v>3197.7499999999991</v>
      </c>
      <c r="P1245" s="161">
        <v>-2700</v>
      </c>
      <c r="Q1245" s="161">
        <v>0</v>
      </c>
      <c r="R1245" s="161">
        <v>0</v>
      </c>
      <c r="S1245" s="161">
        <v>0</v>
      </c>
      <c r="T1245" s="161">
        <v>0</v>
      </c>
      <c r="U1245" s="161">
        <v>-2000</v>
      </c>
      <c r="V1245" s="161">
        <v>0</v>
      </c>
      <c r="W1245" s="161">
        <f t="shared" si="121"/>
        <v>-1502.2500000000009</v>
      </c>
      <c r="X1245" s="161">
        <f t="shared" si="122"/>
        <v>0</v>
      </c>
      <c r="Y1245" s="161">
        <f t="shared" si="123"/>
        <v>-1502.2500000000009</v>
      </c>
      <c r="Z1245" s="161">
        <v>1502</v>
      </c>
      <c r="AA1245" s="161">
        <f t="shared" si="118"/>
        <v>-0.25000000000090949</v>
      </c>
      <c r="AB1245" s="161">
        <f t="shared" si="119"/>
        <v>4699.4999999999982</v>
      </c>
      <c r="AC1245" s="149" t="s">
        <v>1186</v>
      </c>
      <c r="AD1245" s="158"/>
    </row>
    <row r="1246" spans="1:30" ht="15" customHeight="1" x14ac:dyDescent="0.3">
      <c r="A1246" s="147">
        <v>50</v>
      </c>
      <c r="B1246" s="158" t="s">
        <v>1010</v>
      </c>
      <c r="C1246" s="177" t="s">
        <v>51</v>
      </c>
      <c r="D1246" s="177" t="s">
        <v>1115</v>
      </c>
      <c r="E1246" s="158" t="s">
        <v>25</v>
      </c>
      <c r="F1246" s="158" t="s">
        <v>25</v>
      </c>
      <c r="G1246" s="158" t="s">
        <v>866</v>
      </c>
      <c r="H1246" s="161">
        <v>683.21</v>
      </c>
      <c r="I1246" s="161">
        <v>0</v>
      </c>
      <c r="J1246" s="161">
        <v>0</v>
      </c>
      <c r="K1246" s="161">
        <v>-5.04</v>
      </c>
      <c r="L1246" s="161">
        <v>0</v>
      </c>
      <c r="M1246" s="161">
        <v>0</v>
      </c>
      <c r="N1246" s="161">
        <v>-162</v>
      </c>
      <c r="O1246" s="162">
        <f t="shared" si="120"/>
        <v>516.17000000000007</v>
      </c>
      <c r="P1246" s="161">
        <v>-2500</v>
      </c>
      <c r="Q1246" s="161">
        <v>-15</v>
      </c>
      <c r="R1246" s="161">
        <v>0</v>
      </c>
      <c r="S1246" s="161">
        <v>0</v>
      </c>
      <c r="T1246" s="161">
        <v>0</v>
      </c>
      <c r="U1246" s="161">
        <v>0</v>
      </c>
      <c r="V1246" s="161">
        <v>0</v>
      </c>
      <c r="W1246" s="161">
        <f t="shared" si="121"/>
        <v>-1998.83</v>
      </c>
      <c r="X1246" s="161">
        <f t="shared" si="122"/>
        <v>0</v>
      </c>
      <c r="Y1246" s="161">
        <f t="shared" si="123"/>
        <v>-1998.83</v>
      </c>
      <c r="Z1246" s="161">
        <v>1900</v>
      </c>
      <c r="AA1246" s="161">
        <f t="shared" si="118"/>
        <v>-98.829999999999927</v>
      </c>
      <c r="AB1246" s="161">
        <f t="shared" si="119"/>
        <v>2317.34</v>
      </c>
      <c r="AC1246" s="149" t="s">
        <v>1183</v>
      </c>
      <c r="AD1246" s="158"/>
    </row>
    <row r="1247" spans="1:30" ht="15" customHeight="1" x14ac:dyDescent="0.3">
      <c r="A1247" s="147">
        <v>50</v>
      </c>
      <c r="B1247" s="158" t="s">
        <v>1157</v>
      </c>
      <c r="C1247" s="177" t="s">
        <v>426</v>
      </c>
      <c r="D1247" s="177" t="s">
        <v>903</v>
      </c>
      <c r="E1247" s="158" t="s">
        <v>25</v>
      </c>
      <c r="F1247" s="158" t="s">
        <v>25</v>
      </c>
      <c r="G1247" s="158" t="s">
        <v>866</v>
      </c>
      <c r="H1247" s="161">
        <v>13015.22</v>
      </c>
      <c r="I1247" s="161">
        <v>-109.6</v>
      </c>
      <c r="J1247" s="161">
        <v>158.15</v>
      </c>
      <c r="K1247" s="161">
        <v>0</v>
      </c>
      <c r="L1247" s="161">
        <v>-7297.65</v>
      </c>
      <c r="M1247" s="161">
        <v>-120</v>
      </c>
      <c r="N1247" s="161">
        <v>0</v>
      </c>
      <c r="O1247" s="162">
        <f t="shared" si="120"/>
        <v>5646.119999999999</v>
      </c>
      <c r="P1247" s="161">
        <v>-2500</v>
      </c>
      <c r="Q1247" s="161">
        <v>0</v>
      </c>
      <c r="R1247" s="161">
        <v>-500</v>
      </c>
      <c r="S1247" s="161">
        <v>0</v>
      </c>
      <c r="T1247" s="161">
        <v>0</v>
      </c>
      <c r="U1247" s="161">
        <v>0</v>
      </c>
      <c r="V1247" s="161">
        <v>0</v>
      </c>
      <c r="W1247" s="161">
        <f t="shared" si="121"/>
        <v>2646.119999999999</v>
      </c>
      <c r="X1247" s="161">
        <f t="shared" si="122"/>
        <v>2646.119999999999</v>
      </c>
      <c r="Y1247" s="161">
        <f t="shared" si="123"/>
        <v>0</v>
      </c>
      <c r="Z1247" s="161">
        <v>0</v>
      </c>
      <c r="AA1247" s="161">
        <f t="shared" si="118"/>
        <v>0</v>
      </c>
      <c r="AB1247" s="161">
        <f t="shared" si="119"/>
        <v>3000</v>
      </c>
      <c r="AC1247" s="149" t="s">
        <v>1124</v>
      </c>
      <c r="AD1247" s="158"/>
    </row>
    <row r="1248" spans="1:30" ht="15" customHeight="1" x14ac:dyDescent="0.3">
      <c r="A1248" s="147">
        <v>50</v>
      </c>
      <c r="B1248" s="158" t="s">
        <v>612</v>
      </c>
      <c r="C1248" s="177" t="s">
        <v>36</v>
      </c>
      <c r="D1248" s="177" t="s">
        <v>904</v>
      </c>
      <c r="E1248" s="158" t="s">
        <v>25</v>
      </c>
      <c r="F1248" s="158" t="s">
        <v>25</v>
      </c>
      <c r="G1248" s="158" t="s">
        <v>866</v>
      </c>
      <c r="H1248" s="161">
        <v>3850.54</v>
      </c>
      <c r="I1248" s="161">
        <v>0</v>
      </c>
      <c r="J1248" s="161">
        <v>0</v>
      </c>
      <c r="K1248" s="161">
        <v>0</v>
      </c>
      <c r="L1248" s="161">
        <v>-1102.8</v>
      </c>
      <c r="M1248" s="161">
        <v>-40</v>
      </c>
      <c r="N1248" s="161">
        <v>-199</v>
      </c>
      <c r="O1248" s="162">
        <f t="shared" si="120"/>
        <v>2508.7399999999998</v>
      </c>
      <c r="P1248" s="161">
        <v>-2500</v>
      </c>
      <c r="Q1248" s="161">
        <v>0</v>
      </c>
      <c r="R1248" s="161">
        <v>-500</v>
      </c>
      <c r="S1248" s="161">
        <v>0</v>
      </c>
      <c r="T1248" s="161">
        <v>0</v>
      </c>
      <c r="U1248" s="161">
        <v>0</v>
      </c>
      <c r="V1248" s="161">
        <v>0</v>
      </c>
      <c r="W1248" s="161">
        <f t="shared" si="121"/>
        <v>-491.26000000000022</v>
      </c>
      <c r="X1248" s="161">
        <f t="shared" si="122"/>
        <v>0</v>
      </c>
      <c r="Y1248" s="161">
        <f t="shared" si="123"/>
        <v>-491.26000000000022</v>
      </c>
      <c r="Z1248" s="161">
        <v>491</v>
      </c>
      <c r="AA1248" s="161">
        <f t="shared" si="118"/>
        <v>-0.26000000000021828</v>
      </c>
      <c r="AB1248" s="161">
        <f t="shared" si="119"/>
        <v>2999.4799999999996</v>
      </c>
      <c r="AC1248" s="149" t="s">
        <v>1187</v>
      </c>
      <c r="AD1248" s="158"/>
    </row>
    <row r="1249" spans="1:30" ht="14.4" x14ac:dyDescent="0.3">
      <c r="A1249" s="147">
        <v>50</v>
      </c>
      <c r="B1249" s="158" t="s">
        <v>1025</v>
      </c>
      <c r="C1249" s="177" t="s">
        <v>195</v>
      </c>
      <c r="D1249" s="177" t="s">
        <v>964</v>
      </c>
      <c r="E1249" s="160" t="s">
        <v>871</v>
      </c>
      <c r="F1249" s="158" t="s">
        <v>39</v>
      </c>
      <c r="G1249" s="158" t="s">
        <v>866</v>
      </c>
      <c r="H1249" s="161">
        <v>1422.02</v>
      </c>
      <c r="I1249" s="161">
        <v>0</v>
      </c>
      <c r="J1249" s="161">
        <v>0</v>
      </c>
      <c r="K1249" s="161">
        <v>0</v>
      </c>
      <c r="L1249" s="161">
        <v>-704.2</v>
      </c>
      <c r="M1249" s="161">
        <v>-30</v>
      </c>
      <c r="N1249" s="161">
        <v>0</v>
      </c>
      <c r="O1249" s="162">
        <f t="shared" si="120"/>
        <v>687.81999999999994</v>
      </c>
      <c r="P1249" s="161">
        <f>-1785.71</f>
        <v>-1785.71</v>
      </c>
      <c r="Q1249" s="161">
        <v>-2759</v>
      </c>
      <c r="R1249" s="161">
        <v>0</v>
      </c>
      <c r="S1249" s="161">
        <v>0</v>
      </c>
      <c r="T1249" s="161">
        <v>-500</v>
      </c>
      <c r="U1249" s="161">
        <v>0</v>
      </c>
      <c r="V1249" s="161">
        <v>0</v>
      </c>
      <c r="W1249" s="161">
        <f t="shared" si="121"/>
        <v>-4356.8900000000003</v>
      </c>
      <c r="X1249" s="161">
        <f t="shared" si="122"/>
        <v>0</v>
      </c>
      <c r="Y1249" s="161">
        <f t="shared" si="123"/>
        <v>-4356.8900000000003</v>
      </c>
      <c r="Z1249" s="161">
        <v>0</v>
      </c>
      <c r="AA1249" s="161">
        <f t="shared" si="118"/>
        <v>-4356.8900000000003</v>
      </c>
      <c r="AB1249" s="161">
        <f t="shared" si="119"/>
        <v>-3669.0700000000006</v>
      </c>
      <c r="AC1249" s="149" t="s">
        <v>1185</v>
      </c>
      <c r="AD1249" s="158"/>
    </row>
    <row r="1250" spans="1:30" ht="14.4" x14ac:dyDescent="0.3">
      <c r="A1250" s="147">
        <v>50</v>
      </c>
      <c r="B1250" s="158" t="s">
        <v>944</v>
      </c>
      <c r="C1250" s="177" t="s">
        <v>372</v>
      </c>
      <c r="D1250" s="177" t="s">
        <v>1004</v>
      </c>
      <c r="E1250" s="158" t="s">
        <v>39</v>
      </c>
      <c r="F1250" s="158" t="s">
        <v>39</v>
      </c>
      <c r="G1250" s="158" t="s">
        <v>866</v>
      </c>
      <c r="H1250" s="161">
        <v>6769.3</v>
      </c>
      <c r="I1250" s="161">
        <v>-49.58</v>
      </c>
      <c r="J1250" s="161">
        <v>0</v>
      </c>
      <c r="K1250" s="161">
        <v>0</v>
      </c>
      <c r="L1250" s="161">
        <v>-3149.62</v>
      </c>
      <c r="M1250" s="161">
        <v>-50</v>
      </c>
      <c r="N1250" s="161">
        <v>0</v>
      </c>
      <c r="O1250" s="162">
        <f t="shared" si="120"/>
        <v>3520.1000000000004</v>
      </c>
      <c r="P1250" s="161">
        <v>-2500</v>
      </c>
      <c r="Q1250" s="161">
        <v>0</v>
      </c>
      <c r="R1250" s="161">
        <v>0</v>
      </c>
      <c r="S1250" s="161">
        <v>0</v>
      </c>
      <c r="T1250" s="161">
        <v>-700</v>
      </c>
      <c r="U1250" s="161">
        <v>0</v>
      </c>
      <c r="V1250" s="161">
        <v>0</v>
      </c>
      <c r="W1250" s="161">
        <f t="shared" si="121"/>
        <v>320.10000000000036</v>
      </c>
      <c r="X1250" s="161">
        <f t="shared" si="122"/>
        <v>320.10000000000036</v>
      </c>
      <c r="Y1250" s="161">
        <f t="shared" si="123"/>
        <v>0</v>
      </c>
      <c r="Z1250" s="161">
        <v>0</v>
      </c>
      <c r="AA1250" s="161">
        <f t="shared" si="118"/>
        <v>0</v>
      </c>
      <c r="AB1250" s="161">
        <f t="shared" si="119"/>
        <v>3200</v>
      </c>
      <c r="AC1250" s="149" t="s">
        <v>1039</v>
      </c>
      <c r="AD1250" s="158"/>
    </row>
    <row r="1251" spans="1:30" ht="14.4" x14ac:dyDescent="0.3">
      <c r="A1251" s="147">
        <v>50</v>
      </c>
      <c r="B1251" s="158" t="s">
        <v>1100</v>
      </c>
      <c r="C1251" s="182" t="s">
        <v>213</v>
      </c>
      <c r="D1251" s="177" t="s">
        <v>1116</v>
      </c>
      <c r="E1251" s="158" t="s">
        <v>39</v>
      </c>
      <c r="F1251" s="158" t="s">
        <v>39</v>
      </c>
      <c r="G1251" s="158" t="s">
        <v>866</v>
      </c>
      <c r="H1251" s="161">
        <v>4475.17</v>
      </c>
      <c r="I1251" s="161">
        <v>-91.24</v>
      </c>
      <c r="J1251" s="161">
        <v>0</v>
      </c>
      <c r="K1251" s="161">
        <v>-30.61</v>
      </c>
      <c r="L1251" s="161">
        <v>-227.49</v>
      </c>
      <c r="M1251" s="161">
        <v>-50</v>
      </c>
      <c r="N1251" s="161">
        <v>0</v>
      </c>
      <c r="O1251" s="162">
        <f t="shared" si="120"/>
        <v>4075.8300000000008</v>
      </c>
      <c r="P1251" s="161">
        <v>-2500</v>
      </c>
      <c r="Q1251" s="161">
        <v>0</v>
      </c>
      <c r="R1251" s="161">
        <v>-500</v>
      </c>
      <c r="S1251" s="161">
        <v>0</v>
      </c>
      <c r="T1251" s="161">
        <v>0</v>
      </c>
      <c r="U1251" s="161">
        <v>0</v>
      </c>
      <c r="V1251" s="161">
        <v>0</v>
      </c>
      <c r="W1251" s="161">
        <f t="shared" si="121"/>
        <v>1075.8300000000008</v>
      </c>
      <c r="X1251" s="161">
        <f t="shared" si="122"/>
        <v>1075.8300000000008</v>
      </c>
      <c r="Y1251" s="161">
        <f t="shared" si="123"/>
        <v>0</v>
      </c>
      <c r="Z1251" s="161">
        <v>0</v>
      </c>
      <c r="AA1251" s="161">
        <f t="shared" si="118"/>
        <v>0</v>
      </c>
      <c r="AB1251" s="161">
        <f t="shared" si="119"/>
        <v>3000</v>
      </c>
      <c r="AC1251" s="149" t="s">
        <v>1039</v>
      </c>
      <c r="AD1251" s="158"/>
    </row>
    <row r="1252" spans="1:30" ht="14.4" x14ac:dyDescent="0.3">
      <c r="A1252" s="147">
        <v>50</v>
      </c>
      <c r="B1252" s="158" t="s">
        <v>1155</v>
      </c>
      <c r="C1252" s="177" t="s">
        <v>123</v>
      </c>
      <c r="D1252" s="177" t="s">
        <v>999</v>
      </c>
      <c r="E1252" s="160" t="s">
        <v>871</v>
      </c>
      <c r="F1252" s="158" t="s">
        <v>39</v>
      </c>
      <c r="G1252" s="158" t="s">
        <v>866</v>
      </c>
      <c r="H1252" s="161">
        <v>7986.17</v>
      </c>
      <c r="I1252" s="161">
        <v>-208</v>
      </c>
      <c r="J1252" s="161">
        <v>-88</v>
      </c>
      <c r="K1252" s="161">
        <v>0</v>
      </c>
      <c r="L1252" s="161">
        <v>-4018.41</v>
      </c>
      <c r="M1252" s="161">
        <v>-80</v>
      </c>
      <c r="N1252" s="161">
        <v>0</v>
      </c>
      <c r="O1252" s="162">
        <f t="shared" si="120"/>
        <v>3591.76</v>
      </c>
      <c r="P1252" s="161">
        <v>-2500</v>
      </c>
      <c r="Q1252" s="161">
        <v>0</v>
      </c>
      <c r="R1252" s="161">
        <v>-500</v>
      </c>
      <c r="S1252" s="161">
        <v>0</v>
      </c>
      <c r="T1252" s="161">
        <v>0</v>
      </c>
      <c r="U1252" s="161">
        <v>0</v>
      </c>
      <c r="V1252" s="161">
        <v>0</v>
      </c>
      <c r="W1252" s="161">
        <f t="shared" si="121"/>
        <v>591.76000000000022</v>
      </c>
      <c r="X1252" s="161">
        <f t="shared" si="122"/>
        <v>591.76000000000022</v>
      </c>
      <c r="Y1252" s="161">
        <f t="shared" si="123"/>
        <v>0</v>
      </c>
      <c r="Z1252" s="161">
        <v>0</v>
      </c>
      <c r="AA1252" s="161">
        <f t="shared" si="118"/>
        <v>0</v>
      </c>
      <c r="AB1252" s="161">
        <f t="shared" si="119"/>
        <v>3000</v>
      </c>
      <c r="AC1252" s="149" t="s">
        <v>1039</v>
      </c>
      <c r="AD1252" s="158"/>
    </row>
    <row r="1253" spans="1:30" ht="14.4" x14ac:dyDescent="0.3">
      <c r="A1253" s="147">
        <v>50</v>
      </c>
      <c r="B1253" s="158" t="s">
        <v>872</v>
      </c>
      <c r="C1253" s="177" t="s">
        <v>256</v>
      </c>
      <c r="D1253" s="177" t="s">
        <v>997</v>
      </c>
      <c r="E1253" s="160" t="s">
        <v>871</v>
      </c>
      <c r="F1253" s="158" t="s">
        <v>39</v>
      </c>
      <c r="G1253" s="158" t="s">
        <v>866</v>
      </c>
      <c r="H1253" s="161">
        <v>12281.71</v>
      </c>
      <c r="I1253" s="161">
        <v>-147.19999999999999</v>
      </c>
      <c r="J1253" s="161">
        <v>0</v>
      </c>
      <c r="K1253" s="161">
        <v>-88.81</v>
      </c>
      <c r="L1253" s="161">
        <v>-7397.8</v>
      </c>
      <c r="M1253" s="161">
        <v>-120</v>
      </c>
      <c r="N1253" s="161">
        <v>-151.02000000000001</v>
      </c>
      <c r="O1253" s="162">
        <f t="shared" si="120"/>
        <v>4376.8799999999983</v>
      </c>
      <c r="P1253" s="161">
        <v>-2500</v>
      </c>
      <c r="Q1253" s="161">
        <v>0</v>
      </c>
      <c r="R1253" s="161">
        <v>0</v>
      </c>
      <c r="S1253" s="161">
        <v>0</v>
      </c>
      <c r="T1253" s="161">
        <v>-700</v>
      </c>
      <c r="U1253" s="161">
        <v>0</v>
      </c>
      <c r="V1253" s="161">
        <v>0</v>
      </c>
      <c r="W1253" s="161">
        <f t="shared" si="121"/>
        <v>1176.8799999999983</v>
      </c>
      <c r="X1253" s="161">
        <f t="shared" si="122"/>
        <v>1176.8799999999983</v>
      </c>
      <c r="Y1253" s="161">
        <f t="shared" si="123"/>
        <v>0</v>
      </c>
      <c r="Z1253" s="161">
        <v>0</v>
      </c>
      <c r="AA1253" s="161">
        <f t="shared" si="118"/>
        <v>0</v>
      </c>
      <c r="AB1253" s="161">
        <f t="shared" si="119"/>
        <v>3200</v>
      </c>
      <c r="AC1253" s="149" t="s">
        <v>1039</v>
      </c>
      <c r="AD1253" s="158"/>
    </row>
    <row r="1254" spans="1:30" ht="14.4" x14ac:dyDescent="0.3">
      <c r="A1254" s="147">
        <v>50</v>
      </c>
      <c r="B1254" s="158" t="s">
        <v>1013</v>
      </c>
      <c r="C1254" s="177" t="s">
        <v>101</v>
      </c>
      <c r="D1254" s="177" t="s">
        <v>945</v>
      </c>
      <c r="E1254" s="158" t="s">
        <v>25</v>
      </c>
      <c r="F1254" s="158" t="s">
        <v>39</v>
      </c>
      <c r="G1254" s="158" t="s">
        <v>866</v>
      </c>
      <c r="H1254" s="161">
        <v>0</v>
      </c>
      <c r="I1254" s="161">
        <v>0</v>
      </c>
      <c r="J1254" s="161">
        <v>0</v>
      </c>
      <c r="K1254" s="161">
        <v>0</v>
      </c>
      <c r="L1254" s="161">
        <v>0</v>
      </c>
      <c r="M1254" s="161">
        <v>0</v>
      </c>
      <c r="N1254" s="161">
        <v>0</v>
      </c>
      <c r="O1254" s="162">
        <f t="shared" si="120"/>
        <v>0</v>
      </c>
      <c r="P1254" s="161">
        <v>0</v>
      </c>
      <c r="Q1254" s="161">
        <v>0</v>
      </c>
      <c r="R1254" s="161">
        <v>500</v>
      </c>
      <c r="S1254" s="161">
        <v>0</v>
      </c>
      <c r="T1254" s="161">
        <v>0</v>
      </c>
      <c r="U1254" s="161">
        <v>0</v>
      </c>
      <c r="V1254" s="161">
        <v>0</v>
      </c>
      <c r="W1254" s="161">
        <f t="shared" si="121"/>
        <v>500</v>
      </c>
      <c r="X1254" s="161">
        <f t="shared" si="122"/>
        <v>500</v>
      </c>
      <c r="Y1254" s="161">
        <f t="shared" si="123"/>
        <v>0</v>
      </c>
      <c r="Z1254" s="161">
        <v>0</v>
      </c>
      <c r="AA1254" s="161">
        <f t="shared" si="118"/>
        <v>0</v>
      </c>
      <c r="AB1254" s="161">
        <f t="shared" si="119"/>
        <v>-500</v>
      </c>
      <c r="AC1254" s="149" t="s">
        <v>1039</v>
      </c>
      <c r="AD1254" s="158"/>
    </row>
    <row r="1255" spans="1:30" ht="14.4" x14ac:dyDescent="0.3">
      <c r="A1255" s="147">
        <v>50</v>
      </c>
      <c r="B1255" s="158" t="s">
        <v>1082</v>
      </c>
      <c r="C1255" s="177" t="s">
        <v>152</v>
      </c>
      <c r="D1255" s="177" t="s">
        <v>1108</v>
      </c>
      <c r="E1255" s="160" t="s">
        <v>25</v>
      </c>
      <c r="F1255" s="158" t="s">
        <v>25</v>
      </c>
      <c r="G1255" s="158" t="s">
        <v>866</v>
      </c>
      <c r="H1255" s="161">
        <v>0</v>
      </c>
      <c r="I1255" s="161">
        <v>0</v>
      </c>
      <c r="J1255" s="161">
        <v>0</v>
      </c>
      <c r="K1255" s="161">
        <v>0</v>
      </c>
      <c r="L1255" s="161">
        <v>0</v>
      </c>
      <c r="M1255" s="161">
        <v>0</v>
      </c>
      <c r="N1255" s="161">
        <v>0</v>
      </c>
      <c r="O1255" s="162">
        <f t="shared" si="120"/>
        <v>0</v>
      </c>
      <c r="P1255" s="161">
        <v>0</v>
      </c>
      <c r="Q1255" s="161">
        <v>0</v>
      </c>
      <c r="R1255" s="161">
        <v>500</v>
      </c>
      <c r="S1255" s="161">
        <v>0</v>
      </c>
      <c r="T1255" s="161">
        <v>0</v>
      </c>
      <c r="U1255" s="161">
        <v>0</v>
      </c>
      <c r="V1255" s="161">
        <v>0</v>
      </c>
      <c r="W1255" s="161">
        <f t="shared" si="121"/>
        <v>500</v>
      </c>
      <c r="X1255" s="161">
        <f t="shared" si="122"/>
        <v>500</v>
      </c>
      <c r="Y1255" s="161">
        <f t="shared" si="123"/>
        <v>0</v>
      </c>
      <c r="Z1255" s="161">
        <v>0</v>
      </c>
      <c r="AA1255" s="161">
        <f t="shared" si="118"/>
        <v>0</v>
      </c>
      <c r="AB1255" s="161">
        <f t="shared" si="119"/>
        <v>-500</v>
      </c>
      <c r="AC1255" s="149" t="s">
        <v>1124</v>
      </c>
      <c r="AD1255" s="158"/>
    </row>
    <row r="1256" spans="1:30" ht="14.4" x14ac:dyDescent="0.3">
      <c r="A1256" s="147">
        <v>50</v>
      </c>
      <c r="B1256" s="158" t="s">
        <v>1171</v>
      </c>
      <c r="C1256" s="177" t="s">
        <v>480</v>
      </c>
      <c r="D1256" s="177" t="s">
        <v>20</v>
      </c>
      <c r="E1256" s="158" t="s">
        <v>25</v>
      </c>
      <c r="F1256" s="158" t="s">
        <v>25</v>
      </c>
      <c r="G1256" s="158" t="s">
        <v>866</v>
      </c>
      <c r="H1256" s="161">
        <v>0</v>
      </c>
      <c r="I1256" s="161">
        <v>0</v>
      </c>
      <c r="J1256" s="161">
        <v>0</v>
      </c>
      <c r="K1256" s="161">
        <v>0</v>
      </c>
      <c r="L1256" s="161">
        <v>0</v>
      </c>
      <c r="M1256" s="161">
        <v>0</v>
      </c>
      <c r="N1256" s="161">
        <v>0</v>
      </c>
      <c r="O1256" s="162">
        <f t="shared" si="120"/>
        <v>0</v>
      </c>
      <c r="P1256" s="161">
        <v>-2000</v>
      </c>
      <c r="Q1256" s="161">
        <v>0</v>
      </c>
      <c r="R1256" s="161">
        <v>0</v>
      </c>
      <c r="S1256" s="161">
        <v>0</v>
      </c>
      <c r="T1256" s="161">
        <v>0</v>
      </c>
      <c r="U1256" s="161">
        <v>0</v>
      </c>
      <c r="V1256" s="161">
        <v>0</v>
      </c>
      <c r="W1256" s="161">
        <f t="shared" si="121"/>
        <v>-2000</v>
      </c>
      <c r="X1256" s="161">
        <f t="shared" si="122"/>
        <v>0</v>
      </c>
      <c r="Y1256" s="161">
        <f t="shared" si="123"/>
        <v>-2000</v>
      </c>
      <c r="Z1256" s="161">
        <v>2000</v>
      </c>
      <c r="AA1256" s="161">
        <f t="shared" si="118"/>
        <v>0</v>
      </c>
      <c r="AB1256" s="161">
        <f t="shared" si="119"/>
        <v>2000</v>
      </c>
      <c r="AC1256" s="149" t="s">
        <v>1188</v>
      </c>
      <c r="AD1256" s="158"/>
    </row>
    <row r="1257" spans="1:30" ht="14.4" x14ac:dyDescent="0.3">
      <c r="A1257" s="147">
        <v>50</v>
      </c>
      <c r="B1257" s="158" t="s">
        <v>747</v>
      </c>
      <c r="C1257" s="177" t="s">
        <v>152</v>
      </c>
      <c r="D1257" s="177" t="s">
        <v>1108</v>
      </c>
      <c r="E1257" s="160" t="s">
        <v>25</v>
      </c>
      <c r="F1257" s="158" t="s">
        <v>25</v>
      </c>
      <c r="G1257" s="158" t="s">
        <v>866</v>
      </c>
      <c r="H1257" s="161">
        <v>363.48</v>
      </c>
      <c r="I1257" s="161">
        <v>0</v>
      </c>
      <c r="J1257" s="161">
        <v>0</v>
      </c>
      <c r="K1257" s="161">
        <v>0</v>
      </c>
      <c r="L1257" s="161">
        <v>0</v>
      </c>
      <c r="M1257" s="161">
        <v>0</v>
      </c>
      <c r="N1257" s="161">
        <v>0</v>
      </c>
      <c r="O1257" s="162">
        <f t="shared" si="120"/>
        <v>363.48</v>
      </c>
      <c r="P1257" s="161">
        <v>-892.75</v>
      </c>
      <c r="Q1257" s="161">
        <v>0</v>
      </c>
      <c r="R1257" s="161">
        <v>-179</v>
      </c>
      <c r="S1257" s="161">
        <v>0</v>
      </c>
      <c r="T1257" s="161">
        <v>0</v>
      </c>
      <c r="U1257" s="161">
        <v>0</v>
      </c>
      <c r="V1257" s="161">
        <v>0</v>
      </c>
      <c r="W1257" s="161">
        <f t="shared" si="121"/>
        <v>-708.27</v>
      </c>
      <c r="X1257" s="161">
        <f t="shared" si="122"/>
        <v>0</v>
      </c>
      <c r="Y1257" s="161">
        <f t="shared" si="123"/>
        <v>-708.27</v>
      </c>
      <c r="Z1257" s="161">
        <v>708</v>
      </c>
      <c r="AA1257" s="161">
        <f t="shared" si="118"/>
        <v>-0.26999999999998181</v>
      </c>
      <c r="AB1257" s="161">
        <f t="shared" si="119"/>
        <v>1071.21</v>
      </c>
      <c r="AC1257" s="149" t="s">
        <v>1189</v>
      </c>
      <c r="AD1257" s="158"/>
    </row>
    <row r="1258" spans="1:30" ht="14.4" x14ac:dyDescent="0.3">
      <c r="A1258" s="147">
        <v>50</v>
      </c>
      <c r="B1258" s="158" t="s">
        <v>1190</v>
      </c>
      <c r="C1258" s="177" t="s">
        <v>169</v>
      </c>
      <c r="D1258" s="177" t="s">
        <v>20</v>
      </c>
      <c r="E1258" s="160" t="s">
        <v>871</v>
      </c>
      <c r="F1258" s="158" t="s">
        <v>39</v>
      </c>
      <c r="G1258" s="158" t="s">
        <v>866</v>
      </c>
      <c r="H1258" s="161">
        <v>3712.29</v>
      </c>
      <c r="I1258" s="161">
        <v>-44.11</v>
      </c>
      <c r="J1258" s="161">
        <v>0</v>
      </c>
      <c r="K1258" s="161">
        <v>-25.99</v>
      </c>
      <c r="L1258" s="161">
        <v>-1001.97</v>
      </c>
      <c r="M1258" s="161">
        <v>-40</v>
      </c>
      <c r="N1258" s="161">
        <v>0</v>
      </c>
      <c r="O1258" s="162">
        <f t="shared" si="120"/>
        <v>2600.2200000000003</v>
      </c>
      <c r="P1258" s="161">
        <v>-2142.8200000000002</v>
      </c>
      <c r="Q1258" s="161">
        <v>0</v>
      </c>
      <c r="R1258" s="161">
        <v>-428</v>
      </c>
      <c r="S1258" s="161">
        <v>0</v>
      </c>
      <c r="T1258" s="161">
        <v>0</v>
      </c>
      <c r="U1258" s="161">
        <v>0</v>
      </c>
      <c r="V1258" s="161">
        <v>0</v>
      </c>
      <c r="W1258" s="161">
        <f t="shared" si="121"/>
        <v>29.400000000000091</v>
      </c>
      <c r="X1258" s="161">
        <f t="shared" si="122"/>
        <v>29.400000000000091</v>
      </c>
      <c r="Y1258" s="161">
        <f t="shared" si="123"/>
        <v>0</v>
      </c>
      <c r="Z1258" s="161">
        <v>0</v>
      </c>
      <c r="AA1258" s="161">
        <f t="shared" si="118"/>
        <v>0</v>
      </c>
      <c r="AB1258" s="161">
        <f t="shared" si="119"/>
        <v>2570.8200000000002</v>
      </c>
      <c r="AC1258" s="149" t="s">
        <v>1191</v>
      </c>
      <c r="AD1258" s="158"/>
    </row>
    <row r="1259" spans="1:30" ht="14.4" x14ac:dyDescent="0.3">
      <c r="A1259" s="147">
        <v>50</v>
      </c>
      <c r="B1259" s="158" t="s">
        <v>1056</v>
      </c>
      <c r="C1259" s="177" t="s">
        <v>563</v>
      </c>
      <c r="D1259" s="177" t="s">
        <v>20</v>
      </c>
      <c r="E1259" s="158" t="s">
        <v>25</v>
      </c>
      <c r="F1259" s="158" t="s">
        <v>39</v>
      </c>
      <c r="G1259" s="158" t="s">
        <v>866</v>
      </c>
      <c r="H1259" s="161">
        <v>2958.08</v>
      </c>
      <c r="I1259" s="161">
        <v>-11.39</v>
      </c>
      <c r="J1259" s="161">
        <v>0</v>
      </c>
      <c r="K1259" s="161">
        <v>0</v>
      </c>
      <c r="L1259" s="161">
        <v>0</v>
      </c>
      <c r="M1259" s="161">
        <v>0</v>
      </c>
      <c r="N1259" s="161">
        <v>0</v>
      </c>
      <c r="O1259" s="162">
        <f t="shared" si="120"/>
        <v>2946.69</v>
      </c>
      <c r="P1259" s="161">
        <v>-2947</v>
      </c>
      <c r="Q1259" s="161">
        <v>0</v>
      </c>
      <c r="R1259" s="161">
        <v>0</v>
      </c>
      <c r="S1259" s="161">
        <v>0</v>
      </c>
      <c r="T1259" s="161">
        <v>0</v>
      </c>
      <c r="U1259" s="161">
        <v>0</v>
      </c>
      <c r="V1259" s="161">
        <v>0</v>
      </c>
      <c r="W1259" s="161">
        <f t="shared" si="121"/>
        <v>-0.30999999999994543</v>
      </c>
      <c r="X1259" s="161">
        <f t="shared" si="122"/>
        <v>0</v>
      </c>
      <c r="Y1259" s="161">
        <f t="shared" si="123"/>
        <v>-0.30999999999994543</v>
      </c>
      <c r="Z1259" s="161">
        <v>0</v>
      </c>
      <c r="AA1259" s="161">
        <f t="shared" si="118"/>
        <v>-0.30999999999994543</v>
      </c>
      <c r="AB1259" s="161">
        <f t="shared" si="119"/>
        <v>2946.38</v>
      </c>
      <c r="AC1259" s="149" t="s">
        <v>1192</v>
      </c>
      <c r="AD1259" s="158"/>
    </row>
    <row r="1260" spans="1:30" ht="14.4" x14ac:dyDescent="0.3">
      <c r="A1260" s="147">
        <v>50</v>
      </c>
      <c r="B1260" s="158" t="s">
        <v>1193</v>
      </c>
      <c r="C1260" s="177" t="s">
        <v>670</v>
      </c>
      <c r="D1260" s="177" t="s">
        <v>20</v>
      </c>
      <c r="E1260" s="158" t="s">
        <v>25</v>
      </c>
      <c r="F1260" s="158" t="s">
        <v>25</v>
      </c>
      <c r="G1260" s="158" t="s">
        <v>737</v>
      </c>
      <c r="H1260" s="161">
        <v>926.9</v>
      </c>
      <c r="I1260" s="161">
        <v>0</v>
      </c>
      <c r="J1260" s="161">
        <v>0</v>
      </c>
      <c r="K1260" s="161">
        <v>0</v>
      </c>
      <c r="L1260" s="161">
        <v>-740</v>
      </c>
      <c r="M1260" s="161">
        <v>0</v>
      </c>
      <c r="N1260" s="161">
        <v>0</v>
      </c>
      <c r="O1260" s="161">
        <f t="shared" si="120"/>
        <v>186.89999999999998</v>
      </c>
      <c r="P1260" s="161">
        <v>-927</v>
      </c>
      <c r="Q1260" s="161">
        <v>0</v>
      </c>
      <c r="R1260" s="161">
        <v>0</v>
      </c>
      <c r="S1260" s="161">
        <v>0</v>
      </c>
      <c r="T1260" s="161">
        <v>0</v>
      </c>
      <c r="U1260" s="161">
        <v>0</v>
      </c>
      <c r="V1260" s="161">
        <v>0</v>
      </c>
      <c r="W1260" s="161">
        <f t="shared" si="121"/>
        <v>-740.1</v>
      </c>
      <c r="X1260" s="161">
        <f t="shared" si="122"/>
        <v>0</v>
      </c>
      <c r="Y1260" s="161">
        <f t="shared" si="123"/>
        <v>-740.1</v>
      </c>
      <c r="Z1260" s="161">
        <v>740</v>
      </c>
      <c r="AA1260" s="161">
        <f t="shared" si="118"/>
        <v>-0.10000000000002274</v>
      </c>
      <c r="AB1260" s="161">
        <f t="shared" si="119"/>
        <v>926.8</v>
      </c>
      <c r="AC1260" s="149" t="s">
        <v>1194</v>
      </c>
      <c r="AD1260" s="158"/>
    </row>
    <row r="1261" spans="1:30" ht="15" customHeight="1" x14ac:dyDescent="0.3">
      <c r="A1261" s="147">
        <v>50</v>
      </c>
      <c r="B1261" s="158" t="s">
        <v>749</v>
      </c>
      <c r="C1261" s="158" t="s">
        <v>104</v>
      </c>
      <c r="D1261" s="158" t="s">
        <v>881</v>
      </c>
      <c r="E1261" s="158" t="s">
        <v>25</v>
      </c>
      <c r="F1261" s="158" t="s">
        <v>25</v>
      </c>
      <c r="G1261" s="158" t="s">
        <v>866</v>
      </c>
      <c r="H1261" s="161">
        <v>0</v>
      </c>
      <c r="I1261" s="161">
        <v>0</v>
      </c>
      <c r="J1261" s="161">
        <v>0</v>
      </c>
      <c r="K1261" s="161">
        <v>0</v>
      </c>
      <c r="L1261" s="161">
        <v>0</v>
      </c>
      <c r="M1261" s="161">
        <v>0</v>
      </c>
      <c r="N1261" s="161">
        <v>0</v>
      </c>
      <c r="O1261" s="161">
        <f t="shared" si="120"/>
        <v>0</v>
      </c>
      <c r="P1261" s="161">
        <v>0</v>
      </c>
      <c r="Q1261" s="161">
        <v>0</v>
      </c>
      <c r="R1261" s="161">
        <v>-2500</v>
      </c>
      <c r="S1261" s="161">
        <v>0</v>
      </c>
      <c r="T1261" s="161">
        <v>0</v>
      </c>
      <c r="U1261" s="161">
        <v>0</v>
      </c>
      <c r="V1261" s="161">
        <v>0</v>
      </c>
      <c r="W1261" s="161">
        <f t="shared" si="121"/>
        <v>-2500</v>
      </c>
      <c r="X1261" s="161">
        <f t="shared" si="122"/>
        <v>0</v>
      </c>
      <c r="Y1261" s="161">
        <f t="shared" si="123"/>
        <v>-2500</v>
      </c>
      <c r="Z1261" s="161">
        <v>2500</v>
      </c>
      <c r="AA1261" s="161">
        <f t="shared" si="118"/>
        <v>0</v>
      </c>
      <c r="AB1261" s="161">
        <f t="shared" si="119"/>
        <v>2500</v>
      </c>
      <c r="AC1261" s="149" t="s">
        <v>1195</v>
      </c>
      <c r="AD1261" s="158"/>
    </row>
    <row r="1262" spans="1:30" ht="14.4" x14ac:dyDescent="0.3">
      <c r="A1262" s="147">
        <v>51</v>
      </c>
      <c r="B1262" s="158" t="s">
        <v>880</v>
      </c>
      <c r="C1262" s="158" t="s">
        <v>183</v>
      </c>
      <c r="D1262" s="158" t="s">
        <v>887</v>
      </c>
      <c r="E1262" s="158" t="s">
        <v>25</v>
      </c>
      <c r="F1262" s="158" t="s">
        <v>25</v>
      </c>
      <c r="G1262" s="158" t="s">
        <v>866</v>
      </c>
      <c r="H1262" s="161">
        <v>4023.9</v>
      </c>
      <c r="I1262" s="161">
        <v>0</v>
      </c>
      <c r="J1262" s="161">
        <v>0</v>
      </c>
      <c r="K1262" s="161">
        <v>0</v>
      </c>
      <c r="L1262" s="161">
        <v>-435.85</v>
      </c>
      <c r="M1262" s="161">
        <v>-30</v>
      </c>
      <c r="N1262" s="161">
        <v>0</v>
      </c>
      <c r="O1262" s="161">
        <f t="shared" si="120"/>
        <v>3558.05</v>
      </c>
      <c r="P1262" s="161">
        <v>-2500</v>
      </c>
      <c r="Q1262" s="161">
        <v>0</v>
      </c>
      <c r="R1262" s="161">
        <v>0</v>
      </c>
      <c r="S1262" s="161">
        <v>0</v>
      </c>
      <c r="T1262" s="161">
        <v>0</v>
      </c>
      <c r="U1262" s="161">
        <v>0</v>
      </c>
      <c r="V1262" s="161">
        <v>0</v>
      </c>
      <c r="W1262" s="161">
        <f t="shared" si="121"/>
        <v>1058.0500000000002</v>
      </c>
      <c r="X1262" s="184">
        <f t="shared" si="122"/>
        <v>1058.0500000000002</v>
      </c>
      <c r="Y1262" s="161">
        <f t="shared" si="123"/>
        <v>0</v>
      </c>
      <c r="Z1262" s="161">
        <v>0</v>
      </c>
      <c r="AA1262" s="161">
        <f t="shared" si="118"/>
        <v>0</v>
      </c>
      <c r="AB1262" s="161">
        <f t="shared" si="119"/>
        <v>2500</v>
      </c>
      <c r="AC1262" s="149" t="s">
        <v>1124</v>
      </c>
      <c r="AD1262" s="158"/>
    </row>
    <row r="1263" spans="1:30" ht="14.4" x14ac:dyDescent="0.3">
      <c r="A1263" s="147">
        <v>51</v>
      </c>
      <c r="B1263" s="158" t="s">
        <v>1157</v>
      </c>
      <c r="C1263" s="158" t="s">
        <v>426</v>
      </c>
      <c r="D1263" s="158" t="s">
        <v>903</v>
      </c>
      <c r="E1263" s="158" t="s">
        <v>25</v>
      </c>
      <c r="F1263" s="158" t="s">
        <v>25</v>
      </c>
      <c r="G1263" s="158" t="s">
        <v>866</v>
      </c>
      <c r="H1263" s="161">
        <v>12331.51</v>
      </c>
      <c r="I1263" s="161">
        <v>0</v>
      </c>
      <c r="J1263" s="161">
        <v>240</v>
      </c>
      <c r="K1263" s="161">
        <v>0</v>
      </c>
      <c r="L1263" s="161">
        <v>-6789.5</v>
      </c>
      <c r="M1263" s="161">
        <v>-100</v>
      </c>
      <c r="N1263" s="161">
        <v>-200</v>
      </c>
      <c r="O1263" s="161">
        <f t="shared" si="120"/>
        <v>5482.01</v>
      </c>
      <c r="P1263" s="161">
        <v>-2500</v>
      </c>
      <c r="Q1263" s="161">
        <v>0</v>
      </c>
      <c r="R1263" s="161">
        <v>-500</v>
      </c>
      <c r="S1263" s="161">
        <v>0</v>
      </c>
      <c r="T1263" s="161">
        <v>0</v>
      </c>
      <c r="U1263" s="161">
        <v>0</v>
      </c>
      <c r="V1263" s="161">
        <v>0</v>
      </c>
      <c r="W1263" s="161">
        <f t="shared" si="121"/>
        <v>2482.0100000000002</v>
      </c>
      <c r="X1263" s="184">
        <f t="shared" si="122"/>
        <v>2482.0100000000002</v>
      </c>
      <c r="Y1263" s="161">
        <f t="shared" si="123"/>
        <v>0</v>
      </c>
      <c r="Z1263" s="161">
        <v>0</v>
      </c>
      <c r="AA1263" s="161">
        <f t="shared" si="118"/>
        <v>0</v>
      </c>
      <c r="AB1263" s="161">
        <f t="shared" si="119"/>
        <v>3000</v>
      </c>
      <c r="AC1263" s="149" t="s">
        <v>1124</v>
      </c>
      <c r="AD1263" s="158"/>
    </row>
    <row r="1264" spans="1:30" ht="14.4" x14ac:dyDescent="0.3">
      <c r="A1264" s="147">
        <v>51</v>
      </c>
      <c r="B1264" s="158" t="s">
        <v>1155</v>
      </c>
      <c r="C1264" s="158" t="s">
        <v>123</v>
      </c>
      <c r="D1264" s="158" t="s">
        <v>999</v>
      </c>
      <c r="E1264" s="160" t="s">
        <v>871</v>
      </c>
      <c r="F1264" s="158" t="s">
        <v>39</v>
      </c>
      <c r="G1264" s="158" t="s">
        <v>866</v>
      </c>
      <c r="H1264" s="161">
        <v>4954.87</v>
      </c>
      <c r="I1264" s="161">
        <v>0</v>
      </c>
      <c r="J1264" s="161">
        <v>780.4</v>
      </c>
      <c r="K1264" s="161">
        <v>0</v>
      </c>
      <c r="L1264" s="161">
        <v>-3053.66</v>
      </c>
      <c r="M1264" s="161">
        <v>-50</v>
      </c>
      <c r="N1264" s="161">
        <v>0</v>
      </c>
      <c r="O1264" s="161">
        <f t="shared" si="120"/>
        <v>2631.6099999999997</v>
      </c>
      <c r="P1264" s="161">
        <v>-2500</v>
      </c>
      <c r="Q1264" s="161">
        <v>0</v>
      </c>
      <c r="R1264" s="161">
        <v>-500</v>
      </c>
      <c r="S1264" s="161">
        <v>0</v>
      </c>
      <c r="T1264" s="161">
        <v>0</v>
      </c>
      <c r="U1264" s="161">
        <v>0</v>
      </c>
      <c r="V1264" s="161">
        <v>0</v>
      </c>
      <c r="W1264" s="161">
        <f t="shared" si="121"/>
        <v>-368.39000000000033</v>
      </c>
      <c r="X1264" s="161">
        <f t="shared" si="122"/>
        <v>0</v>
      </c>
      <c r="Y1264" s="161">
        <f t="shared" si="123"/>
        <v>-368.39000000000033</v>
      </c>
      <c r="Z1264" s="161">
        <v>0</v>
      </c>
      <c r="AA1264" s="161">
        <f t="shared" si="118"/>
        <v>-368.39000000000033</v>
      </c>
      <c r="AB1264" s="161">
        <f t="shared" si="119"/>
        <v>2263.2199999999993</v>
      </c>
      <c r="AC1264" s="161"/>
      <c r="AD1264" s="158"/>
    </row>
    <row r="1265" spans="1:30" ht="14.4" x14ac:dyDescent="0.3">
      <c r="A1265" s="147">
        <v>51</v>
      </c>
      <c r="B1265" s="158" t="s">
        <v>1196</v>
      </c>
      <c r="C1265" s="158" t="s">
        <v>409</v>
      </c>
      <c r="D1265" s="158" t="s">
        <v>946</v>
      </c>
      <c r="E1265" s="158" t="s">
        <v>25</v>
      </c>
      <c r="F1265" s="158" t="s">
        <v>25</v>
      </c>
      <c r="G1265" s="158" t="s">
        <v>866</v>
      </c>
      <c r="H1265" s="161">
        <v>4014.85</v>
      </c>
      <c r="I1265" s="161">
        <v>-23.22</v>
      </c>
      <c r="J1265" s="161">
        <v>0</v>
      </c>
      <c r="K1265" s="161">
        <v>0</v>
      </c>
      <c r="L1265" s="161">
        <v>-1830.4</v>
      </c>
      <c r="M1265" s="161">
        <v>-40</v>
      </c>
      <c r="N1265" s="161">
        <v>-194.17</v>
      </c>
      <c r="O1265" s="161">
        <f t="shared" si="120"/>
        <v>1927.06</v>
      </c>
      <c r="P1265" s="161">
        <v>-1785.71</v>
      </c>
      <c r="Q1265" s="161">
        <v>0</v>
      </c>
      <c r="R1265" s="161">
        <v>-357.14</v>
      </c>
      <c r="S1265" s="161">
        <v>0</v>
      </c>
      <c r="T1265" s="161">
        <v>0</v>
      </c>
      <c r="U1265" s="161">
        <v>0</v>
      </c>
      <c r="V1265" s="161">
        <v>0</v>
      </c>
      <c r="W1265" s="161">
        <f t="shared" si="121"/>
        <v>-215.78999999999996</v>
      </c>
      <c r="X1265" s="161">
        <f t="shared" si="122"/>
        <v>0</v>
      </c>
      <c r="Y1265" s="161">
        <f t="shared" si="123"/>
        <v>-215.78999999999996</v>
      </c>
      <c r="Z1265" s="161">
        <v>216</v>
      </c>
      <c r="AA1265" s="161">
        <f t="shared" si="118"/>
        <v>0.21000000000003638</v>
      </c>
      <c r="AB1265" s="161">
        <f t="shared" si="119"/>
        <v>2143.27</v>
      </c>
      <c r="AC1265" s="161" t="s">
        <v>1197</v>
      </c>
      <c r="AD1265" s="158"/>
    </row>
    <row r="1266" spans="1:30" ht="15" customHeight="1" x14ac:dyDescent="0.3">
      <c r="A1266" s="147">
        <v>51</v>
      </c>
      <c r="B1266" s="158" t="s">
        <v>515</v>
      </c>
      <c r="C1266" s="158" t="s">
        <v>347</v>
      </c>
      <c r="D1266" s="158" t="s">
        <v>1122</v>
      </c>
      <c r="E1266" s="158" t="s">
        <v>25</v>
      </c>
      <c r="F1266" s="158" t="s">
        <v>25</v>
      </c>
      <c r="G1266" s="158" t="s">
        <v>866</v>
      </c>
      <c r="H1266" s="161">
        <v>8606.2099999999991</v>
      </c>
      <c r="I1266" s="161">
        <v>-94.85</v>
      </c>
      <c r="J1266" s="161">
        <v>166.49</v>
      </c>
      <c r="K1266" s="161">
        <v>0</v>
      </c>
      <c r="L1266" s="166">
        <v>-469.78999999999996</v>
      </c>
      <c r="M1266" s="161">
        <v>-20</v>
      </c>
      <c r="N1266" s="161">
        <v>0</v>
      </c>
      <c r="O1266" s="161">
        <f t="shared" si="120"/>
        <v>8188.0599999999977</v>
      </c>
      <c r="P1266" s="161">
        <v>-2500</v>
      </c>
      <c r="Q1266" s="161">
        <v>0</v>
      </c>
      <c r="R1266" s="161">
        <v>0</v>
      </c>
      <c r="S1266" s="161">
        <v>0</v>
      </c>
      <c r="T1266" s="161">
        <v>-700</v>
      </c>
      <c r="U1266" s="161">
        <v>0</v>
      </c>
      <c r="V1266" s="161">
        <v>0</v>
      </c>
      <c r="W1266" s="161">
        <f t="shared" si="121"/>
        <v>4988.0599999999977</v>
      </c>
      <c r="X1266" s="184">
        <f t="shared" si="122"/>
        <v>4988.0599999999977</v>
      </c>
      <c r="Y1266" s="161">
        <f t="shared" si="123"/>
        <v>0</v>
      </c>
      <c r="Z1266" s="161">
        <v>0</v>
      </c>
      <c r="AA1266" s="161">
        <f t="shared" si="118"/>
        <v>0</v>
      </c>
      <c r="AB1266" s="161">
        <f t="shared" si="119"/>
        <v>3200</v>
      </c>
      <c r="AC1266" s="149" t="s">
        <v>1124</v>
      </c>
      <c r="AD1266" s="158"/>
    </row>
    <row r="1267" spans="1:30" ht="15" customHeight="1" x14ac:dyDescent="0.3">
      <c r="A1267" s="147">
        <v>51</v>
      </c>
      <c r="B1267" s="158" t="s">
        <v>1121</v>
      </c>
      <c r="C1267" s="158" t="s">
        <v>150</v>
      </c>
      <c r="D1267" s="158" t="s">
        <v>877</v>
      </c>
      <c r="E1267" s="158" t="s">
        <v>1198</v>
      </c>
      <c r="F1267" s="158" t="s">
        <v>25</v>
      </c>
      <c r="G1267" s="158" t="s">
        <v>737</v>
      </c>
      <c r="H1267" s="161">
        <v>16831.96</v>
      </c>
      <c r="I1267" s="161">
        <v>-1638.7</v>
      </c>
      <c r="J1267" s="161">
        <v>0</v>
      </c>
      <c r="K1267" s="161">
        <v>0</v>
      </c>
      <c r="L1267" s="161">
        <v>-16387.39</v>
      </c>
      <c r="M1267" s="161">
        <v>-200</v>
      </c>
      <c r="N1267" s="161">
        <v>0</v>
      </c>
      <c r="O1267" s="161">
        <f t="shared" si="120"/>
        <v>-1394.130000000001</v>
      </c>
      <c r="P1267" s="161">
        <v>-2600</v>
      </c>
      <c r="Q1267" s="161">
        <v>-193.63999999999942</v>
      </c>
      <c r="R1267" s="161">
        <v>0</v>
      </c>
      <c r="S1267" s="161">
        <v>0</v>
      </c>
      <c r="T1267" s="161">
        <v>0</v>
      </c>
      <c r="U1267" s="161">
        <v>0</v>
      </c>
      <c r="V1267" s="161">
        <v>0</v>
      </c>
      <c r="W1267" s="161">
        <f t="shared" si="121"/>
        <v>-4187.7700000000004</v>
      </c>
      <c r="X1267" s="161">
        <f t="shared" si="122"/>
        <v>0</v>
      </c>
      <c r="Y1267" s="161">
        <f t="shared" si="123"/>
        <v>-4187.7700000000004</v>
      </c>
      <c r="Z1267" s="161">
        <f>700+3100</f>
        <v>3800</v>
      </c>
      <c r="AA1267" s="161">
        <f t="shared" si="118"/>
        <v>-387.77000000000044</v>
      </c>
      <c r="AB1267" s="161">
        <f t="shared" si="119"/>
        <v>2018.0999999999985</v>
      </c>
      <c r="AC1267" s="161" t="s">
        <v>1199</v>
      </c>
      <c r="AD1267" s="158"/>
    </row>
    <row r="1268" spans="1:30" ht="15" customHeight="1" x14ac:dyDescent="0.3">
      <c r="A1268" s="147">
        <v>51</v>
      </c>
      <c r="B1268" s="158" t="s">
        <v>742</v>
      </c>
      <c r="C1268" s="158" t="s">
        <v>169</v>
      </c>
      <c r="D1268" s="158" t="s">
        <v>967</v>
      </c>
      <c r="E1268" s="160" t="s">
        <v>871</v>
      </c>
      <c r="F1268" s="158" t="s">
        <v>39</v>
      </c>
      <c r="G1268" s="158" t="s">
        <v>866</v>
      </c>
      <c r="H1268" s="161">
        <v>4292.7299999999996</v>
      </c>
      <c r="I1268" s="161">
        <v>-41.6</v>
      </c>
      <c r="J1268" s="161">
        <v>0</v>
      </c>
      <c r="K1268" s="161">
        <v>-34.35</v>
      </c>
      <c r="L1268" s="161">
        <v>-3914.85</v>
      </c>
      <c r="M1268" s="161">
        <v>-70</v>
      </c>
      <c r="N1268" s="161">
        <v>-254.24000000000004</v>
      </c>
      <c r="O1268" s="161">
        <f t="shared" si="120"/>
        <v>-22.310000000001111</v>
      </c>
      <c r="P1268" s="161">
        <v>-892</v>
      </c>
      <c r="Q1268" s="161">
        <v>0</v>
      </c>
      <c r="R1268" s="161">
        <v>-178.57</v>
      </c>
      <c r="S1268" s="161">
        <v>0</v>
      </c>
      <c r="T1268" s="161">
        <v>0</v>
      </c>
      <c r="U1268" s="161">
        <v>0</v>
      </c>
      <c r="V1268" s="161">
        <v>0</v>
      </c>
      <c r="W1268" s="161">
        <f t="shared" si="121"/>
        <v>-1092.880000000001</v>
      </c>
      <c r="X1268" s="161">
        <f t="shared" si="122"/>
        <v>0</v>
      </c>
      <c r="Y1268" s="161">
        <f t="shared" si="123"/>
        <v>-1092.880000000001</v>
      </c>
      <c r="Z1268" s="161">
        <v>1100</v>
      </c>
      <c r="AA1268" s="161">
        <f t="shared" si="118"/>
        <v>7.1199999999989814</v>
      </c>
      <c r="AB1268" s="161">
        <f t="shared" si="119"/>
        <v>1084.8099999999979</v>
      </c>
      <c r="AC1268" s="161" t="s">
        <v>1200</v>
      </c>
      <c r="AD1268" s="158"/>
    </row>
    <row r="1269" spans="1:30" ht="15" customHeight="1" x14ac:dyDescent="0.3">
      <c r="A1269" s="147">
        <v>51</v>
      </c>
      <c r="B1269" s="158" t="s">
        <v>1190</v>
      </c>
      <c r="C1269" s="158" t="s">
        <v>46</v>
      </c>
      <c r="D1269" s="158" t="s">
        <v>915</v>
      </c>
      <c r="E1269" s="158" t="s">
        <v>25</v>
      </c>
      <c r="F1269" s="158" t="s">
        <v>25</v>
      </c>
      <c r="G1269" s="158" t="s">
        <v>866</v>
      </c>
      <c r="H1269" s="161">
        <v>5190.83</v>
      </c>
      <c r="I1269" s="161">
        <v>-72.87</v>
      </c>
      <c r="J1269" s="161">
        <v>0</v>
      </c>
      <c r="K1269" s="161">
        <v>-37.6</v>
      </c>
      <c r="L1269" s="161">
        <v>-1264.19</v>
      </c>
      <c r="M1269" s="161">
        <v>-20</v>
      </c>
      <c r="N1269" s="161">
        <v>0</v>
      </c>
      <c r="O1269" s="161">
        <f t="shared" si="120"/>
        <v>3796.1699999999996</v>
      </c>
      <c r="P1269" s="161">
        <v>-1964.28</v>
      </c>
      <c r="Q1269" s="161">
        <v>29</v>
      </c>
      <c r="R1269" s="161">
        <v>-393</v>
      </c>
      <c r="S1269" s="161">
        <v>0</v>
      </c>
      <c r="T1269" s="161">
        <v>-700</v>
      </c>
      <c r="U1269" s="161">
        <v>0</v>
      </c>
      <c r="V1269" s="161">
        <v>0</v>
      </c>
      <c r="W1269" s="161">
        <f t="shared" si="121"/>
        <v>767.88999999999987</v>
      </c>
      <c r="X1269" s="184">
        <f t="shared" si="122"/>
        <v>767.88999999999987</v>
      </c>
      <c r="Y1269" s="161">
        <f t="shared" si="123"/>
        <v>0</v>
      </c>
      <c r="Z1269" s="161">
        <v>0</v>
      </c>
      <c r="AA1269" s="161">
        <f t="shared" si="118"/>
        <v>0</v>
      </c>
      <c r="AB1269" s="161">
        <f t="shared" si="119"/>
        <v>3028.2799999999997</v>
      </c>
      <c r="AC1269" s="149" t="s">
        <v>1124</v>
      </c>
      <c r="AD1269" s="158"/>
    </row>
    <row r="1270" spans="1:30" ht="15" customHeight="1" x14ac:dyDescent="0.3">
      <c r="A1270" s="147">
        <v>51</v>
      </c>
      <c r="B1270" s="158" t="s">
        <v>1025</v>
      </c>
      <c r="C1270" s="158" t="s">
        <v>195</v>
      </c>
      <c r="D1270" s="158" t="s">
        <v>964</v>
      </c>
      <c r="E1270" s="160" t="s">
        <v>871</v>
      </c>
      <c r="F1270" s="158" t="s">
        <v>39</v>
      </c>
      <c r="G1270" s="158" t="s">
        <v>866</v>
      </c>
      <c r="H1270" s="161">
        <v>5993.21</v>
      </c>
      <c r="I1270" s="161">
        <v>-11.37</v>
      </c>
      <c r="J1270" s="161">
        <v>0</v>
      </c>
      <c r="K1270" s="161">
        <v>0</v>
      </c>
      <c r="L1270" s="161">
        <v>-675.14</v>
      </c>
      <c r="M1270" s="161">
        <v>-20</v>
      </c>
      <c r="N1270" s="161">
        <v>0</v>
      </c>
      <c r="O1270" s="161">
        <f t="shared" si="120"/>
        <v>5286.7</v>
      </c>
      <c r="P1270" s="161">
        <v>-2500</v>
      </c>
      <c r="Q1270" s="161">
        <v>-4879.84</v>
      </c>
      <c r="R1270" s="161">
        <v>0</v>
      </c>
      <c r="S1270" s="161">
        <v>0</v>
      </c>
      <c r="T1270" s="161">
        <v>-500</v>
      </c>
      <c r="U1270" s="161">
        <v>0</v>
      </c>
      <c r="V1270" s="161">
        <v>0</v>
      </c>
      <c r="W1270" s="161">
        <f t="shared" si="121"/>
        <v>-2593.1400000000003</v>
      </c>
      <c r="X1270" s="161">
        <f t="shared" si="122"/>
        <v>0</v>
      </c>
      <c r="Y1270" s="161">
        <f t="shared" si="123"/>
        <v>-2593.1400000000003</v>
      </c>
      <c r="Z1270" s="161">
        <v>0</v>
      </c>
      <c r="AA1270" s="161">
        <f t="shared" si="118"/>
        <v>-2593.1400000000003</v>
      </c>
      <c r="AB1270" s="161">
        <f t="shared" si="119"/>
        <v>2693.5599999999995</v>
      </c>
      <c r="AC1270" s="161" t="s">
        <v>1185</v>
      </c>
      <c r="AD1270" s="158"/>
    </row>
    <row r="1271" spans="1:30" ht="15" customHeight="1" x14ac:dyDescent="0.3">
      <c r="A1271" s="147">
        <v>51</v>
      </c>
      <c r="B1271" s="158" t="s">
        <v>749</v>
      </c>
      <c r="C1271" s="158" t="s">
        <v>104</v>
      </c>
      <c r="D1271" s="158" t="s">
        <v>881</v>
      </c>
      <c r="E1271" s="158" t="s">
        <v>25</v>
      </c>
      <c r="F1271" s="158" t="s">
        <v>25</v>
      </c>
      <c r="G1271" s="158" t="s">
        <v>866</v>
      </c>
      <c r="H1271" s="161">
        <v>2433.46</v>
      </c>
      <c r="I1271" s="161">
        <v>0</v>
      </c>
      <c r="J1271" s="161">
        <v>0</v>
      </c>
      <c r="K1271" s="161">
        <v>0</v>
      </c>
      <c r="L1271" s="161">
        <v>-737.18</v>
      </c>
      <c r="M1271" s="161">
        <v>-30</v>
      </c>
      <c r="N1271" s="161">
        <v>0</v>
      </c>
      <c r="O1271" s="161">
        <f t="shared" si="120"/>
        <v>1666.2800000000002</v>
      </c>
      <c r="P1271" s="161">
        <v>-714.82</v>
      </c>
      <c r="Q1271" s="161">
        <v>0</v>
      </c>
      <c r="R1271" s="161">
        <v>-143</v>
      </c>
      <c r="S1271" s="161">
        <v>0</v>
      </c>
      <c r="T1271" s="161">
        <v>0</v>
      </c>
      <c r="U1271" s="161">
        <v>0</v>
      </c>
      <c r="V1271" s="161">
        <v>0</v>
      </c>
      <c r="W1271" s="161">
        <f t="shared" si="121"/>
        <v>808.46000000000015</v>
      </c>
      <c r="X1271" s="184">
        <f t="shared" si="122"/>
        <v>808.46000000000015</v>
      </c>
      <c r="Y1271" s="161">
        <f t="shared" si="123"/>
        <v>0</v>
      </c>
      <c r="Z1271" s="161">
        <v>0</v>
      </c>
      <c r="AA1271" s="161">
        <f t="shared" si="118"/>
        <v>0</v>
      </c>
      <c r="AB1271" s="161">
        <f t="shared" si="119"/>
        <v>857.82</v>
      </c>
      <c r="AC1271" s="149" t="s">
        <v>1124</v>
      </c>
      <c r="AD1271" s="158"/>
    </row>
    <row r="1272" spans="1:30" ht="15" customHeight="1" x14ac:dyDescent="0.3">
      <c r="A1272" s="147">
        <v>51</v>
      </c>
      <c r="B1272" s="158" t="s">
        <v>612</v>
      </c>
      <c r="C1272" s="158" t="s">
        <v>36</v>
      </c>
      <c r="D1272" s="158" t="s">
        <v>904</v>
      </c>
      <c r="E1272" s="158" t="s">
        <v>25</v>
      </c>
      <c r="F1272" s="158" t="s">
        <v>25</v>
      </c>
      <c r="G1272" s="158" t="s">
        <v>866</v>
      </c>
      <c r="H1272" s="161">
        <v>1016.93</v>
      </c>
      <c r="I1272" s="161">
        <v>0</v>
      </c>
      <c r="J1272" s="161">
        <v>0</v>
      </c>
      <c r="K1272" s="161">
        <v>0</v>
      </c>
      <c r="L1272" s="166">
        <v>-269.08</v>
      </c>
      <c r="M1272" s="161">
        <v>-35</v>
      </c>
      <c r="N1272" s="161">
        <v>0</v>
      </c>
      <c r="O1272" s="161">
        <f t="shared" si="120"/>
        <v>712.84999999999991</v>
      </c>
      <c r="P1272" s="161">
        <v>-2500</v>
      </c>
      <c r="Q1272" s="161">
        <v>0</v>
      </c>
      <c r="R1272" s="161">
        <v>-500</v>
      </c>
      <c r="S1272" s="161">
        <v>0</v>
      </c>
      <c r="T1272" s="161">
        <v>0</v>
      </c>
      <c r="U1272" s="161">
        <v>0</v>
      </c>
      <c r="V1272" s="161">
        <v>0</v>
      </c>
      <c r="W1272" s="161">
        <f t="shared" si="121"/>
        <v>-2287.15</v>
      </c>
      <c r="X1272" s="161">
        <f t="shared" si="122"/>
        <v>0</v>
      </c>
      <c r="Y1272" s="161">
        <f t="shared" si="123"/>
        <v>-2287.15</v>
      </c>
      <c r="Z1272" s="161">
        <v>2287</v>
      </c>
      <c r="AA1272" s="161">
        <f t="shared" si="118"/>
        <v>-0.15000000000009095</v>
      </c>
      <c r="AB1272" s="161">
        <f t="shared" si="119"/>
        <v>2999.7</v>
      </c>
      <c r="AC1272" s="161" t="s">
        <v>1201</v>
      </c>
      <c r="AD1272" s="158"/>
    </row>
    <row r="1273" spans="1:30" ht="15" customHeight="1" x14ac:dyDescent="0.3">
      <c r="A1273" s="147">
        <v>51</v>
      </c>
      <c r="B1273" s="158" t="s">
        <v>1029</v>
      </c>
      <c r="C1273" s="158" t="s">
        <v>68</v>
      </c>
      <c r="D1273" s="158" t="s">
        <v>869</v>
      </c>
      <c r="E1273" s="158" t="s">
        <v>25</v>
      </c>
      <c r="F1273" s="158" t="s">
        <v>25</v>
      </c>
      <c r="G1273" s="158" t="s">
        <v>866</v>
      </c>
      <c r="H1273" s="161">
        <v>11450.25</v>
      </c>
      <c r="I1273" s="161">
        <v>-79.2</v>
      </c>
      <c r="J1273" s="161">
        <v>9.7899999999999991</v>
      </c>
      <c r="K1273" s="161">
        <v>-73.209999999999994</v>
      </c>
      <c r="L1273" s="161">
        <v>0</v>
      </c>
      <c r="M1273" s="161">
        <v>-20</v>
      </c>
      <c r="N1273" s="161">
        <v>0</v>
      </c>
      <c r="O1273" s="161">
        <f t="shared" si="120"/>
        <v>11287.630000000001</v>
      </c>
      <c r="P1273" s="161">
        <v>-2500</v>
      </c>
      <c r="Q1273" s="161">
        <v>0</v>
      </c>
      <c r="R1273" s="161">
        <v>0</v>
      </c>
      <c r="S1273" s="161">
        <v>0</v>
      </c>
      <c r="T1273" s="161">
        <v>0</v>
      </c>
      <c r="U1273" s="161">
        <v>-880</v>
      </c>
      <c r="V1273" s="161">
        <v>0</v>
      </c>
      <c r="W1273" s="161">
        <f t="shared" si="121"/>
        <v>7907.630000000001</v>
      </c>
      <c r="X1273" s="184">
        <f t="shared" si="122"/>
        <v>7907.630000000001</v>
      </c>
      <c r="Y1273" s="161">
        <f t="shared" si="123"/>
        <v>0</v>
      </c>
      <c r="Z1273" s="161">
        <v>0</v>
      </c>
      <c r="AA1273" s="161">
        <f t="shared" si="118"/>
        <v>0</v>
      </c>
      <c r="AB1273" s="161">
        <f t="shared" si="119"/>
        <v>3380</v>
      </c>
      <c r="AC1273" s="149" t="s">
        <v>1124</v>
      </c>
      <c r="AD1273" s="158"/>
    </row>
    <row r="1274" spans="1:30" ht="15" customHeight="1" x14ac:dyDescent="0.3">
      <c r="A1274" s="147">
        <v>51</v>
      </c>
      <c r="B1274" s="158" t="s">
        <v>1141</v>
      </c>
      <c r="C1274" s="158" t="s">
        <v>120</v>
      </c>
      <c r="D1274" s="158" t="s">
        <v>950</v>
      </c>
      <c r="E1274" s="158" t="s">
        <v>25</v>
      </c>
      <c r="F1274" s="158" t="s">
        <v>25</v>
      </c>
      <c r="G1274" s="158" t="s">
        <v>866</v>
      </c>
      <c r="H1274" s="161">
        <v>2014.16</v>
      </c>
      <c r="I1274" s="161">
        <v>-37.68</v>
      </c>
      <c r="J1274" s="161">
        <v>0</v>
      </c>
      <c r="K1274" s="161">
        <v>0</v>
      </c>
      <c r="L1274" s="161">
        <v>-232.09</v>
      </c>
      <c r="M1274" s="161">
        <v>-40</v>
      </c>
      <c r="N1274" s="161">
        <v>-120</v>
      </c>
      <c r="O1274" s="161">
        <f t="shared" si="120"/>
        <v>1584.39</v>
      </c>
      <c r="P1274" s="161">
        <v>-2500</v>
      </c>
      <c r="Q1274" s="161">
        <v>-44.8</v>
      </c>
      <c r="R1274" s="161">
        <v>-500</v>
      </c>
      <c r="S1274" s="161">
        <v>0</v>
      </c>
      <c r="T1274" s="161">
        <v>0</v>
      </c>
      <c r="U1274" s="161">
        <v>0</v>
      </c>
      <c r="V1274" s="161">
        <v>0</v>
      </c>
      <c r="W1274" s="161">
        <f t="shared" si="121"/>
        <v>-1460.41</v>
      </c>
      <c r="X1274" s="161">
        <f t="shared" si="122"/>
        <v>0</v>
      </c>
      <c r="Y1274" s="161">
        <f t="shared" si="123"/>
        <v>-1460.41</v>
      </c>
      <c r="Z1274" s="161">
        <v>1500</v>
      </c>
      <c r="AA1274" s="161">
        <f t="shared" si="118"/>
        <v>39.589999999999918</v>
      </c>
      <c r="AB1274" s="161">
        <f t="shared" si="119"/>
        <v>3123.9800000000005</v>
      </c>
      <c r="AC1274" s="161" t="s">
        <v>1202</v>
      </c>
      <c r="AD1274" s="158"/>
    </row>
    <row r="1275" spans="1:30" ht="15" customHeight="1" x14ac:dyDescent="0.3">
      <c r="A1275" s="147">
        <v>51</v>
      </c>
      <c r="B1275" s="158" t="s">
        <v>1152</v>
      </c>
      <c r="C1275" s="158" t="s">
        <v>64</v>
      </c>
      <c r="D1275" s="158" t="s">
        <v>949</v>
      </c>
      <c r="E1275" s="158" t="s">
        <v>25</v>
      </c>
      <c r="F1275" s="158" t="s">
        <v>25</v>
      </c>
      <c r="G1275" s="158" t="s">
        <v>866</v>
      </c>
      <c r="H1275" s="161">
        <v>3916.63</v>
      </c>
      <c r="I1275" s="161">
        <v>0</v>
      </c>
      <c r="J1275" s="161">
        <v>0</v>
      </c>
      <c r="K1275" s="161">
        <v>0</v>
      </c>
      <c r="L1275" s="161">
        <v>-1451.98</v>
      </c>
      <c r="M1275" s="161">
        <v>-45</v>
      </c>
      <c r="N1275" s="161">
        <v>0</v>
      </c>
      <c r="O1275" s="161">
        <f t="shared" si="120"/>
        <v>2419.65</v>
      </c>
      <c r="P1275" s="161">
        <v>-2500</v>
      </c>
      <c r="Q1275" s="161">
        <v>0</v>
      </c>
      <c r="R1275" s="161">
        <v>-500</v>
      </c>
      <c r="S1275" s="161">
        <v>0</v>
      </c>
      <c r="T1275" s="161">
        <v>0</v>
      </c>
      <c r="U1275" s="161">
        <v>0</v>
      </c>
      <c r="V1275" s="161">
        <v>0</v>
      </c>
      <c r="W1275" s="161">
        <f t="shared" si="121"/>
        <v>-580.34999999999991</v>
      </c>
      <c r="X1275" s="161">
        <f t="shared" si="122"/>
        <v>0</v>
      </c>
      <c r="Y1275" s="161">
        <f t="shared" si="123"/>
        <v>-580.34999999999991</v>
      </c>
      <c r="Z1275" s="161">
        <v>580</v>
      </c>
      <c r="AA1275" s="161">
        <f t="shared" si="118"/>
        <v>-0.34999999999990905</v>
      </c>
      <c r="AB1275" s="161">
        <f t="shared" si="119"/>
        <v>2999.3</v>
      </c>
      <c r="AC1275" s="161" t="s">
        <v>1203</v>
      </c>
      <c r="AD1275" s="158"/>
    </row>
    <row r="1276" spans="1:30" ht="15" customHeight="1" x14ac:dyDescent="0.3">
      <c r="A1276" s="147">
        <v>51</v>
      </c>
      <c r="B1276" s="158" t="s">
        <v>1003</v>
      </c>
      <c r="C1276" s="158" t="s">
        <v>59</v>
      </c>
      <c r="D1276" s="158" t="s">
        <v>895</v>
      </c>
      <c r="E1276" s="158" t="s">
        <v>25</v>
      </c>
      <c r="F1276" s="158" t="s">
        <v>25</v>
      </c>
      <c r="G1276" s="158" t="s">
        <v>866</v>
      </c>
      <c r="H1276" s="161">
        <v>1033.6500000000001</v>
      </c>
      <c r="I1276" s="161">
        <v>0</v>
      </c>
      <c r="J1276" s="161">
        <v>326.83999999999997</v>
      </c>
      <c r="K1276" s="161">
        <v>0</v>
      </c>
      <c r="L1276" s="161">
        <v>0</v>
      </c>
      <c r="M1276" s="161">
        <v>-30</v>
      </c>
      <c r="N1276" s="161">
        <v>-87.36</v>
      </c>
      <c r="O1276" s="161">
        <f t="shared" si="120"/>
        <v>1243.1300000000001</v>
      </c>
      <c r="P1276" s="161">
        <v>-2500</v>
      </c>
      <c r="Q1276" s="161">
        <v>0</v>
      </c>
      <c r="R1276" s="161">
        <v>0</v>
      </c>
      <c r="S1276" s="161">
        <v>0</v>
      </c>
      <c r="T1276" s="161">
        <v>0</v>
      </c>
      <c r="U1276" s="161">
        <v>0</v>
      </c>
      <c r="V1276" s="161">
        <v>0</v>
      </c>
      <c r="W1276" s="161">
        <f t="shared" si="121"/>
        <v>-1256.8699999999999</v>
      </c>
      <c r="X1276" s="161">
        <f t="shared" si="122"/>
        <v>0</v>
      </c>
      <c r="Y1276" s="161">
        <f t="shared" si="123"/>
        <v>-1256.8699999999999</v>
      </c>
      <c r="Z1276" s="161">
        <f>1250+7</f>
        <v>1257</v>
      </c>
      <c r="AA1276" s="161">
        <f t="shared" si="118"/>
        <v>0.13000000000010914</v>
      </c>
      <c r="AB1276" s="161">
        <f t="shared" si="119"/>
        <v>2500.2600000000002</v>
      </c>
      <c r="AC1276" s="161" t="s">
        <v>1204</v>
      </c>
      <c r="AD1276" s="158"/>
    </row>
    <row r="1277" spans="1:30" ht="15" customHeight="1" x14ac:dyDescent="0.3">
      <c r="A1277" s="147">
        <v>51</v>
      </c>
      <c r="B1277" s="158" t="s">
        <v>585</v>
      </c>
      <c r="C1277" s="158" t="s">
        <v>42</v>
      </c>
      <c r="D1277" s="158" t="s">
        <v>948</v>
      </c>
      <c r="E1277" s="158" t="s">
        <v>25</v>
      </c>
      <c r="F1277" s="158" t="s">
        <v>25</v>
      </c>
      <c r="G1277" s="158" t="s">
        <v>866</v>
      </c>
      <c r="H1277" s="161">
        <v>0</v>
      </c>
      <c r="I1277" s="161">
        <v>0</v>
      </c>
      <c r="J1277" s="161">
        <v>0</v>
      </c>
      <c r="K1277" s="161">
        <v>0</v>
      </c>
      <c r="L1277" s="161">
        <v>0</v>
      </c>
      <c r="M1277" s="161">
        <v>0</v>
      </c>
      <c r="N1277" s="161">
        <v>0</v>
      </c>
      <c r="O1277" s="161">
        <f t="shared" si="120"/>
        <v>0</v>
      </c>
      <c r="P1277" s="161">
        <v>-1071.42</v>
      </c>
      <c r="Q1277" s="161">
        <v>0</v>
      </c>
      <c r="R1277" s="161">
        <v>0</v>
      </c>
      <c r="S1277" s="161">
        <v>0</v>
      </c>
      <c r="T1277" s="161">
        <v>0</v>
      </c>
      <c r="U1277" s="161">
        <v>0</v>
      </c>
      <c r="V1277" s="161">
        <v>0</v>
      </c>
      <c r="W1277" s="161">
        <f t="shared" si="121"/>
        <v>-1071.42</v>
      </c>
      <c r="X1277" s="161">
        <f t="shared" si="122"/>
        <v>0</v>
      </c>
      <c r="Y1277" s="161">
        <f t="shared" si="123"/>
        <v>-1071.42</v>
      </c>
      <c r="Z1277" s="161">
        <v>1071</v>
      </c>
      <c r="AA1277" s="161">
        <f t="shared" si="118"/>
        <v>-0.42000000000007276</v>
      </c>
      <c r="AB1277" s="161">
        <f t="shared" si="119"/>
        <v>1070.58</v>
      </c>
      <c r="AC1277" s="161" t="s">
        <v>1205</v>
      </c>
      <c r="AD1277" s="158"/>
    </row>
    <row r="1278" spans="1:30" ht="15" customHeight="1" x14ac:dyDescent="0.3">
      <c r="A1278" s="147">
        <v>51</v>
      </c>
      <c r="B1278" s="158" t="s">
        <v>620</v>
      </c>
      <c r="C1278" s="158" t="s">
        <v>571</v>
      </c>
      <c r="D1278" s="158" t="s">
        <v>974</v>
      </c>
      <c r="E1278" s="158" t="s">
        <v>1198</v>
      </c>
      <c r="F1278" s="158" t="s">
        <v>25</v>
      </c>
      <c r="G1278" s="158" t="s">
        <v>737</v>
      </c>
      <c r="H1278" s="161">
        <v>6153.94</v>
      </c>
      <c r="I1278" s="161">
        <v>-530.79999999999995</v>
      </c>
      <c r="J1278" s="161">
        <v>0</v>
      </c>
      <c r="K1278" s="161">
        <v>0</v>
      </c>
      <c r="L1278" s="161">
        <v>-5307.83</v>
      </c>
      <c r="M1278" s="161">
        <v>-50</v>
      </c>
      <c r="N1278" s="161">
        <v>0</v>
      </c>
      <c r="O1278" s="161">
        <f t="shared" si="120"/>
        <v>265.30999999999949</v>
      </c>
      <c r="P1278" s="161">
        <v>-314</v>
      </c>
      <c r="Q1278" s="161">
        <v>0</v>
      </c>
      <c r="R1278" s="161">
        <v>0</v>
      </c>
      <c r="S1278" s="161">
        <v>0</v>
      </c>
      <c r="T1278" s="161">
        <v>0</v>
      </c>
      <c r="U1278" s="161">
        <v>0</v>
      </c>
      <c r="V1278" s="161">
        <v>0</v>
      </c>
      <c r="W1278" s="161">
        <f t="shared" si="121"/>
        <v>-48.690000000000509</v>
      </c>
      <c r="X1278" s="161">
        <f t="shared" si="122"/>
        <v>0</v>
      </c>
      <c r="Y1278" s="161">
        <f t="shared" si="123"/>
        <v>-48.690000000000509</v>
      </c>
      <c r="Z1278" s="161">
        <v>49</v>
      </c>
      <c r="AA1278" s="161">
        <f t="shared" si="118"/>
        <v>0.30999999999949068</v>
      </c>
      <c r="AB1278" s="161">
        <f t="shared" si="119"/>
        <v>314.61999999999898</v>
      </c>
      <c r="AC1278" s="161" t="s">
        <v>1206</v>
      </c>
      <c r="AD1278" s="158"/>
    </row>
    <row r="1279" spans="1:30" ht="15" customHeight="1" x14ac:dyDescent="0.3">
      <c r="A1279" s="147">
        <v>51</v>
      </c>
      <c r="B1279" s="158" t="s">
        <v>620</v>
      </c>
      <c r="C1279" s="158" t="s">
        <v>571</v>
      </c>
      <c r="D1279" s="158" t="s">
        <v>974</v>
      </c>
      <c r="E1279" s="158" t="s">
        <v>25</v>
      </c>
      <c r="F1279" s="158" t="s">
        <v>25</v>
      </c>
      <c r="G1279" s="158" t="s">
        <v>866</v>
      </c>
      <c r="H1279" s="161">
        <v>1647.01</v>
      </c>
      <c r="I1279" s="161">
        <v>0</v>
      </c>
      <c r="J1279" s="161">
        <v>0</v>
      </c>
      <c r="K1279" s="161">
        <v>0</v>
      </c>
      <c r="L1279" s="161">
        <v>-772.53</v>
      </c>
      <c r="M1279" s="161">
        <v>-15</v>
      </c>
      <c r="N1279" s="161">
        <v>0</v>
      </c>
      <c r="O1279" s="161">
        <f t="shared" si="120"/>
        <v>859.48</v>
      </c>
      <c r="P1279" s="161">
        <v>-2186</v>
      </c>
      <c r="Q1279" s="161">
        <v>1</v>
      </c>
      <c r="R1279" s="161">
        <v>0</v>
      </c>
      <c r="S1279" s="161">
        <v>0</v>
      </c>
      <c r="T1279" s="161">
        <v>0</v>
      </c>
      <c r="U1279" s="161">
        <v>0</v>
      </c>
      <c r="V1279" s="161">
        <v>0</v>
      </c>
      <c r="W1279" s="161">
        <f t="shared" si="121"/>
        <v>-1325.52</v>
      </c>
      <c r="X1279" s="161">
        <f t="shared" si="122"/>
        <v>0</v>
      </c>
      <c r="Y1279" s="161">
        <f t="shared" si="123"/>
        <v>-1325.52</v>
      </c>
      <c r="Z1279" s="161">
        <f>951+375</f>
        <v>1326</v>
      </c>
      <c r="AA1279" s="161">
        <f t="shared" si="118"/>
        <v>0.48000000000001819</v>
      </c>
      <c r="AB1279" s="161">
        <f t="shared" si="119"/>
        <v>2185.96</v>
      </c>
      <c r="AC1279" s="161" t="s">
        <v>1207</v>
      </c>
      <c r="AD1279" s="158"/>
    </row>
    <row r="1280" spans="1:30" ht="15" customHeight="1" x14ac:dyDescent="0.3">
      <c r="A1280" s="147">
        <v>51</v>
      </c>
      <c r="B1280" s="158" t="s">
        <v>944</v>
      </c>
      <c r="C1280" s="158" t="s">
        <v>372</v>
      </c>
      <c r="D1280" s="158" t="s">
        <v>1004</v>
      </c>
      <c r="E1280" s="158" t="s">
        <v>39</v>
      </c>
      <c r="F1280" s="158" t="s">
        <v>39</v>
      </c>
      <c r="G1280" s="158" t="s">
        <v>866</v>
      </c>
      <c r="H1280" s="161">
        <v>5843.04</v>
      </c>
      <c r="I1280" s="161">
        <v>-21</v>
      </c>
      <c r="J1280" s="161">
        <v>0</v>
      </c>
      <c r="K1280" s="161">
        <v>0</v>
      </c>
      <c r="L1280" s="161">
        <v>-2155.7800000000002</v>
      </c>
      <c r="M1280" s="161">
        <v>-40</v>
      </c>
      <c r="N1280" s="161">
        <v>0</v>
      </c>
      <c r="O1280" s="161">
        <f t="shared" si="120"/>
        <v>3626.2599999999998</v>
      </c>
      <c r="P1280" s="161">
        <v>-1428.57</v>
      </c>
      <c r="Q1280" s="161">
        <v>0</v>
      </c>
      <c r="R1280" s="161">
        <v>0</v>
      </c>
      <c r="S1280" s="161">
        <v>0</v>
      </c>
      <c r="T1280" s="161">
        <v>-700</v>
      </c>
      <c r="U1280" s="161">
        <v>0</v>
      </c>
      <c r="V1280" s="161">
        <v>0</v>
      </c>
      <c r="W1280" s="161">
        <f t="shared" si="121"/>
        <v>1497.69</v>
      </c>
      <c r="X1280" s="184">
        <f t="shared" si="122"/>
        <v>1497.69</v>
      </c>
      <c r="Y1280" s="161">
        <f t="shared" si="123"/>
        <v>0</v>
      </c>
      <c r="Z1280" s="161">
        <v>0</v>
      </c>
      <c r="AA1280" s="161">
        <f t="shared" si="118"/>
        <v>0</v>
      </c>
      <c r="AB1280" s="161">
        <f t="shared" si="119"/>
        <v>2128.5699999999997</v>
      </c>
      <c r="AC1280" s="161" t="s">
        <v>1039</v>
      </c>
      <c r="AD1280" s="158"/>
    </row>
    <row r="1281" spans="1:30" ht="15" customHeight="1" x14ac:dyDescent="0.3">
      <c r="A1281" s="147">
        <v>51</v>
      </c>
      <c r="B1281" s="158" t="s">
        <v>1088</v>
      </c>
      <c r="C1281" s="158" t="s">
        <v>257</v>
      </c>
      <c r="D1281" s="158" t="s">
        <v>943</v>
      </c>
      <c r="E1281" s="158" t="s">
        <v>25</v>
      </c>
      <c r="F1281" s="158" t="s">
        <v>25</v>
      </c>
      <c r="G1281" s="158" t="s">
        <v>866</v>
      </c>
      <c r="H1281" s="161">
        <v>5412.1</v>
      </c>
      <c r="I1281" s="161">
        <v>-48</v>
      </c>
      <c r="J1281" s="161">
        <v>0</v>
      </c>
      <c r="K1281" s="161">
        <v>-30.14</v>
      </c>
      <c r="L1281" s="161">
        <v>0</v>
      </c>
      <c r="M1281" s="161">
        <v>-50</v>
      </c>
      <c r="N1281" s="161">
        <v>0</v>
      </c>
      <c r="O1281" s="161">
        <f t="shared" si="120"/>
        <v>5283.96</v>
      </c>
      <c r="P1281" s="161">
        <v>-2500</v>
      </c>
      <c r="Q1281" s="161">
        <v>0</v>
      </c>
      <c r="R1281" s="161">
        <v>0</v>
      </c>
      <c r="S1281" s="161">
        <v>0</v>
      </c>
      <c r="T1281" s="161">
        <v>0</v>
      </c>
      <c r="U1281" s="161">
        <v>0</v>
      </c>
      <c r="V1281" s="161">
        <v>0</v>
      </c>
      <c r="W1281" s="161">
        <f t="shared" si="121"/>
        <v>2783.96</v>
      </c>
      <c r="X1281" s="184">
        <f t="shared" si="122"/>
        <v>2783.96</v>
      </c>
      <c r="Y1281" s="161">
        <f t="shared" si="123"/>
        <v>0</v>
      </c>
      <c r="Z1281" s="161">
        <v>0</v>
      </c>
      <c r="AA1281" s="161">
        <f t="shared" si="118"/>
        <v>0</v>
      </c>
      <c r="AB1281" s="161">
        <f t="shared" si="119"/>
        <v>2500</v>
      </c>
      <c r="AC1281" s="149" t="s">
        <v>1124</v>
      </c>
      <c r="AD1281" s="158"/>
    </row>
    <row r="1282" spans="1:30" ht="15" customHeight="1" x14ac:dyDescent="0.3">
      <c r="A1282" s="147">
        <v>51</v>
      </c>
      <c r="B1282" s="158" t="s">
        <v>1142</v>
      </c>
      <c r="C1282" s="158" t="s">
        <v>101</v>
      </c>
      <c r="D1282" s="158" t="s">
        <v>945</v>
      </c>
      <c r="E1282" s="158" t="s">
        <v>25</v>
      </c>
      <c r="F1282" s="158" t="s">
        <v>25</v>
      </c>
      <c r="G1282" s="158" t="s">
        <v>866</v>
      </c>
      <c r="H1282" s="161">
        <v>2670.54</v>
      </c>
      <c r="I1282" s="161">
        <v>-17.54</v>
      </c>
      <c r="J1282" s="161">
        <v>0</v>
      </c>
      <c r="K1282" s="161">
        <v>0</v>
      </c>
      <c r="L1282" s="161">
        <v>-258.48</v>
      </c>
      <c r="M1282" s="161">
        <v>-40</v>
      </c>
      <c r="N1282" s="161">
        <v>0</v>
      </c>
      <c r="O1282" s="161">
        <f t="shared" si="120"/>
        <v>2354.52</v>
      </c>
      <c r="P1282" s="161">
        <v>-2500</v>
      </c>
      <c r="Q1282" s="161">
        <v>0</v>
      </c>
      <c r="R1282" s="161">
        <v>-500</v>
      </c>
      <c r="S1282" s="161">
        <v>0</v>
      </c>
      <c r="T1282" s="161">
        <v>0</v>
      </c>
      <c r="U1282" s="161">
        <v>0</v>
      </c>
      <c r="V1282" s="161">
        <v>0</v>
      </c>
      <c r="W1282" s="161">
        <f t="shared" si="121"/>
        <v>-645.48</v>
      </c>
      <c r="X1282" s="161">
        <f t="shared" si="122"/>
        <v>0</v>
      </c>
      <c r="Y1282" s="161">
        <f t="shared" si="123"/>
        <v>-645.48</v>
      </c>
      <c r="Z1282" s="161">
        <v>645</v>
      </c>
      <c r="AA1282" s="161">
        <f t="shared" ref="AA1282:AA1345" si="124">+Y1282+Z1282</f>
        <v>-0.48000000000001819</v>
      </c>
      <c r="AB1282" s="161">
        <f t="shared" ref="AB1282:AB1345" si="125">+O1282-X1282+Z1282+AA1282</f>
        <v>2999.04</v>
      </c>
      <c r="AC1282" s="161" t="s">
        <v>1208</v>
      </c>
      <c r="AD1282" s="158"/>
    </row>
    <row r="1283" spans="1:30" ht="15" customHeight="1" x14ac:dyDescent="0.3">
      <c r="A1283" s="147">
        <v>51</v>
      </c>
      <c r="B1283" s="158" t="s">
        <v>1120</v>
      </c>
      <c r="C1283" s="158" t="s">
        <v>100</v>
      </c>
      <c r="D1283" s="158" t="s">
        <v>953</v>
      </c>
      <c r="E1283" s="158" t="s">
        <v>25</v>
      </c>
      <c r="F1283" s="158" t="s">
        <v>25</v>
      </c>
      <c r="G1283" s="158" t="s">
        <v>866</v>
      </c>
      <c r="H1283" s="161">
        <v>7124.64</v>
      </c>
      <c r="I1283" s="161">
        <v>0</v>
      </c>
      <c r="J1283" s="161">
        <v>393.91</v>
      </c>
      <c r="K1283" s="161">
        <v>-76.92</v>
      </c>
      <c r="L1283" s="161">
        <v>-3251.77</v>
      </c>
      <c r="M1283" s="161">
        <v>-40</v>
      </c>
      <c r="N1283" s="161">
        <v>0</v>
      </c>
      <c r="O1283" s="161">
        <f t="shared" si="120"/>
        <v>4149.8600000000006</v>
      </c>
      <c r="P1283" s="161">
        <v>-2500</v>
      </c>
      <c r="Q1283" s="161">
        <v>0</v>
      </c>
      <c r="R1283" s="161">
        <v>-500</v>
      </c>
      <c r="S1283" s="161">
        <v>0</v>
      </c>
      <c r="T1283" s="161">
        <v>0</v>
      </c>
      <c r="U1283" s="161">
        <v>0</v>
      </c>
      <c r="V1283" s="161">
        <v>0</v>
      </c>
      <c r="W1283" s="161">
        <f t="shared" si="121"/>
        <v>1149.8600000000006</v>
      </c>
      <c r="X1283" s="184">
        <f t="shared" si="122"/>
        <v>1149.8600000000006</v>
      </c>
      <c r="Y1283" s="161">
        <f t="shared" si="123"/>
        <v>0</v>
      </c>
      <c r="Z1283" s="161">
        <v>0</v>
      </c>
      <c r="AA1283" s="161">
        <f t="shared" si="124"/>
        <v>0</v>
      </c>
      <c r="AB1283" s="161">
        <f t="shared" si="125"/>
        <v>3000</v>
      </c>
      <c r="AC1283" s="149" t="s">
        <v>1124</v>
      </c>
      <c r="AD1283" s="158"/>
    </row>
    <row r="1284" spans="1:30" ht="15" customHeight="1" x14ac:dyDescent="0.3">
      <c r="A1284" s="147">
        <v>51</v>
      </c>
      <c r="B1284" s="158" t="s">
        <v>872</v>
      </c>
      <c r="C1284" s="158" t="s">
        <v>256</v>
      </c>
      <c r="D1284" s="158" t="s">
        <v>997</v>
      </c>
      <c r="E1284" s="160" t="s">
        <v>871</v>
      </c>
      <c r="F1284" s="158" t="s">
        <v>39</v>
      </c>
      <c r="G1284" s="158" t="s">
        <v>866</v>
      </c>
      <c r="H1284" s="161">
        <v>11063.48</v>
      </c>
      <c r="I1284" s="161">
        <v>-111.2</v>
      </c>
      <c r="J1284" s="161">
        <v>0</v>
      </c>
      <c r="K1284" s="161">
        <v>-79.22</v>
      </c>
      <c r="L1284" s="161">
        <v>-4365.6400000000003</v>
      </c>
      <c r="M1284" s="161">
        <v>-60</v>
      </c>
      <c r="N1284" s="161">
        <v>-125</v>
      </c>
      <c r="O1284" s="161">
        <f t="shared" si="120"/>
        <v>6322.4199999999992</v>
      </c>
      <c r="P1284" s="161">
        <v>-2500</v>
      </c>
      <c r="Q1284" s="161">
        <v>0</v>
      </c>
      <c r="R1284" s="161">
        <v>0</v>
      </c>
      <c r="S1284" s="161">
        <v>0</v>
      </c>
      <c r="T1284" s="161">
        <v>0</v>
      </c>
      <c r="U1284" s="161">
        <v>0</v>
      </c>
      <c r="V1284" s="161">
        <v>0</v>
      </c>
      <c r="W1284" s="161">
        <f t="shared" si="121"/>
        <v>3822.4199999999992</v>
      </c>
      <c r="X1284" s="184">
        <f t="shared" si="122"/>
        <v>3822.4199999999992</v>
      </c>
      <c r="Y1284" s="161">
        <f t="shared" si="123"/>
        <v>0</v>
      </c>
      <c r="Z1284" s="161">
        <v>0</v>
      </c>
      <c r="AA1284" s="161">
        <f t="shared" si="124"/>
        <v>0</v>
      </c>
      <c r="AB1284" s="161">
        <f t="shared" si="125"/>
        <v>2500</v>
      </c>
      <c r="AC1284" s="161" t="s">
        <v>1039</v>
      </c>
      <c r="AD1284" s="158"/>
    </row>
    <row r="1285" spans="1:30" ht="15" customHeight="1" x14ac:dyDescent="0.3">
      <c r="A1285" s="147">
        <v>51</v>
      </c>
      <c r="B1285" s="158" t="s">
        <v>747</v>
      </c>
      <c r="C1285" s="158" t="s">
        <v>152</v>
      </c>
      <c r="D1285" s="158" t="s">
        <v>1108</v>
      </c>
      <c r="E1285" s="160" t="s">
        <v>25</v>
      </c>
      <c r="F1285" s="158" t="s">
        <v>25</v>
      </c>
      <c r="G1285" s="158" t="s">
        <v>866</v>
      </c>
      <c r="H1285" s="161">
        <v>2514.67</v>
      </c>
      <c r="I1285" s="161">
        <v>-18.97</v>
      </c>
      <c r="J1285" s="161">
        <v>0</v>
      </c>
      <c r="K1285" s="161">
        <v>0</v>
      </c>
      <c r="L1285" s="161">
        <v>0</v>
      </c>
      <c r="M1285" s="161">
        <v>-41</v>
      </c>
      <c r="N1285" s="161">
        <v>-114</v>
      </c>
      <c r="O1285" s="161">
        <f t="shared" si="120"/>
        <v>2340.7000000000003</v>
      </c>
      <c r="P1285" s="161">
        <v>-2500</v>
      </c>
      <c r="Q1285" s="161">
        <v>0</v>
      </c>
      <c r="R1285" s="161">
        <v>-500</v>
      </c>
      <c r="S1285" s="161">
        <v>0</v>
      </c>
      <c r="T1285" s="161">
        <v>0</v>
      </c>
      <c r="U1285" s="161">
        <v>0</v>
      </c>
      <c r="V1285" s="161">
        <v>0</v>
      </c>
      <c r="W1285" s="161">
        <f t="shared" si="121"/>
        <v>-659.29999999999973</v>
      </c>
      <c r="X1285" s="161">
        <f t="shared" si="122"/>
        <v>0</v>
      </c>
      <c r="Y1285" s="161">
        <f t="shared" si="123"/>
        <v>-659.29999999999973</v>
      </c>
      <c r="Z1285" s="161">
        <v>545</v>
      </c>
      <c r="AA1285" s="161">
        <f t="shared" si="124"/>
        <v>-114.29999999999973</v>
      </c>
      <c r="AB1285" s="161">
        <f t="shared" si="125"/>
        <v>2771.4000000000005</v>
      </c>
      <c r="AC1285" s="161" t="s">
        <v>1209</v>
      </c>
      <c r="AD1285" s="158"/>
    </row>
    <row r="1286" spans="1:30" ht="15" customHeight="1" x14ac:dyDescent="0.3">
      <c r="A1286" s="147">
        <v>51</v>
      </c>
      <c r="B1286" s="158" t="s">
        <v>1100</v>
      </c>
      <c r="C1286" s="158" t="s">
        <v>213</v>
      </c>
      <c r="D1286" s="158" t="s">
        <v>1116</v>
      </c>
      <c r="E1286" s="158" t="s">
        <v>39</v>
      </c>
      <c r="F1286" s="158" t="s">
        <v>39</v>
      </c>
      <c r="G1286" s="158" t="s">
        <v>866</v>
      </c>
      <c r="H1286" s="161">
        <v>4134.6099999999997</v>
      </c>
      <c r="I1286" s="161">
        <v>0</v>
      </c>
      <c r="J1286" s="161">
        <v>27.61</v>
      </c>
      <c r="K1286" s="161">
        <v>-26.48</v>
      </c>
      <c r="L1286" s="161">
        <v>-339.79</v>
      </c>
      <c r="M1286" s="161">
        <v>-30</v>
      </c>
      <c r="N1286" s="161">
        <v>0</v>
      </c>
      <c r="O1286" s="161">
        <f t="shared" si="120"/>
        <v>3765.95</v>
      </c>
      <c r="P1286" s="161">
        <v>-2500</v>
      </c>
      <c r="Q1286" s="161">
        <v>0</v>
      </c>
      <c r="R1286" s="161">
        <v>-178</v>
      </c>
      <c r="S1286" s="161">
        <v>0</v>
      </c>
      <c r="T1286" s="161">
        <v>0</v>
      </c>
      <c r="U1286" s="161">
        <v>0</v>
      </c>
      <c r="V1286" s="161">
        <v>0</v>
      </c>
      <c r="W1286" s="161">
        <f t="shared" si="121"/>
        <v>1087.9499999999998</v>
      </c>
      <c r="X1286" s="184">
        <f t="shared" si="122"/>
        <v>1087.9499999999998</v>
      </c>
      <c r="Y1286" s="161">
        <f t="shared" si="123"/>
        <v>0</v>
      </c>
      <c r="Z1286" s="161">
        <v>0</v>
      </c>
      <c r="AA1286" s="161">
        <f t="shared" si="124"/>
        <v>0</v>
      </c>
      <c r="AB1286" s="161">
        <f t="shared" si="125"/>
        <v>2678</v>
      </c>
      <c r="AC1286" s="161" t="s">
        <v>1039</v>
      </c>
      <c r="AD1286" s="158"/>
    </row>
    <row r="1287" spans="1:30" ht="15" customHeight="1" x14ac:dyDescent="0.3">
      <c r="A1287" s="147">
        <v>51</v>
      </c>
      <c r="B1287" s="158" t="s">
        <v>1067</v>
      </c>
      <c r="C1287" s="158" t="s">
        <v>46</v>
      </c>
      <c r="D1287" s="158" t="s">
        <v>915</v>
      </c>
      <c r="E1287" s="158" t="s">
        <v>25</v>
      </c>
      <c r="F1287" s="158" t="s">
        <v>25</v>
      </c>
      <c r="G1287" s="158" t="s">
        <v>866</v>
      </c>
      <c r="H1287" s="161">
        <v>0</v>
      </c>
      <c r="I1287" s="161">
        <v>0</v>
      </c>
      <c r="J1287" s="161">
        <v>0</v>
      </c>
      <c r="K1287" s="161">
        <v>0</v>
      </c>
      <c r="L1287" s="161">
        <v>0</v>
      </c>
      <c r="M1287" s="161">
        <v>0</v>
      </c>
      <c r="N1287" s="161">
        <v>0</v>
      </c>
      <c r="O1287" s="161">
        <f t="shared" si="120"/>
        <v>0</v>
      </c>
      <c r="P1287" s="161">
        <v>0</v>
      </c>
      <c r="Q1287" s="161">
        <v>0</v>
      </c>
      <c r="R1287" s="161">
        <v>0</v>
      </c>
      <c r="S1287" s="161">
        <v>0</v>
      </c>
      <c r="T1287" s="161">
        <v>-700</v>
      </c>
      <c r="U1287" s="161">
        <v>0</v>
      </c>
      <c r="V1287" s="161">
        <v>0</v>
      </c>
      <c r="W1287" s="161">
        <f t="shared" si="121"/>
        <v>-700</v>
      </c>
      <c r="X1287" s="161">
        <f t="shared" si="122"/>
        <v>0</v>
      </c>
      <c r="Y1287" s="161">
        <f t="shared" si="123"/>
        <v>-700</v>
      </c>
      <c r="Z1287" s="161">
        <v>700</v>
      </c>
      <c r="AA1287" s="161">
        <f t="shared" si="124"/>
        <v>0</v>
      </c>
      <c r="AB1287" s="161">
        <f t="shared" si="125"/>
        <v>700</v>
      </c>
      <c r="AC1287" s="161" t="s">
        <v>1210</v>
      </c>
      <c r="AD1287" s="158"/>
    </row>
    <row r="1288" spans="1:30" ht="15" customHeight="1" x14ac:dyDescent="0.3">
      <c r="A1288" s="147">
        <v>51</v>
      </c>
      <c r="B1288" s="158" t="s">
        <v>1067</v>
      </c>
      <c r="C1288" s="158" t="s">
        <v>110</v>
      </c>
      <c r="D1288" s="158" t="s">
        <v>996</v>
      </c>
      <c r="E1288" s="158" t="s">
        <v>18</v>
      </c>
      <c r="F1288" s="158" t="s">
        <v>18</v>
      </c>
      <c r="G1288" s="158" t="s">
        <v>866</v>
      </c>
      <c r="H1288" s="161">
        <v>5090.2299999999996</v>
      </c>
      <c r="I1288" s="161">
        <v>-39.54</v>
      </c>
      <c r="J1288" s="161">
        <v>90.22</v>
      </c>
      <c r="K1288" s="161">
        <v>0</v>
      </c>
      <c r="L1288" s="161">
        <v>-1236.21</v>
      </c>
      <c r="M1288" s="161">
        <v>-30</v>
      </c>
      <c r="N1288" s="161">
        <v>0</v>
      </c>
      <c r="O1288" s="161">
        <f t="shared" si="120"/>
        <v>3874.7</v>
      </c>
      <c r="P1288" s="161">
        <v>-2500</v>
      </c>
      <c r="Q1288" s="161">
        <v>0</v>
      </c>
      <c r="R1288" s="161">
        <v>0</v>
      </c>
      <c r="S1288" s="161">
        <v>0</v>
      </c>
      <c r="T1288" s="161">
        <v>0</v>
      </c>
      <c r="U1288" s="161">
        <v>0</v>
      </c>
      <c r="V1288" s="161">
        <v>0</v>
      </c>
      <c r="W1288" s="161">
        <f t="shared" si="121"/>
        <v>1374.6999999999998</v>
      </c>
      <c r="X1288" s="184">
        <f t="shared" si="122"/>
        <v>1374.6999999999998</v>
      </c>
      <c r="Y1288" s="161">
        <f t="shared" si="123"/>
        <v>0</v>
      </c>
      <c r="Z1288" s="161">
        <v>0</v>
      </c>
      <c r="AA1288" s="161">
        <f t="shared" si="124"/>
        <v>0</v>
      </c>
      <c r="AB1288" s="161">
        <f t="shared" si="125"/>
        <v>2500</v>
      </c>
      <c r="AC1288" s="161" t="s">
        <v>1175</v>
      </c>
      <c r="AD1288" s="158"/>
    </row>
    <row r="1289" spans="1:30" ht="15" customHeight="1" x14ac:dyDescent="0.3">
      <c r="A1289" s="147">
        <v>51</v>
      </c>
      <c r="B1289" s="158" t="s">
        <v>1076</v>
      </c>
      <c r="C1289" s="158" t="s">
        <v>80</v>
      </c>
      <c r="D1289" s="158" t="s">
        <v>1165</v>
      </c>
      <c r="E1289" s="158" t="s">
        <v>18</v>
      </c>
      <c r="F1289" s="158" t="s">
        <v>18</v>
      </c>
      <c r="G1289" s="158" t="s">
        <v>737</v>
      </c>
      <c r="H1289" s="161">
        <v>11338.24</v>
      </c>
      <c r="I1289" s="161">
        <v>-850.9</v>
      </c>
      <c r="J1289" s="161">
        <v>0</v>
      </c>
      <c r="K1289" s="161">
        <v>0</v>
      </c>
      <c r="L1289" s="161">
        <v>-8508.64</v>
      </c>
      <c r="M1289" s="161">
        <v>-100</v>
      </c>
      <c r="N1289" s="161">
        <v>0</v>
      </c>
      <c r="O1289" s="161">
        <f t="shared" si="120"/>
        <v>1878.7000000000007</v>
      </c>
      <c r="P1289" s="161">
        <v>-2600</v>
      </c>
      <c r="Q1289" s="161">
        <v>0</v>
      </c>
      <c r="R1289" s="161">
        <v>0</v>
      </c>
      <c r="S1289" s="161">
        <v>0</v>
      </c>
      <c r="T1289" s="161">
        <v>0</v>
      </c>
      <c r="U1289" s="161">
        <v>0</v>
      </c>
      <c r="V1289" s="161">
        <v>0</v>
      </c>
      <c r="W1289" s="161">
        <f t="shared" si="121"/>
        <v>-721.29999999999927</v>
      </c>
      <c r="X1289" s="161">
        <f t="shared" si="122"/>
        <v>0</v>
      </c>
      <c r="Y1289" s="161">
        <f t="shared" si="123"/>
        <v>-721.29999999999927</v>
      </c>
      <c r="Z1289" s="161">
        <v>0</v>
      </c>
      <c r="AA1289" s="161">
        <f t="shared" si="124"/>
        <v>-721.29999999999927</v>
      </c>
      <c r="AB1289" s="161">
        <f t="shared" si="125"/>
        <v>1157.4000000000015</v>
      </c>
      <c r="AC1289" s="161" t="s">
        <v>1211</v>
      </c>
      <c r="AD1289" s="158"/>
    </row>
    <row r="1290" spans="1:30" ht="15" customHeight="1" x14ac:dyDescent="0.3">
      <c r="A1290" s="147">
        <v>51</v>
      </c>
      <c r="B1290" s="158" t="s">
        <v>1051</v>
      </c>
      <c r="C1290" s="158" t="s">
        <v>21</v>
      </c>
      <c r="D1290" s="147" t="s">
        <v>912</v>
      </c>
      <c r="E1290" s="158" t="s">
        <v>18</v>
      </c>
      <c r="F1290" s="158" t="s">
        <v>18</v>
      </c>
      <c r="G1290" s="158" t="s">
        <v>866</v>
      </c>
      <c r="H1290" s="161">
        <v>5213.6400000000003</v>
      </c>
      <c r="I1290" s="161">
        <v>0</v>
      </c>
      <c r="J1290" s="161">
        <v>0</v>
      </c>
      <c r="K1290" s="161">
        <v>0</v>
      </c>
      <c r="L1290" s="161">
        <v>-2489.67</v>
      </c>
      <c r="M1290" s="161">
        <v>-40</v>
      </c>
      <c r="N1290" s="161">
        <v>0</v>
      </c>
      <c r="O1290" s="161">
        <f t="shared" si="120"/>
        <v>2683.9700000000003</v>
      </c>
      <c r="P1290" s="161">
        <v>-2500</v>
      </c>
      <c r="Q1290" s="161">
        <v>0</v>
      </c>
      <c r="R1290" s="161">
        <v>0</v>
      </c>
      <c r="S1290" s="161">
        <v>0</v>
      </c>
      <c r="T1290" s="161">
        <v>0</v>
      </c>
      <c r="U1290" s="161">
        <v>0</v>
      </c>
      <c r="V1290" s="161">
        <v>0</v>
      </c>
      <c r="W1290" s="161">
        <f t="shared" si="121"/>
        <v>183.97000000000025</v>
      </c>
      <c r="X1290" s="184">
        <f t="shared" si="122"/>
        <v>183.97000000000025</v>
      </c>
      <c r="Y1290" s="161">
        <f t="shared" si="123"/>
        <v>0</v>
      </c>
      <c r="Z1290" s="161">
        <v>0</v>
      </c>
      <c r="AA1290" s="161">
        <f t="shared" si="124"/>
        <v>0</v>
      </c>
      <c r="AB1290" s="161">
        <f t="shared" si="125"/>
        <v>2500</v>
      </c>
      <c r="AC1290" s="161" t="s">
        <v>1175</v>
      </c>
      <c r="AD1290" s="158"/>
    </row>
    <row r="1291" spans="1:30" ht="15" customHeight="1" x14ac:dyDescent="0.3">
      <c r="A1291" s="147">
        <v>51</v>
      </c>
      <c r="B1291" s="158" t="s">
        <v>1153</v>
      </c>
      <c r="C1291" s="158" t="s">
        <v>334</v>
      </c>
      <c r="D1291" s="158" t="s">
        <v>1169</v>
      </c>
      <c r="E1291" s="158" t="s">
        <v>25</v>
      </c>
      <c r="F1291" s="158" t="s">
        <v>25</v>
      </c>
      <c r="G1291" s="158" t="s">
        <v>866</v>
      </c>
      <c r="H1291" s="161">
        <v>3454.67</v>
      </c>
      <c r="I1291" s="161">
        <v>-25.68</v>
      </c>
      <c r="J1291" s="161">
        <v>0</v>
      </c>
      <c r="K1291" s="161">
        <v>0</v>
      </c>
      <c r="L1291" s="161">
        <v>-389.91</v>
      </c>
      <c r="M1291" s="161">
        <v>-30</v>
      </c>
      <c r="N1291" s="161">
        <v>-190.42240000000004</v>
      </c>
      <c r="O1291" s="161">
        <f t="shared" si="120"/>
        <v>2818.6576000000005</v>
      </c>
      <c r="P1291" s="161">
        <v>-2500</v>
      </c>
      <c r="Q1291" s="161">
        <v>0</v>
      </c>
      <c r="R1291" s="161">
        <v>-500</v>
      </c>
      <c r="S1291" s="161">
        <v>0</v>
      </c>
      <c r="T1291" s="161">
        <v>0</v>
      </c>
      <c r="U1291" s="161">
        <v>0</v>
      </c>
      <c r="V1291" s="161">
        <v>0</v>
      </c>
      <c r="W1291" s="161">
        <f t="shared" si="121"/>
        <v>-181.34239999999954</v>
      </c>
      <c r="X1291" s="161">
        <f t="shared" si="122"/>
        <v>0</v>
      </c>
      <c r="Y1291" s="161">
        <f t="shared" si="123"/>
        <v>-181.34239999999954</v>
      </c>
      <c r="Z1291" s="161">
        <v>181</v>
      </c>
      <c r="AA1291" s="161">
        <f t="shared" si="124"/>
        <v>-0.34239999999954307</v>
      </c>
      <c r="AB1291" s="161">
        <f t="shared" si="125"/>
        <v>2999.3152000000009</v>
      </c>
      <c r="AC1291" s="161" t="s">
        <v>1212</v>
      </c>
      <c r="AD1291" s="158"/>
    </row>
    <row r="1292" spans="1:30" ht="15" customHeight="1" x14ac:dyDescent="0.3">
      <c r="A1292" s="147">
        <v>51</v>
      </c>
      <c r="B1292" s="158" t="s">
        <v>1010</v>
      </c>
      <c r="C1292" s="158" t="s">
        <v>51</v>
      </c>
      <c r="D1292" s="158" t="s">
        <v>1115</v>
      </c>
      <c r="E1292" s="158" t="s">
        <v>25</v>
      </c>
      <c r="F1292" s="158" t="s">
        <v>39</v>
      </c>
      <c r="G1292" s="158" t="s">
        <v>866</v>
      </c>
      <c r="H1292" s="161">
        <v>2424.75</v>
      </c>
      <c r="I1292" s="161">
        <v>-26.94</v>
      </c>
      <c r="J1292" s="161">
        <v>0</v>
      </c>
      <c r="K1292" s="161">
        <v>-26.939999999999998</v>
      </c>
      <c r="L1292" s="161">
        <v>-2032.52</v>
      </c>
      <c r="M1292" s="161">
        <v>-30</v>
      </c>
      <c r="N1292" s="161">
        <v>0</v>
      </c>
      <c r="O1292" s="161">
        <f t="shared" si="120"/>
        <v>308.34999999999991</v>
      </c>
      <c r="P1292" s="161">
        <v>-2500</v>
      </c>
      <c r="Q1292" s="161">
        <v>-112</v>
      </c>
      <c r="R1292" s="161">
        <v>0</v>
      </c>
      <c r="S1292" s="161">
        <v>0</v>
      </c>
      <c r="T1292" s="161">
        <v>0</v>
      </c>
      <c r="U1292" s="161">
        <v>0</v>
      </c>
      <c r="V1292" s="161">
        <v>0</v>
      </c>
      <c r="W1292" s="161">
        <f t="shared" si="121"/>
        <v>-2303.65</v>
      </c>
      <c r="X1292" s="161">
        <f t="shared" si="122"/>
        <v>0</v>
      </c>
      <c r="Y1292" s="161">
        <f t="shared" si="123"/>
        <v>-2303.65</v>
      </c>
      <c r="Z1292" s="161">
        <v>0</v>
      </c>
      <c r="AA1292" s="161">
        <f t="shared" si="124"/>
        <v>-2303.65</v>
      </c>
      <c r="AB1292" s="161">
        <f t="shared" si="125"/>
        <v>-1995.3000000000002</v>
      </c>
      <c r="AC1292" s="161" t="s">
        <v>1213</v>
      </c>
      <c r="AD1292" s="158"/>
    </row>
    <row r="1293" spans="1:30" ht="15" customHeight="1" x14ac:dyDescent="0.3">
      <c r="A1293" s="147">
        <v>51</v>
      </c>
      <c r="B1293" s="158" t="s">
        <v>1143</v>
      </c>
      <c r="C1293" s="158" t="s">
        <v>53</v>
      </c>
      <c r="D1293" s="158" t="s">
        <v>1167</v>
      </c>
      <c r="E1293" s="158" t="s">
        <v>25</v>
      </c>
      <c r="F1293" s="158" t="s">
        <v>25</v>
      </c>
      <c r="G1293" s="158" t="s">
        <v>866</v>
      </c>
      <c r="H1293" s="161">
        <v>4236.03</v>
      </c>
      <c r="I1293" s="161">
        <v>-5.95</v>
      </c>
      <c r="J1293" s="161">
        <v>0</v>
      </c>
      <c r="K1293" s="161">
        <v>0</v>
      </c>
      <c r="L1293" s="161">
        <v>-1209.8</v>
      </c>
      <c r="M1293" s="161">
        <v>-50</v>
      </c>
      <c r="N1293" s="161">
        <v>0</v>
      </c>
      <c r="O1293" s="161">
        <f t="shared" si="120"/>
        <v>2970.2799999999997</v>
      </c>
      <c r="P1293" s="161">
        <v>-2142.85</v>
      </c>
      <c r="Q1293" s="161">
        <v>-2608.48</v>
      </c>
      <c r="R1293" s="161">
        <v>-500</v>
      </c>
      <c r="S1293" s="161">
        <v>0</v>
      </c>
      <c r="T1293" s="161">
        <v>0</v>
      </c>
      <c r="U1293" s="161">
        <v>0</v>
      </c>
      <c r="V1293" s="161">
        <v>0</v>
      </c>
      <c r="W1293" s="161">
        <f t="shared" si="121"/>
        <v>-2281.0500000000002</v>
      </c>
      <c r="X1293" s="161">
        <f t="shared" si="122"/>
        <v>0</v>
      </c>
      <c r="Y1293" s="161">
        <f t="shared" si="123"/>
        <v>-2281.0500000000002</v>
      </c>
      <c r="Z1293" s="161">
        <v>281</v>
      </c>
      <c r="AA1293" s="161">
        <f t="shared" si="124"/>
        <v>-2000.0500000000002</v>
      </c>
      <c r="AB1293" s="161">
        <f t="shared" si="125"/>
        <v>1251.2299999999996</v>
      </c>
      <c r="AC1293" s="161" t="s">
        <v>1214</v>
      </c>
      <c r="AD1293" s="158"/>
    </row>
    <row r="1294" spans="1:30" ht="15" customHeight="1" x14ac:dyDescent="0.3">
      <c r="A1294" s="147">
        <v>51</v>
      </c>
      <c r="B1294" s="158" t="s">
        <v>1151</v>
      </c>
      <c r="C1294" s="158" t="s">
        <v>55</v>
      </c>
      <c r="D1294" s="158" t="s">
        <v>1168</v>
      </c>
      <c r="E1294" s="158" t="s">
        <v>25</v>
      </c>
      <c r="F1294" s="158" t="s">
        <v>39</v>
      </c>
      <c r="G1294" s="158" t="s">
        <v>866</v>
      </c>
      <c r="H1294" s="161">
        <v>5586.75</v>
      </c>
      <c r="I1294" s="161">
        <v>-66.56</v>
      </c>
      <c r="J1294" s="161">
        <v>0</v>
      </c>
      <c r="K1294" s="161">
        <v>0</v>
      </c>
      <c r="L1294" s="161">
        <v>0</v>
      </c>
      <c r="M1294" s="161">
        <v>-30</v>
      </c>
      <c r="N1294" s="161">
        <v>-69.72</v>
      </c>
      <c r="O1294" s="161">
        <f t="shared" si="120"/>
        <v>5420.4699999999993</v>
      </c>
      <c r="P1294" s="161">
        <v>-1429</v>
      </c>
      <c r="Q1294" s="161">
        <v>0</v>
      </c>
      <c r="R1294" s="161">
        <v>-286</v>
      </c>
      <c r="S1294" s="161">
        <v>0</v>
      </c>
      <c r="T1294" s="161">
        <v>0</v>
      </c>
      <c r="U1294" s="161">
        <v>0</v>
      </c>
      <c r="V1294" s="161">
        <v>0</v>
      </c>
      <c r="W1294" s="161">
        <f t="shared" si="121"/>
        <v>3705.4699999999993</v>
      </c>
      <c r="X1294" s="184">
        <f t="shared" si="122"/>
        <v>3705.4699999999993</v>
      </c>
      <c r="Y1294" s="161">
        <f t="shared" si="123"/>
        <v>0</v>
      </c>
      <c r="Z1294" s="161">
        <v>0</v>
      </c>
      <c r="AA1294" s="161">
        <f t="shared" si="124"/>
        <v>0</v>
      </c>
      <c r="AB1294" s="161">
        <f t="shared" si="125"/>
        <v>1715</v>
      </c>
      <c r="AC1294" s="149" t="s">
        <v>1124</v>
      </c>
      <c r="AD1294" s="158"/>
    </row>
    <row r="1295" spans="1:30" ht="15" customHeight="1" x14ac:dyDescent="0.3">
      <c r="A1295" s="147">
        <v>51</v>
      </c>
      <c r="B1295" s="158" t="s">
        <v>1151</v>
      </c>
      <c r="C1295" s="158" t="s">
        <v>55</v>
      </c>
      <c r="D1295" s="158" t="s">
        <v>1168</v>
      </c>
      <c r="E1295" s="158" t="s">
        <v>25</v>
      </c>
      <c r="F1295" s="158" t="s">
        <v>25</v>
      </c>
      <c r="G1295" s="158" t="s">
        <v>866</v>
      </c>
      <c r="H1295" s="161">
        <v>2364.6799999999998</v>
      </c>
      <c r="I1295" s="161">
        <v>-24</v>
      </c>
      <c r="J1295" s="161">
        <v>263.63</v>
      </c>
      <c r="K1295" s="161">
        <v>0</v>
      </c>
      <c r="L1295" s="161">
        <v>0</v>
      </c>
      <c r="M1295" s="161">
        <v>-10</v>
      </c>
      <c r="N1295" s="161">
        <v>0</v>
      </c>
      <c r="O1295" s="161">
        <f t="shared" si="120"/>
        <v>2594.31</v>
      </c>
      <c r="P1295" s="161">
        <v>-1071.42</v>
      </c>
      <c r="Q1295" s="161">
        <v>0</v>
      </c>
      <c r="R1295" s="161">
        <v>-214</v>
      </c>
      <c r="S1295" s="161">
        <v>0</v>
      </c>
      <c r="T1295" s="161">
        <v>0</v>
      </c>
      <c r="U1295" s="161">
        <v>0</v>
      </c>
      <c r="V1295" s="161">
        <v>0</v>
      </c>
      <c r="W1295" s="161">
        <f t="shared" si="121"/>
        <v>1308.8899999999999</v>
      </c>
      <c r="X1295" s="184">
        <f t="shared" si="122"/>
        <v>1308.8899999999999</v>
      </c>
      <c r="Y1295" s="161">
        <f t="shared" si="123"/>
        <v>0</v>
      </c>
      <c r="Z1295" s="161">
        <v>0</v>
      </c>
      <c r="AA1295" s="161">
        <f t="shared" si="124"/>
        <v>0</v>
      </c>
      <c r="AB1295" s="161">
        <f t="shared" si="125"/>
        <v>1285.42</v>
      </c>
      <c r="AC1295" s="149" t="s">
        <v>1124</v>
      </c>
      <c r="AD1295" s="158"/>
    </row>
    <row r="1296" spans="1:30" ht="15" customHeight="1" x14ac:dyDescent="0.3">
      <c r="A1296" s="147">
        <v>51</v>
      </c>
      <c r="B1296" s="158" t="s">
        <v>484</v>
      </c>
      <c r="C1296" s="158" t="s">
        <v>1065</v>
      </c>
      <c r="D1296" s="158" t="s">
        <v>1159</v>
      </c>
      <c r="E1296" s="158" t="s">
        <v>25</v>
      </c>
      <c r="F1296" s="158" t="s">
        <v>25</v>
      </c>
      <c r="G1296" s="158" t="s">
        <v>866</v>
      </c>
      <c r="H1296" s="161">
        <v>9750.65</v>
      </c>
      <c r="I1296" s="161">
        <v>-217.6</v>
      </c>
      <c r="J1296" s="161">
        <v>0</v>
      </c>
      <c r="K1296" s="161">
        <v>0</v>
      </c>
      <c r="L1296" s="161">
        <v>-5629.84</v>
      </c>
      <c r="M1296" s="161">
        <v>-67</v>
      </c>
      <c r="N1296" s="161">
        <v>0</v>
      </c>
      <c r="O1296" s="161">
        <f t="shared" si="120"/>
        <v>3836.2099999999991</v>
      </c>
      <c r="P1296" s="161">
        <v>-2500</v>
      </c>
      <c r="Q1296" s="161">
        <v>31</v>
      </c>
      <c r="R1296" s="161">
        <v>0</v>
      </c>
      <c r="S1296" s="161">
        <v>0</v>
      </c>
      <c r="T1296" s="161">
        <v>-500</v>
      </c>
      <c r="U1296" s="161">
        <v>0</v>
      </c>
      <c r="V1296" s="161">
        <v>0</v>
      </c>
      <c r="W1296" s="161">
        <f t="shared" si="121"/>
        <v>867.20999999999913</v>
      </c>
      <c r="X1296" s="184">
        <f t="shared" si="122"/>
        <v>867.20999999999913</v>
      </c>
      <c r="Y1296" s="161">
        <f t="shared" si="123"/>
        <v>0</v>
      </c>
      <c r="Z1296" s="161">
        <v>0</v>
      </c>
      <c r="AA1296" s="161">
        <f t="shared" si="124"/>
        <v>0</v>
      </c>
      <c r="AB1296" s="161">
        <f t="shared" si="125"/>
        <v>2969</v>
      </c>
      <c r="AC1296" s="149" t="s">
        <v>1215</v>
      </c>
      <c r="AD1296" s="158"/>
    </row>
    <row r="1297" spans="1:31" ht="15" customHeight="1" x14ac:dyDescent="0.3">
      <c r="A1297" s="147">
        <v>51</v>
      </c>
      <c r="B1297" s="158" t="s">
        <v>837</v>
      </c>
      <c r="C1297" s="158" t="s">
        <v>357</v>
      </c>
      <c r="D1297" s="158" t="s">
        <v>1150</v>
      </c>
      <c r="E1297" s="158" t="s">
        <v>25</v>
      </c>
      <c r="F1297" s="158" t="s">
        <v>25</v>
      </c>
      <c r="G1297" s="158" t="s">
        <v>866</v>
      </c>
      <c r="H1297" s="161">
        <v>6451.76</v>
      </c>
      <c r="I1297" s="161">
        <v>0</v>
      </c>
      <c r="J1297" s="161">
        <v>9.7899999999999991</v>
      </c>
      <c r="K1297" s="161">
        <v>0</v>
      </c>
      <c r="L1297" s="161">
        <v>0</v>
      </c>
      <c r="M1297" s="161">
        <v>-15</v>
      </c>
      <c r="N1297" s="161">
        <v>-61.6</v>
      </c>
      <c r="O1297" s="161">
        <f t="shared" si="120"/>
        <v>6384.95</v>
      </c>
      <c r="P1297" s="161">
        <v>-2700</v>
      </c>
      <c r="Q1297" s="161">
        <v>0</v>
      </c>
      <c r="R1297" s="161">
        <v>0</v>
      </c>
      <c r="S1297" s="161">
        <v>0</v>
      </c>
      <c r="T1297" s="161">
        <v>0</v>
      </c>
      <c r="U1297" s="161">
        <v>0</v>
      </c>
      <c r="V1297" s="161">
        <v>0</v>
      </c>
      <c r="W1297" s="161">
        <f t="shared" si="121"/>
        <v>3684.95</v>
      </c>
      <c r="X1297" s="184">
        <f t="shared" si="122"/>
        <v>3684.95</v>
      </c>
      <c r="Y1297" s="161">
        <f t="shared" si="123"/>
        <v>0</v>
      </c>
      <c r="Z1297" s="161">
        <v>0</v>
      </c>
      <c r="AA1297" s="161">
        <f t="shared" si="124"/>
        <v>0</v>
      </c>
      <c r="AB1297" s="161">
        <f t="shared" si="125"/>
        <v>2700</v>
      </c>
      <c r="AC1297" s="149" t="s">
        <v>1124</v>
      </c>
      <c r="AD1297" s="158"/>
    </row>
    <row r="1298" spans="1:31" ht="15" customHeight="1" x14ac:dyDescent="0.3">
      <c r="A1298" s="147">
        <v>51</v>
      </c>
      <c r="B1298" s="158" t="s">
        <v>1062</v>
      </c>
      <c r="C1298" s="158" t="s">
        <v>360</v>
      </c>
      <c r="D1298" s="158" t="s">
        <v>1158</v>
      </c>
      <c r="E1298" s="158" t="s">
        <v>25</v>
      </c>
      <c r="F1298" s="158" t="s">
        <v>25</v>
      </c>
      <c r="G1298" s="158" t="s">
        <v>866</v>
      </c>
      <c r="H1298" s="161">
        <v>9821.16</v>
      </c>
      <c r="I1298" s="161">
        <v>-74.59</v>
      </c>
      <c r="J1298" s="161">
        <v>9.7899999999999991</v>
      </c>
      <c r="K1298" s="161">
        <v>0</v>
      </c>
      <c r="L1298" s="161">
        <v>-4130.1400000000003</v>
      </c>
      <c r="M1298" s="161">
        <v>-67</v>
      </c>
      <c r="N1298" s="161">
        <v>0</v>
      </c>
      <c r="O1298" s="161">
        <f t="shared" si="120"/>
        <v>5559.22</v>
      </c>
      <c r="P1298" s="161">
        <v>-2700</v>
      </c>
      <c r="Q1298" s="161">
        <v>0</v>
      </c>
      <c r="R1298" s="161">
        <v>0</v>
      </c>
      <c r="S1298" s="161">
        <v>0</v>
      </c>
      <c r="T1298" s="161">
        <v>0</v>
      </c>
      <c r="U1298" s="161">
        <v>0</v>
      </c>
      <c r="V1298" s="161">
        <v>0</v>
      </c>
      <c r="W1298" s="161">
        <f t="shared" si="121"/>
        <v>2859.2200000000003</v>
      </c>
      <c r="X1298" s="184">
        <f t="shared" si="122"/>
        <v>2859.2200000000003</v>
      </c>
      <c r="Y1298" s="161">
        <f t="shared" si="123"/>
        <v>0</v>
      </c>
      <c r="Z1298" s="161">
        <v>0</v>
      </c>
      <c r="AA1298" s="161">
        <f t="shared" si="124"/>
        <v>0</v>
      </c>
      <c r="AB1298" s="161">
        <f t="shared" si="125"/>
        <v>2700</v>
      </c>
      <c r="AC1298" s="149" t="s">
        <v>1124</v>
      </c>
      <c r="AD1298" s="158"/>
    </row>
    <row r="1299" spans="1:31" ht="15" customHeight="1" x14ac:dyDescent="0.3">
      <c r="A1299" s="147">
        <v>51</v>
      </c>
      <c r="B1299" s="158" t="s">
        <v>913</v>
      </c>
      <c r="C1299" s="158" t="s">
        <v>361</v>
      </c>
      <c r="D1299" s="158" t="s">
        <v>1164</v>
      </c>
      <c r="E1299" s="158" t="s">
        <v>25</v>
      </c>
      <c r="F1299" s="158" t="s">
        <v>25</v>
      </c>
      <c r="G1299" s="158" t="s">
        <v>866</v>
      </c>
      <c r="H1299" s="161">
        <v>5697.55</v>
      </c>
      <c r="I1299" s="161">
        <v>0</v>
      </c>
      <c r="J1299" s="161">
        <v>-15.42</v>
      </c>
      <c r="K1299" s="161">
        <v>0</v>
      </c>
      <c r="L1299" s="161">
        <v>-4868.0600000000004</v>
      </c>
      <c r="M1299" s="161">
        <v>-67</v>
      </c>
      <c r="N1299" s="161">
        <v>-342.79</v>
      </c>
      <c r="O1299" s="161">
        <f t="shared" si="120"/>
        <v>404.27999999999969</v>
      </c>
      <c r="P1299" s="161">
        <v>-2700</v>
      </c>
      <c r="Q1299" s="161">
        <v>-218.4</v>
      </c>
      <c r="R1299" s="161">
        <v>0</v>
      </c>
      <c r="S1299" s="161">
        <v>0</v>
      </c>
      <c r="T1299" s="161">
        <v>-700</v>
      </c>
      <c r="U1299" s="161">
        <v>0</v>
      </c>
      <c r="V1299" s="161">
        <v>0</v>
      </c>
      <c r="W1299" s="161">
        <f t="shared" si="121"/>
        <v>-3214.1200000000003</v>
      </c>
      <c r="X1299" s="161">
        <f t="shared" si="122"/>
        <v>0</v>
      </c>
      <c r="Y1299" s="161">
        <f t="shared" si="123"/>
        <v>-3214.1200000000003</v>
      </c>
      <c r="Z1299" s="161">
        <f>2500+600</f>
        <v>3100</v>
      </c>
      <c r="AA1299" s="161">
        <f t="shared" si="124"/>
        <v>-114.12000000000035</v>
      </c>
      <c r="AB1299" s="161">
        <f t="shared" si="125"/>
        <v>3390.1599999999994</v>
      </c>
      <c r="AC1299" s="161" t="s">
        <v>1216</v>
      </c>
      <c r="AD1299" s="158"/>
    </row>
    <row r="1300" spans="1:31" ht="15" customHeight="1" x14ac:dyDescent="0.3">
      <c r="A1300" s="147">
        <v>51</v>
      </c>
      <c r="B1300" s="158" t="s">
        <v>604</v>
      </c>
      <c r="C1300" s="158" t="s">
        <v>605</v>
      </c>
      <c r="D1300" s="185" t="s">
        <v>912</v>
      </c>
      <c r="E1300" s="158" t="s">
        <v>25</v>
      </c>
      <c r="F1300" s="158" t="s">
        <v>25</v>
      </c>
      <c r="G1300" s="158" t="s">
        <v>866</v>
      </c>
      <c r="H1300" s="161">
        <v>3933.76</v>
      </c>
      <c r="I1300" s="161">
        <v>0</v>
      </c>
      <c r="J1300" s="161">
        <v>0</v>
      </c>
      <c r="K1300" s="161">
        <v>0</v>
      </c>
      <c r="L1300" s="161">
        <v>-1352.69</v>
      </c>
      <c r="M1300" s="161">
        <v>-30</v>
      </c>
      <c r="N1300" s="161">
        <v>0</v>
      </c>
      <c r="O1300" s="161">
        <f t="shared" si="120"/>
        <v>2551.0700000000002</v>
      </c>
      <c r="P1300" s="161">
        <v>-2700</v>
      </c>
      <c r="Q1300" s="161">
        <v>0</v>
      </c>
      <c r="R1300" s="161">
        <v>0</v>
      </c>
      <c r="S1300" s="161">
        <v>0</v>
      </c>
      <c r="T1300" s="161">
        <v>0</v>
      </c>
      <c r="U1300" s="161">
        <v>0</v>
      </c>
      <c r="V1300" s="161">
        <v>0</v>
      </c>
      <c r="W1300" s="161">
        <f t="shared" si="121"/>
        <v>-148.92999999999984</v>
      </c>
      <c r="X1300" s="161">
        <f t="shared" si="122"/>
        <v>0</v>
      </c>
      <c r="Y1300" s="161">
        <f t="shared" si="123"/>
        <v>-148.92999999999984</v>
      </c>
      <c r="Z1300" s="161">
        <v>149</v>
      </c>
      <c r="AA1300" s="161">
        <f t="shared" si="124"/>
        <v>7.0000000000163709E-2</v>
      </c>
      <c r="AB1300" s="161">
        <f t="shared" si="125"/>
        <v>2700.1400000000003</v>
      </c>
      <c r="AC1300" s="161" t="s">
        <v>1217</v>
      </c>
      <c r="AD1300" s="158"/>
    </row>
    <row r="1301" spans="1:31" ht="15" customHeight="1" x14ac:dyDescent="0.3">
      <c r="A1301" s="147">
        <v>51</v>
      </c>
      <c r="B1301" s="158" t="s">
        <v>1171</v>
      </c>
      <c r="C1301" s="158" t="s">
        <v>480</v>
      </c>
      <c r="D1301" s="185" t="s">
        <v>912</v>
      </c>
      <c r="E1301" s="158" t="s">
        <v>25</v>
      </c>
      <c r="F1301" s="158" t="s">
        <v>25</v>
      </c>
      <c r="G1301" s="158" t="s">
        <v>866</v>
      </c>
      <c r="H1301" s="161">
        <v>0</v>
      </c>
      <c r="I1301" s="161">
        <v>0</v>
      </c>
      <c r="J1301" s="161">
        <v>0</v>
      </c>
      <c r="K1301" s="161">
        <v>0</v>
      </c>
      <c r="L1301" s="161">
        <v>0</v>
      </c>
      <c r="M1301" s="161">
        <v>0</v>
      </c>
      <c r="N1301" s="161">
        <v>0</v>
      </c>
      <c r="O1301" s="161">
        <f t="shared" si="120"/>
        <v>0</v>
      </c>
      <c r="P1301" s="161">
        <v>-2000</v>
      </c>
      <c r="Q1301" s="161">
        <v>0</v>
      </c>
      <c r="R1301" s="161">
        <v>0</v>
      </c>
      <c r="S1301" s="161">
        <v>0</v>
      </c>
      <c r="T1301" s="161">
        <v>0</v>
      </c>
      <c r="U1301" s="161">
        <v>0</v>
      </c>
      <c r="V1301" s="161">
        <v>0</v>
      </c>
      <c r="W1301" s="161">
        <f t="shared" si="121"/>
        <v>-2000</v>
      </c>
      <c r="X1301" s="161">
        <f t="shared" si="122"/>
        <v>0</v>
      </c>
      <c r="Y1301" s="161">
        <f t="shared" si="123"/>
        <v>-2000</v>
      </c>
      <c r="Z1301" s="161">
        <v>2000</v>
      </c>
      <c r="AA1301" s="161">
        <f t="shared" si="124"/>
        <v>0</v>
      </c>
      <c r="AB1301" s="161">
        <f t="shared" si="125"/>
        <v>2000</v>
      </c>
      <c r="AC1301" s="161" t="s">
        <v>1218</v>
      </c>
      <c r="AD1301" s="158"/>
    </row>
    <row r="1302" spans="1:31" ht="15" customHeight="1" x14ac:dyDescent="0.3">
      <c r="A1302" s="147">
        <v>51</v>
      </c>
      <c r="B1302" s="158" t="s">
        <v>457</v>
      </c>
      <c r="C1302" s="158" t="s">
        <v>672</v>
      </c>
      <c r="D1302" s="185" t="s">
        <v>912</v>
      </c>
      <c r="E1302" s="158" t="s">
        <v>25</v>
      </c>
      <c r="F1302" s="158" t="s">
        <v>39</v>
      </c>
      <c r="G1302" s="158" t="s">
        <v>866</v>
      </c>
      <c r="H1302" s="161">
        <v>971.64</v>
      </c>
      <c r="I1302" s="161">
        <v>0</v>
      </c>
      <c r="J1302" s="161">
        <v>0</v>
      </c>
      <c r="K1302" s="161">
        <v>0</v>
      </c>
      <c r="L1302" s="161">
        <v>-490.86</v>
      </c>
      <c r="M1302" s="161">
        <v>0</v>
      </c>
      <c r="N1302" s="161">
        <v>0</v>
      </c>
      <c r="O1302" s="161">
        <f t="shared" ref="O1302:O1354" si="126">SUM(H1302:N1302)</f>
        <v>480.78</v>
      </c>
      <c r="P1302" s="161">
        <v>-481</v>
      </c>
      <c r="Q1302" s="161">
        <v>0</v>
      </c>
      <c r="R1302" s="161">
        <v>0</v>
      </c>
      <c r="S1302" s="161">
        <v>0</v>
      </c>
      <c r="T1302" s="161">
        <v>0</v>
      </c>
      <c r="U1302" s="161">
        <v>0</v>
      </c>
      <c r="V1302" s="161">
        <v>0</v>
      </c>
      <c r="W1302" s="161">
        <f t="shared" ref="W1302:W1354" si="127">+O1302+SUM(P1302:V1302)</f>
        <v>-0.22000000000002728</v>
      </c>
      <c r="X1302" s="161">
        <f t="shared" ref="X1302:X1354" si="128">IF(W1302&gt;=0,W1302,0)</f>
        <v>0</v>
      </c>
      <c r="Y1302" s="161">
        <f t="shared" ref="Y1302:Y1354" si="129">IF(W1302&lt;=0,W1302,0)</f>
        <v>-0.22000000000002728</v>
      </c>
      <c r="Z1302" s="161">
        <v>0</v>
      </c>
      <c r="AA1302" s="161">
        <f t="shared" si="124"/>
        <v>-0.22000000000002728</v>
      </c>
      <c r="AB1302" s="161">
        <f t="shared" si="125"/>
        <v>480.55999999999995</v>
      </c>
      <c r="AD1302" s="158"/>
    </row>
    <row r="1303" spans="1:31" ht="15" customHeight="1" x14ac:dyDescent="0.3">
      <c r="A1303" s="147">
        <v>51</v>
      </c>
      <c r="B1303" s="158" t="s">
        <v>457</v>
      </c>
      <c r="C1303" s="158" t="s">
        <v>672</v>
      </c>
      <c r="D1303" s="185" t="s">
        <v>912</v>
      </c>
      <c r="E1303" s="158" t="s">
        <v>25</v>
      </c>
      <c r="F1303" s="158" t="s">
        <v>25</v>
      </c>
      <c r="G1303" s="158" t="s">
        <v>866</v>
      </c>
      <c r="H1303" s="161">
        <v>3321.61</v>
      </c>
      <c r="I1303" s="161">
        <v>0</v>
      </c>
      <c r="J1303" s="161">
        <v>0</v>
      </c>
      <c r="K1303" s="161">
        <v>0</v>
      </c>
      <c r="L1303" s="161">
        <v>-1344.99</v>
      </c>
      <c r="M1303" s="161">
        <v>-35</v>
      </c>
      <c r="N1303" s="161">
        <v>0</v>
      </c>
      <c r="O1303" s="161">
        <f t="shared" si="126"/>
        <v>1941.6200000000001</v>
      </c>
      <c r="P1303" s="161">
        <v>-2119</v>
      </c>
      <c r="Q1303" s="161">
        <v>700</v>
      </c>
      <c r="R1303" s="161">
        <v>0</v>
      </c>
      <c r="S1303" s="161">
        <v>0</v>
      </c>
      <c r="T1303" s="161">
        <v>0</v>
      </c>
      <c r="U1303" s="161">
        <v>0</v>
      </c>
      <c r="V1303" s="161">
        <v>0</v>
      </c>
      <c r="W1303" s="161">
        <f t="shared" si="127"/>
        <v>522.62000000000012</v>
      </c>
      <c r="X1303" s="184">
        <f t="shared" si="128"/>
        <v>522.62000000000012</v>
      </c>
      <c r="Y1303" s="161">
        <f t="shared" si="129"/>
        <v>0</v>
      </c>
      <c r="Z1303" s="161">
        <v>0</v>
      </c>
      <c r="AA1303" s="161">
        <f t="shared" si="124"/>
        <v>0</v>
      </c>
      <c r="AB1303" s="161">
        <f t="shared" si="125"/>
        <v>1419</v>
      </c>
      <c r="AC1303" s="149" t="s">
        <v>1124</v>
      </c>
      <c r="AD1303" s="158"/>
    </row>
    <row r="1304" spans="1:31" ht="15" customHeight="1" x14ac:dyDescent="0.3">
      <c r="A1304" s="147">
        <v>51</v>
      </c>
      <c r="B1304" s="158" t="s">
        <v>408</v>
      </c>
      <c r="C1304" s="158" t="s">
        <v>563</v>
      </c>
      <c r="D1304" s="185" t="s">
        <v>912</v>
      </c>
      <c r="E1304" s="158" t="s">
        <v>25</v>
      </c>
      <c r="F1304" s="158" t="s">
        <v>25</v>
      </c>
      <c r="G1304" s="158" t="s">
        <v>866</v>
      </c>
      <c r="H1304" s="161">
        <v>6080.81</v>
      </c>
      <c r="I1304" s="161">
        <v>-16</v>
      </c>
      <c r="J1304" s="161">
        <v>0</v>
      </c>
      <c r="K1304" s="161">
        <v>0</v>
      </c>
      <c r="L1304" s="161">
        <v>-1967.97</v>
      </c>
      <c r="M1304" s="161">
        <v>-30</v>
      </c>
      <c r="N1304" s="161">
        <v>0</v>
      </c>
      <c r="O1304" s="161">
        <f t="shared" si="126"/>
        <v>4066.84</v>
      </c>
      <c r="P1304" s="161">
        <v>-2500</v>
      </c>
      <c r="Q1304" s="161">
        <v>0</v>
      </c>
      <c r="R1304" s="161">
        <v>0</v>
      </c>
      <c r="S1304" s="161">
        <v>0</v>
      </c>
      <c r="T1304" s="161">
        <v>0</v>
      </c>
      <c r="U1304" s="161">
        <v>0</v>
      </c>
      <c r="V1304" s="161">
        <v>0</v>
      </c>
      <c r="W1304" s="161">
        <f t="shared" si="127"/>
        <v>1566.8400000000001</v>
      </c>
      <c r="X1304" s="184">
        <f t="shared" si="128"/>
        <v>1566.8400000000001</v>
      </c>
      <c r="Y1304" s="161">
        <f t="shared" si="129"/>
        <v>0</v>
      </c>
      <c r="Z1304" s="161">
        <v>0</v>
      </c>
      <c r="AA1304" s="161">
        <f t="shared" si="124"/>
        <v>0</v>
      </c>
      <c r="AB1304" s="161">
        <f t="shared" si="125"/>
        <v>2500</v>
      </c>
      <c r="AC1304" s="149" t="s">
        <v>1124</v>
      </c>
      <c r="AD1304" s="158"/>
    </row>
    <row r="1305" spans="1:31" ht="15" customHeight="1" x14ac:dyDescent="0.3">
      <c r="A1305" s="147">
        <v>51</v>
      </c>
      <c r="B1305" s="158" t="s">
        <v>922</v>
      </c>
      <c r="C1305" s="158" t="s">
        <v>670</v>
      </c>
      <c r="D1305" s="185" t="s">
        <v>912</v>
      </c>
      <c r="E1305" s="158" t="s">
        <v>1198</v>
      </c>
      <c r="F1305" s="158" t="s">
        <v>25</v>
      </c>
      <c r="G1305" s="158" t="s">
        <v>737</v>
      </c>
      <c r="H1305" s="161">
        <v>4705.84</v>
      </c>
      <c r="I1305" s="161">
        <v>-261.2</v>
      </c>
      <c r="J1305" s="161">
        <v>0</v>
      </c>
      <c r="K1305" s="161">
        <v>0</v>
      </c>
      <c r="L1305" s="161">
        <v>-2611.85</v>
      </c>
      <c r="M1305" s="161">
        <v>-30</v>
      </c>
      <c r="N1305" s="161">
        <v>0</v>
      </c>
      <c r="O1305" s="161">
        <f t="shared" si="126"/>
        <v>1802.7900000000004</v>
      </c>
      <c r="P1305" s="161">
        <v>-2500</v>
      </c>
      <c r="Q1305" s="161">
        <v>-929</v>
      </c>
      <c r="R1305" s="161">
        <v>0</v>
      </c>
      <c r="S1305" s="161">
        <v>0</v>
      </c>
      <c r="T1305" s="161">
        <v>-500</v>
      </c>
      <c r="U1305" s="161">
        <v>0</v>
      </c>
      <c r="V1305" s="161">
        <v>0</v>
      </c>
      <c r="W1305" s="161">
        <f t="shared" si="127"/>
        <v>-2126.2099999999996</v>
      </c>
      <c r="X1305" s="161">
        <f t="shared" si="128"/>
        <v>0</v>
      </c>
      <c r="Y1305" s="161">
        <f t="shared" si="129"/>
        <v>-2126.2099999999996</v>
      </c>
      <c r="Z1305" s="161">
        <v>0</v>
      </c>
      <c r="AA1305" s="161">
        <f t="shared" si="124"/>
        <v>-2126.2099999999996</v>
      </c>
      <c r="AB1305" s="161">
        <f t="shared" si="125"/>
        <v>-323.41999999999916</v>
      </c>
      <c r="AC1305" s="161" t="s">
        <v>1219</v>
      </c>
      <c r="AD1305" s="158"/>
    </row>
    <row r="1306" spans="1:31" ht="15" customHeight="1" x14ac:dyDescent="0.3">
      <c r="A1306" s="147">
        <v>51</v>
      </c>
      <c r="B1306" s="158" t="s">
        <v>1193</v>
      </c>
      <c r="C1306" s="158" t="s">
        <v>670</v>
      </c>
      <c r="D1306" s="185" t="s">
        <v>912</v>
      </c>
      <c r="E1306" s="158" t="s">
        <v>1198</v>
      </c>
      <c r="F1306" s="158" t="s">
        <v>25</v>
      </c>
      <c r="G1306" s="158" t="s">
        <v>737</v>
      </c>
      <c r="H1306" s="161">
        <v>793.74</v>
      </c>
      <c r="I1306" s="161">
        <v>0</v>
      </c>
      <c r="J1306" s="161">
        <v>0</v>
      </c>
      <c r="K1306" s="161">
        <v>0</v>
      </c>
      <c r="L1306" s="161">
        <v>0</v>
      </c>
      <c r="M1306" s="161">
        <v>0</v>
      </c>
      <c r="N1306" s="161">
        <v>0</v>
      </c>
      <c r="O1306" s="161">
        <f t="shared" si="126"/>
        <v>793.74</v>
      </c>
      <c r="P1306" s="161">
        <v>-794</v>
      </c>
      <c r="Q1306" s="161">
        <v>0</v>
      </c>
      <c r="R1306" s="161">
        <v>0</v>
      </c>
      <c r="S1306" s="161">
        <v>0</v>
      </c>
      <c r="T1306" s="161">
        <v>0</v>
      </c>
      <c r="U1306" s="161">
        <v>0</v>
      </c>
      <c r="V1306" s="161">
        <v>0</v>
      </c>
      <c r="W1306" s="161">
        <f t="shared" si="127"/>
        <v>-0.25999999999999091</v>
      </c>
      <c r="X1306" s="161">
        <f t="shared" si="128"/>
        <v>0</v>
      </c>
      <c r="Y1306" s="161">
        <f t="shared" si="129"/>
        <v>-0.25999999999999091</v>
      </c>
      <c r="Z1306" s="161">
        <v>0</v>
      </c>
      <c r="AA1306" s="161">
        <f t="shared" si="124"/>
        <v>-0.25999999999999091</v>
      </c>
      <c r="AB1306" s="161">
        <f t="shared" si="125"/>
        <v>793.48</v>
      </c>
      <c r="AD1306" s="158"/>
    </row>
    <row r="1307" spans="1:31" ht="15" customHeight="1" x14ac:dyDescent="0.3">
      <c r="A1307" s="147">
        <v>51</v>
      </c>
      <c r="B1307" s="158" t="s">
        <v>1013</v>
      </c>
      <c r="C1307" s="158" t="s">
        <v>101</v>
      </c>
      <c r="D1307" s="158" t="s">
        <v>945</v>
      </c>
      <c r="E1307" s="158" t="s">
        <v>25</v>
      </c>
      <c r="F1307" s="158" t="s">
        <v>25</v>
      </c>
      <c r="G1307" s="158" t="s">
        <v>866</v>
      </c>
      <c r="H1307" s="161">
        <v>0</v>
      </c>
      <c r="I1307" s="161">
        <v>0</v>
      </c>
      <c r="J1307" s="161">
        <v>0</v>
      </c>
      <c r="K1307" s="161">
        <v>0</v>
      </c>
      <c r="L1307" s="161">
        <v>0</v>
      </c>
      <c r="M1307" s="161">
        <v>0</v>
      </c>
      <c r="N1307" s="161">
        <v>0</v>
      </c>
      <c r="O1307" s="161">
        <f t="shared" si="126"/>
        <v>0</v>
      </c>
      <c r="P1307" s="161">
        <v>0</v>
      </c>
      <c r="Q1307" s="161">
        <v>0</v>
      </c>
      <c r="R1307" s="161">
        <v>500</v>
      </c>
      <c r="S1307" s="161">
        <v>0</v>
      </c>
      <c r="T1307" s="161">
        <v>0</v>
      </c>
      <c r="U1307" s="161">
        <v>0</v>
      </c>
      <c r="V1307" s="161">
        <v>0</v>
      </c>
      <c r="W1307" s="161">
        <f t="shared" si="127"/>
        <v>500</v>
      </c>
      <c r="X1307" s="184">
        <f t="shared" si="128"/>
        <v>500</v>
      </c>
      <c r="Y1307" s="161">
        <f t="shared" si="129"/>
        <v>0</v>
      </c>
      <c r="Z1307" s="161">
        <v>0</v>
      </c>
      <c r="AA1307" s="161">
        <f t="shared" si="124"/>
        <v>0</v>
      </c>
      <c r="AB1307" s="161">
        <f t="shared" si="125"/>
        <v>-500</v>
      </c>
      <c r="AC1307" s="149" t="s">
        <v>1124</v>
      </c>
      <c r="AD1307" s="158"/>
    </row>
    <row r="1308" spans="1:31" ht="15" customHeight="1" x14ac:dyDescent="0.3">
      <c r="A1308" s="147">
        <v>51</v>
      </c>
      <c r="B1308" s="158" t="s">
        <v>1048</v>
      </c>
      <c r="C1308" s="158" t="s">
        <v>55</v>
      </c>
      <c r="D1308" s="158" t="s">
        <v>1168</v>
      </c>
      <c r="E1308" s="158" t="s">
        <v>25</v>
      </c>
      <c r="F1308" s="158" t="s">
        <v>25</v>
      </c>
      <c r="G1308" s="158" t="s">
        <v>866</v>
      </c>
      <c r="H1308" s="161">
        <v>0</v>
      </c>
      <c r="I1308" s="161">
        <v>0</v>
      </c>
      <c r="J1308" s="161">
        <v>0</v>
      </c>
      <c r="K1308" s="161">
        <v>0</v>
      </c>
      <c r="L1308" s="161">
        <v>0</v>
      </c>
      <c r="M1308" s="161">
        <v>0</v>
      </c>
      <c r="N1308" s="161">
        <v>0</v>
      </c>
      <c r="O1308" s="161">
        <f t="shared" si="126"/>
        <v>0</v>
      </c>
      <c r="P1308" s="161">
        <v>0</v>
      </c>
      <c r="Q1308" s="161">
        <v>0</v>
      </c>
      <c r="R1308" s="161">
        <v>500</v>
      </c>
      <c r="S1308" s="161">
        <v>0</v>
      </c>
      <c r="T1308" s="161">
        <v>0</v>
      </c>
      <c r="U1308" s="161">
        <v>0</v>
      </c>
      <c r="V1308" s="161">
        <v>0</v>
      </c>
      <c r="W1308" s="161">
        <f t="shared" si="127"/>
        <v>500</v>
      </c>
      <c r="X1308" s="184">
        <f t="shared" si="128"/>
        <v>500</v>
      </c>
      <c r="Y1308" s="161">
        <f t="shared" si="129"/>
        <v>0</v>
      </c>
      <c r="Z1308" s="161">
        <v>0</v>
      </c>
      <c r="AA1308" s="161">
        <f t="shared" si="124"/>
        <v>0</v>
      </c>
      <c r="AB1308" s="161">
        <f t="shared" si="125"/>
        <v>-500</v>
      </c>
      <c r="AC1308" s="149" t="s">
        <v>1124</v>
      </c>
      <c r="AD1308" s="158"/>
    </row>
    <row r="1309" spans="1:31" ht="15" customHeight="1" x14ac:dyDescent="0.3">
      <c r="A1309" s="147">
        <v>51</v>
      </c>
      <c r="B1309" s="158" t="s">
        <v>1082</v>
      </c>
      <c r="C1309" s="158" t="s">
        <v>152</v>
      </c>
      <c r="D1309" s="158" t="s">
        <v>1108</v>
      </c>
      <c r="E1309" s="160" t="s">
        <v>25</v>
      </c>
      <c r="F1309" s="158" t="s">
        <v>25</v>
      </c>
      <c r="G1309" s="158" t="s">
        <v>866</v>
      </c>
      <c r="H1309" s="161">
        <v>0</v>
      </c>
      <c r="I1309" s="161">
        <v>0</v>
      </c>
      <c r="J1309" s="161">
        <v>0</v>
      </c>
      <c r="K1309" s="161">
        <v>0</v>
      </c>
      <c r="L1309" s="161">
        <v>0</v>
      </c>
      <c r="M1309" s="161">
        <v>0</v>
      </c>
      <c r="N1309" s="161">
        <v>0</v>
      </c>
      <c r="O1309" s="161">
        <f t="shared" si="126"/>
        <v>0</v>
      </c>
      <c r="P1309" s="161">
        <v>0</v>
      </c>
      <c r="Q1309" s="161">
        <v>0</v>
      </c>
      <c r="R1309" s="161">
        <v>500</v>
      </c>
      <c r="S1309" s="161">
        <v>0</v>
      </c>
      <c r="T1309" s="161">
        <v>0</v>
      </c>
      <c r="U1309" s="161">
        <v>0</v>
      </c>
      <c r="V1309" s="161">
        <v>0</v>
      </c>
      <c r="W1309" s="161">
        <f t="shared" si="127"/>
        <v>500</v>
      </c>
      <c r="X1309" s="184">
        <f t="shared" si="128"/>
        <v>500</v>
      </c>
      <c r="Y1309" s="161">
        <f t="shared" si="129"/>
        <v>0</v>
      </c>
      <c r="Z1309" s="161">
        <v>0</v>
      </c>
      <c r="AA1309" s="161">
        <f t="shared" si="124"/>
        <v>0</v>
      </c>
      <c r="AB1309" s="161">
        <f t="shared" si="125"/>
        <v>-500</v>
      </c>
      <c r="AC1309" s="149" t="s">
        <v>1124</v>
      </c>
      <c r="AD1309" s="158"/>
    </row>
    <row r="1310" spans="1:31" ht="15" customHeight="1" x14ac:dyDescent="0.3">
      <c r="A1310" s="147">
        <v>51</v>
      </c>
      <c r="B1310" s="158" t="s">
        <v>1106</v>
      </c>
      <c r="C1310" s="179" t="s">
        <v>104</v>
      </c>
      <c r="D1310" s="158" t="s">
        <v>1132</v>
      </c>
      <c r="E1310" s="158" t="s">
        <v>25</v>
      </c>
      <c r="F1310" s="158" t="s">
        <v>25</v>
      </c>
      <c r="G1310" s="158" t="s">
        <v>866</v>
      </c>
      <c r="H1310" s="161">
        <v>0</v>
      </c>
      <c r="I1310" s="161">
        <v>0</v>
      </c>
      <c r="J1310" s="161">
        <v>0</v>
      </c>
      <c r="K1310" s="161">
        <v>0</v>
      </c>
      <c r="L1310" s="161">
        <v>0</v>
      </c>
      <c r="M1310" s="161">
        <v>0</v>
      </c>
      <c r="N1310" s="161">
        <v>0</v>
      </c>
      <c r="O1310" s="161">
        <f t="shared" si="126"/>
        <v>0</v>
      </c>
      <c r="P1310" s="161">
        <v>0</v>
      </c>
      <c r="Q1310" s="161">
        <v>0</v>
      </c>
      <c r="R1310" s="161">
        <v>0</v>
      </c>
      <c r="S1310" s="161">
        <v>0</v>
      </c>
      <c r="T1310" s="161">
        <v>0</v>
      </c>
      <c r="U1310" s="161">
        <v>0</v>
      </c>
      <c r="V1310" s="161">
        <v>0</v>
      </c>
      <c r="W1310" s="161">
        <f t="shared" si="127"/>
        <v>0</v>
      </c>
      <c r="X1310" s="161">
        <f t="shared" si="128"/>
        <v>0</v>
      </c>
      <c r="Y1310" s="161">
        <f t="shared" si="129"/>
        <v>0</v>
      </c>
      <c r="Z1310" s="161">
        <v>0</v>
      </c>
      <c r="AA1310" s="161">
        <f t="shared" si="124"/>
        <v>0</v>
      </c>
      <c r="AB1310" s="161">
        <f t="shared" si="125"/>
        <v>0</v>
      </c>
      <c r="AD1310" s="158"/>
    </row>
    <row r="1311" spans="1:31" s="188" customFormat="1" ht="15" customHeight="1" x14ac:dyDescent="0.3">
      <c r="A1311" s="186">
        <v>52</v>
      </c>
      <c r="B1311" s="158" t="s">
        <v>1121</v>
      </c>
      <c r="C1311" s="187" t="str">
        <f>VLOOKUP($B1311,$B$1262:$AB$1310,2,0)</f>
        <v>MARCH|2020|TURQ|N15BKD</v>
      </c>
      <c r="D1311" s="187" t="str">
        <f>VLOOKUP($B1311,$B$1262:$AB$1310,3,0)</f>
        <v>OHLM031409071</v>
      </c>
      <c r="E1311" s="187" t="s">
        <v>25</v>
      </c>
      <c r="F1311" s="187" t="s">
        <v>25</v>
      </c>
      <c r="G1311" s="187" t="s">
        <v>737</v>
      </c>
      <c r="H1311" s="161">
        <v>10938.61</v>
      </c>
      <c r="I1311" s="161">
        <v>-1179</v>
      </c>
      <c r="J1311" s="161">
        <v>0</v>
      </c>
      <c r="K1311" s="161">
        <v>0</v>
      </c>
      <c r="L1311" s="161">
        <v>-11793.81</v>
      </c>
      <c r="M1311" s="161">
        <v>-200</v>
      </c>
      <c r="N1311" s="161">
        <v>0</v>
      </c>
      <c r="O1311" s="161">
        <f t="shared" si="126"/>
        <v>-2234.1999999999989</v>
      </c>
      <c r="P1311" s="161">
        <v>-2600</v>
      </c>
      <c r="Q1311" s="161">
        <v>-387.77000000000044</v>
      </c>
      <c r="R1311" s="161">
        <v>0</v>
      </c>
      <c r="S1311" s="161">
        <v>0</v>
      </c>
      <c r="T1311" s="161">
        <v>0</v>
      </c>
      <c r="U1311" s="161">
        <v>200</v>
      </c>
      <c r="V1311" s="161">
        <v>0</v>
      </c>
      <c r="W1311" s="161">
        <f>+O1311+SUM(P1311:V1311)</f>
        <v>-5021.9699999999993</v>
      </c>
      <c r="X1311" s="161">
        <f t="shared" si="128"/>
        <v>0</v>
      </c>
      <c r="Y1311" s="161">
        <f t="shared" si="129"/>
        <v>-5021.9699999999993</v>
      </c>
      <c r="Z1311" s="161">
        <f>1400+850</f>
        <v>2250</v>
      </c>
      <c r="AA1311" s="161">
        <f>+Y1311+Z1311</f>
        <v>-2771.9699999999993</v>
      </c>
      <c r="AB1311" s="161">
        <f t="shared" si="125"/>
        <v>-2756.1699999999983</v>
      </c>
      <c r="AC1311" s="187" t="s">
        <v>1220</v>
      </c>
      <c r="AD1311" s="158"/>
      <c r="AE1311" s="149"/>
    </row>
    <row r="1312" spans="1:31" s="188" customFormat="1" ht="15" customHeight="1" x14ac:dyDescent="0.3">
      <c r="A1312" s="186">
        <v>52</v>
      </c>
      <c r="B1312" s="187" t="s">
        <v>922</v>
      </c>
      <c r="C1312" s="187" t="str">
        <f>VLOOKUP($B1312,$B$1262:$AB$1310,2,0)</f>
        <v>V DRIVE|2023|GRIS|MXW453C</v>
      </c>
      <c r="D1312" s="187" t="s">
        <v>1221</v>
      </c>
      <c r="E1312" s="187" t="s">
        <v>25</v>
      </c>
      <c r="F1312" s="187" t="s">
        <v>25</v>
      </c>
      <c r="G1312" s="187" t="s">
        <v>737</v>
      </c>
      <c r="H1312" s="161">
        <v>13502.01</v>
      </c>
      <c r="I1312" s="161">
        <v>-736</v>
      </c>
      <c r="J1312" s="161">
        <v>0</v>
      </c>
      <c r="K1312" s="161">
        <v>0</v>
      </c>
      <c r="L1312" s="161">
        <v>-7358.53</v>
      </c>
      <c r="M1312" s="161">
        <v>-120</v>
      </c>
      <c r="N1312" s="161">
        <v>0</v>
      </c>
      <c r="O1312" s="161">
        <f t="shared" si="126"/>
        <v>5287.4800000000005</v>
      </c>
      <c r="P1312" s="161">
        <v>-2500</v>
      </c>
      <c r="Q1312" s="161">
        <v>-2381.3552</v>
      </c>
      <c r="R1312" s="161">
        <v>0</v>
      </c>
      <c r="S1312" s="161">
        <v>0</v>
      </c>
      <c r="T1312" s="161">
        <v>-500</v>
      </c>
      <c r="U1312" s="161">
        <v>0</v>
      </c>
      <c r="V1312" s="161">
        <v>0</v>
      </c>
      <c r="W1312" s="161">
        <f t="shared" si="127"/>
        <v>-93.875199999999495</v>
      </c>
      <c r="X1312" s="161">
        <f t="shared" si="128"/>
        <v>0</v>
      </c>
      <c r="Y1312" s="161">
        <f t="shared" si="129"/>
        <v>-93.875199999999495</v>
      </c>
      <c r="Z1312" s="161">
        <v>0</v>
      </c>
      <c r="AA1312" s="161">
        <f t="shared" si="124"/>
        <v>-93.875199999999495</v>
      </c>
      <c r="AB1312" s="161">
        <f t="shared" si="125"/>
        <v>5193.604800000001</v>
      </c>
      <c r="AC1312" s="187"/>
      <c r="AD1312" s="158"/>
      <c r="AE1312" s="149"/>
    </row>
    <row r="1313" spans="1:31" s="188" customFormat="1" ht="15" customHeight="1" x14ac:dyDescent="0.3">
      <c r="A1313" s="186">
        <v>52</v>
      </c>
      <c r="B1313" s="158" t="s">
        <v>1076</v>
      </c>
      <c r="C1313" s="158" t="s">
        <v>80</v>
      </c>
      <c r="D1313" s="158" t="s">
        <v>1165</v>
      </c>
      <c r="E1313" s="158" t="s">
        <v>18</v>
      </c>
      <c r="F1313" s="158" t="s">
        <v>18</v>
      </c>
      <c r="G1313" s="158" t="s">
        <v>737</v>
      </c>
      <c r="H1313" s="161">
        <v>11171.68</v>
      </c>
      <c r="I1313" s="161">
        <v>-887</v>
      </c>
      <c r="J1313" s="161">
        <v>0</v>
      </c>
      <c r="K1313" s="161">
        <v>0</v>
      </c>
      <c r="L1313" s="161">
        <v>-8865.39</v>
      </c>
      <c r="M1313" s="161">
        <v>-125</v>
      </c>
      <c r="N1313" s="161">
        <v>0</v>
      </c>
      <c r="O1313" s="161">
        <f t="shared" si="126"/>
        <v>1294.2900000000009</v>
      </c>
      <c r="P1313" s="161">
        <v>-2600</v>
      </c>
      <c r="Q1313" s="161">
        <v>0</v>
      </c>
      <c r="R1313" s="161">
        <v>0</v>
      </c>
      <c r="S1313" s="161">
        <v>0</v>
      </c>
      <c r="T1313" s="161">
        <v>0</v>
      </c>
      <c r="U1313" s="161">
        <v>0</v>
      </c>
      <c r="V1313" s="161">
        <v>0</v>
      </c>
      <c r="W1313" s="161">
        <f t="shared" si="127"/>
        <v>-1305.7099999999991</v>
      </c>
      <c r="X1313" s="161">
        <f t="shared" si="128"/>
        <v>0</v>
      </c>
      <c r="Y1313" s="161">
        <f t="shared" si="129"/>
        <v>-1305.7099999999991</v>
      </c>
      <c r="Z1313" s="161">
        <v>1306</v>
      </c>
      <c r="AA1313" s="161">
        <f t="shared" si="124"/>
        <v>0.29000000000087311</v>
      </c>
      <c r="AB1313" s="161">
        <f t="shared" si="125"/>
        <v>2600.5800000000017</v>
      </c>
      <c r="AC1313" s="187"/>
      <c r="AD1313" s="158"/>
      <c r="AE1313" s="149"/>
    </row>
    <row r="1314" spans="1:31" s="188" customFormat="1" ht="15" customHeight="1" x14ac:dyDescent="0.3">
      <c r="A1314" s="186">
        <v>52</v>
      </c>
      <c r="B1314" s="187" t="s">
        <v>1062</v>
      </c>
      <c r="C1314" s="187" t="str">
        <f t="shared" ref="C1314:C1346" si="130">VLOOKUP($B1314,$B$1262:$AB$1310,2,0)</f>
        <v>AVEO|2025|PERSUASION|MXM510C</v>
      </c>
      <c r="D1314" s="187" t="str">
        <f>VLOOKUP($B1314,$B$1262:$AB$1310,3,0)</f>
        <v>OHLM038285821</v>
      </c>
      <c r="E1314" s="187" t="s">
        <v>25</v>
      </c>
      <c r="F1314" s="187" t="s">
        <v>25</v>
      </c>
      <c r="G1314" s="187" t="s">
        <v>866</v>
      </c>
      <c r="H1314" s="161">
        <v>12947.51</v>
      </c>
      <c r="I1314" s="161">
        <v>-65.69</v>
      </c>
      <c r="J1314" s="161">
        <v>0</v>
      </c>
      <c r="K1314" s="161">
        <v>0</v>
      </c>
      <c r="L1314" s="161">
        <v>-5487.38</v>
      </c>
      <c r="M1314" s="161">
        <v>-100</v>
      </c>
      <c r="N1314" s="161">
        <v>0</v>
      </c>
      <c r="O1314" s="161">
        <f t="shared" si="126"/>
        <v>7294.44</v>
      </c>
      <c r="P1314" s="161">
        <v>-2700</v>
      </c>
      <c r="Q1314" s="161">
        <v>0</v>
      </c>
      <c r="R1314" s="161">
        <v>0</v>
      </c>
      <c r="S1314" s="161">
        <v>0</v>
      </c>
      <c r="T1314" s="161">
        <v>0</v>
      </c>
      <c r="U1314" s="161">
        <v>0</v>
      </c>
      <c r="V1314" s="161">
        <v>0</v>
      </c>
      <c r="W1314" s="161">
        <f t="shared" si="127"/>
        <v>4594.4399999999996</v>
      </c>
      <c r="X1314" s="161">
        <f t="shared" si="128"/>
        <v>4594.4399999999996</v>
      </c>
      <c r="Y1314" s="161">
        <f t="shared" si="129"/>
        <v>0</v>
      </c>
      <c r="Z1314" s="161">
        <v>0</v>
      </c>
      <c r="AA1314" s="161">
        <f t="shared" si="124"/>
        <v>0</v>
      </c>
      <c r="AB1314" s="161">
        <f t="shared" si="125"/>
        <v>2700</v>
      </c>
      <c r="AC1314" s="187"/>
      <c r="AD1314" s="158"/>
      <c r="AE1314" s="149"/>
    </row>
    <row r="1315" spans="1:31" s="188" customFormat="1" ht="15" customHeight="1" x14ac:dyDescent="0.3">
      <c r="A1315" s="186">
        <v>52</v>
      </c>
      <c r="B1315" s="187" t="s">
        <v>837</v>
      </c>
      <c r="C1315" s="187" t="str">
        <f t="shared" si="130"/>
        <v>AVEO|2025|PERSUASION|MXM503C</v>
      </c>
      <c r="D1315" s="187" t="str">
        <f>VLOOKUP($B1315,$B$1262:$AB$1310,3,0)</f>
        <v>OHLM038285813</v>
      </c>
      <c r="E1315" s="187" t="s">
        <v>25</v>
      </c>
      <c r="F1315" s="187" t="s">
        <v>25</v>
      </c>
      <c r="G1315" s="187" t="s">
        <v>866</v>
      </c>
      <c r="H1315" s="161">
        <v>13299.34</v>
      </c>
      <c r="I1315" s="161">
        <v>-258.88</v>
      </c>
      <c r="J1315" s="161">
        <v>0</v>
      </c>
      <c r="K1315" s="161">
        <v>0</v>
      </c>
      <c r="L1315" s="161">
        <v>0</v>
      </c>
      <c r="M1315" s="161">
        <v>-32</v>
      </c>
      <c r="N1315" s="161">
        <v>0</v>
      </c>
      <c r="O1315" s="161">
        <f t="shared" si="126"/>
        <v>13008.460000000001</v>
      </c>
      <c r="P1315" s="161">
        <v>-2700</v>
      </c>
      <c r="Q1315" s="161">
        <v>0</v>
      </c>
      <c r="R1315" s="161">
        <v>0</v>
      </c>
      <c r="S1315" s="161">
        <v>0</v>
      </c>
      <c r="T1315" s="161">
        <v>0</v>
      </c>
      <c r="U1315" s="161">
        <v>0</v>
      </c>
      <c r="V1315" s="161">
        <v>0</v>
      </c>
      <c r="W1315" s="161">
        <f t="shared" si="127"/>
        <v>10308.460000000001</v>
      </c>
      <c r="X1315" s="161">
        <f t="shared" si="128"/>
        <v>10308.460000000001</v>
      </c>
      <c r="Y1315" s="161">
        <f t="shared" si="129"/>
        <v>0</v>
      </c>
      <c r="Z1315" s="161">
        <v>0</v>
      </c>
      <c r="AA1315" s="161">
        <f t="shared" si="124"/>
        <v>0</v>
      </c>
      <c r="AB1315" s="161">
        <f t="shared" si="125"/>
        <v>2700</v>
      </c>
      <c r="AC1315" s="187"/>
      <c r="AD1315" s="158"/>
      <c r="AE1315" s="149"/>
    </row>
    <row r="1316" spans="1:31" s="188" customFormat="1" ht="15" customHeight="1" x14ac:dyDescent="0.3">
      <c r="A1316" s="186">
        <v>52</v>
      </c>
      <c r="B1316" s="187" t="s">
        <v>1142</v>
      </c>
      <c r="C1316" s="187" t="str">
        <f t="shared" si="130"/>
        <v>AVEO|2020|AZUL|D28BET</v>
      </c>
      <c r="D1316" s="187" t="str">
        <f>VLOOKUP($B1316,$B$1262:$AB$1310,3,0)</f>
        <v>OHLM032370140</v>
      </c>
      <c r="E1316" s="187" t="s">
        <v>25</v>
      </c>
      <c r="F1316" s="187" t="s">
        <v>25</v>
      </c>
      <c r="G1316" s="187" t="s">
        <v>866</v>
      </c>
      <c r="H1316" s="161">
        <v>3115.99</v>
      </c>
      <c r="I1316" s="161">
        <v>-16.48</v>
      </c>
      <c r="J1316" s="161">
        <v>0</v>
      </c>
      <c r="K1316" s="161">
        <v>0</v>
      </c>
      <c r="L1316" s="161">
        <v>-1198.67</v>
      </c>
      <c r="M1316" s="161">
        <v>-44.786464063695249</v>
      </c>
      <c r="N1316" s="161">
        <v>0</v>
      </c>
      <c r="O1316" s="161">
        <f t="shared" si="126"/>
        <v>1856.0535359363043</v>
      </c>
      <c r="P1316" s="161">
        <v>-2500</v>
      </c>
      <c r="Q1316" s="161">
        <v>0</v>
      </c>
      <c r="R1316" s="161">
        <v>-500</v>
      </c>
      <c r="S1316" s="161">
        <v>0</v>
      </c>
      <c r="T1316" s="161">
        <v>0</v>
      </c>
      <c r="U1316" s="161">
        <v>0</v>
      </c>
      <c r="V1316" s="161">
        <v>0</v>
      </c>
      <c r="W1316" s="161">
        <f t="shared" si="127"/>
        <v>-1143.9464640636957</v>
      </c>
      <c r="X1316" s="161">
        <f t="shared" si="128"/>
        <v>0</v>
      </c>
      <c r="Y1316" s="161">
        <f t="shared" si="129"/>
        <v>-1143.9464640636957</v>
      </c>
      <c r="Z1316" s="161">
        <v>1144</v>
      </c>
      <c r="AA1316" s="161">
        <f t="shared" si="124"/>
        <v>5.3535936304342613E-2</v>
      </c>
      <c r="AB1316" s="161">
        <f t="shared" si="125"/>
        <v>3000.1070718726087</v>
      </c>
      <c r="AC1316" s="187" t="s">
        <v>1222</v>
      </c>
      <c r="AD1316" s="158"/>
      <c r="AE1316" s="149"/>
    </row>
    <row r="1317" spans="1:31" s="188" customFormat="1" ht="15" customHeight="1" x14ac:dyDescent="0.3">
      <c r="A1317" s="186">
        <v>52</v>
      </c>
      <c r="B1317" s="187" t="s">
        <v>604</v>
      </c>
      <c r="C1317" s="187" t="str">
        <f t="shared" si="130"/>
        <v>AVEO|2025|PERSUASION|MZN091C</v>
      </c>
      <c r="D1317" s="187" t="s">
        <v>1223</v>
      </c>
      <c r="E1317" s="187" t="s">
        <v>25</v>
      </c>
      <c r="F1317" s="187" t="s">
        <v>25</v>
      </c>
      <c r="G1317" s="187" t="s">
        <v>866</v>
      </c>
      <c r="H1317" s="161">
        <v>3189.3</v>
      </c>
      <c r="I1317" s="161">
        <v>-19.2</v>
      </c>
      <c r="J1317" s="161">
        <v>0</v>
      </c>
      <c r="K1317" s="161">
        <v>0</v>
      </c>
      <c r="L1317" s="161">
        <v>-1087.1399999999999</v>
      </c>
      <c r="M1317" s="161">
        <v>-40.619316861359373</v>
      </c>
      <c r="N1317" s="161">
        <v>0</v>
      </c>
      <c r="O1317" s="161">
        <f t="shared" si="126"/>
        <v>2042.3406831386412</v>
      </c>
      <c r="P1317" s="161">
        <v>-2700</v>
      </c>
      <c r="Q1317" s="161">
        <v>7.0000000000163709E-2</v>
      </c>
      <c r="R1317" s="161">
        <v>0</v>
      </c>
      <c r="S1317" s="161">
        <v>0</v>
      </c>
      <c r="T1317" s="161">
        <v>0</v>
      </c>
      <c r="U1317" s="161">
        <v>0</v>
      </c>
      <c r="V1317" s="161">
        <v>0</v>
      </c>
      <c r="W1317" s="161">
        <f t="shared" si="127"/>
        <v>-657.58931686135861</v>
      </c>
      <c r="X1317" s="161">
        <f t="shared" si="128"/>
        <v>0</v>
      </c>
      <c r="Y1317" s="161">
        <f t="shared" si="129"/>
        <v>-657.58931686135861</v>
      </c>
      <c r="Z1317" s="161">
        <v>0</v>
      </c>
      <c r="AA1317" s="161">
        <f t="shared" si="124"/>
        <v>-657.58931686135861</v>
      </c>
      <c r="AB1317" s="161">
        <f t="shared" si="125"/>
        <v>1384.7513662772826</v>
      </c>
      <c r="AC1317" s="187" t="s">
        <v>1224</v>
      </c>
      <c r="AD1317" s="158"/>
      <c r="AE1317" s="149"/>
    </row>
    <row r="1318" spans="1:31" s="188" customFormat="1" ht="15" customHeight="1" x14ac:dyDescent="0.3">
      <c r="A1318" s="186">
        <v>52</v>
      </c>
      <c r="B1318" s="187" t="s">
        <v>1029</v>
      </c>
      <c r="C1318" s="187" t="str">
        <f t="shared" si="130"/>
        <v>HYUNDAI|2022|PLATA|D40BKD</v>
      </c>
      <c r="D1318" s="187" t="str">
        <f>VLOOKUP($B1318,$B$1262:$AB$1310,3,0)</f>
        <v>OHLM023658024</v>
      </c>
      <c r="E1318" s="187" t="s">
        <v>25</v>
      </c>
      <c r="F1318" s="187" t="s">
        <v>25</v>
      </c>
      <c r="G1318" s="187" t="s">
        <v>866</v>
      </c>
      <c r="H1318" s="161">
        <v>5375</v>
      </c>
      <c r="I1318" s="161">
        <v>-25.599999999999998</v>
      </c>
      <c r="J1318" s="161">
        <v>0</v>
      </c>
      <c r="K1318" s="161">
        <v>-41.759999999999991</v>
      </c>
      <c r="L1318" s="161">
        <v>0</v>
      </c>
      <c r="M1318" s="161">
        <v>0</v>
      </c>
      <c r="N1318" s="161">
        <v>0</v>
      </c>
      <c r="O1318" s="161">
        <f t="shared" si="126"/>
        <v>5307.6399999999994</v>
      </c>
      <c r="P1318" s="161">
        <v>-2500</v>
      </c>
      <c r="Q1318" s="161">
        <v>0</v>
      </c>
      <c r="R1318" s="161">
        <v>0</v>
      </c>
      <c r="S1318" s="161">
        <v>0</v>
      </c>
      <c r="T1318" s="161">
        <v>-600</v>
      </c>
      <c r="U1318" s="161">
        <v>0</v>
      </c>
      <c r="V1318" s="161">
        <v>0</v>
      </c>
      <c r="W1318" s="161">
        <f t="shared" si="127"/>
        <v>2207.6399999999994</v>
      </c>
      <c r="X1318" s="161">
        <f t="shared" si="128"/>
        <v>2207.6399999999994</v>
      </c>
      <c r="Y1318" s="161">
        <f t="shared" si="129"/>
        <v>0</v>
      </c>
      <c r="Z1318" s="161">
        <v>0</v>
      </c>
      <c r="AA1318" s="161">
        <f t="shared" si="124"/>
        <v>0</v>
      </c>
      <c r="AB1318" s="161">
        <f t="shared" si="125"/>
        <v>3100</v>
      </c>
      <c r="AC1318" s="187"/>
      <c r="AD1318" s="158"/>
      <c r="AE1318" s="149"/>
    </row>
    <row r="1319" spans="1:31" s="188" customFormat="1" ht="15" customHeight="1" x14ac:dyDescent="0.3">
      <c r="A1319" s="186">
        <v>52</v>
      </c>
      <c r="B1319" s="187" t="s">
        <v>1141</v>
      </c>
      <c r="C1319" s="187" t="str">
        <f t="shared" si="130"/>
        <v>KIA RIO|2020|GRIS|NCK475B</v>
      </c>
      <c r="D1319" s="187" t="str">
        <f>VLOOKUP($B1319,$B$1262:$AB$1310,3,0)</f>
        <v>OHLM032370124</v>
      </c>
      <c r="E1319" s="187" t="s">
        <v>25</v>
      </c>
      <c r="F1319" s="187" t="s">
        <v>25</v>
      </c>
      <c r="G1319" s="187" t="s">
        <v>866</v>
      </c>
      <c r="H1319" s="161">
        <v>1936.9</v>
      </c>
      <c r="I1319" s="161">
        <v>-22.25</v>
      </c>
      <c r="J1319" s="161">
        <v>0</v>
      </c>
      <c r="K1319" s="161">
        <v>0</v>
      </c>
      <c r="L1319" s="161">
        <v>-836.46</v>
      </c>
      <c r="M1319" s="161">
        <v>-31.253043565550591</v>
      </c>
      <c r="N1319" s="161">
        <v>0</v>
      </c>
      <c r="O1319" s="161">
        <f t="shared" si="126"/>
        <v>1046.9369564344495</v>
      </c>
      <c r="P1319" s="161">
        <v>-2500</v>
      </c>
      <c r="Q1319" s="161">
        <v>39.589999999999918</v>
      </c>
      <c r="R1319" s="161">
        <v>-500</v>
      </c>
      <c r="S1319" s="161">
        <v>0</v>
      </c>
      <c r="T1319" s="161">
        <v>0</v>
      </c>
      <c r="U1319" s="161">
        <v>0</v>
      </c>
      <c r="V1319" s="161">
        <v>0</v>
      </c>
      <c r="W1319" s="161">
        <f t="shared" si="127"/>
        <v>-1913.4730435655504</v>
      </c>
      <c r="X1319" s="161">
        <f t="shared" si="128"/>
        <v>0</v>
      </c>
      <c r="Y1319" s="161">
        <f t="shared" si="129"/>
        <v>-1913.4730435655504</v>
      </c>
      <c r="Z1319" s="161">
        <v>1913</v>
      </c>
      <c r="AA1319" s="161">
        <f t="shared" si="124"/>
        <v>-0.47304356555036975</v>
      </c>
      <c r="AB1319" s="161">
        <f t="shared" si="125"/>
        <v>2959.4639128688996</v>
      </c>
      <c r="AC1319" s="187" t="s">
        <v>1225</v>
      </c>
      <c r="AD1319" s="158"/>
      <c r="AE1319" s="149"/>
    </row>
    <row r="1320" spans="1:31" s="188" customFormat="1" ht="15" customHeight="1" x14ac:dyDescent="0.3">
      <c r="A1320" s="186">
        <v>52</v>
      </c>
      <c r="B1320" s="187" t="s">
        <v>913</v>
      </c>
      <c r="C1320" s="187" t="str">
        <f t="shared" si="130"/>
        <v>AVEO|2025|PERSUASION|MXM502C</v>
      </c>
      <c r="D1320" s="187" t="str">
        <f>VLOOKUP($B1320,$B$1262:$AB$1310,3,0)</f>
        <v>OHLM038285805</v>
      </c>
      <c r="E1320" s="187" t="s">
        <v>25</v>
      </c>
      <c r="F1320" s="187" t="s">
        <v>25</v>
      </c>
      <c r="G1320" s="187" t="s">
        <v>866</v>
      </c>
      <c r="H1320" s="161">
        <v>6829.61</v>
      </c>
      <c r="I1320" s="161">
        <v>-41.12</v>
      </c>
      <c r="J1320" s="161">
        <v>-37.53</v>
      </c>
      <c r="K1320" s="161">
        <v>0</v>
      </c>
      <c r="L1320" s="161">
        <v>-6933.7999999999993</v>
      </c>
      <c r="M1320" s="161">
        <v>-259.07079056358299</v>
      </c>
      <c r="N1320" s="161">
        <v>-673.45600000000002</v>
      </c>
      <c r="O1320" s="161">
        <f t="shared" si="126"/>
        <v>-1115.3667905635823</v>
      </c>
      <c r="P1320" s="161">
        <v>-2700</v>
      </c>
      <c r="Q1320" s="161">
        <v>-127.8144000000004</v>
      </c>
      <c r="R1320" s="161">
        <v>0</v>
      </c>
      <c r="S1320" s="161">
        <v>0</v>
      </c>
      <c r="T1320" s="161">
        <v>-500</v>
      </c>
      <c r="U1320" s="161">
        <v>0</v>
      </c>
      <c r="V1320" s="161">
        <v>0</v>
      </c>
      <c r="W1320" s="161">
        <f t="shared" si="127"/>
        <v>-4443.1811905635823</v>
      </c>
      <c r="X1320" s="161">
        <f t="shared" si="128"/>
        <v>0</v>
      </c>
      <c r="Y1320" s="161">
        <f t="shared" si="129"/>
        <v>-4443.1811905635823</v>
      </c>
      <c r="Z1320" s="161">
        <v>0</v>
      </c>
      <c r="AA1320" s="161">
        <f t="shared" si="124"/>
        <v>-4443.1811905635823</v>
      </c>
      <c r="AB1320" s="161">
        <f t="shared" si="125"/>
        <v>-5558.5479811271643</v>
      </c>
      <c r="AC1320" s="187" t="s">
        <v>1224</v>
      </c>
      <c r="AD1320" s="158"/>
      <c r="AE1320" s="149"/>
    </row>
    <row r="1321" spans="1:31" s="188" customFormat="1" ht="15" customHeight="1" x14ac:dyDescent="0.3">
      <c r="A1321" s="186">
        <v>52</v>
      </c>
      <c r="B1321" s="187" t="s">
        <v>457</v>
      </c>
      <c r="C1321" s="187" t="str">
        <f t="shared" si="130"/>
        <v>AVEOH|2024|BLANCO|MWV156C</v>
      </c>
      <c r="D1321" s="187" t="s">
        <v>1226</v>
      </c>
      <c r="E1321" s="187" t="s">
        <v>25</v>
      </c>
      <c r="F1321" s="187" t="s">
        <v>25</v>
      </c>
      <c r="G1321" s="187" t="s">
        <v>866</v>
      </c>
      <c r="H1321" s="161">
        <v>2600.83</v>
      </c>
      <c r="I1321" s="161">
        <v>-14.4</v>
      </c>
      <c r="J1321" s="161">
        <v>0</v>
      </c>
      <c r="K1321" s="161">
        <v>0</v>
      </c>
      <c r="L1321" s="161">
        <v>-1050.48</v>
      </c>
      <c r="M1321" s="161">
        <v>-39.249572250603237</v>
      </c>
      <c r="N1321" s="161">
        <v>0</v>
      </c>
      <c r="O1321" s="161">
        <f t="shared" si="126"/>
        <v>1496.7004277493966</v>
      </c>
      <c r="P1321" s="161">
        <v>-2500</v>
      </c>
      <c r="Q1321" s="161">
        <v>0</v>
      </c>
      <c r="R1321" s="161">
        <v>0</v>
      </c>
      <c r="S1321" s="161">
        <v>0</v>
      </c>
      <c r="T1321" s="161">
        <v>0</v>
      </c>
      <c r="U1321" s="161">
        <v>100</v>
      </c>
      <c r="V1321" s="161">
        <v>0</v>
      </c>
      <c r="W1321" s="161">
        <f t="shared" si="127"/>
        <v>-903.29957225060343</v>
      </c>
      <c r="X1321" s="161">
        <f t="shared" si="128"/>
        <v>0</v>
      </c>
      <c r="Y1321" s="161">
        <f t="shared" si="129"/>
        <v>-903.29957225060343</v>
      </c>
      <c r="Z1321" s="161">
        <v>680</v>
      </c>
      <c r="AA1321" s="161">
        <f t="shared" si="124"/>
        <v>-223.29957225060343</v>
      </c>
      <c r="AB1321" s="161">
        <f t="shared" si="125"/>
        <v>1953.4008554987931</v>
      </c>
      <c r="AC1321" s="187" t="s">
        <v>1224</v>
      </c>
      <c r="AD1321" s="158"/>
      <c r="AE1321" s="149"/>
    </row>
    <row r="1322" spans="1:31" s="188" customFormat="1" ht="15" customHeight="1" x14ac:dyDescent="0.3">
      <c r="A1322" s="186">
        <v>52</v>
      </c>
      <c r="B1322" s="187" t="s">
        <v>612</v>
      </c>
      <c r="C1322" s="187" t="str">
        <f t="shared" si="130"/>
        <v>VERSA|2023|PLATA|NCT814A</v>
      </c>
      <c r="D1322" s="187" t="str">
        <f t="shared" ref="D1322:D1327" si="131">VLOOKUP($B1322,$B$1262:$AB$1310,3,0)</f>
        <v>OHLM031491780</v>
      </c>
      <c r="E1322" s="187" t="s">
        <v>25</v>
      </c>
      <c r="F1322" s="187" t="s">
        <v>25</v>
      </c>
      <c r="G1322" s="187" t="s">
        <v>866</v>
      </c>
      <c r="H1322" s="161">
        <v>2976.78</v>
      </c>
      <c r="I1322" s="161">
        <v>-14.72</v>
      </c>
      <c r="J1322" s="161">
        <v>0</v>
      </c>
      <c r="K1322" s="161">
        <v>0</v>
      </c>
      <c r="L1322" s="161">
        <v>-865.79000000000008</v>
      </c>
      <c r="M1322" s="161">
        <v>-32.348913981084628</v>
      </c>
      <c r="N1322" s="161">
        <v>0</v>
      </c>
      <c r="O1322" s="161">
        <f t="shared" si="126"/>
        <v>2063.921086018916</v>
      </c>
      <c r="P1322" s="161">
        <v>-2500</v>
      </c>
      <c r="Q1322" s="161">
        <v>0</v>
      </c>
      <c r="R1322" s="161">
        <v>-500</v>
      </c>
      <c r="S1322" s="161">
        <v>0</v>
      </c>
      <c r="T1322" s="161">
        <v>0</v>
      </c>
      <c r="U1322" s="161">
        <v>0</v>
      </c>
      <c r="V1322" s="161">
        <v>0</v>
      </c>
      <c r="W1322" s="161">
        <f t="shared" si="127"/>
        <v>-936.07891398108404</v>
      </c>
      <c r="X1322" s="161">
        <f t="shared" si="128"/>
        <v>0</v>
      </c>
      <c r="Y1322" s="161">
        <f t="shared" si="129"/>
        <v>-936.07891398108404</v>
      </c>
      <c r="Z1322" s="161">
        <v>936</v>
      </c>
      <c r="AA1322" s="161">
        <f t="shared" si="124"/>
        <v>-7.8913981084042462E-2</v>
      </c>
      <c r="AB1322" s="161">
        <f t="shared" si="125"/>
        <v>2999.8421720378319</v>
      </c>
      <c r="AC1322" s="187" t="s">
        <v>1227</v>
      </c>
      <c r="AD1322" s="158"/>
      <c r="AE1322" s="149"/>
    </row>
    <row r="1323" spans="1:31" s="188" customFormat="1" ht="15" customHeight="1" x14ac:dyDescent="0.3">
      <c r="A1323" s="186">
        <v>52</v>
      </c>
      <c r="B1323" s="187" t="s">
        <v>620</v>
      </c>
      <c r="C1323" s="187" t="str">
        <f t="shared" si="130"/>
        <v>AVEO|2024|GRIS|LRL009C</v>
      </c>
      <c r="D1323" s="187" t="str">
        <f t="shared" si="131"/>
        <v>OHLM032762171</v>
      </c>
      <c r="E1323" s="187" t="s">
        <v>25</v>
      </c>
      <c r="F1323" s="187" t="s">
        <v>25</v>
      </c>
      <c r="G1323" s="187" t="s">
        <v>866</v>
      </c>
      <c r="H1323" s="161">
        <v>4032.03</v>
      </c>
      <c r="I1323" s="161">
        <f>-H1323*0.1</f>
        <v>-403.20300000000003</v>
      </c>
      <c r="J1323" s="161">
        <v>0</v>
      </c>
      <c r="K1323" s="161">
        <v>0</v>
      </c>
      <c r="L1323" s="161">
        <v>-3971.36</v>
      </c>
      <c r="M1323" s="161">
        <f>L1323*0.05</f>
        <v>-198.56800000000001</v>
      </c>
      <c r="N1323" s="161">
        <v>0</v>
      </c>
      <c r="O1323" s="161">
        <f t="shared" si="126"/>
        <v>-541.10099999999989</v>
      </c>
      <c r="P1323" s="161">
        <v>-2600</v>
      </c>
      <c r="Q1323" s="161">
        <v>0.30999999999949068</v>
      </c>
      <c r="R1323" s="161">
        <v>0</v>
      </c>
      <c r="S1323" s="161">
        <v>0</v>
      </c>
      <c r="T1323" s="161">
        <v>0</v>
      </c>
      <c r="U1323" s="161">
        <v>0</v>
      </c>
      <c r="V1323" s="161">
        <v>0</v>
      </c>
      <c r="W1323" s="161">
        <f t="shared" si="127"/>
        <v>-3140.7910000000002</v>
      </c>
      <c r="X1323" s="161">
        <f t="shared" si="128"/>
        <v>0</v>
      </c>
      <c r="Y1323" s="161">
        <f t="shared" si="129"/>
        <v>-3140.7910000000002</v>
      </c>
      <c r="Z1323" s="161">
        <f>1200+1600+341</f>
        <v>3141</v>
      </c>
      <c r="AA1323" s="161">
        <f t="shared" si="124"/>
        <v>0.20899999999983265</v>
      </c>
      <c r="AB1323" s="161">
        <f t="shared" si="125"/>
        <v>2600.1080000000002</v>
      </c>
      <c r="AC1323" s="187" t="s">
        <v>1228</v>
      </c>
      <c r="AD1323" s="158"/>
      <c r="AE1323" s="149"/>
    </row>
    <row r="1324" spans="1:31" s="188" customFormat="1" ht="15" customHeight="1" x14ac:dyDescent="0.3">
      <c r="A1324" s="186">
        <v>52</v>
      </c>
      <c r="B1324" s="187" t="s">
        <v>1153</v>
      </c>
      <c r="C1324" s="187" t="str">
        <f t="shared" si="130"/>
        <v>AVEO|2021|GRIS|D51BHV</v>
      </c>
      <c r="D1324" s="187" t="str">
        <f t="shared" si="131"/>
        <v>OHLM037480324</v>
      </c>
      <c r="E1324" s="187" t="s">
        <v>25</v>
      </c>
      <c r="F1324" s="187" t="s">
        <v>25</v>
      </c>
      <c r="G1324" s="187" t="s">
        <v>866</v>
      </c>
      <c r="H1324" s="161">
        <v>7338.5</v>
      </c>
      <c r="I1324" s="161">
        <v>-44.32</v>
      </c>
      <c r="J1324" s="161">
        <v>0</v>
      </c>
      <c r="K1324" s="161">
        <v>0</v>
      </c>
      <c r="L1324" s="161">
        <v>-1671.74</v>
      </c>
      <c r="M1324" s="161">
        <v>-62.461998242920814</v>
      </c>
      <c r="N1324" s="161">
        <v>0</v>
      </c>
      <c r="O1324" s="161">
        <f t="shared" si="126"/>
        <v>5559.9780017570793</v>
      </c>
      <c r="P1324" s="161">
        <v>-2500</v>
      </c>
      <c r="Q1324" s="161">
        <v>0</v>
      </c>
      <c r="R1324" s="161">
        <v>-500</v>
      </c>
      <c r="S1324" s="161">
        <v>0</v>
      </c>
      <c r="T1324" s="161">
        <v>0</v>
      </c>
      <c r="U1324" s="161">
        <v>0</v>
      </c>
      <c r="V1324" s="161">
        <v>0</v>
      </c>
      <c r="W1324" s="161">
        <f t="shared" si="127"/>
        <v>2559.9780017570793</v>
      </c>
      <c r="X1324" s="161">
        <f t="shared" si="128"/>
        <v>2559.9780017570793</v>
      </c>
      <c r="Y1324" s="161">
        <f t="shared" si="129"/>
        <v>0</v>
      </c>
      <c r="Z1324" s="161">
        <v>0</v>
      </c>
      <c r="AA1324" s="161">
        <f t="shared" si="124"/>
        <v>0</v>
      </c>
      <c r="AB1324" s="161">
        <f t="shared" si="125"/>
        <v>3000</v>
      </c>
      <c r="AC1324" s="187"/>
      <c r="AD1324" s="158"/>
      <c r="AE1324" s="149"/>
    </row>
    <row r="1325" spans="1:31" s="188" customFormat="1" ht="15" customHeight="1" x14ac:dyDescent="0.3">
      <c r="A1325" s="186">
        <v>52</v>
      </c>
      <c r="B1325" s="187" t="s">
        <v>1157</v>
      </c>
      <c r="C1325" s="187" t="str">
        <f t="shared" si="130"/>
        <v>AVEO|2022|AZUL|MUF515A</v>
      </c>
      <c r="D1325" s="187" t="str">
        <f t="shared" si="131"/>
        <v>OHLM031491772</v>
      </c>
      <c r="E1325" s="187" t="s">
        <v>25</v>
      </c>
      <c r="F1325" s="187" t="s">
        <v>25</v>
      </c>
      <c r="G1325" s="187" t="s">
        <v>866</v>
      </c>
      <c r="H1325" s="161">
        <v>10328.879999999999</v>
      </c>
      <c r="I1325" s="161">
        <v>-70.88</v>
      </c>
      <c r="J1325" s="161">
        <v>0</v>
      </c>
      <c r="K1325" s="161">
        <v>0</v>
      </c>
      <c r="L1325" s="161">
        <v>-4510.1099999999997</v>
      </c>
      <c r="M1325" s="161">
        <v>-168.5133351450462</v>
      </c>
      <c r="N1325" s="161">
        <v>0</v>
      </c>
      <c r="O1325" s="161">
        <f t="shared" si="126"/>
        <v>5579.3766648549545</v>
      </c>
      <c r="P1325" s="161">
        <v>-2500</v>
      </c>
      <c r="Q1325" s="161">
        <v>0</v>
      </c>
      <c r="R1325" s="161">
        <v>-500</v>
      </c>
      <c r="S1325" s="161">
        <v>0</v>
      </c>
      <c r="T1325" s="161">
        <v>0</v>
      </c>
      <c r="U1325" s="161">
        <v>0</v>
      </c>
      <c r="V1325" s="161">
        <v>0</v>
      </c>
      <c r="W1325" s="161">
        <f t="shared" si="127"/>
        <v>2579.3766648549545</v>
      </c>
      <c r="X1325" s="161">
        <f t="shared" si="128"/>
        <v>2579.3766648549545</v>
      </c>
      <c r="Y1325" s="161">
        <f t="shared" si="129"/>
        <v>0</v>
      </c>
      <c r="Z1325" s="161">
        <v>0</v>
      </c>
      <c r="AA1325" s="161">
        <f t="shared" si="124"/>
        <v>0</v>
      </c>
      <c r="AB1325" s="161">
        <f t="shared" si="125"/>
        <v>3000</v>
      </c>
      <c r="AC1325" s="187"/>
      <c r="AD1325" s="158"/>
      <c r="AE1325" s="149"/>
    </row>
    <row r="1326" spans="1:31" s="188" customFormat="1" ht="15" customHeight="1" x14ac:dyDescent="0.3">
      <c r="A1326" s="186">
        <v>52</v>
      </c>
      <c r="B1326" s="158" t="s">
        <v>1190</v>
      </c>
      <c r="C1326" s="187" t="str">
        <f t="shared" si="130"/>
        <v>AVEO|2018|GRIS|X59AWG</v>
      </c>
      <c r="D1326" s="187" t="str">
        <f t="shared" si="131"/>
        <v>OHLM031409063</v>
      </c>
      <c r="E1326" s="187" t="s">
        <v>25</v>
      </c>
      <c r="F1326" s="187" t="s">
        <v>25</v>
      </c>
      <c r="G1326" s="187" t="s">
        <v>866</v>
      </c>
      <c r="H1326" s="161">
        <v>3478.35</v>
      </c>
      <c r="I1326" s="161">
        <v>-38.08</v>
      </c>
      <c r="J1326" s="161">
        <v>0</v>
      </c>
      <c r="K1326" s="161">
        <v>-34.199999999999996</v>
      </c>
      <c r="L1326" s="161">
        <v>-516.65</v>
      </c>
      <c r="M1326" s="161">
        <v>-19.30383396473437</v>
      </c>
      <c r="N1326" s="161">
        <v>-29.713600000000003</v>
      </c>
      <c r="O1326" s="161">
        <f t="shared" si="126"/>
        <v>2840.4025660352659</v>
      </c>
      <c r="P1326" s="161">
        <v>-2500</v>
      </c>
      <c r="Q1326" s="161">
        <v>0</v>
      </c>
      <c r="R1326" s="161">
        <v>-500</v>
      </c>
      <c r="S1326" s="161">
        <v>0</v>
      </c>
      <c r="T1326" s="161">
        <v>-700</v>
      </c>
      <c r="U1326" s="161">
        <v>0</v>
      </c>
      <c r="V1326" s="161">
        <v>0</v>
      </c>
      <c r="W1326" s="161">
        <f t="shared" si="127"/>
        <v>-859.59743396473414</v>
      </c>
      <c r="X1326" s="161">
        <f t="shared" si="128"/>
        <v>0</v>
      </c>
      <c r="Y1326" s="161">
        <f t="shared" si="129"/>
        <v>-859.59743396473414</v>
      </c>
      <c r="Z1326" s="161">
        <v>300</v>
      </c>
      <c r="AA1326" s="161">
        <f t="shared" si="124"/>
        <v>-559.59743396473414</v>
      </c>
      <c r="AB1326" s="161">
        <f t="shared" si="125"/>
        <v>2580.8051320705317</v>
      </c>
      <c r="AC1326" s="187" t="s">
        <v>1229</v>
      </c>
      <c r="AD1326" s="158"/>
      <c r="AE1326" s="149"/>
    </row>
    <row r="1327" spans="1:31" s="188" customFormat="1" ht="15" customHeight="1" x14ac:dyDescent="0.3">
      <c r="A1327" s="186">
        <v>52</v>
      </c>
      <c r="B1327" s="187" t="s">
        <v>484</v>
      </c>
      <c r="C1327" s="187" t="str">
        <f t="shared" si="130"/>
        <v>AVEO|2023|GRIS|MLC126A</v>
      </c>
      <c r="D1327" s="187" t="str">
        <f t="shared" si="131"/>
        <v>OHLM037480332</v>
      </c>
      <c r="E1327" s="187" t="s">
        <v>25</v>
      </c>
      <c r="F1327" s="187" t="s">
        <v>25</v>
      </c>
      <c r="G1327" s="187" t="s">
        <v>866</v>
      </c>
      <c r="H1327" s="161">
        <v>8232.76</v>
      </c>
      <c r="I1327" s="161">
        <v>-70.88</v>
      </c>
      <c r="J1327" s="161">
        <v>0</v>
      </c>
      <c r="K1327" s="161">
        <v>0</v>
      </c>
      <c r="L1327" s="161">
        <v>-5349.74</v>
      </c>
      <c r="M1327" s="161">
        <v>-199.88482089325086</v>
      </c>
      <c r="N1327" s="161">
        <v>0</v>
      </c>
      <c r="O1327" s="161">
        <f t="shared" si="126"/>
        <v>2612.2551791067494</v>
      </c>
      <c r="P1327" s="161">
        <v>-2500</v>
      </c>
      <c r="Q1327" s="161">
        <v>-33</v>
      </c>
      <c r="R1327" s="161">
        <v>0</v>
      </c>
      <c r="S1327" s="161">
        <v>0</v>
      </c>
      <c r="T1327" s="161">
        <v>-400</v>
      </c>
      <c r="U1327" s="161">
        <v>0</v>
      </c>
      <c r="V1327" s="161">
        <v>0</v>
      </c>
      <c r="W1327" s="161">
        <f t="shared" si="127"/>
        <v>-320.74482089325056</v>
      </c>
      <c r="X1327" s="161">
        <f t="shared" si="128"/>
        <v>0</v>
      </c>
      <c r="Y1327" s="161">
        <f t="shared" si="129"/>
        <v>-320.74482089325056</v>
      </c>
      <c r="Z1327" s="161">
        <v>0</v>
      </c>
      <c r="AA1327" s="161">
        <f t="shared" si="124"/>
        <v>-320.74482089325056</v>
      </c>
      <c r="AB1327" s="161">
        <f t="shared" si="125"/>
        <v>2291.5103582134989</v>
      </c>
      <c r="AC1327" s="187" t="s">
        <v>1224</v>
      </c>
      <c r="AD1327" s="158"/>
      <c r="AE1327" s="149"/>
    </row>
    <row r="1328" spans="1:31" s="188" customFormat="1" ht="15" customHeight="1" x14ac:dyDescent="0.3">
      <c r="A1328" s="186">
        <v>52</v>
      </c>
      <c r="B1328" s="187" t="s">
        <v>408</v>
      </c>
      <c r="C1328" s="187" t="str">
        <f t="shared" si="130"/>
        <v>VENTO|2020|GRIS|A19BDY</v>
      </c>
      <c r="D1328" s="187" t="s">
        <v>1230</v>
      </c>
      <c r="E1328" s="187" t="s">
        <v>25</v>
      </c>
      <c r="F1328" s="187" t="s">
        <v>25</v>
      </c>
      <c r="G1328" s="187" t="s">
        <v>866</v>
      </c>
      <c r="H1328" s="161">
        <v>4778.24</v>
      </c>
      <c r="I1328" s="161">
        <v>-44.480000000000004</v>
      </c>
      <c r="J1328" s="161">
        <v>0</v>
      </c>
      <c r="K1328" s="161">
        <v>0</v>
      </c>
      <c r="L1328" s="161">
        <v>-2333.8599999999997</v>
      </c>
      <c r="M1328" s="161">
        <v>-87.201095397144968</v>
      </c>
      <c r="N1328" s="161">
        <v>0</v>
      </c>
      <c r="O1328" s="161">
        <f t="shared" si="126"/>
        <v>2312.6989046028557</v>
      </c>
      <c r="P1328" s="161">
        <v>-2500</v>
      </c>
      <c r="Q1328" s="161">
        <v>0</v>
      </c>
      <c r="R1328" s="161">
        <v>0</v>
      </c>
      <c r="S1328" s="161">
        <v>0</v>
      </c>
      <c r="T1328" s="161">
        <v>0</v>
      </c>
      <c r="U1328" s="161">
        <v>0</v>
      </c>
      <c r="V1328" s="161">
        <v>0</v>
      </c>
      <c r="W1328" s="161">
        <f t="shared" si="127"/>
        <v>-187.30109539714431</v>
      </c>
      <c r="X1328" s="161">
        <f t="shared" si="128"/>
        <v>0</v>
      </c>
      <c r="Y1328" s="161">
        <f t="shared" si="129"/>
        <v>-187.30109539714431</v>
      </c>
      <c r="Z1328" s="161">
        <v>0</v>
      </c>
      <c r="AA1328" s="161">
        <f t="shared" si="124"/>
        <v>-187.30109539714431</v>
      </c>
      <c r="AB1328" s="161">
        <f t="shared" si="125"/>
        <v>2125.3978092057114</v>
      </c>
      <c r="AC1328" s="187" t="s">
        <v>1224</v>
      </c>
      <c r="AD1328" s="158"/>
      <c r="AE1328" s="149"/>
    </row>
    <row r="1329" spans="1:31" s="188" customFormat="1" ht="15" customHeight="1" x14ac:dyDescent="0.3">
      <c r="A1329" s="186">
        <v>52</v>
      </c>
      <c r="B1329" s="187" t="s">
        <v>1196</v>
      </c>
      <c r="C1329" s="187" t="str">
        <f t="shared" si="130"/>
        <v>AVEO|2019|PLATA|NEL860A</v>
      </c>
      <c r="D1329" s="187" t="str">
        <f t="shared" ref="D1329:D1346" si="132">VLOOKUP($B1329,$B$1262:$AB$1310,3,0)</f>
        <v>OHLM032370132</v>
      </c>
      <c r="E1329" s="187" t="s">
        <v>25</v>
      </c>
      <c r="F1329" s="187" t="s">
        <v>25</v>
      </c>
      <c r="G1329" s="187" t="s">
        <v>866</v>
      </c>
      <c r="H1329" s="161">
        <v>1183.49</v>
      </c>
      <c r="I1329" s="161">
        <v>0</v>
      </c>
      <c r="J1329" s="161">
        <v>0</v>
      </c>
      <c r="K1329" s="161">
        <v>0</v>
      </c>
      <c r="L1329" s="161">
        <v>-279.88</v>
      </c>
      <c r="M1329" s="161">
        <v>-10.457286460950073</v>
      </c>
      <c r="N1329" s="161">
        <v>-53.760000000000005</v>
      </c>
      <c r="O1329" s="161">
        <f t="shared" si="126"/>
        <v>839.39271353904996</v>
      </c>
      <c r="P1329" s="161">
        <v>-2500</v>
      </c>
      <c r="Q1329" s="161">
        <v>0.21000000000003638</v>
      </c>
      <c r="R1329" s="161">
        <v>-500</v>
      </c>
      <c r="S1329" s="161">
        <v>0</v>
      </c>
      <c r="T1329" s="161">
        <v>0</v>
      </c>
      <c r="U1329" s="161">
        <v>0</v>
      </c>
      <c r="V1329" s="161">
        <v>0</v>
      </c>
      <c r="W1329" s="161">
        <f t="shared" si="127"/>
        <v>-2160.39728646095</v>
      </c>
      <c r="X1329" s="161">
        <f t="shared" si="128"/>
        <v>0</v>
      </c>
      <c r="Y1329" s="161">
        <f t="shared" si="129"/>
        <v>-2160.39728646095</v>
      </c>
      <c r="Z1329" s="161">
        <f>1500+660</f>
        <v>2160</v>
      </c>
      <c r="AA1329" s="161">
        <f t="shared" si="124"/>
        <v>-0.39728646094999931</v>
      </c>
      <c r="AB1329" s="161">
        <f t="shared" si="125"/>
        <v>2998.9954270781</v>
      </c>
      <c r="AC1329" s="187" t="s">
        <v>1231</v>
      </c>
      <c r="AD1329" s="158"/>
      <c r="AE1329" s="149"/>
    </row>
    <row r="1330" spans="1:31" s="188" customFormat="1" ht="15" customHeight="1" x14ac:dyDescent="0.3">
      <c r="A1330" s="186">
        <v>52</v>
      </c>
      <c r="B1330" s="187" t="s">
        <v>749</v>
      </c>
      <c r="C1330" s="187" t="str">
        <f t="shared" si="130"/>
        <v>VENTO|2017|GRIS|MMA672C</v>
      </c>
      <c r="D1330" s="187" t="str">
        <f t="shared" si="132"/>
        <v>OHLM023720279</v>
      </c>
      <c r="E1330" s="187" t="s">
        <v>25</v>
      </c>
      <c r="F1330" s="187" t="s">
        <v>25</v>
      </c>
      <c r="G1330" s="187" t="s">
        <v>866</v>
      </c>
      <c r="H1330" s="161">
        <v>8062.14</v>
      </c>
      <c r="I1330" s="161">
        <v>-246.4</v>
      </c>
      <c r="J1330" s="161">
        <v>0</v>
      </c>
      <c r="K1330" s="161">
        <v>0</v>
      </c>
      <c r="L1330" s="161">
        <v>-162.68</v>
      </c>
      <c r="M1330" s="161">
        <v>-6.0782884145610909</v>
      </c>
      <c r="N1330" s="161">
        <v>0</v>
      </c>
      <c r="O1330" s="161">
        <f t="shared" si="126"/>
        <v>7646.9817115854394</v>
      </c>
      <c r="P1330" s="161">
        <f>-357.142857142857*5.5</f>
        <v>-1964.2857142857135</v>
      </c>
      <c r="Q1330" s="161">
        <v>0</v>
      </c>
      <c r="R1330" s="161">
        <f>-71.4285714285714*5.5</f>
        <v>-392.85714285714272</v>
      </c>
      <c r="S1330" s="161">
        <v>0</v>
      </c>
      <c r="T1330" s="161">
        <v>0</v>
      </c>
      <c r="U1330" s="161">
        <v>0</v>
      </c>
      <c r="V1330" s="161">
        <v>0</v>
      </c>
      <c r="W1330" s="161">
        <f t="shared" si="127"/>
        <v>5289.8388544425834</v>
      </c>
      <c r="X1330" s="161">
        <f t="shared" si="128"/>
        <v>5289.8388544425834</v>
      </c>
      <c r="Y1330" s="161">
        <f t="shared" si="129"/>
        <v>0</v>
      </c>
      <c r="Z1330" s="161">
        <v>0</v>
      </c>
      <c r="AA1330" s="161">
        <f t="shared" si="124"/>
        <v>0</v>
      </c>
      <c r="AB1330" s="161">
        <f t="shared" si="125"/>
        <v>2357.142857142856</v>
      </c>
      <c r="AC1330" s="187" t="s">
        <v>1232</v>
      </c>
      <c r="AD1330" s="158"/>
      <c r="AE1330" s="149"/>
    </row>
    <row r="1331" spans="1:31" s="188" customFormat="1" ht="15" customHeight="1" x14ac:dyDescent="0.3">
      <c r="A1331" s="186">
        <v>52</v>
      </c>
      <c r="B1331" s="187" t="s">
        <v>747</v>
      </c>
      <c r="C1331" s="187" t="str">
        <f t="shared" si="130"/>
        <v>BEAT|2019|OCRE|MAY730C</v>
      </c>
      <c r="D1331" s="187" t="str">
        <f t="shared" si="132"/>
        <v>OHLM036759058</v>
      </c>
      <c r="E1331" s="160" t="s">
        <v>25</v>
      </c>
      <c r="F1331" s="187" t="s">
        <v>25</v>
      </c>
      <c r="G1331" s="187" t="s">
        <v>866</v>
      </c>
      <c r="H1331" s="161">
        <v>1671.43</v>
      </c>
      <c r="I1331" s="161">
        <v>-11.17</v>
      </c>
      <c r="J1331" s="161">
        <v>0</v>
      </c>
      <c r="K1331" s="161">
        <v>0</v>
      </c>
      <c r="L1331" s="161">
        <v>0</v>
      </c>
      <c r="M1331" s="161">
        <v>0</v>
      </c>
      <c r="N1331" s="161">
        <v>0</v>
      </c>
      <c r="O1331" s="161">
        <f t="shared" si="126"/>
        <v>1660.26</v>
      </c>
      <c r="P1331" s="161">
        <v>-2500</v>
      </c>
      <c r="Q1331" s="161">
        <v>-128.01599999999971</v>
      </c>
      <c r="R1331" s="161">
        <v>-500</v>
      </c>
      <c r="S1331" s="161">
        <v>0</v>
      </c>
      <c r="T1331" s="161">
        <v>0</v>
      </c>
      <c r="U1331" s="161">
        <v>0</v>
      </c>
      <c r="V1331" s="161">
        <v>0</v>
      </c>
      <c r="W1331" s="161">
        <f t="shared" si="127"/>
        <v>-1467.7559999999996</v>
      </c>
      <c r="X1331" s="161">
        <f t="shared" si="128"/>
        <v>0</v>
      </c>
      <c r="Y1331" s="161">
        <f t="shared" si="129"/>
        <v>-1467.7559999999996</v>
      </c>
      <c r="Z1331" s="161">
        <f>1100+300</f>
        <v>1400</v>
      </c>
      <c r="AA1331" s="161">
        <f t="shared" si="124"/>
        <v>-67.755999999999631</v>
      </c>
      <c r="AB1331" s="161">
        <f t="shared" si="125"/>
        <v>2992.5040000000008</v>
      </c>
      <c r="AC1331" s="187" t="s">
        <v>1233</v>
      </c>
      <c r="AD1331" s="158"/>
      <c r="AE1331" s="149"/>
    </row>
    <row r="1332" spans="1:31" s="188" customFormat="1" ht="15" customHeight="1" x14ac:dyDescent="0.3">
      <c r="A1332" s="186">
        <v>52</v>
      </c>
      <c r="B1332" s="187" t="s">
        <v>880</v>
      </c>
      <c r="C1332" s="187" t="str">
        <f t="shared" si="130"/>
        <v>VENTO|2020|GRIS|R66BER</v>
      </c>
      <c r="D1332" s="187" t="str">
        <f t="shared" si="132"/>
        <v>OHLM023720329</v>
      </c>
      <c r="E1332" s="187" t="s">
        <v>25</v>
      </c>
      <c r="F1332" s="187" t="s">
        <v>25</v>
      </c>
      <c r="G1332" s="187" t="s">
        <v>866</v>
      </c>
      <c r="H1332" s="161">
        <v>7617</v>
      </c>
      <c r="I1332" s="161">
        <v>-30.88</v>
      </c>
      <c r="J1332" s="161">
        <v>0</v>
      </c>
      <c r="K1332" s="161">
        <v>0</v>
      </c>
      <c r="L1332" s="161">
        <v>-1806.3300000000004</v>
      </c>
      <c r="M1332" s="161">
        <v>-67.49074693800182</v>
      </c>
      <c r="N1332" s="161">
        <v>-309.12</v>
      </c>
      <c r="O1332" s="161">
        <f t="shared" si="126"/>
        <v>5403.1792530619978</v>
      </c>
      <c r="P1332" s="161">
        <v>-2500</v>
      </c>
      <c r="Q1332" s="161">
        <v>0</v>
      </c>
      <c r="R1332" s="161">
        <v>0</v>
      </c>
      <c r="S1332" s="161">
        <v>0</v>
      </c>
      <c r="T1332" s="161">
        <v>0</v>
      </c>
      <c r="U1332" s="161">
        <v>0</v>
      </c>
      <c r="V1332" s="161">
        <v>0</v>
      </c>
      <c r="W1332" s="161">
        <f t="shared" si="127"/>
        <v>2903.1792530619978</v>
      </c>
      <c r="X1332" s="161">
        <f t="shared" si="128"/>
        <v>2903.1792530619978</v>
      </c>
      <c r="Y1332" s="161">
        <f t="shared" si="129"/>
        <v>0</v>
      </c>
      <c r="Z1332" s="161">
        <v>0</v>
      </c>
      <c r="AA1332" s="161">
        <f t="shared" si="124"/>
        <v>0</v>
      </c>
      <c r="AB1332" s="161">
        <f t="shared" si="125"/>
        <v>2500</v>
      </c>
      <c r="AC1332" s="187"/>
      <c r="AD1332" s="158"/>
      <c r="AE1332" s="149"/>
    </row>
    <row r="1333" spans="1:31" s="188" customFormat="1" ht="15" customHeight="1" x14ac:dyDescent="0.3">
      <c r="A1333" s="186">
        <v>52</v>
      </c>
      <c r="B1333" s="187" t="s">
        <v>1120</v>
      </c>
      <c r="C1333" s="187" t="str">
        <f t="shared" si="130"/>
        <v>MARCH|2021|ROJO|NZU5163</v>
      </c>
      <c r="D1333" s="187" t="str">
        <f t="shared" si="132"/>
        <v>OHLM032370157</v>
      </c>
      <c r="E1333" s="187" t="s">
        <v>25</v>
      </c>
      <c r="F1333" s="187" t="s">
        <v>25</v>
      </c>
      <c r="G1333" s="187" t="s">
        <v>866</v>
      </c>
      <c r="H1333" s="161">
        <v>6528.91</v>
      </c>
      <c r="I1333" s="161">
        <v>-57.599999999999994</v>
      </c>
      <c r="J1333" s="161">
        <v>0</v>
      </c>
      <c r="K1333" s="161">
        <v>-68.970000000000013</v>
      </c>
      <c r="L1333" s="161">
        <v>-3307.8799999999997</v>
      </c>
      <c r="M1333" s="161">
        <v>-123.59385714751868</v>
      </c>
      <c r="N1333" s="161">
        <v>0</v>
      </c>
      <c r="O1333" s="161">
        <f t="shared" si="126"/>
        <v>2970.8661428524811</v>
      </c>
      <c r="P1333" s="161">
        <v>-2500</v>
      </c>
      <c r="Q1333" s="161">
        <v>0</v>
      </c>
      <c r="R1333" s="161">
        <v>-500</v>
      </c>
      <c r="S1333" s="161">
        <v>0</v>
      </c>
      <c r="T1333" s="161">
        <v>0</v>
      </c>
      <c r="U1333" s="161">
        <v>0</v>
      </c>
      <c r="V1333" s="161">
        <v>0</v>
      </c>
      <c r="W1333" s="161">
        <f t="shared" si="127"/>
        <v>-29.133857147518938</v>
      </c>
      <c r="X1333" s="161">
        <f t="shared" si="128"/>
        <v>0</v>
      </c>
      <c r="Y1333" s="161">
        <f t="shared" si="129"/>
        <v>-29.133857147518938</v>
      </c>
      <c r="Z1333" s="161">
        <v>29</v>
      </c>
      <c r="AA1333" s="161">
        <f t="shared" si="124"/>
        <v>-0.13385714751893829</v>
      </c>
      <c r="AB1333" s="161">
        <f t="shared" si="125"/>
        <v>2999.7322857049621</v>
      </c>
      <c r="AC1333" s="187" t="s">
        <v>1234</v>
      </c>
      <c r="AD1333" s="158"/>
      <c r="AE1333" s="149"/>
    </row>
    <row r="1334" spans="1:31" s="188" customFormat="1" ht="15" customHeight="1" x14ac:dyDescent="0.3">
      <c r="A1334" s="186">
        <v>52</v>
      </c>
      <c r="B1334" s="187" t="s">
        <v>515</v>
      </c>
      <c r="C1334" s="187" t="str">
        <f t="shared" si="130"/>
        <v>AVEO|2019|BLANCO|NBS225A</v>
      </c>
      <c r="D1334" s="187" t="str">
        <f t="shared" si="132"/>
        <v>OHLM038285797</v>
      </c>
      <c r="E1334" s="187" t="s">
        <v>25</v>
      </c>
      <c r="F1334" s="187" t="s">
        <v>25</v>
      </c>
      <c r="G1334" s="187" t="s">
        <v>866</v>
      </c>
      <c r="H1334" s="161">
        <v>8396.17</v>
      </c>
      <c r="I1334" s="161">
        <v>-97.789999999999992</v>
      </c>
      <c r="J1334" s="161">
        <v>0</v>
      </c>
      <c r="K1334" s="161">
        <v>0</v>
      </c>
      <c r="L1334" s="161">
        <v>-390</v>
      </c>
      <c r="M1334" s="161">
        <v>-14.571751178256855</v>
      </c>
      <c r="N1334" s="161">
        <v>0</v>
      </c>
      <c r="O1334" s="161">
        <f t="shared" si="126"/>
        <v>7893.8082488217424</v>
      </c>
      <c r="P1334" s="161">
        <v>-2500</v>
      </c>
      <c r="Q1334" s="161">
        <v>0</v>
      </c>
      <c r="R1334" s="161">
        <v>0</v>
      </c>
      <c r="S1334" s="161">
        <v>0</v>
      </c>
      <c r="T1334" s="161">
        <v>-700</v>
      </c>
      <c r="U1334" s="161">
        <v>0</v>
      </c>
      <c r="V1334" s="161">
        <v>0</v>
      </c>
      <c r="W1334" s="161">
        <f t="shared" si="127"/>
        <v>4693.8082488217424</v>
      </c>
      <c r="X1334" s="161">
        <f t="shared" si="128"/>
        <v>4693.8082488217424</v>
      </c>
      <c r="Y1334" s="161">
        <f t="shared" si="129"/>
        <v>0</v>
      </c>
      <c r="Z1334" s="161">
        <v>0</v>
      </c>
      <c r="AA1334" s="161">
        <f t="shared" si="124"/>
        <v>0</v>
      </c>
      <c r="AB1334" s="161">
        <f t="shared" si="125"/>
        <v>3200</v>
      </c>
      <c r="AC1334" s="187"/>
      <c r="AD1334" s="158"/>
      <c r="AE1334" s="149"/>
    </row>
    <row r="1335" spans="1:31" s="188" customFormat="1" ht="15" customHeight="1" x14ac:dyDescent="0.3">
      <c r="A1335" s="186">
        <v>52</v>
      </c>
      <c r="B1335" s="187" t="s">
        <v>1088</v>
      </c>
      <c r="C1335" s="187" t="str">
        <f t="shared" si="130"/>
        <v>VERSA|2020|BLANCO|A35BHD</v>
      </c>
      <c r="D1335" s="187" t="str">
        <f t="shared" si="132"/>
        <v>OHLM032370082</v>
      </c>
      <c r="E1335" s="187" t="s">
        <v>25</v>
      </c>
      <c r="F1335" s="187" t="s">
        <v>25</v>
      </c>
      <c r="G1335" s="187" t="s">
        <v>866</v>
      </c>
      <c r="H1335" s="161">
        <v>3116.46</v>
      </c>
      <c r="I1335" s="161">
        <v>-72.33</v>
      </c>
      <c r="J1335" s="161">
        <v>0</v>
      </c>
      <c r="K1335" s="161">
        <v>-20.84</v>
      </c>
      <c r="L1335" s="161">
        <v>0</v>
      </c>
      <c r="M1335" s="161">
        <v>0</v>
      </c>
      <c r="N1335" s="161">
        <v>0</v>
      </c>
      <c r="O1335" s="161">
        <f t="shared" si="126"/>
        <v>3023.29</v>
      </c>
      <c r="P1335" s="161">
        <v>-2500</v>
      </c>
      <c r="Q1335" s="161">
        <v>0</v>
      </c>
      <c r="R1335" s="161">
        <v>0</v>
      </c>
      <c r="S1335" s="161">
        <v>0</v>
      </c>
      <c r="T1335" s="161">
        <v>0</v>
      </c>
      <c r="U1335" s="161">
        <v>0</v>
      </c>
      <c r="V1335" s="161">
        <v>0</v>
      </c>
      <c r="W1335" s="161">
        <f t="shared" si="127"/>
        <v>523.29</v>
      </c>
      <c r="X1335" s="161">
        <f t="shared" si="128"/>
        <v>523.29</v>
      </c>
      <c r="Y1335" s="161">
        <f t="shared" si="129"/>
        <v>0</v>
      </c>
      <c r="Z1335" s="161">
        <v>0</v>
      </c>
      <c r="AA1335" s="161">
        <f t="shared" si="124"/>
        <v>0</v>
      </c>
      <c r="AB1335" s="161">
        <f t="shared" si="125"/>
        <v>2500</v>
      </c>
      <c r="AC1335" s="187"/>
      <c r="AD1335" s="158"/>
      <c r="AE1335" s="149"/>
    </row>
    <row r="1336" spans="1:31" s="188" customFormat="1" ht="15" customHeight="1" x14ac:dyDescent="0.3">
      <c r="A1336" s="186">
        <v>52</v>
      </c>
      <c r="B1336" s="158" t="s">
        <v>1143</v>
      </c>
      <c r="C1336" s="187" t="str">
        <f t="shared" si="130"/>
        <v>AVEO|2023|VINO|R22BMR</v>
      </c>
      <c r="D1336" s="187" t="str">
        <f t="shared" si="132"/>
        <v>OHML037480316</v>
      </c>
      <c r="E1336" s="187" t="s">
        <v>25</v>
      </c>
      <c r="F1336" s="187" t="s">
        <v>25</v>
      </c>
      <c r="G1336" s="187" t="s">
        <v>866</v>
      </c>
      <c r="H1336" s="161">
        <v>5840.54</v>
      </c>
      <c r="I1336" s="161">
        <v>-25.12</v>
      </c>
      <c r="J1336" s="161">
        <v>800</v>
      </c>
      <c r="K1336" s="161">
        <v>0</v>
      </c>
      <c r="L1336" s="161">
        <v>-2267.63</v>
      </c>
      <c r="M1336" s="161">
        <v>-100</v>
      </c>
      <c r="N1336" s="161">
        <v>0</v>
      </c>
      <c r="O1336" s="161">
        <f t="shared" si="126"/>
        <v>4247.79</v>
      </c>
      <c r="P1336" s="161">
        <v>-2500</v>
      </c>
      <c r="Q1336" s="161">
        <v>-1000</v>
      </c>
      <c r="R1336" s="161">
        <v>-500</v>
      </c>
      <c r="S1336" s="161">
        <v>0</v>
      </c>
      <c r="T1336" s="161">
        <v>0</v>
      </c>
      <c r="U1336" s="161">
        <v>0</v>
      </c>
      <c r="V1336" s="161">
        <v>0</v>
      </c>
      <c r="W1336" s="161">
        <f t="shared" si="127"/>
        <v>247.78999999999996</v>
      </c>
      <c r="X1336" s="161">
        <f t="shared" si="128"/>
        <v>247.78999999999996</v>
      </c>
      <c r="Y1336" s="161">
        <f t="shared" si="129"/>
        <v>0</v>
      </c>
      <c r="Z1336" s="161">
        <v>0</v>
      </c>
      <c r="AA1336" s="161">
        <f t="shared" si="124"/>
        <v>0</v>
      </c>
      <c r="AB1336" s="161">
        <f t="shared" si="125"/>
        <v>4000</v>
      </c>
      <c r="AC1336" s="187"/>
      <c r="AD1336" s="158"/>
      <c r="AE1336" s="149"/>
    </row>
    <row r="1337" spans="1:31" s="188" customFormat="1" ht="15" customHeight="1" x14ac:dyDescent="0.3">
      <c r="A1337" s="186">
        <v>52</v>
      </c>
      <c r="B1337" s="158" t="s">
        <v>1003</v>
      </c>
      <c r="C1337" s="187" t="str">
        <f t="shared" si="130"/>
        <v>VENTO|2018|AMARILLO|PED1652</v>
      </c>
      <c r="D1337" s="187" t="str">
        <f t="shared" si="132"/>
        <v>OHLM031409055</v>
      </c>
      <c r="E1337" s="187" t="s">
        <v>25</v>
      </c>
      <c r="F1337" s="187" t="s">
        <v>25</v>
      </c>
      <c r="G1337" s="187" t="s">
        <v>866</v>
      </c>
      <c r="H1337" s="161">
        <v>77.59</v>
      </c>
      <c r="I1337" s="161">
        <v>-0.77</v>
      </c>
      <c r="J1337" s="161">
        <v>0</v>
      </c>
      <c r="K1337" s="161">
        <v>0</v>
      </c>
      <c r="L1337" s="161">
        <v>0</v>
      </c>
      <c r="M1337" s="161">
        <v>0</v>
      </c>
      <c r="N1337" s="161">
        <f>-95-11</f>
        <v>-106</v>
      </c>
      <c r="O1337" s="161">
        <f t="shared" si="126"/>
        <v>-29.179999999999993</v>
      </c>
      <c r="P1337" s="161">
        <v>-2500</v>
      </c>
      <c r="Q1337" s="161">
        <v>0.13000000000010914</v>
      </c>
      <c r="R1337" s="161">
        <v>0</v>
      </c>
      <c r="S1337" s="161">
        <v>0</v>
      </c>
      <c r="T1337" s="161">
        <v>0</v>
      </c>
      <c r="U1337" s="161">
        <v>0</v>
      </c>
      <c r="V1337" s="161">
        <v>0</v>
      </c>
      <c r="W1337" s="161">
        <f t="shared" si="127"/>
        <v>-2529.0499999999997</v>
      </c>
      <c r="X1337" s="161">
        <f t="shared" si="128"/>
        <v>0</v>
      </c>
      <c r="Y1337" s="161">
        <f t="shared" si="129"/>
        <v>-2529.0499999999997</v>
      </c>
      <c r="Z1337" s="161">
        <v>3400</v>
      </c>
      <c r="AA1337" s="161">
        <f t="shared" si="124"/>
        <v>870.95000000000027</v>
      </c>
      <c r="AB1337" s="161">
        <f t="shared" si="125"/>
        <v>4241.7700000000004</v>
      </c>
      <c r="AC1337" s="187" t="s">
        <v>1235</v>
      </c>
      <c r="AD1337" s="158"/>
      <c r="AE1337" s="149"/>
    </row>
    <row r="1338" spans="1:31" s="188" customFormat="1" ht="15" customHeight="1" x14ac:dyDescent="0.3">
      <c r="A1338" s="186">
        <v>52</v>
      </c>
      <c r="B1338" s="187" t="s">
        <v>1013</v>
      </c>
      <c r="C1338" s="187" t="str">
        <f t="shared" si="130"/>
        <v>AVEO|2020|AZUL|D28BET</v>
      </c>
      <c r="D1338" s="187" t="str">
        <f t="shared" si="132"/>
        <v>OHLM032370140</v>
      </c>
      <c r="E1338" s="187" t="s">
        <v>25</v>
      </c>
      <c r="F1338" s="187" t="s">
        <v>25</v>
      </c>
      <c r="G1338" s="187" t="s">
        <v>866</v>
      </c>
      <c r="H1338" s="161">
        <v>0</v>
      </c>
      <c r="I1338" s="161">
        <v>0</v>
      </c>
      <c r="J1338" s="161">
        <v>0</v>
      </c>
      <c r="K1338" s="161">
        <v>0</v>
      </c>
      <c r="L1338" s="161">
        <v>0</v>
      </c>
      <c r="M1338" s="161">
        <v>0</v>
      </c>
      <c r="N1338" s="161">
        <v>0</v>
      </c>
      <c r="O1338" s="161">
        <f t="shared" si="126"/>
        <v>0</v>
      </c>
      <c r="P1338" s="161">
        <v>0</v>
      </c>
      <c r="Q1338" s="161">
        <v>0</v>
      </c>
      <c r="R1338" s="161">
        <v>500</v>
      </c>
      <c r="S1338" s="161">
        <v>0</v>
      </c>
      <c r="T1338" s="161">
        <v>0</v>
      </c>
      <c r="U1338" s="161">
        <v>0</v>
      </c>
      <c r="V1338" s="161">
        <v>0</v>
      </c>
      <c r="W1338" s="161">
        <f t="shared" si="127"/>
        <v>500</v>
      </c>
      <c r="X1338" s="161">
        <f t="shared" si="128"/>
        <v>500</v>
      </c>
      <c r="Y1338" s="161">
        <f t="shared" si="129"/>
        <v>0</v>
      </c>
      <c r="Z1338" s="161">
        <v>0</v>
      </c>
      <c r="AA1338" s="161">
        <f t="shared" si="124"/>
        <v>0</v>
      </c>
      <c r="AB1338" s="161">
        <f t="shared" si="125"/>
        <v>-500</v>
      </c>
      <c r="AC1338" s="187"/>
      <c r="AD1338" s="158"/>
      <c r="AE1338" s="149"/>
    </row>
    <row r="1339" spans="1:31" s="188" customFormat="1" ht="15" customHeight="1" x14ac:dyDescent="0.3">
      <c r="A1339" s="186">
        <v>52</v>
      </c>
      <c r="B1339" s="158" t="s">
        <v>1048</v>
      </c>
      <c r="C1339" s="187" t="str">
        <f t="shared" si="130"/>
        <v>AVEO|2022|VINO|P62BHW</v>
      </c>
      <c r="D1339" s="187" t="str">
        <f t="shared" si="132"/>
        <v>OHLM037480340</v>
      </c>
      <c r="E1339" s="187" t="s">
        <v>25</v>
      </c>
      <c r="F1339" s="187" t="s">
        <v>25</v>
      </c>
      <c r="G1339" s="187" t="s">
        <v>866</v>
      </c>
      <c r="H1339" s="161">
        <v>0</v>
      </c>
      <c r="I1339" s="161">
        <v>0</v>
      </c>
      <c r="J1339" s="161">
        <v>0</v>
      </c>
      <c r="K1339" s="161">
        <v>0</v>
      </c>
      <c r="L1339" s="161">
        <v>0</v>
      </c>
      <c r="M1339" s="161">
        <v>0</v>
      </c>
      <c r="N1339" s="161">
        <v>0</v>
      </c>
      <c r="O1339" s="161">
        <f t="shared" si="126"/>
        <v>0</v>
      </c>
      <c r="P1339" s="161">
        <v>0</v>
      </c>
      <c r="Q1339" s="161">
        <v>0</v>
      </c>
      <c r="R1339" s="161">
        <v>500</v>
      </c>
      <c r="S1339" s="161">
        <v>0</v>
      </c>
      <c r="T1339" s="161">
        <v>0</v>
      </c>
      <c r="U1339" s="161">
        <v>0</v>
      </c>
      <c r="V1339" s="161">
        <v>0</v>
      </c>
      <c r="W1339" s="161">
        <f t="shared" si="127"/>
        <v>500</v>
      </c>
      <c r="X1339" s="161">
        <f t="shared" si="128"/>
        <v>500</v>
      </c>
      <c r="Y1339" s="161">
        <f t="shared" si="129"/>
        <v>0</v>
      </c>
      <c r="Z1339" s="161">
        <v>0</v>
      </c>
      <c r="AA1339" s="161">
        <f t="shared" si="124"/>
        <v>0</v>
      </c>
      <c r="AB1339" s="161">
        <f t="shared" si="125"/>
        <v>-500</v>
      </c>
      <c r="AC1339" s="187"/>
      <c r="AD1339" s="158"/>
      <c r="AE1339" s="149"/>
    </row>
    <row r="1340" spans="1:31" s="188" customFormat="1" ht="15" customHeight="1" x14ac:dyDescent="0.3">
      <c r="A1340" s="186">
        <v>52</v>
      </c>
      <c r="B1340" s="187" t="s">
        <v>1082</v>
      </c>
      <c r="C1340" s="187" t="str">
        <f t="shared" si="130"/>
        <v>BEAT|2019|OCRE|MAY730C</v>
      </c>
      <c r="D1340" s="187" t="str">
        <f t="shared" si="132"/>
        <v>OHLM036759058</v>
      </c>
      <c r="E1340" s="160" t="s">
        <v>25</v>
      </c>
      <c r="F1340" s="187" t="s">
        <v>25</v>
      </c>
      <c r="G1340" s="187" t="s">
        <v>866</v>
      </c>
      <c r="H1340" s="161">
        <v>0</v>
      </c>
      <c r="I1340" s="161">
        <v>0</v>
      </c>
      <c r="J1340" s="161">
        <v>0</v>
      </c>
      <c r="K1340" s="161">
        <v>0</v>
      </c>
      <c r="L1340" s="161">
        <v>0</v>
      </c>
      <c r="M1340" s="161">
        <v>0</v>
      </c>
      <c r="N1340" s="161">
        <v>0</v>
      </c>
      <c r="O1340" s="161">
        <f t="shared" si="126"/>
        <v>0</v>
      </c>
      <c r="P1340" s="161">
        <v>0</v>
      </c>
      <c r="Q1340" s="161">
        <v>0</v>
      </c>
      <c r="R1340" s="161">
        <v>321</v>
      </c>
      <c r="S1340" s="161">
        <v>0</v>
      </c>
      <c r="T1340" s="161">
        <v>0</v>
      </c>
      <c r="U1340" s="161">
        <v>0</v>
      </c>
      <c r="V1340" s="161">
        <v>0</v>
      </c>
      <c r="W1340" s="161">
        <f t="shared" si="127"/>
        <v>321</v>
      </c>
      <c r="X1340" s="161">
        <f t="shared" si="128"/>
        <v>321</v>
      </c>
      <c r="Y1340" s="161">
        <f t="shared" si="129"/>
        <v>0</v>
      </c>
      <c r="Z1340" s="161">
        <v>0</v>
      </c>
      <c r="AA1340" s="161">
        <f t="shared" si="124"/>
        <v>0</v>
      </c>
      <c r="AB1340" s="161">
        <f t="shared" si="125"/>
        <v>-321</v>
      </c>
      <c r="AC1340" s="187" t="s">
        <v>1236</v>
      </c>
      <c r="AD1340" s="158"/>
      <c r="AE1340" s="149"/>
    </row>
    <row r="1341" spans="1:31" s="188" customFormat="1" ht="15" customHeight="1" x14ac:dyDescent="0.3">
      <c r="A1341" s="186">
        <v>52</v>
      </c>
      <c r="B1341" s="187" t="s">
        <v>1106</v>
      </c>
      <c r="C1341" s="187" t="str">
        <f t="shared" si="130"/>
        <v>VENTO|2017|GRIS|MMA672C</v>
      </c>
      <c r="D1341" s="187" t="str">
        <f t="shared" si="132"/>
        <v>OHLM03149178</v>
      </c>
      <c r="E1341" s="187" t="s">
        <v>25</v>
      </c>
      <c r="F1341" s="187" t="s">
        <v>25</v>
      </c>
      <c r="G1341" s="187" t="s">
        <v>866</v>
      </c>
      <c r="H1341" s="161">
        <v>0</v>
      </c>
      <c r="I1341" s="161">
        <v>0</v>
      </c>
      <c r="J1341" s="161">
        <v>0</v>
      </c>
      <c r="K1341" s="161">
        <v>0</v>
      </c>
      <c r="L1341" s="161">
        <v>0</v>
      </c>
      <c r="M1341" s="161">
        <v>0</v>
      </c>
      <c r="N1341" s="161">
        <v>0</v>
      </c>
      <c r="O1341" s="161">
        <f t="shared" si="126"/>
        <v>0</v>
      </c>
      <c r="P1341" s="161">
        <v>0</v>
      </c>
      <c r="Q1341" s="161">
        <v>0</v>
      </c>
      <c r="R1341" s="161">
        <v>500</v>
      </c>
      <c r="S1341" s="161">
        <v>0</v>
      </c>
      <c r="T1341" s="161">
        <v>0</v>
      </c>
      <c r="U1341" s="161">
        <v>0</v>
      </c>
      <c r="V1341" s="161">
        <v>0</v>
      </c>
      <c r="W1341" s="161">
        <f t="shared" si="127"/>
        <v>500</v>
      </c>
      <c r="X1341" s="161">
        <f t="shared" si="128"/>
        <v>500</v>
      </c>
      <c r="Y1341" s="161">
        <f t="shared" si="129"/>
        <v>0</v>
      </c>
      <c r="Z1341" s="161">
        <v>0</v>
      </c>
      <c r="AA1341" s="161">
        <f t="shared" si="124"/>
        <v>0</v>
      </c>
      <c r="AB1341" s="161">
        <f t="shared" si="125"/>
        <v>-500</v>
      </c>
      <c r="AC1341" s="187"/>
      <c r="AD1341" s="158"/>
      <c r="AE1341" s="149"/>
    </row>
    <row r="1342" spans="1:31" s="188" customFormat="1" ht="15" customHeight="1" x14ac:dyDescent="0.3">
      <c r="A1342" s="186">
        <v>52</v>
      </c>
      <c r="B1342" s="187" t="s">
        <v>1067</v>
      </c>
      <c r="C1342" s="187" t="str">
        <f t="shared" si="130"/>
        <v>AVEO|2018|GRIS|X59AWG</v>
      </c>
      <c r="D1342" s="187" t="str">
        <f t="shared" si="132"/>
        <v>OHLM031409063</v>
      </c>
      <c r="E1342" s="187" t="s">
        <v>25</v>
      </c>
      <c r="F1342" s="187" t="s">
        <v>25</v>
      </c>
      <c r="G1342" s="187" t="s">
        <v>866</v>
      </c>
      <c r="H1342" s="161">
        <v>0</v>
      </c>
      <c r="I1342" s="161">
        <v>0</v>
      </c>
      <c r="J1342" s="161">
        <v>0</v>
      </c>
      <c r="K1342" s="161">
        <v>0</v>
      </c>
      <c r="L1342" s="161">
        <v>0</v>
      </c>
      <c r="M1342" s="161">
        <v>0</v>
      </c>
      <c r="N1342" s="161">
        <v>0</v>
      </c>
      <c r="O1342" s="161">
        <f t="shared" si="126"/>
        <v>0</v>
      </c>
      <c r="P1342" s="161">
        <v>0</v>
      </c>
      <c r="Q1342" s="161">
        <v>0</v>
      </c>
      <c r="R1342" s="161">
        <v>0</v>
      </c>
      <c r="S1342" s="161">
        <v>0</v>
      </c>
      <c r="T1342" s="161">
        <v>-700</v>
      </c>
      <c r="U1342" s="161">
        <v>0</v>
      </c>
      <c r="V1342" s="161">
        <v>0</v>
      </c>
      <c r="W1342" s="161">
        <f t="shared" si="127"/>
        <v>-700</v>
      </c>
      <c r="X1342" s="161">
        <f t="shared" si="128"/>
        <v>0</v>
      </c>
      <c r="Y1342" s="161">
        <f t="shared" si="129"/>
        <v>-700</v>
      </c>
      <c r="Z1342" s="161">
        <v>700</v>
      </c>
      <c r="AA1342" s="161">
        <f t="shared" si="124"/>
        <v>0</v>
      </c>
      <c r="AB1342" s="161">
        <f t="shared" si="125"/>
        <v>700</v>
      </c>
      <c r="AC1342" s="187" t="s">
        <v>1237</v>
      </c>
      <c r="AD1342" s="158"/>
      <c r="AE1342" s="149"/>
    </row>
    <row r="1343" spans="1:31" s="188" customFormat="1" ht="15" customHeight="1" x14ac:dyDescent="0.3">
      <c r="A1343" s="186">
        <v>52</v>
      </c>
      <c r="B1343" s="158" t="s">
        <v>944</v>
      </c>
      <c r="C1343" s="187" t="str">
        <f t="shared" si="130"/>
        <v>SWIFT|2017|ROJO|X89ALV</v>
      </c>
      <c r="D1343" s="187" t="str">
        <f t="shared" si="132"/>
        <v>OHLM032370090</v>
      </c>
      <c r="E1343" s="187" t="s">
        <v>39</v>
      </c>
      <c r="F1343" s="187" t="s">
        <v>39</v>
      </c>
      <c r="G1343" s="187" t="s">
        <v>866</v>
      </c>
      <c r="H1343" s="161">
        <v>4966.0200000000004</v>
      </c>
      <c r="I1343" s="161">
        <v>-76.959999999999994</v>
      </c>
      <c r="J1343" s="161">
        <v>0</v>
      </c>
      <c r="K1343" s="161">
        <v>0</v>
      </c>
      <c r="L1343" s="161">
        <v>-2119.0400000000004</v>
      </c>
      <c r="M1343" s="161">
        <v>-105.95200000000003</v>
      </c>
      <c r="N1343" s="161">
        <v>0</v>
      </c>
      <c r="O1343" s="161">
        <f t="shared" si="126"/>
        <v>2664.0679999999998</v>
      </c>
      <c r="P1343" s="161">
        <v>-2500</v>
      </c>
      <c r="Q1343" s="161">
        <v>0</v>
      </c>
      <c r="R1343" s="161">
        <v>0</v>
      </c>
      <c r="S1343" s="161">
        <v>0</v>
      </c>
      <c r="T1343" s="161">
        <v>-700</v>
      </c>
      <c r="U1343" s="161">
        <v>0</v>
      </c>
      <c r="V1343" s="161">
        <v>0</v>
      </c>
      <c r="W1343" s="161">
        <f t="shared" si="127"/>
        <v>-535.93200000000024</v>
      </c>
      <c r="X1343" s="161">
        <f t="shared" si="128"/>
        <v>0</v>
      </c>
      <c r="Y1343" s="161">
        <f t="shared" si="129"/>
        <v>-535.93200000000024</v>
      </c>
      <c r="Z1343" s="161">
        <v>0</v>
      </c>
      <c r="AA1343" s="161">
        <f t="shared" si="124"/>
        <v>-535.93200000000024</v>
      </c>
      <c r="AB1343" s="161">
        <f t="shared" si="125"/>
        <v>2128.1359999999995</v>
      </c>
      <c r="AC1343" s="187" t="s">
        <v>1224</v>
      </c>
      <c r="AD1343" s="158"/>
      <c r="AE1343" s="149"/>
    </row>
    <row r="1344" spans="1:31" s="188" customFormat="1" ht="15" customHeight="1" x14ac:dyDescent="0.3">
      <c r="A1344" s="186">
        <v>52</v>
      </c>
      <c r="B1344" s="187" t="s">
        <v>1151</v>
      </c>
      <c r="C1344" s="187" t="str">
        <f t="shared" si="130"/>
        <v>AVEO|2022|VINO|P62BHW</v>
      </c>
      <c r="D1344" s="187" t="str">
        <f t="shared" si="132"/>
        <v>OHLM037480340</v>
      </c>
      <c r="E1344" s="187" t="s">
        <v>25</v>
      </c>
      <c r="F1344" s="187" t="s">
        <v>39</v>
      </c>
      <c r="G1344" s="187" t="s">
        <v>866</v>
      </c>
      <c r="H1344" s="161">
        <v>6422.38</v>
      </c>
      <c r="I1344" s="161">
        <v>-122.69</v>
      </c>
      <c r="J1344" s="161">
        <v>0</v>
      </c>
      <c r="K1344" s="161">
        <v>0</v>
      </c>
      <c r="L1344" s="161">
        <v>-29.97</v>
      </c>
      <c r="M1344" s="161">
        <v>0</v>
      </c>
      <c r="N1344" s="161">
        <v>0</v>
      </c>
      <c r="O1344" s="161">
        <f t="shared" si="126"/>
        <v>6269.72</v>
      </c>
      <c r="P1344" s="161">
        <v>-2500</v>
      </c>
      <c r="Q1344" s="161">
        <v>0</v>
      </c>
      <c r="R1344" s="161">
        <v>-500</v>
      </c>
      <c r="S1344" s="161">
        <v>0</v>
      </c>
      <c r="T1344" s="161">
        <v>0</v>
      </c>
      <c r="U1344" s="161">
        <v>0</v>
      </c>
      <c r="V1344" s="161">
        <v>0</v>
      </c>
      <c r="W1344" s="161">
        <f t="shared" si="127"/>
        <v>3269.7200000000003</v>
      </c>
      <c r="X1344" s="161">
        <f t="shared" si="128"/>
        <v>3269.7200000000003</v>
      </c>
      <c r="Y1344" s="161">
        <f t="shared" si="129"/>
        <v>0</v>
      </c>
      <c r="Z1344" s="161">
        <v>0</v>
      </c>
      <c r="AA1344" s="161">
        <f t="shared" si="124"/>
        <v>0</v>
      </c>
      <c r="AB1344" s="161">
        <f t="shared" si="125"/>
        <v>3000</v>
      </c>
      <c r="AC1344" s="187"/>
      <c r="AD1344" s="158"/>
      <c r="AE1344" s="149"/>
    </row>
    <row r="1345" spans="1:31" s="188" customFormat="1" ht="15" customHeight="1" x14ac:dyDescent="0.3">
      <c r="A1345" s="186">
        <v>52</v>
      </c>
      <c r="B1345" s="187" t="s">
        <v>742</v>
      </c>
      <c r="C1345" s="187" t="str">
        <f t="shared" si="130"/>
        <v>KIA RIO|2017|ROJO|MYE912A</v>
      </c>
      <c r="D1345" s="187" t="str">
        <f t="shared" si="132"/>
        <v>OHLM032762130</v>
      </c>
      <c r="E1345" s="160" t="s">
        <v>871</v>
      </c>
      <c r="F1345" s="187" t="s">
        <v>39</v>
      </c>
      <c r="G1345" s="187" t="s">
        <v>866</v>
      </c>
      <c r="H1345" s="161">
        <v>5460.61</v>
      </c>
      <c r="I1345" s="161">
        <v>-99.679999999999993</v>
      </c>
      <c r="J1345" s="161">
        <v>0</v>
      </c>
      <c r="K1345" s="161">
        <v>-54.64</v>
      </c>
      <c r="L1345" s="161">
        <v>-2664.4899999999993</v>
      </c>
      <c r="M1345" s="161">
        <v>-133.22449999999998</v>
      </c>
      <c r="N1345" s="161">
        <v>0</v>
      </c>
      <c r="O1345" s="161">
        <f t="shared" si="126"/>
        <v>2508.5754999999999</v>
      </c>
      <c r="P1345" s="161">
        <v>-2500</v>
      </c>
      <c r="Q1345" s="161">
        <v>7.1199999999989814</v>
      </c>
      <c r="R1345" s="161">
        <v>-500</v>
      </c>
      <c r="S1345" s="161">
        <v>0</v>
      </c>
      <c r="T1345" s="161">
        <v>0</v>
      </c>
      <c r="U1345" s="161">
        <v>200</v>
      </c>
      <c r="V1345" s="161">
        <v>0</v>
      </c>
      <c r="W1345" s="161">
        <f t="shared" si="127"/>
        <v>-284.3045000000011</v>
      </c>
      <c r="X1345" s="161">
        <f t="shared" si="128"/>
        <v>0</v>
      </c>
      <c r="Y1345" s="161">
        <f t="shared" si="129"/>
        <v>-284.3045000000011</v>
      </c>
      <c r="Z1345" s="161">
        <v>290</v>
      </c>
      <c r="AA1345" s="161">
        <f t="shared" si="124"/>
        <v>5.6954999999989013</v>
      </c>
      <c r="AB1345" s="161">
        <f t="shared" si="125"/>
        <v>2804.2709999999988</v>
      </c>
      <c r="AC1345" s="187" t="s">
        <v>1238</v>
      </c>
      <c r="AD1345" s="158"/>
      <c r="AE1345" s="149"/>
    </row>
    <row r="1346" spans="1:31" s="188" customFormat="1" ht="15" customHeight="1" x14ac:dyDescent="0.3">
      <c r="A1346" s="186">
        <v>52</v>
      </c>
      <c r="B1346" s="187" t="s">
        <v>1155</v>
      </c>
      <c r="C1346" s="187" t="str">
        <f t="shared" si="130"/>
        <v>AVEO|2018|ROJO|R51BKD</v>
      </c>
      <c r="D1346" s="187" t="str">
        <f t="shared" si="132"/>
        <v>OHLM032762106</v>
      </c>
      <c r="E1346" s="160" t="s">
        <v>871</v>
      </c>
      <c r="F1346" s="187" t="s">
        <v>39</v>
      </c>
      <c r="G1346" s="187" t="s">
        <v>866</v>
      </c>
      <c r="H1346" s="161">
        <v>7180.05</v>
      </c>
      <c r="I1346" s="161">
        <v>-38.880000000000003</v>
      </c>
      <c r="J1346" s="161">
        <v>0</v>
      </c>
      <c r="K1346" s="161">
        <v>0</v>
      </c>
      <c r="L1346" s="161">
        <v>-1992.98</v>
      </c>
      <c r="M1346" s="161">
        <v>-99.649000000000001</v>
      </c>
      <c r="N1346" s="161">
        <v>0</v>
      </c>
      <c r="O1346" s="161">
        <f t="shared" si="126"/>
        <v>5048.5410000000002</v>
      </c>
      <c r="P1346" s="161">
        <v>-2500</v>
      </c>
      <c r="Q1346" s="161">
        <v>-412.59680000000043</v>
      </c>
      <c r="R1346" s="161">
        <v>-500</v>
      </c>
      <c r="S1346" s="161">
        <v>0</v>
      </c>
      <c r="T1346" s="161">
        <v>0</v>
      </c>
      <c r="U1346" s="161">
        <v>0</v>
      </c>
      <c r="V1346" s="161">
        <v>0</v>
      </c>
      <c r="W1346" s="161">
        <f t="shared" si="127"/>
        <v>1635.9441999999999</v>
      </c>
      <c r="X1346" s="161">
        <f t="shared" si="128"/>
        <v>1635.9441999999999</v>
      </c>
      <c r="Y1346" s="161">
        <f t="shared" si="129"/>
        <v>0</v>
      </c>
      <c r="Z1346" s="161">
        <v>0</v>
      </c>
      <c r="AA1346" s="161">
        <f t="shared" ref="AA1346:AA1354" si="133">+Y1346+Z1346</f>
        <v>0</v>
      </c>
      <c r="AB1346" s="161">
        <f t="shared" ref="AB1346:AB1354" si="134">+O1346-X1346+Z1346+AA1346</f>
        <v>3412.5968000000003</v>
      </c>
      <c r="AC1346" s="187"/>
      <c r="AD1346" s="158"/>
      <c r="AE1346" s="149"/>
    </row>
    <row r="1347" spans="1:31" s="188" customFormat="1" ht="15" customHeight="1" x14ac:dyDescent="0.3">
      <c r="A1347" s="186">
        <v>52</v>
      </c>
      <c r="B1347" s="187" t="s">
        <v>1056</v>
      </c>
      <c r="C1347" s="187" t="s">
        <v>760</v>
      </c>
      <c r="D1347" s="187" t="s">
        <v>1239</v>
      </c>
      <c r="E1347" s="187" t="s">
        <v>25</v>
      </c>
      <c r="F1347" s="187" t="s">
        <v>39</v>
      </c>
      <c r="G1347" s="187" t="s">
        <v>866</v>
      </c>
      <c r="H1347" s="161">
        <v>3325.18</v>
      </c>
      <c r="I1347" s="161">
        <v>-14.879999999999999</v>
      </c>
      <c r="J1347" s="161">
        <v>0</v>
      </c>
      <c r="K1347" s="161">
        <v>0</v>
      </c>
      <c r="L1347" s="161">
        <v>-98.93</v>
      </c>
      <c r="M1347" s="161">
        <v>0</v>
      </c>
      <c r="N1347" s="161">
        <v>0</v>
      </c>
      <c r="O1347" s="161">
        <f t="shared" si="126"/>
        <v>3211.37</v>
      </c>
      <c r="P1347" s="161">
        <v>0</v>
      </c>
      <c r="Q1347" s="161">
        <v>0</v>
      </c>
      <c r="R1347" s="161">
        <v>0</v>
      </c>
      <c r="S1347" s="161">
        <v>0</v>
      </c>
      <c r="T1347" s="161">
        <v>0</v>
      </c>
      <c r="U1347" s="161">
        <v>0</v>
      </c>
      <c r="V1347" s="161">
        <v>0</v>
      </c>
      <c r="W1347" s="161">
        <f t="shared" si="127"/>
        <v>3211.37</v>
      </c>
      <c r="X1347" s="161">
        <f t="shared" si="128"/>
        <v>3211.37</v>
      </c>
      <c r="Y1347" s="161">
        <f t="shared" si="129"/>
        <v>0</v>
      </c>
      <c r="Z1347" s="161">
        <v>0</v>
      </c>
      <c r="AA1347" s="161">
        <f t="shared" si="133"/>
        <v>0</v>
      </c>
      <c r="AB1347" s="161">
        <f t="shared" si="134"/>
        <v>0</v>
      </c>
      <c r="AC1347" s="187"/>
      <c r="AD1347" s="158"/>
      <c r="AE1347" s="149"/>
    </row>
    <row r="1348" spans="1:31" s="188" customFormat="1" ht="15" customHeight="1" x14ac:dyDescent="0.3">
      <c r="A1348" s="186">
        <v>52</v>
      </c>
      <c r="B1348" s="187" t="s">
        <v>872</v>
      </c>
      <c r="C1348" s="187" t="str">
        <f>VLOOKUP($B1348,$B$1262:$AB$1310,2,0)</f>
        <v>KIA RIO|2023|ROJO|H99BLC</v>
      </c>
      <c r="D1348" s="187" t="str">
        <f>VLOOKUP($B1348,$B$1262:$AB$1310,3,0)</f>
        <v>OHLM035993526</v>
      </c>
      <c r="E1348" s="160" t="s">
        <v>871</v>
      </c>
      <c r="F1348" s="187" t="s">
        <v>39</v>
      </c>
      <c r="G1348" s="187" t="s">
        <v>866</v>
      </c>
      <c r="H1348" s="161">
        <v>8316.09</v>
      </c>
      <c r="I1348" s="161">
        <v>-72.819999999999993</v>
      </c>
      <c r="J1348" s="161">
        <v>0</v>
      </c>
      <c r="K1348" s="161">
        <v>-88</v>
      </c>
      <c r="L1348" s="161">
        <v>-4635.2699999999986</v>
      </c>
      <c r="M1348" s="161">
        <v>-150</v>
      </c>
      <c r="N1348" s="161">
        <v>-100</v>
      </c>
      <c r="O1348" s="161">
        <f t="shared" si="126"/>
        <v>3270.0000000000018</v>
      </c>
      <c r="P1348" s="161">
        <v>-2500</v>
      </c>
      <c r="Q1348" s="161">
        <v>0</v>
      </c>
      <c r="R1348" s="161">
        <v>0</v>
      </c>
      <c r="S1348" s="161">
        <v>0</v>
      </c>
      <c r="T1348" s="161">
        <v>0</v>
      </c>
      <c r="U1348" s="161">
        <v>0</v>
      </c>
      <c r="V1348" s="161">
        <v>0</v>
      </c>
      <c r="W1348" s="161">
        <f t="shared" si="127"/>
        <v>770.00000000000182</v>
      </c>
      <c r="X1348" s="161">
        <f t="shared" si="128"/>
        <v>770.00000000000182</v>
      </c>
      <c r="Y1348" s="161">
        <f t="shared" si="129"/>
        <v>0</v>
      </c>
      <c r="Z1348" s="161">
        <v>0</v>
      </c>
      <c r="AA1348" s="161">
        <f t="shared" si="133"/>
        <v>0</v>
      </c>
      <c r="AB1348" s="161">
        <f t="shared" si="134"/>
        <v>2500</v>
      </c>
      <c r="AC1348" s="187"/>
      <c r="AD1348" s="158"/>
      <c r="AE1348" s="149"/>
    </row>
    <row r="1349" spans="1:31" s="188" customFormat="1" ht="15" customHeight="1" x14ac:dyDescent="0.3">
      <c r="A1349" s="186">
        <v>52</v>
      </c>
      <c r="B1349" s="187" t="s">
        <v>1025</v>
      </c>
      <c r="C1349" s="187" t="str">
        <f>VLOOKUP($B1349,$B$1262:$AB$1310,2,0)</f>
        <v>BEAT|2020|GRIS|NFN014B</v>
      </c>
      <c r="D1349" s="187" t="str">
        <f>VLOOKUP($B1349,$B$1262:$AB$1310,3,0)</f>
        <v>OHLM032762148</v>
      </c>
      <c r="E1349" s="160" t="s">
        <v>871</v>
      </c>
      <c r="F1349" s="187" t="s">
        <v>39</v>
      </c>
      <c r="G1349" s="187" t="s">
        <v>866</v>
      </c>
      <c r="H1349" s="161">
        <v>6327.04</v>
      </c>
      <c r="I1349" s="161">
        <v>-29.28</v>
      </c>
      <c r="J1349" s="161">
        <v>0</v>
      </c>
      <c r="K1349" s="161">
        <v>0</v>
      </c>
      <c r="L1349" s="161">
        <v>-2911.95</v>
      </c>
      <c r="M1349" s="161">
        <v>-145.5975</v>
      </c>
      <c r="N1349" s="161">
        <v>0</v>
      </c>
      <c r="O1349" s="161">
        <f t="shared" si="126"/>
        <v>3240.2125000000005</v>
      </c>
      <c r="P1349" s="161">
        <v>-2500</v>
      </c>
      <c r="Q1349" s="161">
        <v>-2904.3168000000005</v>
      </c>
      <c r="R1349" s="161">
        <v>0</v>
      </c>
      <c r="S1349" s="161">
        <v>0</v>
      </c>
      <c r="T1349" s="161">
        <v>-500</v>
      </c>
      <c r="U1349" s="161">
        <v>58</v>
      </c>
      <c r="V1349" s="161">
        <v>0</v>
      </c>
      <c r="W1349" s="161">
        <f t="shared" si="127"/>
        <v>-2606.1043</v>
      </c>
      <c r="X1349" s="161">
        <f t="shared" si="128"/>
        <v>0</v>
      </c>
      <c r="Y1349" s="161">
        <f t="shared" si="129"/>
        <v>-2606.1043</v>
      </c>
      <c r="Z1349" s="161">
        <v>2000</v>
      </c>
      <c r="AA1349" s="161">
        <f t="shared" si="133"/>
        <v>-606.10429999999997</v>
      </c>
      <c r="AB1349" s="161">
        <f t="shared" si="134"/>
        <v>4634.1082000000006</v>
      </c>
      <c r="AC1349" s="187" t="s">
        <v>1240</v>
      </c>
      <c r="AD1349" s="158"/>
      <c r="AE1349" s="149"/>
    </row>
    <row r="1350" spans="1:31" s="188" customFormat="1" ht="15" customHeight="1" x14ac:dyDescent="0.3">
      <c r="A1350" s="186">
        <v>52</v>
      </c>
      <c r="B1350" s="187" t="s">
        <v>1010</v>
      </c>
      <c r="C1350" s="187" t="str">
        <f>VLOOKUP($B1350,$B$1262:$AB$1310,2,0)</f>
        <v>VERSA|2021|BLANCO|MEE228C</v>
      </c>
      <c r="D1350" s="187" t="str">
        <f>VLOOKUP($B1350,$B$1262:$AB$1310,3,0)</f>
        <v>OHLM036759082</v>
      </c>
      <c r="E1350" s="187" t="s">
        <v>25</v>
      </c>
      <c r="F1350" s="187" t="s">
        <v>39</v>
      </c>
      <c r="G1350" s="187" t="s">
        <v>866</v>
      </c>
      <c r="H1350" s="161">
        <v>3161.13</v>
      </c>
      <c r="I1350" s="161">
        <v>-16.48</v>
      </c>
      <c r="J1350" s="161">
        <v>0</v>
      </c>
      <c r="K1350" s="161">
        <v>-32.21</v>
      </c>
      <c r="L1350" s="161">
        <v>-1152.52</v>
      </c>
      <c r="M1350" s="161">
        <v>-57.626000000000005</v>
      </c>
      <c r="N1350" s="161">
        <v>0</v>
      </c>
      <c r="O1350" s="161">
        <f t="shared" si="126"/>
        <v>1902.2940000000001</v>
      </c>
      <c r="P1350" s="161">
        <v>-2500</v>
      </c>
      <c r="Q1350" s="161">
        <v>-2580.0880000000002</v>
      </c>
      <c r="R1350" s="161">
        <v>0</v>
      </c>
      <c r="S1350" s="161">
        <v>0</v>
      </c>
      <c r="T1350" s="161">
        <v>0</v>
      </c>
      <c r="U1350" s="161">
        <v>0</v>
      </c>
      <c r="V1350" s="161">
        <v>0</v>
      </c>
      <c r="W1350" s="161">
        <f t="shared" si="127"/>
        <v>-3177.7939999999999</v>
      </c>
      <c r="X1350" s="161">
        <f t="shared" si="128"/>
        <v>0</v>
      </c>
      <c r="Y1350" s="161">
        <f t="shared" si="129"/>
        <v>-3177.7939999999999</v>
      </c>
      <c r="Z1350" s="161">
        <f>2000+1100</f>
        <v>3100</v>
      </c>
      <c r="AA1350" s="161">
        <f t="shared" si="133"/>
        <v>-77.793999999999869</v>
      </c>
      <c r="AB1350" s="161">
        <f t="shared" si="134"/>
        <v>4924.5</v>
      </c>
      <c r="AC1350" s="189" t="s">
        <v>1241</v>
      </c>
      <c r="AD1350" s="158"/>
      <c r="AE1350" s="149"/>
    </row>
    <row r="1351" spans="1:31" ht="15" customHeight="1" x14ac:dyDescent="0.3">
      <c r="A1351" s="186">
        <v>52</v>
      </c>
      <c r="B1351" s="187" t="s">
        <v>1100</v>
      </c>
      <c r="C1351" s="187" t="str">
        <f>VLOOKUP($B1351,$B$1262:$AB$1310,2,0)</f>
        <v>MARCH|2019|TURQ|MAY737C</v>
      </c>
      <c r="D1351" s="187" t="str">
        <f>VLOOKUP($B1351,$B$1262:$AB$1310,3,0)</f>
        <v>OHLM0367590666</v>
      </c>
      <c r="E1351" s="187" t="s">
        <v>39</v>
      </c>
      <c r="F1351" s="187" t="s">
        <v>39</v>
      </c>
      <c r="G1351" s="187" t="s">
        <v>866</v>
      </c>
      <c r="H1351" s="161">
        <v>0</v>
      </c>
      <c r="I1351" s="161">
        <v>0</v>
      </c>
      <c r="J1351" s="161">
        <v>0</v>
      </c>
      <c r="K1351" s="161">
        <v>0</v>
      </c>
      <c r="L1351" s="161">
        <v>0</v>
      </c>
      <c r="M1351" s="161">
        <v>0</v>
      </c>
      <c r="N1351" s="161">
        <v>0</v>
      </c>
      <c r="O1351" s="161">
        <f t="shared" si="126"/>
        <v>0</v>
      </c>
      <c r="P1351" s="161">
        <v>-2500</v>
      </c>
      <c r="Q1351" s="161">
        <v>0</v>
      </c>
      <c r="R1351" s="161">
        <v>0</v>
      </c>
      <c r="S1351" s="161">
        <v>0</v>
      </c>
      <c r="T1351" s="161">
        <v>0</v>
      </c>
      <c r="U1351" s="161">
        <v>0</v>
      </c>
      <c r="V1351" s="161">
        <v>0</v>
      </c>
      <c r="W1351" s="161">
        <f t="shared" si="127"/>
        <v>-2500</v>
      </c>
      <c r="X1351" s="161">
        <f t="shared" si="128"/>
        <v>0</v>
      </c>
      <c r="Y1351" s="161">
        <f t="shared" si="129"/>
        <v>-2500</v>
      </c>
      <c r="Z1351" s="161">
        <v>0</v>
      </c>
      <c r="AA1351" s="161">
        <f t="shared" si="133"/>
        <v>-2500</v>
      </c>
      <c r="AB1351" s="161">
        <f t="shared" si="134"/>
        <v>-2500</v>
      </c>
      <c r="AC1351" s="187" t="s">
        <v>1242</v>
      </c>
      <c r="AD1351" s="158"/>
    </row>
    <row r="1352" spans="1:31" ht="15" customHeight="1" x14ac:dyDescent="0.3">
      <c r="A1352" s="186">
        <v>52</v>
      </c>
      <c r="B1352" s="158" t="s">
        <v>585</v>
      </c>
      <c r="C1352" s="158" t="s">
        <v>42</v>
      </c>
      <c r="D1352" s="158" t="s">
        <v>948</v>
      </c>
      <c r="E1352" s="187" t="s">
        <v>25</v>
      </c>
      <c r="F1352" s="158" t="s">
        <v>25</v>
      </c>
      <c r="G1352" s="158" t="s">
        <v>866</v>
      </c>
      <c r="H1352" s="161">
        <v>0</v>
      </c>
      <c r="I1352" s="161">
        <v>0</v>
      </c>
      <c r="J1352" s="161">
        <v>0</v>
      </c>
      <c r="K1352" s="161">
        <v>0</v>
      </c>
      <c r="L1352" s="161">
        <v>0</v>
      </c>
      <c r="M1352" s="161">
        <v>0</v>
      </c>
      <c r="N1352" s="161">
        <v>0</v>
      </c>
      <c r="O1352" s="161">
        <f t="shared" si="126"/>
        <v>0</v>
      </c>
      <c r="P1352" s="161">
        <v>-2500</v>
      </c>
      <c r="Q1352" s="161">
        <v>0</v>
      </c>
      <c r="R1352" s="161">
        <v>0</v>
      </c>
      <c r="S1352" s="161">
        <v>0</v>
      </c>
      <c r="T1352" s="161">
        <v>0</v>
      </c>
      <c r="U1352" s="161">
        <v>0</v>
      </c>
      <c r="V1352" s="161">
        <v>0</v>
      </c>
      <c r="W1352" s="161">
        <f t="shared" si="127"/>
        <v>-2500</v>
      </c>
      <c r="X1352" s="161">
        <f t="shared" si="128"/>
        <v>0</v>
      </c>
      <c r="Y1352" s="161">
        <f t="shared" si="129"/>
        <v>-2500</v>
      </c>
      <c r="Z1352" s="161">
        <v>2500</v>
      </c>
      <c r="AA1352" s="161">
        <f t="shared" si="133"/>
        <v>0</v>
      </c>
      <c r="AB1352" s="161">
        <f t="shared" si="134"/>
        <v>2500</v>
      </c>
      <c r="AC1352" s="187"/>
      <c r="AD1352" s="158"/>
    </row>
    <row r="1353" spans="1:31" ht="15" customHeight="1" x14ac:dyDescent="0.3">
      <c r="A1353" s="186">
        <v>52</v>
      </c>
      <c r="B1353" s="158" t="s">
        <v>1171</v>
      </c>
      <c r="C1353" s="158" t="s">
        <v>480</v>
      </c>
      <c r="D1353" s="158" t="s">
        <v>1243</v>
      </c>
      <c r="E1353" s="187" t="s">
        <v>25</v>
      </c>
      <c r="F1353" s="158" t="s">
        <v>25</v>
      </c>
      <c r="G1353" s="158" t="s">
        <v>866</v>
      </c>
      <c r="H1353" s="158">
        <v>0</v>
      </c>
      <c r="I1353" s="158">
        <v>0</v>
      </c>
      <c r="J1353" s="158">
        <v>0</v>
      </c>
      <c r="K1353" s="158">
        <v>0</v>
      </c>
      <c r="L1353" s="161">
        <v>0</v>
      </c>
      <c r="M1353" s="161">
        <v>0</v>
      </c>
      <c r="N1353" s="161">
        <v>0</v>
      </c>
      <c r="O1353" s="161">
        <f t="shared" si="126"/>
        <v>0</v>
      </c>
      <c r="P1353" s="161">
        <v>-2000</v>
      </c>
      <c r="Q1353" s="161">
        <v>0</v>
      </c>
      <c r="R1353" s="161">
        <v>0</v>
      </c>
      <c r="S1353" s="161">
        <v>0</v>
      </c>
      <c r="T1353" s="161">
        <v>0</v>
      </c>
      <c r="U1353" s="161">
        <v>0</v>
      </c>
      <c r="V1353" s="161">
        <v>0</v>
      </c>
      <c r="W1353" s="161">
        <f t="shared" si="127"/>
        <v>-2000</v>
      </c>
      <c r="X1353" s="161">
        <f t="shared" si="128"/>
        <v>0</v>
      </c>
      <c r="Y1353" s="161">
        <f t="shared" si="129"/>
        <v>-2000</v>
      </c>
      <c r="Z1353" s="161">
        <v>2000</v>
      </c>
      <c r="AA1353" s="161">
        <f t="shared" si="133"/>
        <v>0</v>
      </c>
      <c r="AB1353" s="161">
        <f t="shared" si="134"/>
        <v>2000</v>
      </c>
      <c r="AC1353" s="187"/>
      <c r="AD1353" s="158"/>
    </row>
    <row r="1354" spans="1:31" ht="15" customHeight="1" x14ac:dyDescent="0.3">
      <c r="A1354" s="186">
        <v>52</v>
      </c>
      <c r="B1354" s="187" t="s">
        <v>1244</v>
      </c>
      <c r="C1354" s="187" t="s">
        <v>55</v>
      </c>
      <c r="D1354" s="187" t="s">
        <v>1168</v>
      </c>
      <c r="E1354" s="187" t="s">
        <v>25</v>
      </c>
      <c r="F1354" s="187" t="s">
        <v>39</v>
      </c>
      <c r="G1354" s="187" t="s">
        <v>866</v>
      </c>
      <c r="H1354" s="158">
        <v>0</v>
      </c>
      <c r="I1354" s="158">
        <v>0</v>
      </c>
      <c r="J1354" s="158">
        <v>0</v>
      </c>
      <c r="K1354" s="158">
        <v>0</v>
      </c>
      <c r="L1354" s="161">
        <v>0</v>
      </c>
      <c r="M1354" s="161">
        <v>0</v>
      </c>
      <c r="N1354" s="161">
        <v>0</v>
      </c>
      <c r="O1354" s="161">
        <f t="shared" si="126"/>
        <v>0</v>
      </c>
      <c r="P1354" s="161">
        <v>0</v>
      </c>
      <c r="Q1354" s="161">
        <v>0</v>
      </c>
      <c r="R1354" s="161">
        <v>-1000</v>
      </c>
      <c r="S1354" s="161">
        <v>0</v>
      </c>
      <c r="T1354" s="161">
        <v>0</v>
      </c>
      <c r="U1354" s="161">
        <v>0</v>
      </c>
      <c r="V1354" s="161">
        <v>0</v>
      </c>
      <c r="W1354" s="161">
        <f t="shared" si="127"/>
        <v>-1000</v>
      </c>
      <c r="X1354" s="161">
        <f t="shared" si="128"/>
        <v>0</v>
      </c>
      <c r="Y1354" s="161">
        <f t="shared" si="129"/>
        <v>-1000</v>
      </c>
      <c r="Z1354" s="161">
        <v>1000</v>
      </c>
      <c r="AA1354" s="161">
        <f t="shared" si="133"/>
        <v>0</v>
      </c>
      <c r="AB1354" s="161">
        <f t="shared" si="134"/>
        <v>1000</v>
      </c>
      <c r="AC1354" s="187" t="s">
        <v>1245</v>
      </c>
      <c r="AD1354" s="158"/>
    </row>
  </sheetData>
  <autoFilter ref="A1:AD1354" xr:uid="{00000000-0001-0000-0100-000000000000}"/>
  <pageMargins left="0.23622047244094491" right="0.23622047244094491" top="0.74803149606299213" bottom="0.74803149606299213" header="0" footer="0"/>
  <pageSetup scale="8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E6A5-68DD-4155-ACCA-EE0955D89EC6}">
  <sheetPr>
    <tabColor rgb="FF002060"/>
  </sheetPr>
  <dimension ref="A1:AQ931"/>
  <sheetViews>
    <sheetView showGridLines="0" tabSelected="1" zoomScaleNormal="100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T1" sqref="T1"/>
    </sheetView>
  </sheetViews>
  <sheetFormatPr baseColWidth="10" defaultColWidth="8.88671875" defaultRowHeight="13.8" outlineLevelCol="1" x14ac:dyDescent="0.3"/>
  <cols>
    <col min="1" max="1" width="8.88671875" style="49" bestFit="1" customWidth="1"/>
    <col min="2" max="2" width="40.6640625" style="50" bestFit="1" customWidth="1"/>
    <col min="3" max="3" width="30" style="50" bestFit="1" customWidth="1"/>
    <col min="4" max="4" width="15.6640625" style="50" bestFit="1" customWidth="1"/>
    <col min="5" max="5" width="10.5546875" style="50" customWidth="1"/>
    <col min="6" max="6" width="15.88671875" style="50" customWidth="1"/>
    <col min="7" max="7" width="8.5546875" style="50" bestFit="1" customWidth="1"/>
    <col min="8" max="8" width="13.5546875" style="59" customWidth="1" outlineLevel="1" collapsed="1"/>
    <col min="9" max="9" width="12.88671875" style="59" customWidth="1" outlineLevel="1"/>
    <col min="10" max="10" width="14.5546875" style="59" customWidth="1" outlineLevel="1"/>
    <col min="11" max="12" width="11.88671875" style="59" customWidth="1" outlineLevel="1"/>
    <col min="13" max="13" width="7.88671875" style="59" bestFit="1" customWidth="1" outlineLevel="1"/>
    <col min="14" max="14" width="8.5546875" style="59" bestFit="1" customWidth="1" outlineLevel="1"/>
    <col min="15" max="15" width="10.6640625" style="59" bestFit="1" customWidth="1"/>
    <col min="16" max="16" width="10.44140625" style="59" bestFit="1" customWidth="1"/>
    <col min="17" max="17" width="10.33203125" style="59" bestFit="1" customWidth="1" outlineLevel="1"/>
    <col min="18" max="18" width="11" style="59" bestFit="1" customWidth="1" outlineLevel="1"/>
    <col min="19" max="19" width="10.88671875" style="59" customWidth="1" outlineLevel="1"/>
    <col min="20" max="20" width="12.109375" style="59" bestFit="1" customWidth="1" outlineLevel="1"/>
    <col min="21" max="21" width="9.44140625" style="59" bestFit="1" customWidth="1" outlineLevel="1"/>
    <col min="22" max="22" width="10.109375" style="59" bestFit="1" customWidth="1" outlineLevel="1"/>
    <col min="23" max="23" width="10.33203125" style="59" bestFit="1" customWidth="1"/>
    <col min="24" max="24" width="12.109375" style="59" customWidth="1"/>
    <col min="25" max="25" width="8.5546875" style="59" customWidth="1"/>
    <col min="26" max="27" width="12.109375" style="59" customWidth="1"/>
    <col min="28" max="28" width="12.33203125" style="59" bestFit="1" customWidth="1"/>
    <col min="29" max="29" width="17.6640625" style="59" bestFit="1" customWidth="1"/>
    <col min="30" max="30" width="40.44140625" style="50" customWidth="1"/>
    <col min="31" max="31" width="13.88671875" style="59" customWidth="1"/>
    <col min="32" max="32" width="11.33203125" style="50" customWidth="1"/>
    <col min="33" max="16384" width="8.88671875" style="50"/>
  </cols>
  <sheetData>
    <row r="1" spans="1:33" s="58" customFormat="1" ht="14.4" x14ac:dyDescent="0.3">
      <c r="A1" s="40" t="s">
        <v>842</v>
      </c>
      <c r="B1" s="40" t="s">
        <v>6</v>
      </c>
      <c r="C1" s="40" t="s">
        <v>1246</v>
      </c>
      <c r="D1" s="40" t="s">
        <v>844</v>
      </c>
      <c r="E1" s="40" t="s">
        <v>8</v>
      </c>
      <c r="F1" s="40" t="s">
        <v>845</v>
      </c>
      <c r="G1" s="40" t="s">
        <v>846</v>
      </c>
      <c r="H1" s="52" t="s">
        <v>847</v>
      </c>
      <c r="I1" s="52" t="s">
        <v>364</v>
      </c>
      <c r="J1" s="52" t="s">
        <v>848</v>
      </c>
      <c r="K1" s="52" t="s">
        <v>1247</v>
      </c>
      <c r="L1" s="52" t="s">
        <v>850</v>
      </c>
      <c r="M1" s="52" t="s">
        <v>1248</v>
      </c>
      <c r="N1" s="52" t="s">
        <v>844</v>
      </c>
      <c r="O1" s="53" t="s">
        <v>3265</v>
      </c>
      <c r="P1" s="52" t="s">
        <v>853</v>
      </c>
      <c r="Q1" s="52" t="s">
        <v>3266</v>
      </c>
      <c r="R1" s="52" t="s">
        <v>855</v>
      </c>
      <c r="S1" s="52" t="s">
        <v>815</v>
      </c>
      <c r="T1" s="52" t="s">
        <v>3267</v>
      </c>
      <c r="U1" s="52" t="s">
        <v>3268</v>
      </c>
      <c r="V1" s="52" t="s">
        <v>3269</v>
      </c>
      <c r="W1" s="52" t="s">
        <v>858</v>
      </c>
      <c r="X1" s="52" t="s">
        <v>1249</v>
      </c>
      <c r="Y1" s="54" t="s">
        <v>1250</v>
      </c>
      <c r="Z1" s="54" t="s">
        <v>374</v>
      </c>
      <c r="AA1" s="54" t="s">
        <v>861</v>
      </c>
      <c r="AB1" s="55" t="s">
        <v>3270</v>
      </c>
      <c r="AC1" s="56" t="s">
        <v>3271</v>
      </c>
      <c r="AD1" s="57" t="s">
        <v>13</v>
      </c>
      <c r="AE1" s="234"/>
    </row>
    <row r="2" spans="1:33" x14ac:dyDescent="0.3">
      <c r="A2" s="39">
        <v>1</v>
      </c>
      <c r="B2" s="41" t="s">
        <v>1121</v>
      </c>
      <c r="C2" s="50" t="s">
        <v>150</v>
      </c>
      <c r="D2" s="50" t="s">
        <v>1251</v>
      </c>
      <c r="E2" s="50" t="s">
        <v>25</v>
      </c>
      <c r="F2" s="51" t="s">
        <v>25</v>
      </c>
      <c r="G2" s="50" t="s">
        <v>737</v>
      </c>
      <c r="H2" s="59">
        <v>4784.74</v>
      </c>
      <c r="I2" s="59">
        <v>-6209.03</v>
      </c>
      <c r="J2" s="59">
        <v>-620</v>
      </c>
      <c r="K2" s="59">
        <v>0</v>
      </c>
      <c r="L2" s="59">
        <v>0</v>
      </c>
      <c r="M2" s="59">
        <v>-95</v>
      </c>
      <c r="N2" s="59">
        <v>0</v>
      </c>
      <c r="O2" s="59">
        <f>IF(H2+I2&lt;0,SUM(J2:N2),SUM(H2:N2))</f>
        <v>-715</v>
      </c>
      <c r="P2" s="59">
        <v>-2600</v>
      </c>
      <c r="Q2" s="59">
        <v>-2771.9699999999993</v>
      </c>
      <c r="R2" s="59">
        <v>0</v>
      </c>
      <c r="S2" s="59">
        <v>0</v>
      </c>
      <c r="T2" s="59">
        <v>0</v>
      </c>
      <c r="U2" s="59">
        <v>0</v>
      </c>
      <c r="V2" s="59">
        <v>0</v>
      </c>
      <c r="W2" s="59">
        <f t="shared" ref="W2:W65" si="0">SUM(O2:V2)</f>
        <v>-6086.9699999999993</v>
      </c>
      <c r="X2" s="59">
        <f t="shared" ref="X2:X65" si="1">IF(W2&gt;=0,W2,0)</f>
        <v>0</v>
      </c>
      <c r="Y2" s="59">
        <f t="shared" ref="Y2:Y65" si="2">IF(W2&lt;=0,W2,0)</f>
        <v>-6086.9699999999993</v>
      </c>
      <c r="Z2" s="62">
        <f>800+2357</f>
        <v>3157</v>
      </c>
      <c r="AA2" s="59">
        <f t="shared" ref="AA2:AA65" si="3">+Y2+Z2</f>
        <v>-2929.9699999999993</v>
      </c>
      <c r="AB2" s="59">
        <f t="shared" ref="AB2:AB65" si="4">+O2-X2+Z2+AA2</f>
        <v>-487.96999999999935</v>
      </c>
      <c r="AD2" s="60" t="s">
        <v>1252</v>
      </c>
      <c r="AE2" s="60"/>
      <c r="AF2" s="59"/>
      <c r="AG2" s="50" t="s">
        <v>3272</v>
      </c>
    </row>
    <row r="3" spans="1:33" x14ac:dyDescent="0.3">
      <c r="A3" s="39">
        <v>1</v>
      </c>
      <c r="B3" s="41" t="s">
        <v>922</v>
      </c>
      <c r="C3" s="50" t="s">
        <v>670</v>
      </c>
      <c r="D3" s="50" t="s">
        <v>1221</v>
      </c>
      <c r="E3" s="50" t="s">
        <v>25</v>
      </c>
      <c r="F3" s="51" t="s">
        <v>25</v>
      </c>
      <c r="G3" s="50" t="s">
        <v>737</v>
      </c>
      <c r="H3" s="59">
        <v>176.49</v>
      </c>
      <c r="I3" s="59">
        <v>-130.25</v>
      </c>
      <c r="J3" s="59">
        <v>-13</v>
      </c>
      <c r="K3" s="59">
        <v>0</v>
      </c>
      <c r="L3" s="59">
        <v>0</v>
      </c>
      <c r="M3" s="59">
        <v>-65</v>
      </c>
      <c r="N3" s="59">
        <v>0</v>
      </c>
      <c r="O3" s="59">
        <f>IF(H3+I3&lt;0,SUM(J3:N3),SUM(H3:N3))</f>
        <v>-31.759999999999991</v>
      </c>
      <c r="P3" s="59">
        <v>-2500</v>
      </c>
      <c r="Q3" s="59">
        <v>-94</v>
      </c>
      <c r="R3" s="59">
        <v>0</v>
      </c>
      <c r="S3" s="59">
        <v>0</v>
      </c>
      <c r="T3" s="59">
        <v>-500</v>
      </c>
      <c r="U3" s="59">
        <v>0</v>
      </c>
      <c r="V3" s="59">
        <v>0</v>
      </c>
      <c r="W3" s="59">
        <f t="shared" si="0"/>
        <v>-3125.76</v>
      </c>
      <c r="X3" s="59">
        <f t="shared" si="1"/>
        <v>0</v>
      </c>
      <c r="Y3" s="59">
        <f t="shared" si="2"/>
        <v>-3125.76</v>
      </c>
      <c r="Z3" s="59">
        <v>2800</v>
      </c>
      <c r="AA3" s="59">
        <f t="shared" si="3"/>
        <v>-325.76000000000022</v>
      </c>
      <c r="AB3" s="59">
        <f>+O3-X3+Z3+AA3</f>
        <v>2442.4799999999996</v>
      </c>
      <c r="AD3" s="61" t="s">
        <v>1253</v>
      </c>
      <c r="AE3" s="60"/>
      <c r="AF3" s="59"/>
    </row>
    <row r="4" spans="1:33" x14ac:dyDescent="0.3">
      <c r="A4" s="39">
        <v>1</v>
      </c>
      <c r="B4" s="41" t="s">
        <v>1076</v>
      </c>
      <c r="C4" s="50" t="s">
        <v>80</v>
      </c>
      <c r="D4" s="50" t="s">
        <v>1165</v>
      </c>
      <c r="E4" s="50" t="s">
        <v>25</v>
      </c>
      <c r="F4" s="51" t="s">
        <v>25</v>
      </c>
      <c r="G4" s="50" t="s">
        <v>737</v>
      </c>
      <c r="H4" s="59">
        <v>2721.77</v>
      </c>
      <c r="I4" s="59">
        <v>-2373.6</v>
      </c>
      <c r="J4" s="59">
        <v>-237</v>
      </c>
      <c r="K4" s="59">
        <v>0</v>
      </c>
      <c r="L4" s="59">
        <v>0</v>
      </c>
      <c r="M4" s="59">
        <v>-95</v>
      </c>
      <c r="N4" s="59">
        <v>0</v>
      </c>
      <c r="O4" s="59">
        <f>IF(H4+I4&lt;0,SUM(J4:N4),SUM(H4:N4))</f>
        <v>16.170000000000073</v>
      </c>
      <c r="P4" s="59">
        <v>-2600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f t="shared" si="0"/>
        <v>-2583.83</v>
      </c>
      <c r="X4" s="59">
        <f t="shared" si="1"/>
        <v>0</v>
      </c>
      <c r="Y4" s="59">
        <f t="shared" si="2"/>
        <v>-2583.83</v>
      </c>
      <c r="Z4" s="59">
        <v>2857</v>
      </c>
      <c r="AA4" s="59">
        <f t="shared" si="3"/>
        <v>273.17000000000007</v>
      </c>
      <c r="AB4" s="59">
        <f t="shared" si="4"/>
        <v>3146.34</v>
      </c>
      <c r="AD4" s="61" t="s">
        <v>1254</v>
      </c>
      <c r="AE4" s="60"/>
      <c r="AF4" s="59"/>
    </row>
    <row r="5" spans="1:33" x14ac:dyDescent="0.3">
      <c r="A5" s="39">
        <v>1</v>
      </c>
      <c r="B5" s="41" t="s">
        <v>620</v>
      </c>
      <c r="C5" s="50" t="s">
        <v>571</v>
      </c>
      <c r="D5" s="50" t="s">
        <v>974</v>
      </c>
      <c r="E5" s="50" t="s">
        <v>25</v>
      </c>
      <c r="F5" s="51" t="s">
        <v>25</v>
      </c>
      <c r="G5" s="50" t="s">
        <v>737</v>
      </c>
      <c r="H5" s="59">
        <v>5249.01</v>
      </c>
      <c r="I5" s="59">
        <v>-6142.27</v>
      </c>
      <c r="J5" s="59">
        <v>-614</v>
      </c>
      <c r="K5" s="59">
        <v>0</v>
      </c>
      <c r="L5" s="59">
        <v>0</v>
      </c>
      <c r="M5" s="59">
        <v>-95</v>
      </c>
      <c r="N5" s="59">
        <v>0</v>
      </c>
      <c r="O5" s="59">
        <f>IF(H5+I5&lt;0,SUM(J5:N5),SUM(H5:N5))</f>
        <v>-709</v>
      </c>
      <c r="P5" s="59">
        <v>-2600</v>
      </c>
      <c r="Q5" s="59">
        <v>0</v>
      </c>
      <c r="R5" s="59">
        <v>0</v>
      </c>
      <c r="S5" s="59">
        <v>0</v>
      </c>
      <c r="T5" s="59">
        <v>0</v>
      </c>
      <c r="U5" s="59">
        <v>0</v>
      </c>
      <c r="V5" s="59">
        <v>0</v>
      </c>
      <c r="W5" s="59">
        <f t="shared" si="0"/>
        <v>-3309</v>
      </c>
      <c r="X5" s="59">
        <f t="shared" si="1"/>
        <v>0</v>
      </c>
      <c r="Y5" s="59">
        <f t="shared" si="2"/>
        <v>-3309</v>
      </c>
      <c r="Z5" s="59">
        <f>1200+1000</f>
        <v>2200</v>
      </c>
      <c r="AA5" s="59">
        <f t="shared" si="3"/>
        <v>-1109</v>
      </c>
      <c r="AB5" s="59">
        <f t="shared" si="4"/>
        <v>382</v>
      </c>
      <c r="AD5" s="43" t="s">
        <v>1255</v>
      </c>
      <c r="AE5" s="60"/>
      <c r="AF5" s="59"/>
    </row>
    <row r="6" spans="1:33" x14ac:dyDescent="0.3">
      <c r="A6" s="39">
        <v>1</v>
      </c>
      <c r="B6" s="41" t="s">
        <v>1062</v>
      </c>
      <c r="C6" s="50" t="s">
        <v>360</v>
      </c>
      <c r="D6" s="50" t="s">
        <v>1158</v>
      </c>
      <c r="E6" s="50" t="s">
        <v>25</v>
      </c>
      <c r="F6" s="51" t="s">
        <v>25</v>
      </c>
      <c r="G6" s="50" t="s">
        <v>866</v>
      </c>
      <c r="H6" s="59">
        <v>8443.1299999999992</v>
      </c>
      <c r="I6" s="59">
        <v>-5565.59</v>
      </c>
      <c r="J6" s="59">
        <v>-20.8</v>
      </c>
      <c r="K6" s="59">
        <v>0</v>
      </c>
      <c r="L6" s="59">
        <v>0</v>
      </c>
      <c r="M6" s="59">
        <v>-60</v>
      </c>
      <c r="N6" s="59">
        <v>0</v>
      </c>
      <c r="O6" s="59">
        <f>IF(H6+I6&lt;0,SUM(J6:N6),SUM(H6:N6))</f>
        <v>2796.7399999999989</v>
      </c>
      <c r="P6" s="59">
        <v>-2700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f t="shared" si="0"/>
        <v>96.739999999998872</v>
      </c>
      <c r="X6" s="59">
        <f t="shared" si="1"/>
        <v>96.739999999998872</v>
      </c>
      <c r="Y6" s="59">
        <f t="shared" si="2"/>
        <v>0</v>
      </c>
      <c r="Z6" s="59">
        <v>0</v>
      </c>
      <c r="AA6" s="59">
        <f t="shared" si="3"/>
        <v>0</v>
      </c>
      <c r="AB6" s="59">
        <f t="shared" si="4"/>
        <v>2700</v>
      </c>
      <c r="AD6" s="59"/>
      <c r="AE6" s="60"/>
      <c r="AF6" s="59"/>
    </row>
    <row r="7" spans="1:33" x14ac:dyDescent="0.3">
      <c r="A7" s="39">
        <v>1</v>
      </c>
      <c r="B7" s="41" t="s">
        <v>837</v>
      </c>
      <c r="C7" s="50" t="s">
        <v>357</v>
      </c>
      <c r="D7" s="50" t="s">
        <v>1150</v>
      </c>
      <c r="E7" s="50" t="s">
        <v>25</v>
      </c>
      <c r="F7" s="51" t="s">
        <v>25</v>
      </c>
      <c r="G7" s="50" t="s">
        <v>866</v>
      </c>
      <c r="H7" s="59">
        <v>6903.68</v>
      </c>
      <c r="I7" s="59">
        <v>0</v>
      </c>
      <c r="J7" s="59">
        <v>-66.72</v>
      </c>
      <c r="K7" s="59">
        <v>19.579999999999998</v>
      </c>
      <c r="L7" s="59">
        <v>0</v>
      </c>
      <c r="M7" s="59">
        <v>-77</v>
      </c>
      <c r="N7" s="59">
        <v>-89</v>
      </c>
      <c r="O7" s="59">
        <f t="shared" ref="O7:O70" si="5">IF(H7+I7&lt;0,SUM(J7:N7),SUM(H7:N7))</f>
        <v>6690.54</v>
      </c>
      <c r="P7" s="59">
        <v>-2700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f t="shared" si="0"/>
        <v>3990.54</v>
      </c>
      <c r="X7" s="59">
        <f t="shared" si="1"/>
        <v>3990.54</v>
      </c>
      <c r="Y7" s="59">
        <f t="shared" si="2"/>
        <v>0</v>
      </c>
      <c r="Z7" s="59">
        <v>0</v>
      </c>
      <c r="AA7" s="59">
        <f t="shared" si="3"/>
        <v>0</v>
      </c>
      <c r="AB7" s="59">
        <f t="shared" si="4"/>
        <v>2700</v>
      </c>
      <c r="AD7" s="59"/>
      <c r="AE7" s="60"/>
      <c r="AF7" s="59"/>
    </row>
    <row r="8" spans="1:33" x14ac:dyDescent="0.3">
      <c r="A8" s="39">
        <v>1</v>
      </c>
      <c r="B8" s="41" t="s">
        <v>1142</v>
      </c>
      <c r="C8" s="50" t="s">
        <v>101</v>
      </c>
      <c r="D8" s="50" t="s">
        <v>945</v>
      </c>
      <c r="E8" s="50" t="s">
        <v>25</v>
      </c>
      <c r="F8" s="51" t="s">
        <v>25</v>
      </c>
      <c r="G8" s="50" t="s">
        <v>866</v>
      </c>
      <c r="H8" s="59">
        <v>1020.36</v>
      </c>
      <c r="I8" s="59">
        <v>-59.93</v>
      </c>
      <c r="J8" s="59">
        <v>-11.2</v>
      </c>
      <c r="K8" s="59">
        <v>0</v>
      </c>
      <c r="L8" s="59">
        <v>0</v>
      </c>
      <c r="M8" s="59">
        <v>-63</v>
      </c>
      <c r="N8" s="59">
        <v>-71</v>
      </c>
      <c r="O8" s="59">
        <f t="shared" si="5"/>
        <v>815.23</v>
      </c>
      <c r="P8" s="59">
        <v>-2500</v>
      </c>
      <c r="Q8" s="59">
        <v>0</v>
      </c>
      <c r="R8" s="59">
        <v>-500</v>
      </c>
      <c r="S8" s="59">
        <v>0</v>
      </c>
      <c r="T8" s="59">
        <v>0</v>
      </c>
      <c r="U8" s="59">
        <v>0</v>
      </c>
      <c r="V8" s="59">
        <v>0</v>
      </c>
      <c r="W8" s="59">
        <f t="shared" si="0"/>
        <v>-2184.77</v>
      </c>
      <c r="X8" s="59">
        <f t="shared" si="1"/>
        <v>0</v>
      </c>
      <c r="Y8" s="59">
        <f t="shared" si="2"/>
        <v>-2184.77</v>
      </c>
      <c r="Z8" s="59">
        <f>1100+1085</f>
        <v>2185</v>
      </c>
      <c r="AA8" s="59">
        <f t="shared" si="3"/>
        <v>0.23000000000001819</v>
      </c>
      <c r="AB8" s="59">
        <f t="shared" si="4"/>
        <v>3000.46</v>
      </c>
      <c r="AD8" s="60" t="s">
        <v>1256</v>
      </c>
      <c r="AE8" s="60"/>
      <c r="AF8" s="59"/>
    </row>
    <row r="9" spans="1:33" x14ac:dyDescent="0.3">
      <c r="A9" s="39">
        <v>1</v>
      </c>
      <c r="B9" s="41" t="s">
        <v>604</v>
      </c>
      <c r="C9" s="50" t="s">
        <v>605</v>
      </c>
      <c r="D9" s="50" t="s">
        <v>1223</v>
      </c>
      <c r="E9" s="50" t="s">
        <v>25</v>
      </c>
      <c r="F9" s="51" t="s">
        <v>25</v>
      </c>
      <c r="G9" s="50" t="s">
        <v>866</v>
      </c>
      <c r="H9" s="59">
        <v>668.17</v>
      </c>
      <c r="I9" s="59">
        <v>-29.99</v>
      </c>
      <c r="J9" s="59">
        <v>-4.4800000000000004</v>
      </c>
      <c r="K9" s="59">
        <v>0</v>
      </c>
      <c r="L9" s="59">
        <v>0</v>
      </c>
      <c r="M9" s="59">
        <v>-60</v>
      </c>
      <c r="N9" s="59">
        <v>0</v>
      </c>
      <c r="O9" s="59">
        <f t="shared" si="5"/>
        <v>573.69999999999993</v>
      </c>
      <c r="P9" s="59">
        <v>0</v>
      </c>
      <c r="Q9" s="59">
        <v>-737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f t="shared" si="0"/>
        <v>-163.30000000000007</v>
      </c>
      <c r="X9" s="59">
        <f t="shared" si="1"/>
        <v>0</v>
      </c>
      <c r="Y9" s="59">
        <f t="shared" si="2"/>
        <v>-163.30000000000007</v>
      </c>
      <c r="Z9" s="59">
        <v>0</v>
      </c>
      <c r="AA9" s="59">
        <f t="shared" si="3"/>
        <v>-163.30000000000007</v>
      </c>
      <c r="AB9" s="59">
        <f t="shared" si="4"/>
        <v>410.39999999999986</v>
      </c>
      <c r="AD9" s="59" t="s">
        <v>1257</v>
      </c>
      <c r="AE9" s="60"/>
      <c r="AF9" s="59"/>
    </row>
    <row r="10" spans="1:33" x14ac:dyDescent="0.3">
      <c r="A10" s="39">
        <v>1</v>
      </c>
      <c r="B10" s="41" t="s">
        <v>1029</v>
      </c>
      <c r="C10" s="50" t="s">
        <v>68</v>
      </c>
      <c r="D10" s="50" t="s">
        <v>869</v>
      </c>
      <c r="E10" s="50" t="s">
        <v>25</v>
      </c>
      <c r="F10" s="51" t="s">
        <v>25</v>
      </c>
      <c r="G10" s="50" t="s">
        <v>866</v>
      </c>
      <c r="H10" s="59">
        <v>922.84</v>
      </c>
      <c r="I10" s="59">
        <v>0</v>
      </c>
      <c r="J10" s="59">
        <v>-4.4800000000000004</v>
      </c>
      <c r="K10" s="59">
        <v>0</v>
      </c>
      <c r="L10" s="59">
        <v>-8.49</v>
      </c>
      <c r="M10" s="59">
        <v>-60</v>
      </c>
      <c r="N10" s="59">
        <v>0</v>
      </c>
      <c r="O10" s="59">
        <f t="shared" si="5"/>
        <v>849.87</v>
      </c>
      <c r="P10" s="59">
        <v>-357.14285714285717</v>
      </c>
      <c r="Q10" s="59">
        <v>0</v>
      </c>
      <c r="R10" s="59">
        <v>0</v>
      </c>
      <c r="S10" s="59">
        <v>0</v>
      </c>
      <c r="T10" s="59">
        <v>-600</v>
      </c>
      <c r="U10" s="59">
        <v>0</v>
      </c>
      <c r="V10" s="59">
        <v>0</v>
      </c>
      <c r="W10" s="59">
        <f t="shared" si="0"/>
        <v>-107.27285714285716</v>
      </c>
      <c r="X10" s="59">
        <f t="shared" si="1"/>
        <v>0</v>
      </c>
      <c r="Y10" s="59">
        <f t="shared" si="2"/>
        <v>-107.27285714285716</v>
      </c>
      <c r="Z10" s="59">
        <v>0</v>
      </c>
      <c r="AA10" s="59">
        <f t="shared" si="3"/>
        <v>-107.27285714285716</v>
      </c>
      <c r="AB10" s="59">
        <f t="shared" si="4"/>
        <v>742.5971428571429</v>
      </c>
      <c r="AD10" s="59" t="s">
        <v>1258</v>
      </c>
      <c r="AE10" s="60"/>
      <c r="AF10" s="59"/>
    </row>
    <row r="11" spans="1:33" x14ac:dyDescent="0.3">
      <c r="A11" s="39">
        <v>1</v>
      </c>
      <c r="B11" s="41" t="s">
        <v>1141</v>
      </c>
      <c r="C11" s="50" t="s">
        <v>120</v>
      </c>
      <c r="D11" s="50" t="s">
        <v>950</v>
      </c>
      <c r="E11" s="50" t="s">
        <v>25</v>
      </c>
      <c r="F11" s="51" t="s">
        <v>25</v>
      </c>
      <c r="G11" s="50" t="s">
        <v>866</v>
      </c>
      <c r="H11" s="59">
        <v>2560.11</v>
      </c>
      <c r="I11" s="59">
        <v>-491.67</v>
      </c>
      <c r="J11" s="59">
        <v>-16.96</v>
      </c>
      <c r="K11" s="59">
        <v>106.1</v>
      </c>
      <c r="L11" s="59">
        <v>0</v>
      </c>
      <c r="M11" s="59">
        <v>-60</v>
      </c>
      <c r="N11" s="59">
        <v>0</v>
      </c>
      <c r="O11" s="59">
        <f t="shared" si="5"/>
        <v>2097.58</v>
      </c>
      <c r="P11" s="59">
        <v>-2500</v>
      </c>
      <c r="Q11" s="59">
        <v>0</v>
      </c>
      <c r="R11" s="59">
        <v>-500</v>
      </c>
      <c r="S11" s="59">
        <v>0</v>
      </c>
      <c r="T11" s="59">
        <v>0</v>
      </c>
      <c r="U11" s="59">
        <v>0</v>
      </c>
      <c r="V11" s="59">
        <v>0</v>
      </c>
      <c r="W11" s="59">
        <f t="shared" si="0"/>
        <v>-902.42000000000007</v>
      </c>
      <c r="X11" s="59">
        <f t="shared" si="1"/>
        <v>0</v>
      </c>
      <c r="Y11" s="59">
        <f t="shared" si="2"/>
        <v>-902.42000000000007</v>
      </c>
      <c r="Z11" s="59">
        <v>902</v>
      </c>
      <c r="AA11" s="59">
        <f t="shared" si="3"/>
        <v>-0.42000000000007276</v>
      </c>
      <c r="AB11" s="59">
        <f t="shared" si="4"/>
        <v>2999.16</v>
      </c>
      <c r="AD11" s="60" t="s">
        <v>1259</v>
      </c>
      <c r="AE11" s="60"/>
      <c r="AF11" s="59"/>
    </row>
    <row r="12" spans="1:33" x14ac:dyDescent="0.3">
      <c r="A12" s="39">
        <v>1</v>
      </c>
      <c r="B12" s="41" t="s">
        <v>913</v>
      </c>
      <c r="C12" s="50" t="s">
        <v>361</v>
      </c>
      <c r="D12" s="50" t="s">
        <v>1164</v>
      </c>
      <c r="E12" s="50" t="s">
        <v>25</v>
      </c>
      <c r="F12" s="51" t="s">
        <v>25</v>
      </c>
      <c r="G12" s="50" t="s">
        <v>866</v>
      </c>
      <c r="H12" s="59">
        <v>1605.6</v>
      </c>
      <c r="I12" s="59">
        <v>-1702.64</v>
      </c>
      <c r="J12" s="59">
        <v>-9.44</v>
      </c>
      <c r="K12" s="59">
        <v>0</v>
      </c>
      <c r="L12" s="59">
        <v>0</v>
      </c>
      <c r="M12" s="59">
        <v>-86</v>
      </c>
      <c r="N12" s="59">
        <v>-125.49</v>
      </c>
      <c r="O12" s="59">
        <f t="shared" si="5"/>
        <v>-220.93</v>
      </c>
      <c r="P12" s="59">
        <v>-771.42</v>
      </c>
      <c r="Q12" s="59">
        <v>-4976</v>
      </c>
      <c r="R12" s="59">
        <v>0</v>
      </c>
      <c r="S12" s="59">
        <v>0</v>
      </c>
      <c r="T12" s="59">
        <v>-700</v>
      </c>
      <c r="U12" s="59">
        <v>0</v>
      </c>
      <c r="V12" s="59">
        <v>0</v>
      </c>
      <c r="W12" s="59">
        <f t="shared" si="0"/>
        <v>-6668.35</v>
      </c>
      <c r="X12" s="59">
        <f t="shared" si="1"/>
        <v>0</v>
      </c>
      <c r="Y12" s="59">
        <f t="shared" si="2"/>
        <v>-6668.35</v>
      </c>
      <c r="Z12" s="59">
        <f>1000+1300+1000</f>
        <v>3300</v>
      </c>
      <c r="AA12" s="59">
        <f t="shared" si="3"/>
        <v>-3368.3500000000004</v>
      </c>
      <c r="AB12" s="59">
        <f t="shared" si="4"/>
        <v>-289.2800000000002</v>
      </c>
      <c r="AD12" s="61" t="s">
        <v>1260</v>
      </c>
      <c r="AE12" s="60"/>
      <c r="AF12" s="59"/>
    </row>
    <row r="13" spans="1:33" x14ac:dyDescent="0.3">
      <c r="A13" s="39">
        <v>1</v>
      </c>
      <c r="B13" s="41" t="s">
        <v>457</v>
      </c>
      <c r="C13" s="50" t="s">
        <v>672</v>
      </c>
      <c r="D13" s="50" t="s">
        <v>1226</v>
      </c>
      <c r="E13" s="50" t="s">
        <v>25</v>
      </c>
      <c r="F13" s="51" t="s">
        <v>25</v>
      </c>
      <c r="G13" s="50" t="s">
        <v>866</v>
      </c>
      <c r="H13" s="59">
        <v>309.82</v>
      </c>
      <c r="I13" s="59">
        <v>0</v>
      </c>
      <c r="J13" s="59">
        <v>0</v>
      </c>
      <c r="K13" s="59">
        <v>0</v>
      </c>
      <c r="L13" s="59">
        <v>0</v>
      </c>
      <c r="M13" s="59">
        <v>-60</v>
      </c>
      <c r="N13" s="59">
        <v>0</v>
      </c>
      <c r="O13" s="59">
        <f t="shared" si="5"/>
        <v>249.82</v>
      </c>
      <c r="P13" s="59">
        <v>-2500</v>
      </c>
      <c r="Q13" s="59">
        <v>-250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f t="shared" si="0"/>
        <v>-2500.1799999999998</v>
      </c>
      <c r="X13" s="59">
        <f t="shared" si="1"/>
        <v>0</v>
      </c>
      <c r="Y13" s="59">
        <f t="shared" si="2"/>
        <v>-2500.1799999999998</v>
      </c>
      <c r="Z13" s="59">
        <f>610+473+375+400+500+306</f>
        <v>2664</v>
      </c>
      <c r="AA13" s="59">
        <f t="shared" si="3"/>
        <v>163.82000000000016</v>
      </c>
      <c r="AB13" s="59">
        <f t="shared" si="4"/>
        <v>3077.6400000000003</v>
      </c>
      <c r="AD13" s="44" t="s">
        <v>1261</v>
      </c>
      <c r="AE13" s="60"/>
      <c r="AF13" s="59"/>
    </row>
    <row r="14" spans="1:33" x14ac:dyDescent="0.3">
      <c r="A14" s="39">
        <v>1</v>
      </c>
      <c r="B14" s="41" t="s">
        <v>612</v>
      </c>
      <c r="C14" s="50" t="s">
        <v>36</v>
      </c>
      <c r="D14" s="50" t="s">
        <v>904</v>
      </c>
      <c r="E14" s="50" t="s">
        <v>25</v>
      </c>
      <c r="F14" s="51" t="s">
        <v>25</v>
      </c>
      <c r="G14" s="50" t="s">
        <v>866</v>
      </c>
      <c r="H14" s="59">
        <v>4543.72</v>
      </c>
      <c r="I14" s="59">
        <v>-2246.92</v>
      </c>
      <c r="J14" s="59">
        <v>-31.84</v>
      </c>
      <c r="K14" s="59">
        <v>0</v>
      </c>
      <c r="L14" s="59">
        <v>0</v>
      </c>
      <c r="M14" s="59">
        <v>-65</v>
      </c>
      <c r="N14" s="59">
        <v>0</v>
      </c>
      <c r="O14" s="59">
        <f t="shared" si="5"/>
        <v>2199.96</v>
      </c>
      <c r="P14" s="59">
        <v>-2500</v>
      </c>
      <c r="Q14" s="59">
        <v>0</v>
      </c>
      <c r="R14" s="59">
        <v>-500</v>
      </c>
      <c r="S14" s="59">
        <v>0</v>
      </c>
      <c r="T14" s="59">
        <v>0</v>
      </c>
      <c r="U14" s="59">
        <v>0</v>
      </c>
      <c r="V14" s="59">
        <v>0</v>
      </c>
      <c r="W14" s="59">
        <f t="shared" si="0"/>
        <v>-800.04</v>
      </c>
      <c r="X14" s="59">
        <f t="shared" si="1"/>
        <v>0</v>
      </c>
      <c r="Y14" s="59">
        <f t="shared" si="2"/>
        <v>-800.04</v>
      </c>
      <c r="Z14" s="59">
        <v>800</v>
      </c>
      <c r="AA14" s="59">
        <f t="shared" si="3"/>
        <v>-3.999999999996362E-2</v>
      </c>
      <c r="AB14" s="59">
        <f t="shared" si="4"/>
        <v>2999.92</v>
      </c>
      <c r="AD14" s="44" t="s">
        <v>1262</v>
      </c>
      <c r="AE14" s="60"/>
      <c r="AF14" s="59"/>
    </row>
    <row r="15" spans="1:33" x14ac:dyDescent="0.3">
      <c r="A15" s="39">
        <v>1</v>
      </c>
      <c r="B15" s="41" t="s">
        <v>620</v>
      </c>
      <c r="C15" s="50" t="s">
        <v>571</v>
      </c>
      <c r="D15" s="50" t="s">
        <v>974</v>
      </c>
      <c r="E15" s="50" t="s">
        <v>25</v>
      </c>
      <c r="F15" s="51" t="s">
        <v>25</v>
      </c>
      <c r="G15" s="50" t="s">
        <v>866</v>
      </c>
      <c r="H15" s="59">
        <v>95.23</v>
      </c>
      <c r="I15" s="59">
        <v>-80.209999999999994</v>
      </c>
      <c r="J15" s="59">
        <v>0</v>
      </c>
      <c r="K15" s="59">
        <v>0</v>
      </c>
      <c r="L15" s="59">
        <v>0</v>
      </c>
      <c r="M15" s="59">
        <v>-15</v>
      </c>
      <c r="N15" s="59">
        <v>0</v>
      </c>
      <c r="O15" s="59">
        <f>IF(H15+I15&lt;0,SUM(J15:N15),SUM(H15:N15))</f>
        <v>2.0000000000010232E-2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f t="shared" si="0"/>
        <v>2.0000000000010232E-2</v>
      </c>
      <c r="X15" s="59">
        <f t="shared" si="1"/>
        <v>2.0000000000010232E-2</v>
      </c>
      <c r="Y15" s="59">
        <f t="shared" si="2"/>
        <v>0</v>
      </c>
      <c r="Z15" s="59">
        <v>0</v>
      </c>
      <c r="AA15" s="59">
        <f t="shared" si="3"/>
        <v>0</v>
      </c>
      <c r="AB15" s="59">
        <f t="shared" si="4"/>
        <v>0</v>
      </c>
      <c r="AD15" s="59" t="s">
        <v>1263</v>
      </c>
      <c r="AE15" s="60"/>
      <c r="AF15" s="59"/>
    </row>
    <row r="16" spans="1:33" x14ac:dyDescent="0.3">
      <c r="A16" s="39">
        <v>1</v>
      </c>
      <c r="B16" s="41" t="s">
        <v>1153</v>
      </c>
      <c r="C16" s="50" t="s">
        <v>334</v>
      </c>
      <c r="D16" s="50" t="s">
        <v>1169</v>
      </c>
      <c r="E16" s="50" t="s">
        <v>25</v>
      </c>
      <c r="F16" s="51" t="s">
        <v>25</v>
      </c>
      <c r="G16" s="50" t="s">
        <v>866</v>
      </c>
      <c r="H16" s="59">
        <v>5101.6000000000004</v>
      </c>
      <c r="I16" s="59">
        <v>-1716.25</v>
      </c>
      <c r="J16" s="59">
        <v>-23.84</v>
      </c>
      <c r="K16" s="59">
        <v>311.99</v>
      </c>
      <c r="L16" s="59">
        <v>0</v>
      </c>
      <c r="M16" s="59">
        <v>-66.5</v>
      </c>
      <c r="N16" s="59">
        <v>-25.87</v>
      </c>
      <c r="O16" s="59">
        <f t="shared" si="5"/>
        <v>3581.13</v>
      </c>
      <c r="P16" s="59">
        <v>-2500</v>
      </c>
      <c r="Q16" s="59">
        <v>0</v>
      </c>
      <c r="R16" s="59">
        <v>-500</v>
      </c>
      <c r="S16" s="59">
        <v>0</v>
      </c>
      <c r="T16" s="59">
        <v>0</v>
      </c>
      <c r="U16" s="59">
        <v>0</v>
      </c>
      <c r="V16" s="59">
        <v>0</v>
      </c>
      <c r="W16" s="59">
        <f t="shared" si="0"/>
        <v>581.13000000000011</v>
      </c>
      <c r="X16" s="59">
        <f t="shared" si="1"/>
        <v>581.13000000000011</v>
      </c>
      <c r="Y16" s="59">
        <f t="shared" si="2"/>
        <v>0</v>
      </c>
      <c r="Z16" s="59">
        <v>0</v>
      </c>
      <c r="AA16" s="59">
        <f t="shared" si="3"/>
        <v>0</v>
      </c>
      <c r="AB16" s="59">
        <f t="shared" si="4"/>
        <v>3000</v>
      </c>
      <c r="AD16" s="59" t="s">
        <v>1264</v>
      </c>
      <c r="AE16" s="60"/>
      <c r="AF16" s="59"/>
    </row>
    <row r="17" spans="1:32" x14ac:dyDescent="0.3">
      <c r="A17" s="39">
        <v>1</v>
      </c>
      <c r="B17" s="41" t="s">
        <v>1157</v>
      </c>
      <c r="C17" s="50" t="s">
        <v>1265</v>
      </c>
      <c r="D17" s="50" t="s">
        <v>912</v>
      </c>
      <c r="E17" s="50" t="s">
        <v>25</v>
      </c>
      <c r="F17" s="51" t="s">
        <v>25</v>
      </c>
      <c r="G17" s="50" t="s">
        <v>866</v>
      </c>
      <c r="H17" s="59">
        <v>10752.02</v>
      </c>
      <c r="I17" s="59">
        <v>-5054.1899999999996</v>
      </c>
      <c r="J17" s="59">
        <v>-36.479999999999997</v>
      </c>
      <c r="K17" s="59">
        <v>0</v>
      </c>
      <c r="L17" s="59">
        <v>0</v>
      </c>
      <c r="M17" s="59">
        <v>-65</v>
      </c>
      <c r="N17" s="59">
        <v>0</v>
      </c>
      <c r="O17" s="59">
        <f t="shared" si="5"/>
        <v>5596.3500000000013</v>
      </c>
      <c r="P17" s="59">
        <f>-357.14-2314.28</f>
        <v>-2671.42</v>
      </c>
      <c r="Q17" s="59">
        <v>0</v>
      </c>
      <c r="R17" s="59">
        <v>-500</v>
      </c>
      <c r="S17" s="59">
        <v>0</v>
      </c>
      <c r="T17" s="59">
        <v>0</v>
      </c>
      <c r="U17" s="59">
        <v>0</v>
      </c>
      <c r="V17" s="59">
        <v>0</v>
      </c>
      <c r="W17" s="59">
        <f t="shared" si="0"/>
        <v>2424.9300000000012</v>
      </c>
      <c r="X17" s="59">
        <f t="shared" si="1"/>
        <v>2424.9300000000012</v>
      </c>
      <c r="Y17" s="59">
        <f t="shared" si="2"/>
        <v>0</v>
      </c>
      <c r="Z17" s="59">
        <v>0</v>
      </c>
      <c r="AA17" s="59">
        <f t="shared" si="3"/>
        <v>0</v>
      </c>
      <c r="AB17" s="59">
        <f t="shared" si="4"/>
        <v>3171.42</v>
      </c>
      <c r="AD17" s="59" t="s">
        <v>1266</v>
      </c>
      <c r="AE17" s="60"/>
      <c r="AF17" s="59"/>
    </row>
    <row r="18" spans="1:32" x14ac:dyDescent="0.3">
      <c r="A18" s="39">
        <v>1</v>
      </c>
      <c r="B18" s="41" t="s">
        <v>1190</v>
      </c>
      <c r="C18" s="50" t="s">
        <v>46</v>
      </c>
      <c r="D18" s="50" t="s">
        <v>915</v>
      </c>
      <c r="E18" s="50" t="s">
        <v>25</v>
      </c>
      <c r="F18" s="51" t="s">
        <v>25</v>
      </c>
      <c r="G18" s="50" t="s">
        <v>866</v>
      </c>
      <c r="H18" s="59">
        <v>2245.2600000000002</v>
      </c>
      <c r="I18" s="59">
        <v>-363.75</v>
      </c>
      <c r="J18" s="59">
        <v>0</v>
      </c>
      <c r="K18" s="59">
        <v>0</v>
      </c>
      <c r="L18" s="59">
        <v>-24.09</v>
      </c>
      <c r="M18" s="59">
        <v>-140</v>
      </c>
      <c r="N18" s="59">
        <v>-378.18</v>
      </c>
      <c r="O18" s="59">
        <f t="shared" si="5"/>
        <v>1339.2400000000002</v>
      </c>
      <c r="P18" s="59">
        <v>-2500</v>
      </c>
      <c r="Q18" s="59">
        <v>-627</v>
      </c>
      <c r="R18" s="59">
        <v>-500</v>
      </c>
      <c r="S18" s="59">
        <v>0</v>
      </c>
      <c r="T18" s="59">
        <v>0</v>
      </c>
      <c r="U18" s="59">
        <v>0</v>
      </c>
      <c r="V18" s="59">
        <v>0</v>
      </c>
      <c r="W18" s="59">
        <f t="shared" si="0"/>
        <v>-2287.7599999999998</v>
      </c>
      <c r="X18" s="59">
        <f t="shared" si="1"/>
        <v>0</v>
      </c>
      <c r="Y18" s="59">
        <f t="shared" si="2"/>
        <v>-2287.7599999999998</v>
      </c>
      <c r="Z18" s="59">
        <v>1800</v>
      </c>
      <c r="AA18" s="59">
        <f t="shared" si="3"/>
        <v>-487.75999999999976</v>
      </c>
      <c r="AB18" s="59">
        <f t="shared" si="4"/>
        <v>2651.4800000000005</v>
      </c>
      <c r="AD18" s="60" t="s">
        <v>1267</v>
      </c>
      <c r="AE18" s="60"/>
      <c r="AF18" s="59"/>
    </row>
    <row r="19" spans="1:32" x14ac:dyDescent="0.3">
      <c r="A19" s="39">
        <v>1</v>
      </c>
      <c r="B19" s="41" t="s">
        <v>484</v>
      </c>
      <c r="C19" s="50" t="s">
        <v>1065</v>
      </c>
      <c r="D19" s="50" t="s">
        <v>1159</v>
      </c>
      <c r="E19" s="50" t="s">
        <v>25</v>
      </c>
      <c r="F19" s="51" t="s">
        <v>25</v>
      </c>
      <c r="G19" s="50" t="s">
        <v>866</v>
      </c>
      <c r="H19" s="59">
        <v>7594.7</v>
      </c>
      <c r="I19" s="59">
        <v>-3449.65</v>
      </c>
      <c r="J19" s="59">
        <v>-36.479999999999997</v>
      </c>
      <c r="K19" s="59">
        <v>0</v>
      </c>
      <c r="L19" s="59">
        <v>0</v>
      </c>
      <c r="M19" s="59">
        <v>-65</v>
      </c>
      <c r="N19" s="59">
        <v>0</v>
      </c>
      <c r="O19" s="59">
        <f t="shared" si="5"/>
        <v>4043.5699999999997</v>
      </c>
      <c r="P19" s="59">
        <v>-1250</v>
      </c>
      <c r="Q19" s="59">
        <v>-360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f t="shared" si="0"/>
        <v>2433.5699999999997</v>
      </c>
      <c r="X19" s="59">
        <f t="shared" si="1"/>
        <v>2433.5699999999997</v>
      </c>
      <c r="Y19" s="59">
        <f t="shared" si="2"/>
        <v>0</v>
      </c>
      <c r="Z19" s="59">
        <v>0</v>
      </c>
      <c r="AA19" s="59">
        <f t="shared" si="3"/>
        <v>0</v>
      </c>
      <c r="AB19" s="59">
        <f t="shared" si="4"/>
        <v>1610</v>
      </c>
      <c r="AD19" s="59" t="s">
        <v>1268</v>
      </c>
      <c r="AE19" s="60"/>
      <c r="AF19" s="59"/>
    </row>
    <row r="20" spans="1:32" x14ac:dyDescent="0.3">
      <c r="A20" s="39">
        <v>1</v>
      </c>
      <c r="B20" s="41" t="s">
        <v>408</v>
      </c>
      <c r="C20" s="50" t="s">
        <v>563</v>
      </c>
      <c r="D20" s="50" t="s">
        <v>1230</v>
      </c>
      <c r="E20" s="50" t="s">
        <v>25</v>
      </c>
      <c r="F20" s="51" t="s">
        <v>25</v>
      </c>
      <c r="G20" s="50" t="s">
        <v>866</v>
      </c>
      <c r="H20" s="59">
        <v>7690.57</v>
      </c>
      <c r="I20" s="59">
        <v>-3610.68</v>
      </c>
      <c r="J20" s="59">
        <v>-76.959999999999994</v>
      </c>
      <c r="K20" s="59">
        <v>0</v>
      </c>
      <c r="L20" s="59">
        <v>0</v>
      </c>
      <c r="M20" s="59">
        <v>-65</v>
      </c>
      <c r="N20" s="59">
        <v>0</v>
      </c>
      <c r="O20" s="59">
        <f t="shared" si="5"/>
        <v>3937.93</v>
      </c>
      <c r="P20" s="59">
        <v>-2500</v>
      </c>
      <c r="Q20" s="59">
        <v>-210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f t="shared" si="0"/>
        <v>1227.9299999999998</v>
      </c>
      <c r="X20" s="59">
        <f t="shared" si="1"/>
        <v>1227.9299999999998</v>
      </c>
      <c r="Y20" s="59">
        <f t="shared" si="2"/>
        <v>0</v>
      </c>
      <c r="Z20" s="59">
        <v>0</v>
      </c>
      <c r="AA20" s="59">
        <f t="shared" si="3"/>
        <v>0</v>
      </c>
      <c r="AB20" s="59">
        <f t="shared" si="4"/>
        <v>2710</v>
      </c>
      <c r="AD20" s="59"/>
      <c r="AE20" s="60"/>
      <c r="AF20" s="59"/>
    </row>
    <row r="21" spans="1:32" x14ac:dyDescent="0.3">
      <c r="A21" s="39">
        <v>1</v>
      </c>
      <c r="B21" s="41" t="s">
        <v>1196</v>
      </c>
      <c r="C21" s="50" t="s">
        <v>409</v>
      </c>
      <c r="D21" s="50" t="s">
        <v>946</v>
      </c>
      <c r="E21" s="50" t="s">
        <v>25</v>
      </c>
      <c r="F21" s="51" t="s">
        <v>25</v>
      </c>
      <c r="G21" s="50" t="s">
        <v>866</v>
      </c>
      <c r="H21" s="59">
        <v>2373.0100000000002</v>
      </c>
      <c r="I21" s="59">
        <v>-218.08</v>
      </c>
      <c r="J21" s="59">
        <v>0</v>
      </c>
      <c r="K21" s="59">
        <v>0</v>
      </c>
      <c r="L21" s="59">
        <v>0</v>
      </c>
      <c r="M21" s="59">
        <v>-60</v>
      </c>
      <c r="N21" s="59">
        <v>0</v>
      </c>
      <c r="O21" s="59">
        <f t="shared" si="5"/>
        <v>2094.9300000000003</v>
      </c>
      <c r="P21" s="59">
        <v>-2500</v>
      </c>
      <c r="Q21" s="59">
        <v>0</v>
      </c>
      <c r="R21" s="59">
        <v>-500</v>
      </c>
      <c r="S21" s="59">
        <v>0</v>
      </c>
      <c r="T21" s="59">
        <v>0</v>
      </c>
      <c r="U21" s="59">
        <v>0</v>
      </c>
      <c r="V21" s="59">
        <v>0</v>
      </c>
      <c r="W21" s="59">
        <f t="shared" si="0"/>
        <v>-905.06999999999971</v>
      </c>
      <c r="X21" s="59">
        <f t="shared" si="1"/>
        <v>0</v>
      </c>
      <c r="Y21" s="59">
        <f t="shared" si="2"/>
        <v>-905.06999999999971</v>
      </c>
      <c r="Z21" s="59">
        <v>605</v>
      </c>
      <c r="AA21" s="59">
        <f t="shared" si="3"/>
        <v>-300.06999999999971</v>
      </c>
      <c r="AB21" s="59">
        <f t="shared" si="4"/>
        <v>2399.8600000000006</v>
      </c>
      <c r="AD21" s="59" t="s">
        <v>1269</v>
      </c>
      <c r="AE21" s="60"/>
      <c r="AF21" s="59"/>
    </row>
    <row r="22" spans="1:32" x14ac:dyDescent="0.3">
      <c r="A22" s="39">
        <v>1</v>
      </c>
      <c r="B22" s="41" t="s">
        <v>749</v>
      </c>
      <c r="C22" s="50" t="s">
        <v>104</v>
      </c>
      <c r="D22" s="50" t="s">
        <v>881</v>
      </c>
      <c r="E22" s="50" t="s">
        <v>25</v>
      </c>
      <c r="F22" s="51" t="s">
        <v>25</v>
      </c>
      <c r="G22" s="50" t="s">
        <v>866</v>
      </c>
      <c r="H22" s="59">
        <v>3703.3</v>
      </c>
      <c r="I22" s="59">
        <v>-2282.87</v>
      </c>
      <c r="J22" s="59">
        <v>0</v>
      </c>
      <c r="K22" s="59">
        <v>0</v>
      </c>
      <c r="L22" s="59">
        <v>0</v>
      </c>
      <c r="M22" s="59">
        <v>-60</v>
      </c>
      <c r="N22" s="59">
        <v>0</v>
      </c>
      <c r="O22" s="59">
        <f t="shared" si="5"/>
        <v>1360.4300000000003</v>
      </c>
      <c r="P22" s="59">
        <v>-1360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f t="shared" si="0"/>
        <v>0.43000000000029104</v>
      </c>
      <c r="X22" s="59">
        <f t="shared" si="1"/>
        <v>0.43000000000029104</v>
      </c>
      <c r="Y22" s="59">
        <f t="shared" si="2"/>
        <v>0</v>
      </c>
      <c r="Z22" s="59">
        <v>0</v>
      </c>
      <c r="AA22" s="59">
        <f t="shared" si="3"/>
        <v>0</v>
      </c>
      <c r="AB22" s="59">
        <f t="shared" si="4"/>
        <v>1360</v>
      </c>
      <c r="AD22" s="59" t="s">
        <v>1270</v>
      </c>
      <c r="AE22" s="60"/>
      <c r="AF22" s="59"/>
    </row>
    <row r="23" spans="1:32" x14ac:dyDescent="0.3">
      <c r="A23" s="39">
        <v>1</v>
      </c>
      <c r="B23" s="41" t="s">
        <v>747</v>
      </c>
      <c r="C23" s="50" t="s">
        <v>152</v>
      </c>
      <c r="D23" s="50" t="s">
        <v>1108</v>
      </c>
      <c r="E23" s="50" t="s">
        <v>871</v>
      </c>
      <c r="F23" s="51" t="s">
        <v>25</v>
      </c>
      <c r="G23" s="50" t="s">
        <v>866</v>
      </c>
      <c r="H23" s="59">
        <v>1577.88</v>
      </c>
      <c r="I23" s="59">
        <v>0</v>
      </c>
      <c r="J23" s="59">
        <v>-9.2799999999999994</v>
      </c>
      <c r="K23" s="59">
        <v>0</v>
      </c>
      <c r="L23" s="59">
        <v>0</v>
      </c>
      <c r="M23" s="59">
        <v>-65</v>
      </c>
      <c r="N23" s="59">
        <v>0</v>
      </c>
      <c r="O23" s="59">
        <f t="shared" si="5"/>
        <v>1503.6000000000001</v>
      </c>
      <c r="P23" s="59">
        <v>-2500</v>
      </c>
      <c r="Q23" s="59">
        <v>-76</v>
      </c>
      <c r="R23" s="59">
        <v>-500</v>
      </c>
      <c r="S23" s="59">
        <v>0</v>
      </c>
      <c r="T23" s="59">
        <v>0</v>
      </c>
      <c r="U23" s="59">
        <v>0</v>
      </c>
      <c r="V23" s="59">
        <v>0</v>
      </c>
      <c r="W23" s="59">
        <f t="shared" si="0"/>
        <v>-1572.3999999999999</v>
      </c>
      <c r="X23" s="59">
        <f t="shared" si="1"/>
        <v>0</v>
      </c>
      <c r="Y23" s="59">
        <f t="shared" si="2"/>
        <v>-1572.3999999999999</v>
      </c>
      <c r="Z23" s="59">
        <f>1000+500</f>
        <v>1500</v>
      </c>
      <c r="AA23" s="59">
        <f t="shared" si="3"/>
        <v>-72.399999999999864</v>
      </c>
      <c r="AB23" s="59">
        <f t="shared" si="4"/>
        <v>2931.2000000000007</v>
      </c>
      <c r="AD23" s="44" t="s">
        <v>1271</v>
      </c>
      <c r="AE23" s="60"/>
      <c r="AF23" s="59"/>
    </row>
    <row r="24" spans="1:32" x14ac:dyDescent="0.3">
      <c r="A24" s="39">
        <v>1</v>
      </c>
      <c r="B24" s="41" t="s">
        <v>880</v>
      </c>
      <c r="C24" s="50" t="s">
        <v>183</v>
      </c>
      <c r="D24" s="50" t="s">
        <v>887</v>
      </c>
      <c r="E24" s="50" t="s">
        <v>25</v>
      </c>
      <c r="F24" s="51" t="s">
        <v>25</v>
      </c>
      <c r="G24" s="50" t="s">
        <v>866</v>
      </c>
      <c r="H24" s="59">
        <v>2073.67</v>
      </c>
      <c r="I24" s="59">
        <v>-619.58000000000004</v>
      </c>
      <c r="J24" s="59">
        <v>-14.4</v>
      </c>
      <c r="K24" s="59">
        <v>0</v>
      </c>
      <c r="L24" s="59">
        <v>0</v>
      </c>
      <c r="M24" s="59">
        <v>-11</v>
      </c>
      <c r="N24" s="59">
        <v>0</v>
      </c>
      <c r="O24" s="59">
        <f t="shared" si="5"/>
        <v>1428.69</v>
      </c>
      <c r="P24" s="59">
        <v>-1428.57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f t="shared" si="0"/>
        <v>0.12000000000011823</v>
      </c>
      <c r="X24" s="59">
        <f t="shared" si="1"/>
        <v>0.12000000000011823</v>
      </c>
      <c r="Y24" s="59">
        <f t="shared" si="2"/>
        <v>0</v>
      </c>
      <c r="Z24" s="59">
        <v>0</v>
      </c>
      <c r="AA24" s="59">
        <f t="shared" si="3"/>
        <v>0</v>
      </c>
      <c r="AB24" s="59">
        <f t="shared" si="4"/>
        <v>1428.57</v>
      </c>
      <c r="AD24" s="59" t="s">
        <v>1272</v>
      </c>
      <c r="AE24" s="60"/>
      <c r="AF24" s="59"/>
    </row>
    <row r="25" spans="1:32" x14ac:dyDescent="0.3">
      <c r="A25" s="39">
        <v>1</v>
      </c>
      <c r="B25" s="41" t="s">
        <v>1120</v>
      </c>
      <c r="C25" s="50" t="s">
        <v>1273</v>
      </c>
      <c r="D25" s="50" t="s">
        <v>912</v>
      </c>
      <c r="E25" s="50" t="s">
        <v>25</v>
      </c>
      <c r="F25" s="51" t="s">
        <v>25</v>
      </c>
      <c r="G25" s="50" t="s">
        <v>866</v>
      </c>
      <c r="H25" s="59">
        <v>3451.27</v>
      </c>
      <c r="I25" s="59">
        <v>-1775.14</v>
      </c>
      <c r="J25" s="59">
        <v>-16.96</v>
      </c>
      <c r="K25" s="59">
        <v>127.04</v>
      </c>
      <c r="L25" s="59">
        <v>-42.97</v>
      </c>
      <c r="M25" s="59">
        <v>-65</v>
      </c>
      <c r="N25" s="59">
        <v>0</v>
      </c>
      <c r="O25" s="59">
        <f t="shared" si="5"/>
        <v>1678.2399999999998</v>
      </c>
      <c r="P25" s="59">
        <f>-357.14-2314.28</f>
        <v>-2671.42</v>
      </c>
      <c r="Q25" s="59">
        <v>0</v>
      </c>
      <c r="R25" s="59">
        <v>-500</v>
      </c>
      <c r="S25" s="59">
        <v>0</v>
      </c>
      <c r="T25" s="59">
        <v>0</v>
      </c>
      <c r="U25" s="59">
        <v>0</v>
      </c>
      <c r="V25" s="59">
        <v>0</v>
      </c>
      <c r="W25" s="59">
        <f t="shared" si="0"/>
        <v>-1493.1800000000003</v>
      </c>
      <c r="X25" s="59">
        <f t="shared" si="1"/>
        <v>0</v>
      </c>
      <c r="Y25" s="59">
        <f t="shared" si="2"/>
        <v>-1493.1800000000003</v>
      </c>
      <c r="Z25" s="59">
        <v>0</v>
      </c>
      <c r="AA25" s="59">
        <f t="shared" si="3"/>
        <v>-1493.1800000000003</v>
      </c>
      <c r="AB25" s="59">
        <f t="shared" si="4"/>
        <v>185.05999999999949</v>
      </c>
      <c r="AD25" s="59" t="s">
        <v>1274</v>
      </c>
      <c r="AE25" s="60"/>
      <c r="AF25" s="59"/>
    </row>
    <row r="26" spans="1:32" x14ac:dyDescent="0.3">
      <c r="A26" s="39">
        <v>1</v>
      </c>
      <c r="B26" s="41" t="s">
        <v>515</v>
      </c>
      <c r="C26" s="50" t="s">
        <v>347</v>
      </c>
      <c r="D26" s="50" t="s">
        <v>1122</v>
      </c>
      <c r="E26" s="50" t="s">
        <v>25</v>
      </c>
      <c r="F26" s="51" t="s">
        <v>25</v>
      </c>
      <c r="G26" s="50" t="s">
        <v>866</v>
      </c>
      <c r="H26" s="59">
        <v>7279.62</v>
      </c>
      <c r="I26" s="59">
        <v>-277.08</v>
      </c>
      <c r="J26" s="59">
        <v>-42.02</v>
      </c>
      <c r="K26" s="59">
        <v>-5.32</v>
      </c>
      <c r="L26" s="59">
        <v>0</v>
      </c>
      <c r="M26" s="59">
        <v>-65</v>
      </c>
      <c r="N26" s="59">
        <v>0</v>
      </c>
      <c r="O26" s="59">
        <f t="shared" si="5"/>
        <v>6890.2</v>
      </c>
      <c r="P26" s="59">
        <v>-2500</v>
      </c>
      <c r="Q26" s="59">
        <v>0</v>
      </c>
      <c r="R26" s="59">
        <v>0</v>
      </c>
      <c r="S26" s="59">
        <v>0</v>
      </c>
      <c r="T26" s="59">
        <v>-700</v>
      </c>
      <c r="U26" s="59">
        <v>0</v>
      </c>
      <c r="V26" s="59">
        <v>0</v>
      </c>
      <c r="W26" s="59">
        <f t="shared" si="0"/>
        <v>3690.2</v>
      </c>
      <c r="X26" s="59">
        <f t="shared" si="1"/>
        <v>3690.2</v>
      </c>
      <c r="Y26" s="59">
        <f t="shared" si="2"/>
        <v>0</v>
      </c>
      <c r="Z26" s="59">
        <v>0</v>
      </c>
      <c r="AA26" s="59">
        <f t="shared" si="3"/>
        <v>0</v>
      </c>
      <c r="AB26" s="59">
        <f t="shared" si="4"/>
        <v>3200</v>
      </c>
      <c r="AD26" s="59" t="s">
        <v>1275</v>
      </c>
      <c r="AE26" s="60"/>
      <c r="AF26" s="59"/>
    </row>
    <row r="27" spans="1:32" x14ac:dyDescent="0.3">
      <c r="A27" s="39">
        <v>1</v>
      </c>
      <c r="B27" s="41" t="s">
        <v>1088</v>
      </c>
      <c r="C27" s="50" t="s">
        <v>257</v>
      </c>
      <c r="D27" s="50" t="s">
        <v>943</v>
      </c>
      <c r="E27" s="50" t="s">
        <v>25</v>
      </c>
      <c r="F27" s="51" t="s">
        <v>25</v>
      </c>
      <c r="G27" s="50" t="s">
        <v>866</v>
      </c>
      <c r="H27" s="59">
        <v>2853.66</v>
      </c>
      <c r="I27" s="59">
        <v>-428.05</v>
      </c>
      <c r="J27" s="59">
        <v>-34.56</v>
      </c>
      <c r="K27" s="59">
        <v>0</v>
      </c>
      <c r="L27" s="59">
        <v>-23.35</v>
      </c>
      <c r="M27" s="59">
        <v>-60</v>
      </c>
      <c r="N27" s="59">
        <v>0</v>
      </c>
      <c r="O27" s="59">
        <f t="shared" si="5"/>
        <v>2307.6999999999998</v>
      </c>
      <c r="P27" s="59">
        <v>-2500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f t="shared" si="0"/>
        <v>-192.30000000000018</v>
      </c>
      <c r="X27" s="59">
        <f t="shared" si="1"/>
        <v>0</v>
      </c>
      <c r="Y27" s="59">
        <f t="shared" si="2"/>
        <v>-192.30000000000018</v>
      </c>
      <c r="Z27" s="59">
        <v>192</v>
      </c>
      <c r="AA27" s="59">
        <f t="shared" si="3"/>
        <v>-0.3000000000001819</v>
      </c>
      <c r="AB27" s="59">
        <f t="shared" si="4"/>
        <v>2499.3999999999996</v>
      </c>
      <c r="AD27" s="59" t="s">
        <v>1276</v>
      </c>
      <c r="AE27" s="60"/>
      <c r="AF27" s="59"/>
    </row>
    <row r="28" spans="1:32" x14ac:dyDescent="0.3">
      <c r="A28" s="39">
        <v>1</v>
      </c>
      <c r="B28" s="41" t="s">
        <v>1143</v>
      </c>
      <c r="C28" s="50" t="s">
        <v>64</v>
      </c>
      <c r="D28" s="50" t="s">
        <v>949</v>
      </c>
      <c r="E28" s="50" t="s">
        <v>25</v>
      </c>
      <c r="F28" s="51" t="s">
        <v>25</v>
      </c>
      <c r="G28" s="50" t="s">
        <v>866</v>
      </c>
      <c r="H28" s="59">
        <v>5549.21</v>
      </c>
      <c r="I28" s="59">
        <v>-1856.39</v>
      </c>
      <c r="J28" s="59">
        <v>-18.88</v>
      </c>
      <c r="K28" s="59">
        <v>0</v>
      </c>
      <c r="L28" s="59">
        <v>0</v>
      </c>
      <c r="M28" s="59">
        <v>-65</v>
      </c>
      <c r="N28" s="59">
        <v>0</v>
      </c>
      <c r="O28" s="59">
        <f t="shared" si="5"/>
        <v>3608.9399999999996</v>
      </c>
      <c r="P28" s="59">
        <v>-2500</v>
      </c>
      <c r="Q28" s="59">
        <v>0</v>
      </c>
      <c r="R28" s="59">
        <v>-500</v>
      </c>
      <c r="S28" s="59">
        <v>0</v>
      </c>
      <c r="T28" s="59">
        <v>0</v>
      </c>
      <c r="U28" s="59">
        <v>-1000</v>
      </c>
      <c r="V28" s="59">
        <v>0</v>
      </c>
      <c r="W28" s="59">
        <f t="shared" si="0"/>
        <v>-391.0600000000004</v>
      </c>
      <c r="X28" s="59">
        <f t="shared" si="1"/>
        <v>0</v>
      </c>
      <c r="Y28" s="59">
        <f t="shared" si="2"/>
        <v>-391.0600000000004</v>
      </c>
      <c r="Z28" s="59">
        <v>391</v>
      </c>
      <c r="AA28" s="59">
        <f t="shared" si="3"/>
        <v>-6.0000000000400178E-2</v>
      </c>
      <c r="AB28" s="59">
        <f t="shared" si="4"/>
        <v>3999.8799999999992</v>
      </c>
      <c r="AD28" s="59" t="s">
        <v>1277</v>
      </c>
      <c r="AE28" s="60"/>
      <c r="AF28" s="59"/>
    </row>
    <row r="29" spans="1:32" x14ac:dyDescent="0.3">
      <c r="A29" s="39">
        <v>1</v>
      </c>
      <c r="B29" s="41" t="s">
        <v>1003</v>
      </c>
      <c r="C29" s="50" t="s">
        <v>169</v>
      </c>
      <c r="D29" s="50" t="s">
        <v>967</v>
      </c>
      <c r="E29" s="50" t="s">
        <v>871</v>
      </c>
      <c r="F29" s="51" t="s">
        <v>39</v>
      </c>
      <c r="G29" s="50" t="s">
        <v>866</v>
      </c>
      <c r="H29" s="59">
        <v>1169.28</v>
      </c>
      <c r="I29" s="59">
        <v>-370.52</v>
      </c>
      <c r="J29" s="59">
        <v>-4.4800000000000004</v>
      </c>
      <c r="K29" s="59">
        <v>0</v>
      </c>
      <c r="L29" s="59">
        <v>0</v>
      </c>
      <c r="M29" s="59">
        <v>-65</v>
      </c>
      <c r="N29" s="59">
        <v>0</v>
      </c>
      <c r="O29" s="59">
        <f t="shared" si="5"/>
        <v>729.28</v>
      </c>
      <c r="P29" s="59">
        <v>-2500</v>
      </c>
      <c r="Q29" s="59">
        <v>871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f t="shared" si="0"/>
        <v>-899.72</v>
      </c>
      <c r="X29" s="59">
        <f t="shared" si="1"/>
        <v>0</v>
      </c>
      <c r="Y29" s="59">
        <f t="shared" si="2"/>
        <v>-899.72</v>
      </c>
      <c r="Z29" s="59">
        <v>900</v>
      </c>
      <c r="AA29" s="59">
        <f t="shared" si="3"/>
        <v>0.27999999999997272</v>
      </c>
      <c r="AB29" s="59">
        <f t="shared" si="4"/>
        <v>1629.56</v>
      </c>
      <c r="AD29" s="59" t="s">
        <v>1278</v>
      </c>
      <c r="AE29" s="60"/>
      <c r="AF29" s="59"/>
    </row>
    <row r="30" spans="1:32" x14ac:dyDescent="0.3">
      <c r="A30" s="39">
        <v>1</v>
      </c>
      <c r="B30" s="41" t="s">
        <v>1013</v>
      </c>
      <c r="C30" s="50" t="s">
        <v>101</v>
      </c>
      <c r="D30" s="50" t="s">
        <v>945</v>
      </c>
      <c r="E30" s="50" t="s">
        <v>25</v>
      </c>
      <c r="F30" s="51" t="s">
        <v>25</v>
      </c>
      <c r="G30" s="50" t="s">
        <v>866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f t="shared" si="5"/>
        <v>0</v>
      </c>
      <c r="P30" s="59">
        <v>0</v>
      </c>
      <c r="Q30" s="59">
        <v>0</v>
      </c>
      <c r="R30" s="59">
        <v>500</v>
      </c>
      <c r="S30" s="59">
        <v>0</v>
      </c>
      <c r="T30" s="59">
        <v>0</v>
      </c>
      <c r="U30" s="59">
        <v>0</v>
      </c>
      <c r="V30" s="59">
        <v>0</v>
      </c>
      <c r="W30" s="59">
        <f t="shared" si="0"/>
        <v>500</v>
      </c>
      <c r="X30" s="59">
        <f t="shared" si="1"/>
        <v>500</v>
      </c>
      <c r="Y30" s="59">
        <f t="shared" si="2"/>
        <v>0</v>
      </c>
      <c r="Z30" s="59">
        <v>0</v>
      </c>
      <c r="AA30" s="59">
        <f t="shared" si="3"/>
        <v>0</v>
      </c>
      <c r="AB30" s="59">
        <f t="shared" si="4"/>
        <v>-500</v>
      </c>
      <c r="AD30" s="59" t="s">
        <v>1279</v>
      </c>
      <c r="AE30" s="60"/>
      <c r="AF30" s="59"/>
    </row>
    <row r="31" spans="1:32" x14ac:dyDescent="0.3">
      <c r="A31" s="39">
        <v>1</v>
      </c>
      <c r="B31" s="41" t="s">
        <v>1280</v>
      </c>
      <c r="C31" s="50" t="s">
        <v>55</v>
      </c>
      <c r="D31" s="50" t="s">
        <v>1168</v>
      </c>
      <c r="E31" s="143" t="s">
        <v>25</v>
      </c>
      <c r="F31" s="143" t="s">
        <v>39</v>
      </c>
      <c r="G31" s="50" t="s">
        <v>866</v>
      </c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f t="shared" si="5"/>
        <v>0</v>
      </c>
      <c r="P31" s="59">
        <v>0</v>
      </c>
      <c r="Q31" s="59">
        <v>0</v>
      </c>
      <c r="R31" s="59">
        <v>500</v>
      </c>
      <c r="S31" s="59">
        <v>0</v>
      </c>
      <c r="T31" s="59">
        <v>0</v>
      </c>
      <c r="U31" s="59">
        <v>0</v>
      </c>
      <c r="V31" s="59">
        <v>0</v>
      </c>
      <c r="W31" s="59">
        <f t="shared" si="0"/>
        <v>500</v>
      </c>
      <c r="X31" s="59">
        <f t="shared" si="1"/>
        <v>500</v>
      </c>
      <c r="Y31" s="59">
        <f t="shared" si="2"/>
        <v>0</v>
      </c>
      <c r="Z31" s="59">
        <v>0</v>
      </c>
      <c r="AA31" s="59">
        <f t="shared" si="3"/>
        <v>0</v>
      </c>
      <c r="AB31" s="59">
        <f t="shared" si="4"/>
        <v>-500</v>
      </c>
      <c r="AD31" s="59" t="s">
        <v>1281</v>
      </c>
      <c r="AE31" s="60"/>
      <c r="AF31" s="59"/>
    </row>
    <row r="32" spans="1:32" x14ac:dyDescent="0.3">
      <c r="A32" s="39">
        <v>1</v>
      </c>
      <c r="B32" s="41" t="s">
        <v>1106</v>
      </c>
      <c r="C32" s="50" t="s">
        <v>36</v>
      </c>
      <c r="D32" s="50" t="s">
        <v>904</v>
      </c>
      <c r="E32" s="50" t="s">
        <v>25</v>
      </c>
      <c r="F32" s="51" t="s">
        <v>25</v>
      </c>
      <c r="G32" s="50" t="s">
        <v>866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f t="shared" si="5"/>
        <v>0</v>
      </c>
      <c r="P32" s="59">
        <v>0</v>
      </c>
      <c r="Q32" s="59">
        <v>0</v>
      </c>
      <c r="R32" s="59">
        <v>500</v>
      </c>
      <c r="S32" s="59">
        <v>0</v>
      </c>
      <c r="T32" s="59">
        <v>0</v>
      </c>
      <c r="U32" s="59">
        <v>0</v>
      </c>
      <c r="V32" s="59">
        <v>0</v>
      </c>
      <c r="W32" s="59">
        <f t="shared" si="0"/>
        <v>500</v>
      </c>
      <c r="X32" s="59">
        <f t="shared" si="1"/>
        <v>500</v>
      </c>
      <c r="Y32" s="59">
        <f t="shared" si="2"/>
        <v>0</v>
      </c>
      <c r="Z32" s="59">
        <v>0</v>
      </c>
      <c r="AA32" s="59">
        <f t="shared" si="3"/>
        <v>0</v>
      </c>
      <c r="AB32" s="59">
        <f t="shared" si="4"/>
        <v>-500</v>
      </c>
      <c r="AD32" s="59" t="s">
        <v>1282</v>
      </c>
      <c r="AE32" s="60"/>
      <c r="AF32" s="59"/>
    </row>
    <row r="33" spans="1:32" x14ac:dyDescent="0.3">
      <c r="A33" s="39">
        <v>1</v>
      </c>
      <c r="B33" s="41" t="s">
        <v>1067</v>
      </c>
      <c r="C33" s="50" t="s">
        <v>46</v>
      </c>
      <c r="D33" s="50" t="s">
        <v>915</v>
      </c>
      <c r="E33" s="50" t="s">
        <v>25</v>
      </c>
      <c r="F33" s="51" t="s">
        <v>25</v>
      </c>
      <c r="G33" s="50" t="s">
        <v>866</v>
      </c>
      <c r="H33" s="59">
        <v>0</v>
      </c>
      <c r="I33" s="59">
        <v>0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f t="shared" si="5"/>
        <v>0</v>
      </c>
      <c r="P33" s="59">
        <v>0</v>
      </c>
      <c r="Q33" s="59">
        <v>0</v>
      </c>
      <c r="R33" s="59">
        <v>0</v>
      </c>
      <c r="S33" s="59">
        <v>0</v>
      </c>
      <c r="T33" s="59">
        <v>-700</v>
      </c>
      <c r="U33" s="59">
        <v>0</v>
      </c>
      <c r="V33" s="59">
        <v>0</v>
      </c>
      <c r="W33" s="59">
        <f t="shared" si="0"/>
        <v>-700</v>
      </c>
      <c r="X33" s="59">
        <f t="shared" si="1"/>
        <v>0</v>
      </c>
      <c r="Y33" s="59">
        <f t="shared" si="2"/>
        <v>-700</v>
      </c>
      <c r="Z33" s="59">
        <v>700</v>
      </c>
      <c r="AA33" s="59">
        <f t="shared" si="3"/>
        <v>0</v>
      </c>
      <c r="AB33" s="59">
        <f t="shared" si="4"/>
        <v>700</v>
      </c>
      <c r="AD33" s="59" t="s">
        <v>1283</v>
      </c>
      <c r="AE33" s="60"/>
      <c r="AF33" s="59"/>
    </row>
    <row r="34" spans="1:32" x14ac:dyDescent="0.3">
      <c r="A34" s="39">
        <v>1</v>
      </c>
      <c r="B34" s="41" t="s">
        <v>944</v>
      </c>
      <c r="C34" s="50" t="s">
        <v>372</v>
      </c>
      <c r="D34" s="50" t="s">
        <v>1004</v>
      </c>
      <c r="E34" s="50" t="s">
        <v>39</v>
      </c>
      <c r="F34" s="51" t="s">
        <v>39</v>
      </c>
      <c r="G34" s="50" t="s">
        <v>866</v>
      </c>
      <c r="H34" s="59">
        <v>5950.53</v>
      </c>
      <c r="I34" s="59">
        <v>-2088.56</v>
      </c>
      <c r="J34" s="59">
        <v>-14.4</v>
      </c>
      <c r="K34" s="59">
        <v>14.69</v>
      </c>
      <c r="L34" s="59">
        <v>0</v>
      </c>
      <c r="M34" s="59">
        <v>-62</v>
      </c>
      <c r="N34" s="59">
        <v>0</v>
      </c>
      <c r="O34" s="59">
        <f t="shared" si="5"/>
        <v>3800.2599999999998</v>
      </c>
      <c r="P34" s="59">
        <v>-2500</v>
      </c>
      <c r="Q34" s="59">
        <v>-600</v>
      </c>
      <c r="R34" s="59">
        <v>0</v>
      </c>
      <c r="S34" s="59">
        <v>0</v>
      </c>
      <c r="T34" s="59">
        <v>-700</v>
      </c>
      <c r="U34" s="59">
        <v>0</v>
      </c>
      <c r="V34" s="59">
        <v>0</v>
      </c>
      <c r="W34" s="59">
        <f t="shared" si="0"/>
        <v>0.25999999999976353</v>
      </c>
      <c r="X34" s="59">
        <f t="shared" si="1"/>
        <v>0.25999999999976353</v>
      </c>
      <c r="Y34" s="59">
        <f t="shared" si="2"/>
        <v>0</v>
      </c>
      <c r="Z34" s="59">
        <v>0</v>
      </c>
      <c r="AA34" s="59">
        <f t="shared" si="3"/>
        <v>0</v>
      </c>
      <c r="AB34" s="59">
        <f t="shared" si="4"/>
        <v>3800</v>
      </c>
      <c r="AD34" s="59" t="s">
        <v>1284</v>
      </c>
      <c r="AE34" s="60"/>
      <c r="AF34" s="59"/>
    </row>
    <row r="35" spans="1:32" x14ac:dyDescent="0.3">
      <c r="A35" s="39">
        <v>1</v>
      </c>
      <c r="B35" s="41" t="s">
        <v>1151</v>
      </c>
      <c r="C35" s="50" t="s">
        <v>1285</v>
      </c>
      <c r="D35" s="50" t="s">
        <v>912</v>
      </c>
      <c r="E35" s="50" t="s">
        <v>25</v>
      </c>
      <c r="F35" s="51" t="s">
        <v>25</v>
      </c>
      <c r="G35" s="50" t="s">
        <v>866</v>
      </c>
      <c r="H35" s="59">
        <v>5116.3500000000004</v>
      </c>
      <c r="I35" s="59">
        <v>-556.69000000000005</v>
      </c>
      <c r="J35" s="59">
        <v>-11.68</v>
      </c>
      <c r="K35" s="59">
        <v>0</v>
      </c>
      <c r="L35" s="59">
        <v>0</v>
      </c>
      <c r="M35" s="59">
        <v>-60</v>
      </c>
      <c r="N35" s="59">
        <v>0</v>
      </c>
      <c r="O35" s="59">
        <f t="shared" si="5"/>
        <v>4487.9799999999996</v>
      </c>
      <c r="P35" s="59">
        <v>-1764.42</v>
      </c>
      <c r="Q35" s="59">
        <v>0</v>
      </c>
      <c r="R35" s="59">
        <v>-500</v>
      </c>
      <c r="S35" s="59">
        <v>0</v>
      </c>
      <c r="T35" s="59">
        <v>0</v>
      </c>
      <c r="U35" s="59">
        <v>0</v>
      </c>
      <c r="V35" s="59">
        <v>0</v>
      </c>
      <c r="W35" s="59">
        <f t="shared" si="0"/>
        <v>2223.5599999999995</v>
      </c>
      <c r="X35" s="59">
        <f t="shared" si="1"/>
        <v>2223.5599999999995</v>
      </c>
      <c r="Y35" s="59">
        <f t="shared" si="2"/>
        <v>0</v>
      </c>
      <c r="Z35" s="59">
        <v>0</v>
      </c>
      <c r="AA35" s="59">
        <f t="shared" si="3"/>
        <v>0</v>
      </c>
      <c r="AB35" s="59">
        <f t="shared" si="4"/>
        <v>2264.42</v>
      </c>
      <c r="AD35" s="59" t="s">
        <v>1286</v>
      </c>
      <c r="AE35" s="60"/>
      <c r="AF35" s="59"/>
    </row>
    <row r="36" spans="1:32" x14ac:dyDescent="0.3">
      <c r="A36" s="39">
        <v>1</v>
      </c>
      <c r="B36" s="41" t="s">
        <v>742</v>
      </c>
      <c r="C36" s="50" t="s">
        <v>573</v>
      </c>
      <c r="D36" s="50" t="s">
        <v>1160</v>
      </c>
      <c r="E36" s="50" t="s">
        <v>25</v>
      </c>
      <c r="F36" s="51" t="s">
        <v>25</v>
      </c>
      <c r="G36" s="50" t="s">
        <v>866</v>
      </c>
      <c r="H36" s="59">
        <v>5671.6</v>
      </c>
      <c r="I36" s="59">
        <v>-4668.93</v>
      </c>
      <c r="J36" s="59">
        <v>-18.88</v>
      </c>
      <c r="K36" s="59">
        <v>11.27</v>
      </c>
      <c r="L36" s="59">
        <v>-64.209999999999994</v>
      </c>
      <c r="M36" s="59">
        <v>-65</v>
      </c>
      <c r="N36" s="59">
        <v>0</v>
      </c>
      <c r="O36" s="59">
        <f t="shared" si="5"/>
        <v>865.85</v>
      </c>
      <c r="P36" s="59">
        <v>-2500</v>
      </c>
      <c r="Q36" s="59">
        <v>6</v>
      </c>
      <c r="R36" s="59">
        <v>-500</v>
      </c>
      <c r="S36" s="59">
        <v>0</v>
      </c>
      <c r="T36" s="59">
        <v>0</v>
      </c>
      <c r="U36" s="59">
        <v>0</v>
      </c>
      <c r="V36" s="59">
        <v>0</v>
      </c>
      <c r="W36" s="59">
        <f t="shared" si="0"/>
        <v>-2128.15</v>
      </c>
      <c r="X36" s="59">
        <f t="shared" si="1"/>
        <v>0</v>
      </c>
      <c r="Y36" s="59">
        <f t="shared" si="2"/>
        <v>-2128.15</v>
      </c>
      <c r="Z36" s="59">
        <v>2128</v>
      </c>
      <c r="AA36" s="59">
        <f t="shared" si="3"/>
        <v>-0.15000000000009095</v>
      </c>
      <c r="AB36" s="59">
        <f t="shared" si="4"/>
        <v>2993.7</v>
      </c>
      <c r="AD36" s="59" t="s">
        <v>1287</v>
      </c>
      <c r="AE36" s="60"/>
      <c r="AF36" s="59"/>
    </row>
    <row r="37" spans="1:32" x14ac:dyDescent="0.3">
      <c r="A37" s="39">
        <v>1</v>
      </c>
      <c r="B37" s="41" t="s">
        <v>1155</v>
      </c>
      <c r="C37" s="50" t="s">
        <v>123</v>
      </c>
      <c r="D37" s="50" t="s">
        <v>999</v>
      </c>
      <c r="E37" s="50" t="s">
        <v>871</v>
      </c>
      <c r="F37" s="51" t="s">
        <v>39</v>
      </c>
      <c r="G37" s="50" t="s">
        <v>866</v>
      </c>
      <c r="H37" s="59">
        <v>5154.6400000000003</v>
      </c>
      <c r="I37" s="59">
        <v>-2256.0300000000002</v>
      </c>
      <c r="J37" s="59">
        <v>-17.28</v>
      </c>
      <c r="K37" s="59">
        <v>0</v>
      </c>
      <c r="L37" s="59">
        <v>0</v>
      </c>
      <c r="M37" s="59">
        <v>-65</v>
      </c>
      <c r="N37" s="59">
        <v>0</v>
      </c>
      <c r="O37" s="59">
        <f t="shared" si="5"/>
        <v>2816.33</v>
      </c>
      <c r="P37" s="59">
        <v>-2500</v>
      </c>
      <c r="Q37" s="59">
        <v>0</v>
      </c>
      <c r="R37" s="59">
        <v>-500</v>
      </c>
      <c r="S37" s="59">
        <v>0</v>
      </c>
      <c r="T37" s="59">
        <v>0</v>
      </c>
      <c r="U37" s="59">
        <v>0</v>
      </c>
      <c r="V37" s="59">
        <v>0</v>
      </c>
      <c r="W37" s="59">
        <f t="shared" si="0"/>
        <v>-183.67000000000007</v>
      </c>
      <c r="X37" s="59">
        <f t="shared" si="1"/>
        <v>0</v>
      </c>
      <c r="Y37" s="59">
        <f t="shared" si="2"/>
        <v>-183.67000000000007</v>
      </c>
      <c r="Z37" s="59">
        <v>0</v>
      </c>
      <c r="AA37" s="59">
        <f>+Y37+Z37</f>
        <v>-183.67000000000007</v>
      </c>
      <c r="AB37" s="59">
        <f t="shared" si="4"/>
        <v>2632.66</v>
      </c>
      <c r="AD37" s="59" t="s">
        <v>1288</v>
      </c>
      <c r="AE37" s="60"/>
      <c r="AF37" s="59"/>
    </row>
    <row r="38" spans="1:32" x14ac:dyDescent="0.3">
      <c r="A38" s="39">
        <v>1</v>
      </c>
      <c r="B38" s="41" t="s">
        <v>1056</v>
      </c>
      <c r="C38" s="50" t="s">
        <v>760</v>
      </c>
      <c r="D38" s="50" t="s">
        <v>1239</v>
      </c>
      <c r="E38" s="50" t="s">
        <v>25</v>
      </c>
      <c r="F38" s="143" t="s">
        <v>39</v>
      </c>
      <c r="G38" s="50" t="s">
        <v>866</v>
      </c>
      <c r="H38" s="59">
        <v>2648.45</v>
      </c>
      <c r="I38" s="59">
        <v>0</v>
      </c>
      <c r="J38" s="59">
        <v>-26.08</v>
      </c>
      <c r="K38" s="59">
        <v>0</v>
      </c>
      <c r="L38" s="59">
        <v>0</v>
      </c>
      <c r="M38" s="59">
        <v>0</v>
      </c>
      <c r="N38" s="59">
        <v>0</v>
      </c>
      <c r="O38" s="59">
        <f t="shared" si="5"/>
        <v>2622.37</v>
      </c>
      <c r="P38" s="59">
        <v>-2622</v>
      </c>
      <c r="Q38" s="59">
        <v>0</v>
      </c>
      <c r="R38" s="59">
        <v>0</v>
      </c>
      <c r="S38" s="59">
        <v>0</v>
      </c>
      <c r="T38" s="59">
        <v>0</v>
      </c>
      <c r="U38" s="59">
        <v>0</v>
      </c>
      <c r="V38" s="59">
        <v>0</v>
      </c>
      <c r="W38" s="59">
        <f t="shared" si="0"/>
        <v>0.36999999999989086</v>
      </c>
      <c r="X38" s="59">
        <f t="shared" si="1"/>
        <v>0.36999999999989086</v>
      </c>
      <c r="Y38" s="59">
        <f t="shared" si="2"/>
        <v>0</v>
      </c>
      <c r="Z38" s="59">
        <v>0</v>
      </c>
      <c r="AA38" s="59">
        <f t="shared" si="3"/>
        <v>0</v>
      </c>
      <c r="AB38" s="59">
        <f t="shared" si="4"/>
        <v>2622</v>
      </c>
      <c r="AD38" s="59" t="s">
        <v>463</v>
      </c>
      <c r="AE38" s="60"/>
      <c r="AF38" s="59"/>
    </row>
    <row r="39" spans="1:32" x14ac:dyDescent="0.3">
      <c r="A39" s="39">
        <v>1</v>
      </c>
      <c r="B39" s="41" t="s">
        <v>872</v>
      </c>
      <c r="C39" s="50" t="s">
        <v>256</v>
      </c>
      <c r="D39" s="50" t="s">
        <v>997</v>
      </c>
      <c r="E39" s="50" t="s">
        <v>871</v>
      </c>
      <c r="F39" s="51" t="s">
        <v>39</v>
      </c>
      <c r="G39" s="50" t="s">
        <v>866</v>
      </c>
      <c r="H39" s="59">
        <v>6575.11</v>
      </c>
      <c r="I39" s="59">
        <v>-4131.59</v>
      </c>
      <c r="J39" s="59">
        <v>-14.88</v>
      </c>
      <c r="K39" s="59">
        <v>0</v>
      </c>
      <c r="L39" s="59">
        <v>-65.540000000000006</v>
      </c>
      <c r="M39" s="59">
        <v>-65</v>
      </c>
      <c r="N39" s="59">
        <v>0</v>
      </c>
      <c r="O39" s="59">
        <f t="shared" si="5"/>
        <v>2298.0999999999995</v>
      </c>
      <c r="P39" s="59">
        <v>-1250</v>
      </c>
      <c r="Q39" s="59">
        <v>0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f t="shared" si="0"/>
        <v>1048.0999999999995</v>
      </c>
      <c r="X39" s="59">
        <f t="shared" si="1"/>
        <v>1048.0999999999995</v>
      </c>
      <c r="Y39" s="59">
        <f t="shared" si="2"/>
        <v>0</v>
      </c>
      <c r="Z39" s="59">
        <v>0</v>
      </c>
      <c r="AA39" s="59">
        <f t="shared" si="3"/>
        <v>0</v>
      </c>
      <c r="AB39" s="59">
        <f t="shared" si="4"/>
        <v>1250</v>
      </c>
      <c r="AD39" s="59" t="s">
        <v>1268</v>
      </c>
      <c r="AE39" s="60"/>
      <c r="AF39" s="59"/>
    </row>
    <row r="40" spans="1:32" x14ac:dyDescent="0.3">
      <c r="A40" s="39">
        <v>1</v>
      </c>
      <c r="B40" s="41" t="s">
        <v>1025</v>
      </c>
      <c r="C40" s="50" t="s">
        <v>195</v>
      </c>
      <c r="D40" s="50" t="s">
        <v>964</v>
      </c>
      <c r="E40" s="50" t="s">
        <v>871</v>
      </c>
      <c r="F40" s="51" t="s">
        <v>39</v>
      </c>
      <c r="G40" s="50" t="s">
        <v>866</v>
      </c>
      <c r="H40" s="59">
        <v>4207.92</v>
      </c>
      <c r="I40" s="59">
        <v>-1148.3399999999999</v>
      </c>
      <c r="J40" s="59">
        <v>-18.88</v>
      </c>
      <c r="K40" s="59">
        <v>0</v>
      </c>
      <c r="L40" s="59">
        <v>0</v>
      </c>
      <c r="M40" s="59">
        <v>-65</v>
      </c>
      <c r="N40" s="59">
        <v>0</v>
      </c>
      <c r="O40" s="59">
        <f t="shared" si="5"/>
        <v>2975.7</v>
      </c>
      <c r="P40" s="59">
        <v>-2500</v>
      </c>
      <c r="Q40" s="59">
        <v>-679</v>
      </c>
      <c r="R40" s="59">
        <v>0</v>
      </c>
      <c r="S40" s="59">
        <v>0</v>
      </c>
      <c r="T40" s="59">
        <v>-500</v>
      </c>
      <c r="U40" s="59">
        <v>0</v>
      </c>
      <c r="V40" s="59">
        <v>0</v>
      </c>
      <c r="W40" s="59">
        <f t="shared" si="0"/>
        <v>-703.30000000000018</v>
      </c>
      <c r="X40" s="59">
        <f t="shared" si="1"/>
        <v>0</v>
      </c>
      <c r="Y40" s="59">
        <f t="shared" si="2"/>
        <v>-703.30000000000018</v>
      </c>
      <c r="Z40" s="59">
        <f>503+200</f>
        <v>703</v>
      </c>
      <c r="AA40" s="59">
        <f t="shared" si="3"/>
        <v>-0.3000000000001819</v>
      </c>
      <c r="AB40" s="59">
        <f t="shared" si="4"/>
        <v>3678.3999999999996</v>
      </c>
      <c r="AD40" s="59" t="s">
        <v>1289</v>
      </c>
      <c r="AE40" s="60"/>
      <c r="AF40" s="59"/>
    </row>
    <row r="41" spans="1:32" x14ac:dyDescent="0.3">
      <c r="A41" s="39">
        <v>1</v>
      </c>
      <c r="B41" s="41" t="s">
        <v>1010</v>
      </c>
      <c r="C41" s="50" t="s">
        <v>51</v>
      </c>
      <c r="D41" s="50" t="s">
        <v>1115</v>
      </c>
      <c r="E41" s="50" t="s">
        <v>25</v>
      </c>
      <c r="F41" s="143" t="s">
        <v>39</v>
      </c>
      <c r="G41" s="50" t="s">
        <v>866</v>
      </c>
      <c r="H41" s="59">
        <v>1302.83</v>
      </c>
      <c r="I41" s="59">
        <v>-269.92</v>
      </c>
      <c r="J41" s="59">
        <v>-4.4800000000000004</v>
      </c>
      <c r="K41" s="59">
        <v>0</v>
      </c>
      <c r="L41" s="59">
        <v>-18.809999999999999</v>
      </c>
      <c r="M41" s="59">
        <v>-65</v>
      </c>
      <c r="N41" s="59">
        <v>0</v>
      </c>
      <c r="O41" s="59">
        <f t="shared" si="5"/>
        <v>944.61999999999989</v>
      </c>
      <c r="P41" s="59">
        <v>-2500</v>
      </c>
      <c r="Q41" s="59">
        <v>-87</v>
      </c>
      <c r="R41" s="59">
        <v>-500</v>
      </c>
      <c r="S41" s="59">
        <v>0</v>
      </c>
      <c r="T41" s="59">
        <v>0</v>
      </c>
      <c r="U41" s="59">
        <v>0</v>
      </c>
      <c r="V41" s="59">
        <v>0</v>
      </c>
      <c r="W41" s="59">
        <f t="shared" si="0"/>
        <v>-2142.38</v>
      </c>
      <c r="X41" s="59">
        <f t="shared" si="1"/>
        <v>0</v>
      </c>
      <c r="Y41" s="59">
        <f t="shared" si="2"/>
        <v>-2142.38</v>
      </c>
      <c r="Z41" s="59">
        <v>2000</v>
      </c>
      <c r="AA41" s="59">
        <f t="shared" si="3"/>
        <v>-142.38000000000011</v>
      </c>
      <c r="AB41" s="59">
        <f t="shared" si="4"/>
        <v>2802.24</v>
      </c>
      <c r="AD41" s="59" t="s">
        <v>1290</v>
      </c>
      <c r="AE41" s="60"/>
      <c r="AF41" s="59"/>
    </row>
    <row r="42" spans="1:32" x14ac:dyDescent="0.3">
      <c r="A42" s="39">
        <v>1</v>
      </c>
      <c r="B42" s="41" t="s">
        <v>1100</v>
      </c>
      <c r="C42" s="50" t="s">
        <v>213</v>
      </c>
      <c r="D42" s="50" t="s">
        <v>1116</v>
      </c>
      <c r="E42" s="50" t="s">
        <v>39</v>
      </c>
      <c r="F42" s="51" t="s">
        <v>39</v>
      </c>
      <c r="G42" s="50" t="s">
        <v>866</v>
      </c>
      <c r="H42" s="59">
        <v>1641.99</v>
      </c>
      <c r="I42" s="59">
        <v>0</v>
      </c>
      <c r="J42" s="59">
        <v>-17.600000000000001</v>
      </c>
      <c r="K42" s="59">
        <v>0</v>
      </c>
      <c r="L42" s="59">
        <v>-16.39</v>
      </c>
      <c r="M42" s="59">
        <v>-60</v>
      </c>
      <c r="N42" s="59">
        <v>0</v>
      </c>
      <c r="O42" s="59">
        <f t="shared" si="5"/>
        <v>1548</v>
      </c>
      <c r="P42" s="59">
        <v>-2500</v>
      </c>
      <c r="Q42" s="59">
        <v>-2800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f t="shared" si="0"/>
        <v>-3752</v>
      </c>
      <c r="X42" s="59">
        <f t="shared" si="1"/>
        <v>0</v>
      </c>
      <c r="Y42" s="59">
        <f t="shared" si="2"/>
        <v>-3752</v>
      </c>
      <c r="Z42" s="59">
        <v>0</v>
      </c>
      <c r="AA42" s="59">
        <f t="shared" si="3"/>
        <v>-3752</v>
      </c>
      <c r="AB42" s="59">
        <f t="shared" si="4"/>
        <v>-2204</v>
      </c>
      <c r="AD42" s="59" t="s">
        <v>1291</v>
      </c>
      <c r="AE42" s="60"/>
      <c r="AF42" s="59"/>
    </row>
    <row r="43" spans="1:32" x14ac:dyDescent="0.3">
      <c r="A43" s="39">
        <v>1</v>
      </c>
      <c r="B43" s="41" t="s">
        <v>585</v>
      </c>
      <c r="C43" s="50" t="s">
        <v>42</v>
      </c>
      <c r="D43" s="50" t="s">
        <v>948</v>
      </c>
      <c r="E43" s="50" t="s">
        <v>25</v>
      </c>
      <c r="F43" s="51" t="s">
        <v>25</v>
      </c>
      <c r="G43" s="50" t="s">
        <v>866</v>
      </c>
      <c r="H43" s="59">
        <v>0</v>
      </c>
      <c r="I43" s="59">
        <v>0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f t="shared" si="5"/>
        <v>0</v>
      </c>
      <c r="P43" s="59">
        <v>-2500</v>
      </c>
      <c r="Q43" s="59">
        <v>0</v>
      </c>
      <c r="R43" s="59">
        <v>0</v>
      </c>
      <c r="S43" s="59">
        <v>0</v>
      </c>
      <c r="T43" s="59">
        <v>0</v>
      </c>
      <c r="U43" s="59">
        <v>0</v>
      </c>
      <c r="V43" s="59">
        <v>0</v>
      </c>
      <c r="W43" s="59">
        <f t="shared" si="0"/>
        <v>-2500</v>
      </c>
      <c r="X43" s="59">
        <f t="shared" si="1"/>
        <v>0</v>
      </c>
      <c r="Y43" s="59">
        <f t="shared" si="2"/>
        <v>-2500</v>
      </c>
      <c r="Z43" s="59">
        <v>2500</v>
      </c>
      <c r="AA43" s="59">
        <f t="shared" si="3"/>
        <v>0</v>
      </c>
      <c r="AB43" s="59">
        <f t="shared" si="4"/>
        <v>2500</v>
      </c>
      <c r="AD43" s="59" t="s">
        <v>1292</v>
      </c>
      <c r="AE43" s="60"/>
      <c r="AF43" s="59"/>
    </row>
    <row r="44" spans="1:32" x14ac:dyDescent="0.3">
      <c r="A44" s="39">
        <v>1</v>
      </c>
      <c r="B44" s="41" t="s">
        <v>1171</v>
      </c>
      <c r="C44" s="50" t="s">
        <v>480</v>
      </c>
      <c r="D44" s="50" t="s">
        <v>1243</v>
      </c>
      <c r="E44" s="50" t="s">
        <v>25</v>
      </c>
      <c r="F44" s="51" t="s">
        <v>25</v>
      </c>
      <c r="G44" s="50" t="s">
        <v>866</v>
      </c>
      <c r="H44" s="59">
        <v>0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f t="shared" si="5"/>
        <v>0</v>
      </c>
      <c r="P44" s="59">
        <v>-2000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f t="shared" si="0"/>
        <v>-2000</v>
      </c>
      <c r="X44" s="59">
        <f t="shared" si="1"/>
        <v>0</v>
      </c>
      <c r="Y44" s="59">
        <f t="shared" si="2"/>
        <v>-2000</v>
      </c>
      <c r="Z44" s="59">
        <v>2000</v>
      </c>
      <c r="AA44" s="59">
        <f t="shared" si="3"/>
        <v>0</v>
      </c>
      <c r="AB44" s="59">
        <f t="shared" si="4"/>
        <v>2000</v>
      </c>
      <c r="AD44" s="59" t="s">
        <v>1293</v>
      </c>
      <c r="AE44" s="60"/>
      <c r="AF44" s="59"/>
    </row>
    <row r="45" spans="1:32" x14ac:dyDescent="0.3">
      <c r="A45" s="39">
        <v>1</v>
      </c>
      <c r="B45" s="41" t="s">
        <v>1244</v>
      </c>
      <c r="C45" s="50" t="s">
        <v>55</v>
      </c>
      <c r="D45" s="50" t="s">
        <v>1168</v>
      </c>
      <c r="E45" s="143" t="s">
        <v>25</v>
      </c>
      <c r="F45" s="143" t="s">
        <v>39</v>
      </c>
      <c r="G45" s="50" t="s">
        <v>866</v>
      </c>
      <c r="H45" s="59">
        <v>10687.44</v>
      </c>
      <c r="I45" s="59">
        <v>-6128.28</v>
      </c>
      <c r="J45" s="59">
        <v>-65.92</v>
      </c>
      <c r="K45" s="59">
        <v>0</v>
      </c>
      <c r="L45" s="59">
        <v>0</v>
      </c>
      <c r="M45" s="59">
        <v>-65</v>
      </c>
      <c r="N45" s="59">
        <v>0</v>
      </c>
      <c r="O45" s="59">
        <f t="shared" si="5"/>
        <v>4428.2400000000007</v>
      </c>
      <c r="P45" s="59">
        <v>-2229</v>
      </c>
      <c r="Q45" s="59">
        <v>0</v>
      </c>
      <c r="R45" s="59">
        <v>-429</v>
      </c>
      <c r="S45" s="59">
        <v>0</v>
      </c>
      <c r="T45" s="59">
        <v>0</v>
      </c>
      <c r="U45" s="59">
        <v>0</v>
      </c>
      <c r="V45" s="59">
        <v>0</v>
      </c>
      <c r="W45" s="59">
        <f t="shared" si="0"/>
        <v>1770.2400000000007</v>
      </c>
      <c r="X45" s="59">
        <f t="shared" si="1"/>
        <v>1770.2400000000007</v>
      </c>
      <c r="Y45" s="59">
        <f t="shared" si="2"/>
        <v>0</v>
      </c>
      <c r="Z45" s="59">
        <v>0</v>
      </c>
      <c r="AA45" s="59">
        <f t="shared" si="3"/>
        <v>0</v>
      </c>
      <c r="AB45" s="59">
        <f t="shared" si="4"/>
        <v>2658</v>
      </c>
      <c r="AD45" s="59" t="s">
        <v>1294</v>
      </c>
      <c r="AE45" s="60"/>
      <c r="AF45" s="59"/>
    </row>
    <row r="46" spans="1:32" x14ac:dyDescent="0.3">
      <c r="A46" s="39">
        <v>1</v>
      </c>
      <c r="B46" s="41" t="s">
        <v>1295</v>
      </c>
      <c r="C46" s="50" t="s">
        <v>53</v>
      </c>
      <c r="D46" s="50" t="s">
        <v>1167</v>
      </c>
      <c r="E46" s="50" t="s">
        <v>25</v>
      </c>
      <c r="F46" s="51" t="s">
        <v>25</v>
      </c>
      <c r="G46" s="50" t="s">
        <v>866</v>
      </c>
      <c r="H46" s="59">
        <v>3558.12</v>
      </c>
      <c r="I46" s="59">
        <v>-1633.62</v>
      </c>
      <c r="J46" s="59">
        <v>0</v>
      </c>
      <c r="K46" s="59">
        <v>0</v>
      </c>
      <c r="L46" s="59">
        <v>0</v>
      </c>
      <c r="M46" s="59">
        <v>-60</v>
      </c>
      <c r="N46" s="59">
        <v>0</v>
      </c>
      <c r="O46" s="59">
        <f t="shared" si="5"/>
        <v>1864.5</v>
      </c>
      <c r="P46" s="59">
        <v>-2042.85</v>
      </c>
      <c r="Q46" s="59">
        <v>0</v>
      </c>
      <c r="R46" s="59">
        <v>-393</v>
      </c>
      <c r="S46" s="59">
        <v>0</v>
      </c>
      <c r="T46" s="59">
        <v>0</v>
      </c>
      <c r="U46" s="59">
        <v>0</v>
      </c>
      <c r="V46" s="59">
        <v>0</v>
      </c>
      <c r="W46" s="59">
        <f t="shared" si="0"/>
        <v>-571.34999999999991</v>
      </c>
      <c r="X46" s="59">
        <f t="shared" si="1"/>
        <v>0</v>
      </c>
      <c r="Y46" s="59">
        <f t="shared" si="2"/>
        <v>-571.34999999999991</v>
      </c>
      <c r="Z46" s="59">
        <v>571</v>
      </c>
      <c r="AA46" s="59">
        <f t="shared" si="3"/>
        <v>-0.34999999999990905</v>
      </c>
      <c r="AB46" s="59">
        <f t="shared" si="4"/>
        <v>2435.15</v>
      </c>
      <c r="AD46" s="59" t="s">
        <v>1296</v>
      </c>
      <c r="AE46" s="60"/>
      <c r="AF46" s="59"/>
    </row>
    <row r="47" spans="1:32" x14ac:dyDescent="0.3">
      <c r="A47" s="39">
        <v>1</v>
      </c>
      <c r="B47" s="41" t="s">
        <v>1297</v>
      </c>
      <c r="C47" s="50" t="s">
        <v>64</v>
      </c>
      <c r="D47" s="50" t="s">
        <v>949</v>
      </c>
      <c r="E47" s="50" t="s">
        <v>25</v>
      </c>
      <c r="F47" s="51" t="s">
        <v>25</v>
      </c>
      <c r="G47" s="50" t="s">
        <v>866</v>
      </c>
      <c r="H47" s="59">
        <v>2744.62</v>
      </c>
      <c r="I47" s="59">
        <v>-1421.22</v>
      </c>
      <c r="J47" s="59">
        <v>-20.48</v>
      </c>
      <c r="K47" s="59">
        <v>0</v>
      </c>
      <c r="L47" s="59">
        <v>0</v>
      </c>
      <c r="M47" s="59">
        <v>-60</v>
      </c>
      <c r="N47" s="59">
        <v>0</v>
      </c>
      <c r="O47" s="59">
        <f t="shared" si="5"/>
        <v>1242.9199999999998</v>
      </c>
      <c r="P47" s="59">
        <f>-2500+357</f>
        <v>-2143</v>
      </c>
      <c r="Q47" s="59">
        <v>0</v>
      </c>
      <c r="R47" s="59">
        <v>-500</v>
      </c>
      <c r="S47" s="59">
        <v>0</v>
      </c>
      <c r="T47" s="59">
        <v>0</v>
      </c>
      <c r="U47" s="59">
        <v>0</v>
      </c>
      <c r="V47" s="59">
        <v>0</v>
      </c>
      <c r="W47" s="59">
        <f t="shared" si="0"/>
        <v>-1400.0800000000002</v>
      </c>
      <c r="X47" s="59">
        <f t="shared" si="1"/>
        <v>0</v>
      </c>
      <c r="Y47" s="59">
        <f t="shared" si="2"/>
        <v>-1400.0800000000002</v>
      </c>
      <c r="Z47" s="59">
        <v>1400</v>
      </c>
      <c r="AA47" s="59">
        <f t="shared" si="3"/>
        <v>-8.0000000000154614E-2</v>
      </c>
      <c r="AB47" s="59">
        <f t="shared" si="4"/>
        <v>2642.84</v>
      </c>
      <c r="AD47" s="59" t="s">
        <v>1298</v>
      </c>
      <c r="AE47" s="60"/>
      <c r="AF47" s="59"/>
    </row>
    <row r="48" spans="1:32" x14ac:dyDescent="0.3">
      <c r="A48" s="39">
        <v>1</v>
      </c>
      <c r="B48" s="41" t="s">
        <v>1151</v>
      </c>
      <c r="C48" s="50" t="s">
        <v>55</v>
      </c>
      <c r="D48" s="50" t="s">
        <v>1168</v>
      </c>
      <c r="E48" s="143" t="s">
        <v>25</v>
      </c>
      <c r="F48" s="143" t="s">
        <v>39</v>
      </c>
      <c r="G48" s="50" t="s">
        <v>866</v>
      </c>
      <c r="H48" s="59">
        <v>896.74</v>
      </c>
      <c r="I48" s="59">
        <v>0</v>
      </c>
      <c r="J48" s="59">
        <v>-9.44</v>
      </c>
      <c r="K48" s="59">
        <v>19.579999999999998</v>
      </c>
      <c r="L48" s="59">
        <v>0</v>
      </c>
      <c r="M48" s="59">
        <v>0</v>
      </c>
      <c r="N48" s="59">
        <v>0</v>
      </c>
      <c r="O48" s="59">
        <f t="shared" si="5"/>
        <v>906.88</v>
      </c>
      <c r="P48" s="59">
        <v>-907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f t="shared" si="0"/>
        <v>-0.12000000000000455</v>
      </c>
      <c r="X48" s="59">
        <f t="shared" si="1"/>
        <v>0</v>
      </c>
      <c r="Y48" s="59">
        <f t="shared" si="2"/>
        <v>-0.12000000000000455</v>
      </c>
      <c r="Z48" s="59">
        <v>0</v>
      </c>
      <c r="AA48" s="59">
        <f t="shared" si="3"/>
        <v>-0.12000000000000455</v>
      </c>
      <c r="AB48" s="59">
        <f t="shared" si="4"/>
        <v>906.76</v>
      </c>
      <c r="AD48" s="59" t="s">
        <v>1299</v>
      </c>
      <c r="AE48" s="60"/>
      <c r="AF48" s="59"/>
    </row>
    <row r="49" spans="1:32" x14ac:dyDescent="0.3">
      <c r="A49" s="39">
        <v>1</v>
      </c>
      <c r="B49" s="41" t="s">
        <v>874</v>
      </c>
      <c r="C49" s="50" t="s">
        <v>100</v>
      </c>
      <c r="D49" s="50" t="s">
        <v>1300</v>
      </c>
      <c r="E49" s="51" t="s">
        <v>25</v>
      </c>
      <c r="F49" s="50" t="s">
        <v>25</v>
      </c>
      <c r="G49" s="50" t="s">
        <v>737</v>
      </c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0</v>
      </c>
      <c r="N49" s="59">
        <v>0</v>
      </c>
      <c r="O49" s="59">
        <f t="shared" si="5"/>
        <v>0</v>
      </c>
      <c r="P49" s="59">
        <v>-2500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f t="shared" si="0"/>
        <v>-2500</v>
      </c>
      <c r="X49" s="59">
        <f t="shared" si="1"/>
        <v>0</v>
      </c>
      <c r="Y49" s="59">
        <f t="shared" si="2"/>
        <v>-2500</v>
      </c>
      <c r="Z49" s="59">
        <v>2500</v>
      </c>
      <c r="AA49" s="59">
        <f t="shared" si="3"/>
        <v>0</v>
      </c>
      <c r="AB49" s="59">
        <f t="shared" si="4"/>
        <v>2500</v>
      </c>
      <c r="AD49" s="59" t="s">
        <v>1301</v>
      </c>
      <c r="AE49" s="60"/>
      <c r="AF49" s="59"/>
    </row>
    <row r="50" spans="1:32" x14ac:dyDescent="0.3">
      <c r="A50" s="39">
        <v>2</v>
      </c>
      <c r="B50" s="41" t="s">
        <v>922</v>
      </c>
      <c r="C50" s="50" t="s">
        <v>670</v>
      </c>
      <c r="D50" s="50" t="s">
        <v>1221</v>
      </c>
      <c r="E50" s="50" t="s">
        <v>25</v>
      </c>
      <c r="F50" s="51" t="s">
        <v>25</v>
      </c>
      <c r="G50" s="50" t="s">
        <v>737</v>
      </c>
      <c r="H50" s="59">
        <v>0</v>
      </c>
      <c r="I50" s="59">
        <v>0</v>
      </c>
      <c r="J50" s="59">
        <v>0</v>
      </c>
      <c r="K50" s="59">
        <v>0</v>
      </c>
      <c r="L50" s="59">
        <v>0</v>
      </c>
      <c r="M50" s="59">
        <v>0</v>
      </c>
      <c r="N50" s="59">
        <v>0</v>
      </c>
      <c r="O50" s="59">
        <f t="shared" si="5"/>
        <v>0</v>
      </c>
      <c r="P50" s="59">
        <v>-2500</v>
      </c>
      <c r="Q50" s="59">
        <f>-326*1.12</f>
        <v>-365.12000000000006</v>
      </c>
      <c r="R50" s="59">
        <v>0</v>
      </c>
      <c r="S50" s="59">
        <v>0</v>
      </c>
      <c r="T50" s="59">
        <v>0</v>
      </c>
      <c r="U50" s="59">
        <v>0</v>
      </c>
      <c r="V50" s="59">
        <v>0</v>
      </c>
      <c r="W50" s="59">
        <f t="shared" si="0"/>
        <v>-2865.12</v>
      </c>
      <c r="X50" s="59">
        <f t="shared" si="1"/>
        <v>0</v>
      </c>
      <c r="Y50" s="59">
        <f t="shared" si="2"/>
        <v>-2865.12</v>
      </c>
      <c r="Z50" s="59">
        <v>0</v>
      </c>
      <c r="AA50" s="59">
        <f t="shared" si="3"/>
        <v>-2865.12</v>
      </c>
      <c r="AB50" s="59">
        <f t="shared" si="4"/>
        <v>-2865.12</v>
      </c>
      <c r="AD50" s="59" t="s">
        <v>1242</v>
      </c>
      <c r="AE50" s="60"/>
      <c r="AF50" s="59"/>
    </row>
    <row r="51" spans="1:32" x14ac:dyDescent="0.3">
      <c r="A51" s="39">
        <v>2</v>
      </c>
      <c r="B51" s="41" t="s">
        <v>922</v>
      </c>
      <c r="C51" s="50" t="s">
        <v>104</v>
      </c>
      <c r="D51" s="50" t="s">
        <v>881</v>
      </c>
      <c r="E51" s="50" t="s">
        <v>25</v>
      </c>
      <c r="F51" s="51" t="s">
        <v>25</v>
      </c>
      <c r="G51" s="50" t="s">
        <v>737</v>
      </c>
      <c r="H51" s="59">
        <v>0</v>
      </c>
      <c r="I51" s="59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f t="shared" si="5"/>
        <v>0</v>
      </c>
      <c r="P51" s="59">
        <v>0</v>
      </c>
      <c r="Q51" s="59">
        <v>0</v>
      </c>
      <c r="R51" s="59">
        <v>0</v>
      </c>
      <c r="S51" s="59">
        <v>0</v>
      </c>
      <c r="T51" s="59">
        <v>-500</v>
      </c>
      <c r="U51" s="59">
        <v>0</v>
      </c>
      <c r="V51" s="59">
        <v>0</v>
      </c>
      <c r="W51" s="59">
        <f t="shared" si="0"/>
        <v>-500</v>
      </c>
      <c r="X51" s="59">
        <f t="shared" si="1"/>
        <v>0</v>
      </c>
      <c r="Y51" s="59">
        <f t="shared" si="2"/>
        <v>-500</v>
      </c>
      <c r="Z51" s="59">
        <v>0</v>
      </c>
      <c r="AA51" s="59">
        <f t="shared" si="3"/>
        <v>-500</v>
      </c>
      <c r="AB51" s="59">
        <f t="shared" si="4"/>
        <v>-500</v>
      </c>
      <c r="AD51" s="59" t="s">
        <v>1242</v>
      </c>
      <c r="AE51" s="60"/>
      <c r="AF51" s="59"/>
    </row>
    <row r="52" spans="1:32" x14ac:dyDescent="0.3">
      <c r="A52" s="39">
        <v>2</v>
      </c>
      <c r="B52" s="41" t="s">
        <v>620</v>
      </c>
      <c r="C52" s="50" t="s">
        <v>571</v>
      </c>
      <c r="D52" s="50" t="s">
        <v>974</v>
      </c>
      <c r="E52" s="50" t="s">
        <v>25</v>
      </c>
      <c r="F52" s="51" t="s">
        <v>25</v>
      </c>
      <c r="G52" s="50" t="s">
        <v>737</v>
      </c>
      <c r="H52" s="59">
        <v>4397</v>
      </c>
      <c r="I52" s="59">
        <v>-4448</v>
      </c>
      <c r="J52" s="59">
        <v>-444</v>
      </c>
      <c r="K52" s="59">
        <v>0</v>
      </c>
      <c r="L52" s="59">
        <v>0</v>
      </c>
      <c r="M52" s="59">
        <v>-65</v>
      </c>
      <c r="N52" s="59">
        <v>0</v>
      </c>
      <c r="O52" s="59">
        <f t="shared" si="5"/>
        <v>-509</v>
      </c>
      <c r="P52" s="59">
        <v>-2600</v>
      </c>
      <c r="Q52" s="59">
        <f>-2002*1.12</f>
        <v>-2242.2400000000002</v>
      </c>
      <c r="R52" s="59">
        <v>0</v>
      </c>
      <c r="S52" s="59">
        <v>0</v>
      </c>
      <c r="T52" s="59">
        <v>0</v>
      </c>
      <c r="U52" s="59">
        <v>0</v>
      </c>
      <c r="V52" s="59">
        <v>0</v>
      </c>
      <c r="W52" s="59">
        <f t="shared" si="0"/>
        <v>-5351.24</v>
      </c>
      <c r="X52" s="59">
        <f t="shared" si="1"/>
        <v>0</v>
      </c>
      <c r="Y52" s="59">
        <f t="shared" si="2"/>
        <v>-5351.24</v>
      </c>
      <c r="Z52" s="59">
        <f>600+700+1000+1300</f>
        <v>3600</v>
      </c>
      <c r="AA52" s="59">
        <f t="shared" si="3"/>
        <v>-1751.2399999999998</v>
      </c>
      <c r="AB52" s="59">
        <f t="shared" si="4"/>
        <v>1339.7600000000002</v>
      </c>
      <c r="AD52" s="59" t="s">
        <v>1302</v>
      </c>
      <c r="AE52" s="60"/>
      <c r="AF52" s="59"/>
    </row>
    <row r="53" spans="1:32" x14ac:dyDescent="0.3">
      <c r="A53" s="39">
        <v>2</v>
      </c>
      <c r="B53" s="41" t="s">
        <v>1062</v>
      </c>
      <c r="C53" s="50" t="s">
        <v>360</v>
      </c>
      <c r="D53" s="50" t="s">
        <v>1158</v>
      </c>
      <c r="E53" s="50" t="s">
        <v>25</v>
      </c>
      <c r="F53" s="51" t="s">
        <v>25</v>
      </c>
      <c r="G53" s="50" t="s">
        <v>866</v>
      </c>
      <c r="H53" s="59">
        <v>4908</v>
      </c>
      <c r="I53" s="59">
        <v>-3232</v>
      </c>
      <c r="J53" s="59">
        <v>0</v>
      </c>
      <c r="K53" s="59">
        <v>0</v>
      </c>
      <c r="L53" s="59">
        <v>0</v>
      </c>
      <c r="M53" s="59">
        <v>-40</v>
      </c>
      <c r="N53" s="59">
        <v>0</v>
      </c>
      <c r="O53" s="59">
        <f t="shared" si="5"/>
        <v>1636</v>
      </c>
      <c r="P53" s="59">
        <v>-2700</v>
      </c>
      <c r="Q53" s="59">
        <v>0</v>
      </c>
      <c r="R53" s="59">
        <v>0</v>
      </c>
      <c r="S53" s="59">
        <v>0</v>
      </c>
      <c r="T53" s="59">
        <v>0</v>
      </c>
      <c r="U53" s="59">
        <v>0</v>
      </c>
      <c r="V53" s="59">
        <v>0</v>
      </c>
      <c r="W53" s="59">
        <f t="shared" si="0"/>
        <v>-1064</v>
      </c>
      <c r="X53" s="59">
        <f t="shared" si="1"/>
        <v>0</v>
      </c>
      <c r="Y53" s="59">
        <f t="shared" si="2"/>
        <v>-1064</v>
      </c>
      <c r="Z53" s="59">
        <v>1000</v>
      </c>
      <c r="AA53" s="59">
        <f t="shared" si="3"/>
        <v>-64</v>
      </c>
      <c r="AB53" s="59">
        <f t="shared" si="4"/>
        <v>2572</v>
      </c>
      <c r="AD53" s="59" t="s">
        <v>1303</v>
      </c>
      <c r="AE53" s="60"/>
      <c r="AF53" s="59"/>
    </row>
    <row r="54" spans="1:32" x14ac:dyDescent="0.3">
      <c r="A54" s="39">
        <v>2</v>
      </c>
      <c r="B54" s="41" t="s">
        <v>837</v>
      </c>
      <c r="C54" s="50" t="s">
        <v>357</v>
      </c>
      <c r="D54" s="50" t="s">
        <v>1150</v>
      </c>
      <c r="E54" s="50" t="s">
        <v>25</v>
      </c>
      <c r="F54" s="51" t="s">
        <v>25</v>
      </c>
      <c r="G54" s="50" t="s">
        <v>866</v>
      </c>
      <c r="H54" s="59">
        <v>5768</v>
      </c>
      <c r="I54" s="59">
        <v>0</v>
      </c>
      <c r="J54" s="59">
        <v>-36</v>
      </c>
      <c r="K54" s="59">
        <v>31</v>
      </c>
      <c r="L54" s="59">
        <v>0</v>
      </c>
      <c r="M54" s="59">
        <v>-85</v>
      </c>
      <c r="N54" s="59">
        <v>-120</v>
      </c>
      <c r="O54" s="59">
        <f t="shared" si="5"/>
        <v>5558</v>
      </c>
      <c r="P54" s="59">
        <v>-2700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f t="shared" si="0"/>
        <v>2858</v>
      </c>
      <c r="X54" s="59">
        <f t="shared" si="1"/>
        <v>2858</v>
      </c>
      <c r="Y54" s="59">
        <f t="shared" si="2"/>
        <v>0</v>
      </c>
      <c r="Z54" s="59">
        <v>0</v>
      </c>
      <c r="AA54" s="59">
        <f t="shared" si="3"/>
        <v>0</v>
      </c>
      <c r="AB54" s="59">
        <f t="shared" si="4"/>
        <v>2700</v>
      </c>
      <c r="AD54" s="59"/>
      <c r="AE54" s="60"/>
      <c r="AF54" s="59"/>
    </row>
    <row r="55" spans="1:32" x14ac:dyDescent="0.3">
      <c r="A55" s="39">
        <v>2</v>
      </c>
      <c r="B55" s="41" t="s">
        <v>1304</v>
      </c>
      <c r="C55" s="50" t="s">
        <v>183</v>
      </c>
      <c r="D55" s="50" t="s">
        <v>1305</v>
      </c>
      <c r="E55" s="50" t="s">
        <v>25</v>
      </c>
      <c r="F55" s="51" t="s">
        <v>25</v>
      </c>
      <c r="G55" s="50" t="s">
        <v>866</v>
      </c>
      <c r="H55" s="59">
        <v>4060</v>
      </c>
      <c r="I55" s="59">
        <v>-2036</v>
      </c>
      <c r="J55" s="59">
        <v>-54</v>
      </c>
      <c r="K55" s="59">
        <v>0</v>
      </c>
      <c r="L55" s="59">
        <v>0</v>
      </c>
      <c r="M55" s="59">
        <v>-45</v>
      </c>
      <c r="N55" s="59">
        <v>0</v>
      </c>
      <c r="O55" s="59">
        <f t="shared" si="5"/>
        <v>1925</v>
      </c>
      <c r="P55" s="59">
        <f>-357.14*3</f>
        <v>-1071.42</v>
      </c>
      <c r="Q55" s="59">
        <v>0</v>
      </c>
      <c r="R55" s="59">
        <f>-214</f>
        <v>-214</v>
      </c>
      <c r="S55" s="59">
        <v>0</v>
      </c>
      <c r="T55" s="59">
        <v>0</v>
      </c>
      <c r="U55" s="59">
        <v>0</v>
      </c>
      <c r="V55" s="59">
        <v>0</v>
      </c>
      <c r="W55" s="59">
        <f t="shared" si="0"/>
        <v>639.57999999999993</v>
      </c>
      <c r="X55" s="59">
        <f t="shared" si="1"/>
        <v>639.57999999999993</v>
      </c>
      <c r="Y55" s="59">
        <f t="shared" si="2"/>
        <v>0</v>
      </c>
      <c r="Z55" s="59">
        <v>0</v>
      </c>
      <c r="AA55" s="59">
        <f t="shared" si="3"/>
        <v>0</v>
      </c>
      <c r="AB55" s="59">
        <f t="shared" si="4"/>
        <v>1285.42</v>
      </c>
      <c r="AC55" s="59">
        <v>2000</v>
      </c>
      <c r="AD55" s="59" t="s">
        <v>1306</v>
      </c>
      <c r="AE55" s="60"/>
      <c r="AF55" s="59"/>
    </row>
    <row r="56" spans="1:32" x14ac:dyDescent="0.3">
      <c r="A56" s="39">
        <v>2</v>
      </c>
      <c r="B56" s="41" t="s">
        <v>1307</v>
      </c>
      <c r="C56" s="50" t="s">
        <v>150</v>
      </c>
      <c r="D56" s="50" t="s">
        <v>1308</v>
      </c>
      <c r="E56" s="50" t="s">
        <v>25</v>
      </c>
      <c r="F56" s="51" t="s">
        <v>25</v>
      </c>
      <c r="G56" s="50" t="s">
        <v>866</v>
      </c>
      <c r="H56" s="59">
        <v>6925</v>
      </c>
      <c r="I56" s="59">
        <v>-3099</v>
      </c>
      <c r="J56" s="59">
        <v>-139</v>
      </c>
      <c r="K56" s="59">
        <v>0</v>
      </c>
      <c r="L56" s="59">
        <v>0</v>
      </c>
      <c r="M56" s="59">
        <v>-45</v>
      </c>
      <c r="N56" s="59">
        <v>0</v>
      </c>
      <c r="O56" s="59">
        <f t="shared" si="5"/>
        <v>3642</v>
      </c>
      <c r="P56" s="59">
        <f>(-2500/7)*5</f>
        <v>-1785.7142857142858</v>
      </c>
      <c r="Q56" s="59">
        <v>0</v>
      </c>
      <c r="R56" s="59">
        <v>-357</v>
      </c>
      <c r="S56" s="59">
        <v>0</v>
      </c>
      <c r="T56" s="59">
        <v>0</v>
      </c>
      <c r="U56" s="59">
        <v>0</v>
      </c>
      <c r="V56" s="59">
        <v>0</v>
      </c>
      <c r="W56" s="59">
        <f t="shared" si="0"/>
        <v>1499.2857142857142</v>
      </c>
      <c r="X56" s="59">
        <f t="shared" si="1"/>
        <v>1499.2857142857142</v>
      </c>
      <c r="Y56" s="59">
        <f t="shared" si="2"/>
        <v>0</v>
      </c>
      <c r="Z56" s="59">
        <v>0</v>
      </c>
      <c r="AA56" s="59">
        <f t="shared" si="3"/>
        <v>0</v>
      </c>
      <c r="AB56" s="59">
        <f t="shared" si="4"/>
        <v>2142.7142857142858</v>
      </c>
      <c r="AD56" s="59" t="s">
        <v>1309</v>
      </c>
      <c r="AE56" s="60"/>
      <c r="AF56" s="59"/>
    </row>
    <row r="57" spans="1:32" x14ac:dyDescent="0.3">
      <c r="A57" s="39">
        <v>2</v>
      </c>
      <c r="B57" s="41" t="s">
        <v>1310</v>
      </c>
      <c r="C57" s="50" t="s">
        <v>101</v>
      </c>
      <c r="D57" s="50" t="s">
        <v>945</v>
      </c>
      <c r="E57" s="50" t="s">
        <v>25</v>
      </c>
      <c r="F57" s="51" t="s">
        <v>25</v>
      </c>
      <c r="G57" s="50" t="s">
        <v>866</v>
      </c>
      <c r="H57" s="59">
        <v>4467</v>
      </c>
      <c r="I57" s="59">
        <v>-2397</v>
      </c>
      <c r="J57" s="59">
        <v>0</v>
      </c>
      <c r="K57" s="59">
        <v>0</v>
      </c>
      <c r="L57" s="59">
        <v>0</v>
      </c>
      <c r="M57" s="59">
        <v>-55</v>
      </c>
      <c r="N57" s="59">
        <v>0</v>
      </c>
      <c r="O57" s="59">
        <f t="shared" si="5"/>
        <v>2015</v>
      </c>
      <c r="P57" s="59">
        <f>(-2500/7)*5.5</f>
        <v>-1964.2857142857144</v>
      </c>
      <c r="Q57" s="59">
        <v>0</v>
      </c>
      <c r="R57" s="59">
        <f>(-500/7)*5.5</f>
        <v>-392.85714285714289</v>
      </c>
      <c r="S57" s="59">
        <v>0</v>
      </c>
      <c r="T57" s="59">
        <v>0</v>
      </c>
      <c r="U57" s="59">
        <v>0</v>
      </c>
      <c r="V57" s="59">
        <v>0</v>
      </c>
      <c r="W57" s="59">
        <f t="shared" si="0"/>
        <v>-342.14285714285734</v>
      </c>
      <c r="X57" s="59">
        <f t="shared" si="1"/>
        <v>0</v>
      </c>
      <c r="Y57" s="59">
        <f t="shared" si="2"/>
        <v>-342.14285714285734</v>
      </c>
      <c r="Z57" s="59">
        <v>342</v>
      </c>
      <c r="AA57" s="59">
        <f t="shared" si="3"/>
        <v>-0.14285714285733775</v>
      </c>
      <c r="AB57" s="59">
        <f t="shared" si="4"/>
        <v>2356.8571428571427</v>
      </c>
      <c r="AD57" s="59" t="s">
        <v>1311</v>
      </c>
      <c r="AE57" s="60"/>
      <c r="AF57" s="59"/>
    </row>
    <row r="58" spans="1:32" x14ac:dyDescent="0.3">
      <c r="A58" s="39">
        <v>2</v>
      </c>
      <c r="B58" s="41" t="s">
        <v>1312</v>
      </c>
      <c r="C58" s="50" t="s">
        <v>347</v>
      </c>
      <c r="D58" s="50" t="s">
        <v>1122</v>
      </c>
      <c r="E58" s="50" t="s">
        <v>25</v>
      </c>
      <c r="F58" s="51" t="s">
        <v>25</v>
      </c>
      <c r="G58" s="50" t="s">
        <v>866</v>
      </c>
      <c r="H58" s="59">
        <v>1853</v>
      </c>
      <c r="I58" s="59">
        <v>-1145</v>
      </c>
      <c r="J58" s="59">
        <v>0</v>
      </c>
      <c r="K58" s="59">
        <v>0</v>
      </c>
      <c r="M58" s="59">
        <v>-45</v>
      </c>
      <c r="N58" s="59">
        <v>0</v>
      </c>
      <c r="O58" s="59">
        <f t="shared" si="5"/>
        <v>663</v>
      </c>
      <c r="P58" s="59">
        <f>(-2500/7)*3.5</f>
        <v>-1250</v>
      </c>
      <c r="Q58" s="59">
        <v>0</v>
      </c>
      <c r="R58" s="59">
        <f>((-500/7)*3.5)</f>
        <v>-250</v>
      </c>
      <c r="S58" s="59">
        <v>0</v>
      </c>
      <c r="T58" s="59">
        <v>0</v>
      </c>
      <c r="U58" s="59">
        <v>0</v>
      </c>
      <c r="V58" s="59">
        <v>0</v>
      </c>
      <c r="W58" s="59">
        <f t="shared" si="0"/>
        <v>-837</v>
      </c>
      <c r="X58" s="59">
        <f t="shared" si="1"/>
        <v>0</v>
      </c>
      <c r="Y58" s="59">
        <f t="shared" si="2"/>
        <v>-837</v>
      </c>
      <c r="Z58" s="59">
        <v>0</v>
      </c>
      <c r="AA58" s="59">
        <f t="shared" si="3"/>
        <v>-837</v>
      </c>
      <c r="AB58" s="59">
        <f t="shared" si="4"/>
        <v>-174</v>
      </c>
      <c r="AC58" s="59">
        <v>1000</v>
      </c>
      <c r="AD58" s="59" t="s">
        <v>1313</v>
      </c>
      <c r="AE58" s="60"/>
      <c r="AF58" s="59"/>
    </row>
    <row r="59" spans="1:32" x14ac:dyDescent="0.3">
      <c r="A59" s="39">
        <v>2</v>
      </c>
      <c r="B59" s="41" t="s">
        <v>1314</v>
      </c>
      <c r="C59" s="50" t="s">
        <v>334</v>
      </c>
      <c r="D59" s="50" t="s">
        <v>1169</v>
      </c>
      <c r="E59" s="50" t="s">
        <v>25</v>
      </c>
      <c r="F59" s="51" t="s">
        <v>25</v>
      </c>
      <c r="G59" s="50" t="s">
        <v>866</v>
      </c>
      <c r="H59" s="59">
        <v>7562</v>
      </c>
      <c r="I59" s="59">
        <v>-4538</v>
      </c>
      <c r="J59" s="59">
        <v>0</v>
      </c>
      <c r="K59" s="59">
        <v>0</v>
      </c>
      <c r="L59" s="59">
        <v>0</v>
      </c>
      <c r="M59" s="59">
        <v>-55</v>
      </c>
      <c r="O59" s="59">
        <f t="shared" si="5"/>
        <v>2969</v>
      </c>
      <c r="P59" s="59">
        <f>(-2500/7)*6.5</f>
        <v>-2321.4285714285716</v>
      </c>
      <c r="Q59" s="59">
        <v>0</v>
      </c>
      <c r="R59" s="59">
        <f>(-500/7)*6.5</f>
        <v>-464.28571428571428</v>
      </c>
      <c r="S59" s="59">
        <v>0</v>
      </c>
      <c r="T59" s="59">
        <v>0</v>
      </c>
      <c r="U59" s="59">
        <v>0</v>
      </c>
      <c r="V59" s="59">
        <v>0</v>
      </c>
      <c r="W59" s="59">
        <f t="shared" si="0"/>
        <v>183.28571428571416</v>
      </c>
      <c r="X59" s="59">
        <f t="shared" si="1"/>
        <v>183.28571428571416</v>
      </c>
      <c r="Y59" s="59">
        <f t="shared" si="2"/>
        <v>0</v>
      </c>
      <c r="Z59" s="59">
        <v>0</v>
      </c>
      <c r="AA59" s="59">
        <f t="shared" si="3"/>
        <v>0</v>
      </c>
      <c r="AB59" s="59">
        <f t="shared" si="4"/>
        <v>2785.7142857142858</v>
      </c>
      <c r="AD59" s="59" t="s">
        <v>1315</v>
      </c>
      <c r="AE59" s="60"/>
      <c r="AF59" s="59"/>
    </row>
    <row r="60" spans="1:32" x14ac:dyDescent="0.3">
      <c r="A60" s="39">
        <v>2</v>
      </c>
      <c r="B60" s="41" t="s">
        <v>1142</v>
      </c>
      <c r="C60" s="50" t="s">
        <v>101</v>
      </c>
      <c r="D60" s="50" t="s">
        <v>1317</v>
      </c>
      <c r="E60" s="50" t="s">
        <v>25</v>
      </c>
      <c r="F60" s="51" t="s">
        <v>25</v>
      </c>
      <c r="G60" s="50" t="s">
        <v>866</v>
      </c>
      <c r="H60" s="59">
        <v>2482</v>
      </c>
      <c r="I60" s="59">
        <v>-836</v>
      </c>
      <c r="J60" s="59">
        <v>0</v>
      </c>
      <c r="K60" s="59">
        <v>0</v>
      </c>
      <c r="L60" s="59">
        <v>0</v>
      </c>
      <c r="M60" s="59">
        <v>-83</v>
      </c>
      <c r="N60" s="59">
        <v>-71</v>
      </c>
      <c r="O60" s="59">
        <f t="shared" si="5"/>
        <v>1492</v>
      </c>
      <c r="P60" s="59">
        <v>-2700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59">
        <v>0</v>
      </c>
      <c r="W60" s="59">
        <f t="shared" si="0"/>
        <v>-1208</v>
      </c>
      <c r="X60" s="59">
        <f t="shared" si="1"/>
        <v>0</v>
      </c>
      <c r="Y60" s="59">
        <f t="shared" si="2"/>
        <v>-1208</v>
      </c>
      <c r="AA60" s="59">
        <f t="shared" si="3"/>
        <v>-1208</v>
      </c>
      <c r="AB60" s="59">
        <f t="shared" si="4"/>
        <v>284</v>
      </c>
      <c r="AD60" s="59" t="s">
        <v>1318</v>
      </c>
      <c r="AE60" s="60"/>
      <c r="AF60" s="59"/>
    </row>
    <row r="61" spans="1:32" x14ac:dyDescent="0.3">
      <c r="A61" s="39">
        <v>2</v>
      </c>
      <c r="B61" s="41" t="s">
        <v>604</v>
      </c>
      <c r="C61" s="50" t="s">
        <v>605</v>
      </c>
      <c r="D61" s="50" t="s">
        <v>1223</v>
      </c>
      <c r="E61" s="50" t="s">
        <v>25</v>
      </c>
      <c r="F61" s="51" t="s">
        <v>25</v>
      </c>
      <c r="G61" s="50" t="s">
        <v>866</v>
      </c>
      <c r="H61" s="59">
        <v>2939</v>
      </c>
      <c r="I61" s="59">
        <v>-866</v>
      </c>
      <c r="J61" s="59">
        <v>0</v>
      </c>
      <c r="K61" s="59">
        <v>0</v>
      </c>
      <c r="L61" s="59">
        <v>0</v>
      </c>
      <c r="M61" s="59">
        <v>-45</v>
      </c>
      <c r="N61" s="59">
        <v>0</v>
      </c>
      <c r="O61" s="59">
        <f t="shared" si="5"/>
        <v>2028</v>
      </c>
      <c r="P61" s="59">
        <v>-2700</v>
      </c>
      <c r="Q61" s="59">
        <f>-163</f>
        <v>-163</v>
      </c>
      <c r="R61" s="59">
        <v>0</v>
      </c>
      <c r="S61" s="59">
        <v>0</v>
      </c>
      <c r="T61" s="59">
        <v>0</v>
      </c>
      <c r="U61" s="59">
        <v>0</v>
      </c>
      <c r="V61" s="59">
        <v>0</v>
      </c>
      <c r="W61" s="59">
        <f t="shared" si="0"/>
        <v>-835</v>
      </c>
      <c r="X61" s="59">
        <f t="shared" si="1"/>
        <v>0</v>
      </c>
      <c r="Y61" s="59">
        <f t="shared" si="2"/>
        <v>-835</v>
      </c>
      <c r="Z61" s="59">
        <v>835</v>
      </c>
      <c r="AA61" s="59">
        <f t="shared" si="3"/>
        <v>0</v>
      </c>
      <c r="AB61" s="59">
        <f t="shared" si="4"/>
        <v>2863</v>
      </c>
      <c r="AD61" s="59" t="s">
        <v>1319</v>
      </c>
      <c r="AE61" s="60"/>
      <c r="AF61" s="59"/>
    </row>
    <row r="62" spans="1:32" x14ac:dyDescent="0.3">
      <c r="A62" s="39">
        <v>2</v>
      </c>
      <c r="B62" s="41" t="s">
        <v>1029</v>
      </c>
      <c r="C62" s="50" t="s">
        <v>68</v>
      </c>
      <c r="D62" s="50" t="s">
        <v>869</v>
      </c>
      <c r="E62" s="50" t="s">
        <v>25</v>
      </c>
      <c r="F62" s="51" t="s">
        <v>25</v>
      </c>
      <c r="G62" s="50" t="s">
        <v>866</v>
      </c>
      <c r="H62" s="59">
        <v>3152</v>
      </c>
      <c r="I62" s="59">
        <v>-100</v>
      </c>
      <c r="J62" s="59">
        <v>-15</v>
      </c>
      <c r="K62" s="59">
        <v>0</v>
      </c>
      <c r="L62" s="59">
        <v>-30</v>
      </c>
      <c r="M62" s="59">
        <v>-45</v>
      </c>
      <c r="N62" s="59">
        <v>0</v>
      </c>
      <c r="O62" s="59">
        <f t="shared" si="5"/>
        <v>2962</v>
      </c>
      <c r="P62" s="59">
        <f>(-2500/7)*5</f>
        <v>-1785.7142857142858</v>
      </c>
      <c r="Q62" s="59">
        <v>-120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f t="shared" si="0"/>
        <v>1056.2857142857142</v>
      </c>
      <c r="X62" s="59">
        <f t="shared" si="1"/>
        <v>1056.2857142857142</v>
      </c>
      <c r="Y62" s="59">
        <f t="shared" si="2"/>
        <v>0</v>
      </c>
      <c r="Z62" s="59">
        <v>0</v>
      </c>
      <c r="AA62" s="59">
        <f t="shared" si="3"/>
        <v>0</v>
      </c>
      <c r="AB62" s="59">
        <f t="shared" si="4"/>
        <v>1905.7142857142858</v>
      </c>
      <c r="AD62" s="59" t="s">
        <v>1320</v>
      </c>
      <c r="AE62" s="60"/>
      <c r="AF62" s="59"/>
    </row>
    <row r="63" spans="1:32" x14ac:dyDescent="0.3">
      <c r="A63" s="39">
        <v>2</v>
      </c>
      <c r="B63" s="41" t="s">
        <v>1141</v>
      </c>
      <c r="C63" s="50" t="s">
        <v>120</v>
      </c>
      <c r="D63" s="50" t="s">
        <v>950</v>
      </c>
      <c r="E63" s="50" t="s">
        <v>25</v>
      </c>
      <c r="F63" s="51" t="s">
        <v>25</v>
      </c>
      <c r="G63" s="50" t="s">
        <v>866</v>
      </c>
      <c r="H63" s="59">
        <v>2681</v>
      </c>
      <c r="I63" s="59">
        <v>0</v>
      </c>
      <c r="J63" s="59">
        <v>0</v>
      </c>
      <c r="K63" s="59">
        <v>0</v>
      </c>
      <c r="L63" s="59">
        <v>0</v>
      </c>
      <c r="M63" s="59">
        <v>-55</v>
      </c>
      <c r="N63" s="59">
        <v>0</v>
      </c>
      <c r="O63" s="59">
        <f t="shared" si="5"/>
        <v>2626</v>
      </c>
      <c r="P63" s="59">
        <v>-2500</v>
      </c>
      <c r="Q63" s="59">
        <v>0</v>
      </c>
      <c r="R63" s="59">
        <v>-500</v>
      </c>
      <c r="S63" s="59">
        <v>0</v>
      </c>
      <c r="T63" s="59">
        <v>0</v>
      </c>
      <c r="U63" s="59">
        <v>0</v>
      </c>
      <c r="V63" s="59">
        <v>0</v>
      </c>
      <c r="W63" s="59">
        <f t="shared" si="0"/>
        <v>-374</v>
      </c>
      <c r="X63" s="59">
        <f t="shared" si="1"/>
        <v>0</v>
      </c>
      <c r="Y63" s="59">
        <f t="shared" si="2"/>
        <v>-374</v>
      </c>
      <c r="Z63" s="59">
        <v>374</v>
      </c>
      <c r="AA63" s="59">
        <f t="shared" si="3"/>
        <v>0</v>
      </c>
      <c r="AB63" s="59">
        <f t="shared" si="4"/>
        <v>3000</v>
      </c>
      <c r="AD63" s="59" t="s">
        <v>1322</v>
      </c>
      <c r="AE63" s="60"/>
      <c r="AF63" s="59"/>
    </row>
    <row r="64" spans="1:32" x14ac:dyDescent="0.3">
      <c r="A64" s="39">
        <v>2</v>
      </c>
      <c r="B64" s="41" t="s">
        <v>913</v>
      </c>
      <c r="C64" s="50" t="s">
        <v>361</v>
      </c>
      <c r="D64" s="50" t="s">
        <v>1164</v>
      </c>
      <c r="E64" s="50" t="s">
        <v>25</v>
      </c>
      <c r="F64" s="51" t="s">
        <v>25</v>
      </c>
      <c r="G64" s="50" t="s">
        <v>866</v>
      </c>
      <c r="H64" s="59">
        <v>2331</v>
      </c>
      <c r="I64" s="59">
        <v>-1666</v>
      </c>
      <c r="J64" s="59">
        <v>0</v>
      </c>
      <c r="K64" s="59">
        <v>0</v>
      </c>
      <c r="L64" s="59">
        <v>0</v>
      </c>
      <c r="M64" s="59">
        <v>-62</v>
      </c>
      <c r="N64" s="59">
        <v>-25</v>
      </c>
      <c r="O64" s="59">
        <f t="shared" si="5"/>
        <v>578</v>
      </c>
      <c r="P64" s="59">
        <f>-2700/7*4</f>
        <v>-1542.8571428571429</v>
      </c>
      <c r="Q64" s="59">
        <f>-3465*1.12</f>
        <v>-3880.8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f t="shared" si="0"/>
        <v>-4845.6571428571433</v>
      </c>
      <c r="X64" s="59">
        <f t="shared" si="1"/>
        <v>0</v>
      </c>
      <c r="Y64" s="59">
        <f t="shared" si="2"/>
        <v>-4845.6571428571433</v>
      </c>
      <c r="Z64" s="59">
        <f>1400+500+1300+500</f>
        <v>3700</v>
      </c>
      <c r="AA64" s="59">
        <f t="shared" si="3"/>
        <v>-1145.6571428571433</v>
      </c>
      <c r="AB64" s="59">
        <f t="shared" si="4"/>
        <v>3132.3428571428567</v>
      </c>
      <c r="AD64" s="59" t="s">
        <v>1323</v>
      </c>
      <c r="AE64" s="60"/>
      <c r="AF64" s="59"/>
    </row>
    <row r="65" spans="1:32" x14ac:dyDescent="0.3">
      <c r="A65" s="39">
        <v>2</v>
      </c>
      <c r="B65" s="41" t="s">
        <v>913</v>
      </c>
      <c r="C65" s="50" t="s">
        <v>120</v>
      </c>
      <c r="D65" s="50" t="s">
        <v>950</v>
      </c>
      <c r="E65" s="50" t="s">
        <v>25</v>
      </c>
      <c r="F65" s="51" t="s">
        <v>25</v>
      </c>
      <c r="G65" s="50" t="s">
        <v>866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59">
        <v>0</v>
      </c>
      <c r="N65" s="59">
        <v>0</v>
      </c>
      <c r="O65" s="59">
        <f t="shared" si="5"/>
        <v>0</v>
      </c>
      <c r="P65" s="59">
        <v>0</v>
      </c>
      <c r="Q65" s="59">
        <v>0</v>
      </c>
      <c r="R65" s="59">
        <v>0</v>
      </c>
      <c r="S65" s="59">
        <v>0</v>
      </c>
      <c r="T65" s="59">
        <v>-500</v>
      </c>
      <c r="U65" s="59">
        <v>0</v>
      </c>
      <c r="V65" s="59">
        <v>0</v>
      </c>
      <c r="W65" s="59">
        <f t="shared" si="0"/>
        <v>-500</v>
      </c>
      <c r="X65" s="59">
        <f t="shared" si="1"/>
        <v>0</v>
      </c>
      <c r="Y65" s="59">
        <f t="shared" si="2"/>
        <v>-500</v>
      </c>
      <c r="Z65" s="59">
        <v>500</v>
      </c>
      <c r="AA65" s="59">
        <f t="shared" si="3"/>
        <v>0</v>
      </c>
      <c r="AB65" s="59">
        <f t="shared" si="4"/>
        <v>500</v>
      </c>
      <c r="AD65" s="59" t="s">
        <v>1324</v>
      </c>
      <c r="AE65" s="60"/>
      <c r="AF65" s="59"/>
    </row>
    <row r="66" spans="1:32" x14ac:dyDescent="0.3">
      <c r="A66" s="39">
        <v>2</v>
      </c>
      <c r="B66" s="41" t="s">
        <v>457</v>
      </c>
      <c r="C66" s="50" t="s">
        <v>672</v>
      </c>
      <c r="D66" s="50" t="s">
        <v>1226</v>
      </c>
      <c r="E66" s="50" t="s">
        <v>25</v>
      </c>
      <c r="F66" s="51" t="s">
        <v>25</v>
      </c>
      <c r="G66" s="50" t="s">
        <v>866</v>
      </c>
      <c r="H66" s="59">
        <v>127</v>
      </c>
      <c r="I66" s="59">
        <v>0</v>
      </c>
      <c r="J66" s="59">
        <v>-3</v>
      </c>
      <c r="K66" s="59">
        <v>0</v>
      </c>
      <c r="L66" s="59">
        <v>0</v>
      </c>
      <c r="M66" s="59">
        <v>-45</v>
      </c>
      <c r="N66" s="59">
        <v>0</v>
      </c>
      <c r="O66" s="59">
        <f t="shared" si="5"/>
        <v>79</v>
      </c>
      <c r="P66" s="59">
        <v>-2500</v>
      </c>
      <c r="Q66" s="59">
        <v>164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f t="shared" ref="W66:W129" si="6">SUM(O66:V66)</f>
        <v>-2257</v>
      </c>
      <c r="X66" s="59">
        <f t="shared" ref="X66:X129" si="7">IF(W66&gt;=0,W66,0)</f>
        <v>0</v>
      </c>
      <c r="Y66" s="59">
        <f t="shared" ref="Y66:Y129" si="8">IF(W66&lt;=0,W66,0)</f>
        <v>-2257</v>
      </c>
      <c r="Z66" s="59">
        <v>0</v>
      </c>
      <c r="AA66" s="59">
        <f t="shared" ref="AA66:AA129" si="9">+Y66+Z66</f>
        <v>-2257</v>
      </c>
      <c r="AB66" s="59">
        <f t="shared" ref="AB66:AB129" si="10">+O66-X66+Z66+AA66</f>
        <v>-2178</v>
      </c>
      <c r="AD66" s="59" t="s">
        <v>1325</v>
      </c>
      <c r="AE66" s="60"/>
      <c r="AF66" s="59"/>
    </row>
    <row r="67" spans="1:32" x14ac:dyDescent="0.3">
      <c r="A67" s="39">
        <v>2</v>
      </c>
      <c r="B67" s="41" t="s">
        <v>457</v>
      </c>
      <c r="C67" s="50" t="s">
        <v>573</v>
      </c>
      <c r="D67" s="50" t="s">
        <v>1160</v>
      </c>
      <c r="E67" s="50" t="s">
        <v>25</v>
      </c>
      <c r="F67" s="51" t="s">
        <v>25</v>
      </c>
      <c r="G67" s="50" t="s">
        <v>866</v>
      </c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f t="shared" si="5"/>
        <v>0</v>
      </c>
      <c r="P67" s="59">
        <v>0</v>
      </c>
      <c r="Q67" s="59">
        <v>0</v>
      </c>
      <c r="R67" s="59">
        <v>0</v>
      </c>
      <c r="S67" s="59">
        <v>0</v>
      </c>
      <c r="T67" s="59">
        <v>-500</v>
      </c>
      <c r="U67" s="59">
        <v>0</v>
      </c>
      <c r="V67" s="59">
        <v>0</v>
      </c>
      <c r="W67" s="59">
        <f t="shared" si="6"/>
        <v>-500</v>
      </c>
      <c r="X67" s="59">
        <f t="shared" si="7"/>
        <v>0</v>
      </c>
      <c r="Y67" s="59">
        <f t="shared" si="8"/>
        <v>-500</v>
      </c>
      <c r="Z67" s="59">
        <v>0</v>
      </c>
      <c r="AA67" s="59">
        <f t="shared" si="9"/>
        <v>-500</v>
      </c>
      <c r="AB67" s="59">
        <f t="shared" si="10"/>
        <v>-500</v>
      </c>
      <c r="AD67" s="59" t="s">
        <v>1326</v>
      </c>
      <c r="AE67" s="60"/>
      <c r="AF67" s="59"/>
    </row>
    <row r="68" spans="1:32" x14ac:dyDescent="0.3">
      <c r="A68" s="39">
        <v>2</v>
      </c>
      <c r="B68" s="41" t="s">
        <v>612</v>
      </c>
      <c r="C68" s="50" t="s">
        <v>36</v>
      </c>
      <c r="D68" s="50" t="s">
        <v>904</v>
      </c>
      <c r="E68" s="50" t="s">
        <v>25</v>
      </c>
      <c r="F68" s="51" t="s">
        <v>25</v>
      </c>
      <c r="G68" s="50" t="s">
        <v>866</v>
      </c>
      <c r="H68" s="59">
        <v>4301</v>
      </c>
      <c r="I68" s="59">
        <v>-1115</v>
      </c>
      <c r="J68" s="59">
        <v>0</v>
      </c>
      <c r="K68" s="59">
        <v>0</v>
      </c>
      <c r="L68" s="59">
        <v>0</v>
      </c>
      <c r="M68" s="59">
        <v>-55</v>
      </c>
      <c r="N68" s="59">
        <v>0</v>
      </c>
      <c r="O68" s="59">
        <f t="shared" si="5"/>
        <v>3131</v>
      </c>
      <c r="P68" s="59">
        <v>-1964</v>
      </c>
      <c r="Q68" s="59">
        <v>0</v>
      </c>
      <c r="R68" s="59">
        <v>-500</v>
      </c>
      <c r="S68" s="59">
        <v>0</v>
      </c>
      <c r="T68" s="59">
        <v>0</v>
      </c>
      <c r="U68" s="59">
        <v>0</v>
      </c>
      <c r="V68" s="59">
        <v>0</v>
      </c>
      <c r="W68" s="59">
        <f t="shared" si="6"/>
        <v>667</v>
      </c>
      <c r="X68" s="59">
        <f t="shared" si="7"/>
        <v>667</v>
      </c>
      <c r="Y68" s="59">
        <f t="shared" si="8"/>
        <v>0</v>
      </c>
      <c r="Z68" s="59">
        <v>0</v>
      </c>
      <c r="AA68" s="59">
        <f t="shared" si="9"/>
        <v>0</v>
      </c>
      <c r="AB68" s="59">
        <f t="shared" si="10"/>
        <v>2464</v>
      </c>
      <c r="AD68" s="59" t="s">
        <v>1327</v>
      </c>
      <c r="AE68" s="60"/>
      <c r="AF68" s="59"/>
    </row>
    <row r="69" spans="1:32" x14ac:dyDescent="0.3">
      <c r="A69" s="39">
        <v>2</v>
      </c>
      <c r="B69" s="41" t="s">
        <v>1153</v>
      </c>
      <c r="C69" s="50" t="s">
        <v>1328</v>
      </c>
      <c r="D69" s="50" t="s">
        <v>1169</v>
      </c>
      <c r="E69" s="50" t="s">
        <v>25</v>
      </c>
      <c r="F69" s="51" t="s">
        <v>25</v>
      </c>
      <c r="G69" s="50" t="s">
        <v>866</v>
      </c>
      <c r="H69" s="59">
        <v>5360</v>
      </c>
      <c r="I69" s="59">
        <v>-2245</v>
      </c>
      <c r="J69" s="59">
        <v>0</v>
      </c>
      <c r="K69" s="59">
        <v>0</v>
      </c>
      <c r="L69" s="59">
        <v>0</v>
      </c>
      <c r="M69" s="59">
        <v>-55</v>
      </c>
      <c r="N69" s="59">
        <v>0</v>
      </c>
      <c r="O69" s="59">
        <f t="shared" si="5"/>
        <v>3060</v>
      </c>
      <c r="P69" s="59">
        <v>-2700</v>
      </c>
      <c r="Q69" s="59">
        <v>0</v>
      </c>
      <c r="R69" s="59">
        <v>-500</v>
      </c>
      <c r="S69" s="59">
        <v>0</v>
      </c>
      <c r="T69" s="59">
        <v>0</v>
      </c>
      <c r="U69" s="59">
        <v>0</v>
      </c>
      <c r="V69" s="59">
        <v>0</v>
      </c>
      <c r="W69" s="59">
        <f t="shared" si="6"/>
        <v>-140</v>
      </c>
      <c r="X69" s="59">
        <f t="shared" si="7"/>
        <v>0</v>
      </c>
      <c r="Y69" s="59">
        <f t="shared" si="8"/>
        <v>-140</v>
      </c>
      <c r="Z69" s="59">
        <v>140</v>
      </c>
      <c r="AA69" s="59">
        <f t="shared" si="9"/>
        <v>0</v>
      </c>
      <c r="AB69" s="59">
        <f t="shared" si="10"/>
        <v>3200</v>
      </c>
      <c r="AD69" s="59" t="s">
        <v>1329</v>
      </c>
      <c r="AE69" s="60"/>
      <c r="AF69" s="59"/>
    </row>
    <row r="70" spans="1:32" x14ac:dyDescent="0.3">
      <c r="A70" s="39">
        <v>2</v>
      </c>
      <c r="B70" s="41" t="s">
        <v>1157</v>
      </c>
      <c r="C70" s="50" t="s">
        <v>1265</v>
      </c>
      <c r="D70" s="50" t="s">
        <v>912</v>
      </c>
      <c r="E70" s="50" t="s">
        <v>25</v>
      </c>
      <c r="F70" s="51" t="s">
        <v>25</v>
      </c>
      <c r="G70" s="50" t="s">
        <v>866</v>
      </c>
      <c r="H70" s="59">
        <v>11323</v>
      </c>
      <c r="I70" s="59">
        <v>-6879</v>
      </c>
      <c r="J70" s="59">
        <v>-130</v>
      </c>
      <c r="K70" s="59">
        <v>0</v>
      </c>
      <c r="L70" s="59">
        <v>0</v>
      </c>
      <c r="M70" s="59">
        <v>-55</v>
      </c>
      <c r="N70" s="59">
        <v>0</v>
      </c>
      <c r="O70" s="59">
        <f t="shared" si="5"/>
        <v>4259</v>
      </c>
      <c r="P70" s="59">
        <v>-2700</v>
      </c>
      <c r="Q70" s="59">
        <v>0</v>
      </c>
      <c r="R70" s="59">
        <v>-500</v>
      </c>
      <c r="S70" s="59">
        <v>0</v>
      </c>
      <c r="T70" s="59">
        <v>0</v>
      </c>
      <c r="U70" s="59">
        <v>0</v>
      </c>
      <c r="V70" s="59">
        <v>0</v>
      </c>
      <c r="W70" s="59">
        <f t="shared" si="6"/>
        <v>1059</v>
      </c>
      <c r="X70" s="59">
        <f t="shared" si="7"/>
        <v>1059</v>
      </c>
      <c r="Y70" s="59">
        <f t="shared" si="8"/>
        <v>0</v>
      </c>
      <c r="Z70" s="59">
        <v>0</v>
      </c>
      <c r="AA70" s="59">
        <f t="shared" si="9"/>
        <v>0</v>
      </c>
      <c r="AB70" s="59">
        <f t="shared" si="10"/>
        <v>3200</v>
      </c>
      <c r="AD70" s="59" t="s">
        <v>1330</v>
      </c>
      <c r="AE70" s="60"/>
      <c r="AF70" s="59"/>
    </row>
    <row r="71" spans="1:32" x14ac:dyDescent="0.3">
      <c r="A71" s="39">
        <v>2</v>
      </c>
      <c r="B71" s="41" t="s">
        <v>1190</v>
      </c>
      <c r="C71" s="50" t="s">
        <v>46</v>
      </c>
      <c r="D71" s="50" t="s">
        <v>915</v>
      </c>
      <c r="E71" s="50" t="s">
        <v>25</v>
      </c>
      <c r="F71" s="51" t="s">
        <v>25</v>
      </c>
      <c r="G71" s="50" t="s">
        <v>866</v>
      </c>
      <c r="H71" s="59">
        <v>1318</v>
      </c>
      <c r="I71" s="59">
        <v>0</v>
      </c>
      <c r="J71" s="59">
        <v>0</v>
      </c>
      <c r="K71" s="59">
        <v>0</v>
      </c>
      <c r="L71" s="59">
        <v>-15</v>
      </c>
      <c r="M71" s="59">
        <v>-140</v>
      </c>
      <c r="N71" s="59">
        <v>-378</v>
      </c>
      <c r="O71" s="59">
        <f t="shared" ref="O71:O134" si="11">IF(H71+I71&lt;0,SUM(J71:N71),SUM(H71:N71))</f>
        <v>785</v>
      </c>
      <c r="P71" s="59">
        <v>-2500</v>
      </c>
      <c r="Q71" s="59">
        <f>-488*1.12</f>
        <v>-546.56000000000006</v>
      </c>
      <c r="R71" s="59">
        <v>-500</v>
      </c>
      <c r="S71" s="59">
        <v>0</v>
      </c>
      <c r="T71" s="59">
        <v>-700</v>
      </c>
      <c r="U71" s="59">
        <v>0</v>
      </c>
      <c r="V71" s="59">
        <v>0</v>
      </c>
      <c r="W71" s="59">
        <f t="shared" si="6"/>
        <v>-3461.56</v>
      </c>
      <c r="X71" s="59">
        <f t="shared" si="7"/>
        <v>0</v>
      </c>
      <c r="Y71" s="59">
        <f t="shared" si="8"/>
        <v>-3461.56</v>
      </c>
      <c r="Z71" s="59">
        <v>0</v>
      </c>
      <c r="AA71" s="59">
        <f t="shared" si="9"/>
        <v>-3461.56</v>
      </c>
      <c r="AB71" s="59">
        <f t="shared" si="10"/>
        <v>-2676.56</v>
      </c>
      <c r="AD71" s="59" t="s">
        <v>1331</v>
      </c>
      <c r="AE71" s="60"/>
      <c r="AF71" s="59"/>
    </row>
    <row r="72" spans="1:32" x14ac:dyDescent="0.3">
      <c r="A72" s="39">
        <v>2</v>
      </c>
      <c r="B72" s="41" t="s">
        <v>484</v>
      </c>
      <c r="C72" s="50" t="s">
        <v>1065</v>
      </c>
      <c r="D72" s="50" t="s">
        <v>1159</v>
      </c>
      <c r="E72" s="50" t="s">
        <v>25</v>
      </c>
      <c r="F72" s="51" t="s">
        <v>25</v>
      </c>
      <c r="G72" s="50" t="s">
        <v>866</v>
      </c>
      <c r="H72" s="59">
        <v>7847</v>
      </c>
      <c r="I72" s="59">
        <v>-3913</v>
      </c>
      <c r="J72" s="59">
        <v>-58</v>
      </c>
      <c r="K72" s="59">
        <v>0</v>
      </c>
      <c r="L72" s="59">
        <v>0</v>
      </c>
      <c r="M72" s="59">
        <v>-55</v>
      </c>
      <c r="N72" s="59">
        <v>0</v>
      </c>
      <c r="O72" s="59">
        <f t="shared" si="11"/>
        <v>3821</v>
      </c>
      <c r="P72" s="59">
        <v>-1250</v>
      </c>
      <c r="Q72" s="59">
        <v>34</v>
      </c>
      <c r="R72" s="59">
        <v>0</v>
      </c>
      <c r="S72" s="59">
        <v>0</v>
      </c>
      <c r="T72" s="59">
        <v>0</v>
      </c>
      <c r="U72" s="59">
        <v>0</v>
      </c>
      <c r="V72" s="59">
        <v>0</v>
      </c>
      <c r="W72" s="59">
        <f t="shared" si="6"/>
        <v>2605</v>
      </c>
      <c r="X72" s="59">
        <f t="shared" si="7"/>
        <v>2605</v>
      </c>
      <c r="Y72" s="59">
        <f t="shared" si="8"/>
        <v>0</v>
      </c>
      <c r="Z72" s="59">
        <v>0</v>
      </c>
      <c r="AA72" s="59">
        <f t="shared" si="9"/>
        <v>0</v>
      </c>
      <c r="AB72" s="59">
        <f t="shared" si="10"/>
        <v>1216</v>
      </c>
      <c r="AD72" s="59" t="s">
        <v>1332</v>
      </c>
      <c r="AE72" s="60"/>
      <c r="AF72" s="59"/>
    </row>
    <row r="73" spans="1:32" x14ac:dyDescent="0.3">
      <c r="A73" s="39">
        <v>2</v>
      </c>
      <c r="B73" s="41" t="s">
        <v>408</v>
      </c>
      <c r="C73" s="50" t="s">
        <v>563</v>
      </c>
      <c r="D73" s="50" t="s">
        <v>1230</v>
      </c>
      <c r="E73" s="50" t="s">
        <v>25</v>
      </c>
      <c r="F73" s="51" t="s">
        <v>25</v>
      </c>
      <c r="G73" s="50" t="s">
        <v>866</v>
      </c>
      <c r="H73" s="59">
        <v>2216</v>
      </c>
      <c r="I73" s="59">
        <v>-1483</v>
      </c>
      <c r="J73" s="59">
        <v>0</v>
      </c>
      <c r="K73" s="59">
        <v>0</v>
      </c>
      <c r="L73" s="59">
        <v>0</v>
      </c>
      <c r="M73" s="59">
        <v>-55</v>
      </c>
      <c r="N73" s="59">
        <v>0</v>
      </c>
      <c r="O73" s="59">
        <f t="shared" si="11"/>
        <v>678</v>
      </c>
      <c r="P73" s="59">
        <v>-2500</v>
      </c>
      <c r="Q73" s="59">
        <v>0</v>
      </c>
      <c r="R73" s="59">
        <v>0</v>
      </c>
      <c r="S73" s="59">
        <v>0</v>
      </c>
      <c r="T73" s="59">
        <v>0</v>
      </c>
      <c r="U73" s="59">
        <v>0</v>
      </c>
      <c r="V73" s="59">
        <v>0</v>
      </c>
      <c r="W73" s="59">
        <f t="shared" si="6"/>
        <v>-1822</v>
      </c>
      <c r="X73" s="59">
        <f t="shared" si="7"/>
        <v>0</v>
      </c>
      <c r="Y73" s="59">
        <f t="shared" si="8"/>
        <v>-1822</v>
      </c>
      <c r="Z73" s="59">
        <v>0</v>
      </c>
      <c r="AA73" s="59">
        <f t="shared" si="9"/>
        <v>-1822</v>
      </c>
      <c r="AB73" s="59">
        <f t="shared" si="10"/>
        <v>-1144</v>
      </c>
      <c r="AD73" s="59" t="s">
        <v>1333</v>
      </c>
      <c r="AE73" s="60"/>
      <c r="AF73" s="59"/>
    </row>
    <row r="74" spans="1:32" x14ac:dyDescent="0.3">
      <c r="A74" s="39">
        <v>2</v>
      </c>
      <c r="B74" s="41" t="s">
        <v>1196</v>
      </c>
      <c r="C74" s="50" t="s">
        <v>409</v>
      </c>
      <c r="D74" s="50" t="s">
        <v>946</v>
      </c>
      <c r="E74" s="50" t="s">
        <v>25</v>
      </c>
      <c r="F74" s="51" t="s">
        <v>25</v>
      </c>
      <c r="G74" s="50" t="s">
        <v>866</v>
      </c>
      <c r="H74" s="59">
        <v>2576</v>
      </c>
      <c r="I74" s="59">
        <v>-1176</v>
      </c>
      <c r="J74" s="59">
        <v>0</v>
      </c>
      <c r="K74" s="59">
        <v>0</v>
      </c>
      <c r="L74" s="59">
        <v>0</v>
      </c>
      <c r="M74" s="59">
        <v>-55</v>
      </c>
      <c r="N74" s="59">
        <v>0</v>
      </c>
      <c r="O74" s="59">
        <f t="shared" si="11"/>
        <v>1345</v>
      </c>
      <c r="P74" s="59">
        <v>-2500</v>
      </c>
      <c r="Q74" s="59">
        <f>-300*1.12</f>
        <v>-336.00000000000006</v>
      </c>
      <c r="R74" s="59">
        <v>-500</v>
      </c>
      <c r="S74" s="59">
        <v>0</v>
      </c>
      <c r="T74" s="59">
        <v>0</v>
      </c>
      <c r="U74" s="59">
        <v>0</v>
      </c>
      <c r="V74" s="59">
        <v>0</v>
      </c>
      <c r="W74" s="59">
        <f t="shared" si="6"/>
        <v>-1991</v>
      </c>
      <c r="X74" s="59">
        <f t="shared" si="7"/>
        <v>0</v>
      </c>
      <c r="Y74" s="59">
        <f t="shared" si="8"/>
        <v>-1991</v>
      </c>
      <c r="Z74" s="59">
        <v>0</v>
      </c>
      <c r="AA74" s="59">
        <f t="shared" si="9"/>
        <v>-1991</v>
      </c>
      <c r="AB74" s="59">
        <f t="shared" si="10"/>
        <v>-646</v>
      </c>
      <c r="AD74" s="59" t="s">
        <v>1334</v>
      </c>
      <c r="AE74" s="60"/>
      <c r="AF74" s="59"/>
    </row>
    <row r="75" spans="1:32" x14ac:dyDescent="0.3">
      <c r="A75" s="39">
        <v>2</v>
      </c>
      <c r="B75" s="41" t="s">
        <v>747</v>
      </c>
      <c r="C75" s="50" t="s">
        <v>152</v>
      </c>
      <c r="D75" s="50" t="s">
        <v>1108</v>
      </c>
      <c r="E75" s="50" t="s">
        <v>871</v>
      </c>
      <c r="F75" s="51" t="s">
        <v>25</v>
      </c>
      <c r="G75" s="50" t="s">
        <v>866</v>
      </c>
      <c r="H75" s="59">
        <v>83</v>
      </c>
      <c r="I75" s="59">
        <v>0</v>
      </c>
      <c r="J75" s="59">
        <v>0</v>
      </c>
      <c r="K75" s="59">
        <v>0</v>
      </c>
      <c r="L75" s="59">
        <v>0</v>
      </c>
      <c r="M75" s="59">
        <v>-65</v>
      </c>
      <c r="N75" s="59">
        <v>0</v>
      </c>
      <c r="O75" s="59">
        <f t="shared" si="11"/>
        <v>18</v>
      </c>
      <c r="P75" s="59">
        <v>-2500</v>
      </c>
      <c r="Q75" s="59">
        <f>-72*1.12</f>
        <v>-80.640000000000015</v>
      </c>
      <c r="R75" s="59">
        <v>-500</v>
      </c>
      <c r="S75" s="59">
        <v>0</v>
      </c>
      <c r="T75" s="59">
        <v>0</v>
      </c>
      <c r="U75" s="59">
        <v>0</v>
      </c>
      <c r="V75" s="59">
        <v>0</v>
      </c>
      <c r="W75" s="59">
        <f t="shared" si="6"/>
        <v>-3062.64</v>
      </c>
      <c r="X75" s="59">
        <f t="shared" si="7"/>
        <v>0</v>
      </c>
      <c r="Y75" s="59">
        <f t="shared" si="8"/>
        <v>-3062.64</v>
      </c>
      <c r="Z75" s="59">
        <f>1450+1150</f>
        <v>2600</v>
      </c>
      <c r="AA75" s="59">
        <f t="shared" si="9"/>
        <v>-462.63999999999987</v>
      </c>
      <c r="AB75" s="59">
        <f t="shared" si="10"/>
        <v>2155.36</v>
      </c>
      <c r="AD75" s="59" t="s">
        <v>1335</v>
      </c>
      <c r="AE75" s="60"/>
      <c r="AF75" s="59"/>
    </row>
    <row r="76" spans="1:32" x14ac:dyDescent="0.3">
      <c r="A76" s="39">
        <v>2</v>
      </c>
      <c r="B76" s="41" t="s">
        <v>1120</v>
      </c>
      <c r="C76" s="50" t="s">
        <v>1273</v>
      </c>
      <c r="D76" s="50" t="s">
        <v>912</v>
      </c>
      <c r="E76" s="50" t="s">
        <v>25</v>
      </c>
      <c r="F76" s="51" t="s">
        <v>25</v>
      </c>
      <c r="G76" s="50" t="s">
        <v>866</v>
      </c>
      <c r="H76" s="59">
        <v>5369</v>
      </c>
      <c r="I76" s="59">
        <v>-1733</v>
      </c>
      <c r="J76" s="59">
        <v>0</v>
      </c>
      <c r="K76" s="59">
        <v>121</v>
      </c>
      <c r="L76" s="59">
        <v>-70</v>
      </c>
      <c r="M76" s="59">
        <v>-55</v>
      </c>
      <c r="N76" s="59">
        <v>0</v>
      </c>
      <c r="O76" s="59">
        <f t="shared" si="11"/>
        <v>3632</v>
      </c>
      <c r="P76" s="59">
        <v>-2121</v>
      </c>
      <c r="Q76" s="59">
        <f>-746*1.12</f>
        <v>-835.5200000000001</v>
      </c>
      <c r="R76" s="59">
        <v>0</v>
      </c>
      <c r="S76" s="59">
        <v>0</v>
      </c>
      <c r="T76" s="59">
        <v>0</v>
      </c>
      <c r="U76" s="59">
        <v>-200</v>
      </c>
      <c r="V76" s="59">
        <v>0</v>
      </c>
      <c r="W76" s="59">
        <f t="shared" si="6"/>
        <v>475.4799999999999</v>
      </c>
      <c r="X76" s="59">
        <f t="shared" si="7"/>
        <v>475.4799999999999</v>
      </c>
      <c r="Y76" s="59">
        <f t="shared" si="8"/>
        <v>0</v>
      </c>
      <c r="Z76" s="59">
        <v>0</v>
      </c>
      <c r="AA76" s="59">
        <f t="shared" si="9"/>
        <v>0</v>
      </c>
      <c r="AB76" s="59">
        <f t="shared" si="10"/>
        <v>3156.52</v>
      </c>
      <c r="AD76" s="59" t="s">
        <v>1336</v>
      </c>
      <c r="AE76" s="60"/>
      <c r="AF76" s="59"/>
    </row>
    <row r="77" spans="1:32" x14ac:dyDescent="0.3">
      <c r="A77" s="39">
        <v>2</v>
      </c>
      <c r="B77" s="41" t="s">
        <v>515</v>
      </c>
      <c r="C77" s="50" t="s">
        <v>645</v>
      </c>
      <c r="D77" s="50" t="s">
        <v>1122</v>
      </c>
      <c r="E77" s="50" t="s">
        <v>25</v>
      </c>
      <c r="F77" s="51" t="s">
        <v>25</v>
      </c>
      <c r="G77" s="50" t="s">
        <v>866</v>
      </c>
      <c r="H77" s="59">
        <v>5975</v>
      </c>
      <c r="I77" s="59">
        <v>-270</v>
      </c>
      <c r="J77" s="59">
        <v>-24</v>
      </c>
      <c r="K77" s="59">
        <v>0</v>
      </c>
      <c r="L77" s="59">
        <v>0</v>
      </c>
      <c r="M77" s="59">
        <v>-55</v>
      </c>
      <c r="N77" s="59">
        <v>0</v>
      </c>
      <c r="O77" s="59">
        <f t="shared" si="11"/>
        <v>5626</v>
      </c>
      <c r="P77" s="59">
        <v>-2500</v>
      </c>
      <c r="Q77" s="59">
        <v>0</v>
      </c>
      <c r="R77" s="59">
        <v>0</v>
      </c>
      <c r="S77" s="59">
        <v>0</v>
      </c>
      <c r="T77" s="59">
        <v>-700</v>
      </c>
      <c r="U77" s="59">
        <v>0</v>
      </c>
      <c r="V77" s="59">
        <v>0</v>
      </c>
      <c r="W77" s="59">
        <f t="shared" si="6"/>
        <v>2426</v>
      </c>
      <c r="X77" s="59">
        <f t="shared" si="7"/>
        <v>2426</v>
      </c>
      <c r="Y77" s="59">
        <f t="shared" si="8"/>
        <v>0</v>
      </c>
      <c r="Z77" s="59">
        <v>0</v>
      </c>
      <c r="AA77" s="59">
        <f t="shared" si="9"/>
        <v>0</v>
      </c>
      <c r="AB77" s="59">
        <f t="shared" si="10"/>
        <v>3200</v>
      </c>
      <c r="AD77" s="59" t="s">
        <v>1337</v>
      </c>
      <c r="AE77" s="60"/>
      <c r="AF77" s="59"/>
    </row>
    <row r="78" spans="1:32" x14ac:dyDescent="0.3">
      <c r="A78" s="39">
        <v>2</v>
      </c>
      <c r="B78" s="41" t="s">
        <v>1088</v>
      </c>
      <c r="C78" s="50" t="s">
        <v>257</v>
      </c>
      <c r="D78" s="50" t="s">
        <v>943</v>
      </c>
      <c r="E78" s="50" t="s">
        <v>25</v>
      </c>
      <c r="F78" s="51" t="s">
        <v>25</v>
      </c>
      <c r="G78" s="50" t="s">
        <v>866</v>
      </c>
      <c r="H78" s="59">
        <v>3225</v>
      </c>
      <c r="I78" s="59">
        <v>-215</v>
      </c>
      <c r="J78" s="59">
        <v>-8</v>
      </c>
      <c r="K78" s="59">
        <v>0</v>
      </c>
      <c r="L78" s="59">
        <v>-28</v>
      </c>
      <c r="M78" s="59">
        <v>-45</v>
      </c>
      <c r="N78" s="59">
        <v>0</v>
      </c>
      <c r="O78" s="59">
        <f t="shared" si="11"/>
        <v>2929</v>
      </c>
      <c r="P78" s="59">
        <v>-2500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0</v>
      </c>
      <c r="W78" s="59">
        <f t="shared" si="6"/>
        <v>429</v>
      </c>
      <c r="X78" s="59">
        <f t="shared" si="7"/>
        <v>429</v>
      </c>
      <c r="Y78" s="59">
        <f t="shared" si="8"/>
        <v>0</v>
      </c>
      <c r="Z78" s="59">
        <v>0</v>
      </c>
      <c r="AA78" s="59">
        <f t="shared" si="9"/>
        <v>0</v>
      </c>
      <c r="AB78" s="59">
        <f t="shared" si="10"/>
        <v>2500</v>
      </c>
      <c r="AD78" s="59" t="s">
        <v>1338</v>
      </c>
      <c r="AE78" s="60"/>
      <c r="AF78" s="59"/>
    </row>
    <row r="79" spans="1:32" x14ac:dyDescent="0.3">
      <c r="A79" s="39">
        <v>2</v>
      </c>
      <c r="B79" s="41" t="s">
        <v>1143</v>
      </c>
      <c r="C79" s="50" t="s">
        <v>64</v>
      </c>
      <c r="D79" s="50" t="s">
        <v>949</v>
      </c>
      <c r="E79" s="50" t="s">
        <v>25</v>
      </c>
      <c r="F79" s="51" t="s">
        <v>25</v>
      </c>
      <c r="G79" s="50" t="s">
        <v>866</v>
      </c>
      <c r="H79" s="59">
        <v>3384</v>
      </c>
      <c r="I79" s="59">
        <v>-1555</v>
      </c>
      <c r="J79" s="59">
        <v>0</v>
      </c>
      <c r="K79" s="59">
        <v>0</v>
      </c>
      <c r="L79" s="59">
        <v>0</v>
      </c>
      <c r="M79" s="59">
        <v>-65</v>
      </c>
      <c r="N79" s="59">
        <v>0</v>
      </c>
      <c r="O79" s="59">
        <f t="shared" si="11"/>
        <v>1764</v>
      </c>
      <c r="P79" s="59">
        <v>-2500</v>
      </c>
      <c r="Q79" s="59">
        <v>0</v>
      </c>
      <c r="R79" s="59">
        <v>-500</v>
      </c>
      <c r="S79" s="59">
        <v>0</v>
      </c>
      <c r="T79" s="59">
        <v>0</v>
      </c>
      <c r="U79" s="59">
        <v>0</v>
      </c>
      <c r="V79" s="59">
        <v>0</v>
      </c>
      <c r="W79" s="59">
        <f t="shared" si="6"/>
        <v>-1236</v>
      </c>
      <c r="X79" s="59">
        <f t="shared" si="7"/>
        <v>0</v>
      </c>
      <c r="Y79" s="59">
        <f t="shared" si="8"/>
        <v>-1236</v>
      </c>
      <c r="Z79" s="59">
        <v>0</v>
      </c>
      <c r="AA79" s="59">
        <f t="shared" si="9"/>
        <v>-1236</v>
      </c>
      <c r="AB79" s="59">
        <f t="shared" si="10"/>
        <v>528</v>
      </c>
      <c r="AD79" s="59" t="s">
        <v>1339</v>
      </c>
      <c r="AE79" s="60"/>
      <c r="AF79" s="59"/>
    </row>
    <row r="80" spans="1:32" x14ac:dyDescent="0.3">
      <c r="A80" s="39">
        <v>2</v>
      </c>
      <c r="B80" s="41" t="s">
        <v>1151</v>
      </c>
      <c r="C80" s="50" t="s">
        <v>1285</v>
      </c>
      <c r="D80" s="50" t="s">
        <v>1340</v>
      </c>
      <c r="E80" s="50" t="s">
        <v>25</v>
      </c>
      <c r="F80" s="51" t="s">
        <v>25</v>
      </c>
      <c r="G80" s="50" t="s">
        <v>866</v>
      </c>
      <c r="H80" s="59">
        <v>4400</v>
      </c>
      <c r="I80" s="59">
        <v>-1177</v>
      </c>
      <c r="J80" s="59">
        <v>-48</v>
      </c>
      <c r="K80" s="59">
        <v>-120</v>
      </c>
      <c r="L80" s="59">
        <v>0</v>
      </c>
      <c r="M80" s="59">
        <v>-175</v>
      </c>
      <c r="N80" s="59">
        <v>-442</v>
      </c>
      <c r="O80" s="59">
        <f t="shared" si="11"/>
        <v>2438</v>
      </c>
      <c r="P80" s="59">
        <v>-2700</v>
      </c>
      <c r="Q80" s="59">
        <v>0</v>
      </c>
      <c r="R80" s="59">
        <v>-500</v>
      </c>
      <c r="S80" s="59">
        <v>0</v>
      </c>
      <c r="T80" s="59">
        <v>0</v>
      </c>
      <c r="U80" s="59">
        <v>0</v>
      </c>
      <c r="V80" s="59">
        <v>0</v>
      </c>
      <c r="W80" s="59">
        <f t="shared" si="6"/>
        <v>-762</v>
      </c>
      <c r="X80" s="59">
        <f t="shared" si="7"/>
        <v>0</v>
      </c>
      <c r="Y80" s="59">
        <f t="shared" si="8"/>
        <v>-762</v>
      </c>
      <c r="Z80" s="59">
        <v>762</v>
      </c>
      <c r="AA80" s="59">
        <f t="shared" si="9"/>
        <v>0</v>
      </c>
      <c r="AB80" s="59">
        <f t="shared" si="10"/>
        <v>3200</v>
      </c>
      <c r="AD80" s="59" t="s">
        <v>1341</v>
      </c>
      <c r="AE80" s="60"/>
      <c r="AF80" s="59"/>
    </row>
    <row r="81" spans="1:32" x14ac:dyDescent="0.3">
      <c r="A81" s="39">
        <v>2</v>
      </c>
      <c r="B81" s="41" t="s">
        <v>742</v>
      </c>
      <c r="C81" s="50" t="s">
        <v>573</v>
      </c>
      <c r="D81" s="50" t="s">
        <v>1160</v>
      </c>
      <c r="E81" s="50" t="s">
        <v>25</v>
      </c>
      <c r="F81" s="51" t="s">
        <v>25</v>
      </c>
      <c r="G81" s="50" t="s">
        <v>866</v>
      </c>
      <c r="H81" s="59">
        <v>6079</v>
      </c>
      <c r="I81" s="59">
        <v>-3904</v>
      </c>
      <c r="J81" s="59">
        <v>-32</v>
      </c>
      <c r="K81" s="59">
        <v>0</v>
      </c>
      <c r="L81" s="59">
        <v>-63</v>
      </c>
      <c r="M81" s="59">
        <v>-55</v>
      </c>
      <c r="N81" s="59">
        <v>0</v>
      </c>
      <c r="O81" s="59">
        <f t="shared" si="11"/>
        <v>2025</v>
      </c>
      <c r="P81" s="59">
        <v>-2321</v>
      </c>
      <c r="Q81" s="59">
        <v>0</v>
      </c>
      <c r="R81" s="59">
        <v>-500</v>
      </c>
      <c r="S81" s="59">
        <v>0</v>
      </c>
      <c r="T81" s="59">
        <v>0</v>
      </c>
      <c r="U81" s="59">
        <v>0</v>
      </c>
      <c r="V81" s="59">
        <v>0</v>
      </c>
      <c r="W81" s="59">
        <f t="shared" si="6"/>
        <v>-796</v>
      </c>
      <c r="X81" s="59">
        <f t="shared" si="7"/>
        <v>0</v>
      </c>
      <c r="Y81" s="59">
        <f t="shared" si="8"/>
        <v>-796</v>
      </c>
      <c r="Z81" s="59">
        <v>796</v>
      </c>
      <c r="AA81" s="59">
        <f t="shared" si="9"/>
        <v>0</v>
      </c>
      <c r="AB81" s="59">
        <f t="shared" si="10"/>
        <v>2821</v>
      </c>
      <c r="AD81" s="59" t="s">
        <v>1342</v>
      </c>
      <c r="AE81" s="60"/>
      <c r="AF81" s="59"/>
    </row>
    <row r="82" spans="1:32" x14ac:dyDescent="0.3">
      <c r="A82" s="39">
        <v>2</v>
      </c>
      <c r="B82" s="41" t="s">
        <v>1025</v>
      </c>
      <c r="C82" s="50" t="s">
        <v>51</v>
      </c>
      <c r="D82" s="50" t="s">
        <v>1115</v>
      </c>
      <c r="E82" s="50" t="s">
        <v>25</v>
      </c>
      <c r="F82" s="51" t="s">
        <v>25</v>
      </c>
      <c r="G82" s="50" t="s">
        <v>866</v>
      </c>
      <c r="H82" s="59">
        <v>1733</v>
      </c>
      <c r="I82" s="59">
        <v>-1446</v>
      </c>
      <c r="J82" s="59">
        <v>42</v>
      </c>
      <c r="K82" s="59">
        <v>0</v>
      </c>
      <c r="L82" s="59">
        <v>0</v>
      </c>
      <c r="M82" s="59">
        <v>-45</v>
      </c>
      <c r="N82" s="59">
        <v>0</v>
      </c>
      <c r="O82" s="59">
        <f t="shared" si="11"/>
        <v>284</v>
      </c>
      <c r="P82" s="59">
        <f>(-2500/7)*4</f>
        <v>-1428.5714285714287</v>
      </c>
      <c r="Q82" s="59">
        <v>0</v>
      </c>
      <c r="R82" s="59">
        <v>0</v>
      </c>
      <c r="S82" s="59">
        <v>0</v>
      </c>
      <c r="T82" s="59">
        <v>-500</v>
      </c>
      <c r="U82" s="59">
        <v>0</v>
      </c>
      <c r="V82" s="59">
        <v>0</v>
      </c>
      <c r="W82" s="59">
        <f t="shared" si="6"/>
        <v>-1644.5714285714287</v>
      </c>
      <c r="X82" s="59">
        <f t="shared" si="7"/>
        <v>0</v>
      </c>
      <c r="Y82" s="59">
        <f t="shared" si="8"/>
        <v>-1644.5714285714287</v>
      </c>
      <c r="Z82" s="59">
        <v>0</v>
      </c>
      <c r="AA82" s="59">
        <f t="shared" si="9"/>
        <v>-1644.5714285714287</v>
      </c>
      <c r="AB82" s="59">
        <f t="shared" si="10"/>
        <v>-1360.5714285714287</v>
      </c>
      <c r="AD82" s="59" t="s">
        <v>1343</v>
      </c>
      <c r="AE82" s="60"/>
      <c r="AF82" s="59"/>
    </row>
    <row r="83" spans="1:32" x14ac:dyDescent="0.3">
      <c r="A83" s="39">
        <v>2</v>
      </c>
      <c r="B83" s="41" t="s">
        <v>1295</v>
      </c>
      <c r="C83" s="50" t="s">
        <v>53</v>
      </c>
      <c r="D83" s="50" t="s">
        <v>1167</v>
      </c>
      <c r="E83" s="50" t="s">
        <v>25</v>
      </c>
      <c r="F83" s="51" t="s">
        <v>25</v>
      </c>
      <c r="G83" s="50" t="s">
        <v>866</v>
      </c>
      <c r="H83" s="59">
        <v>4271</v>
      </c>
      <c r="I83" s="59">
        <v>-2461</v>
      </c>
      <c r="J83" s="59">
        <v>0</v>
      </c>
      <c r="K83" s="59">
        <v>0</v>
      </c>
      <c r="L83" s="59">
        <v>0</v>
      </c>
      <c r="M83" s="59">
        <v>-55</v>
      </c>
      <c r="N83" s="59">
        <v>0</v>
      </c>
      <c r="O83" s="59">
        <f t="shared" si="11"/>
        <v>1755</v>
      </c>
      <c r="P83" s="59">
        <v>-2500</v>
      </c>
      <c r="Q83" s="59">
        <v>0</v>
      </c>
      <c r="R83" s="59">
        <v>-500</v>
      </c>
      <c r="S83" s="59">
        <v>0</v>
      </c>
      <c r="T83" s="59">
        <v>0</v>
      </c>
      <c r="U83" s="59">
        <v>0</v>
      </c>
      <c r="V83" s="59">
        <v>0</v>
      </c>
      <c r="W83" s="59">
        <f t="shared" si="6"/>
        <v>-1245</v>
      </c>
      <c r="X83" s="59">
        <f t="shared" si="7"/>
        <v>0</v>
      </c>
      <c r="Y83" s="59">
        <f t="shared" si="8"/>
        <v>-1245</v>
      </c>
      <c r="Z83" s="59">
        <v>1150</v>
      </c>
      <c r="AA83" s="59">
        <f t="shared" si="9"/>
        <v>-95</v>
      </c>
      <c r="AB83" s="59">
        <f t="shared" si="10"/>
        <v>2810</v>
      </c>
      <c r="AD83" s="59" t="s">
        <v>1344</v>
      </c>
      <c r="AE83" s="60"/>
      <c r="AF83" s="59"/>
    </row>
    <row r="84" spans="1:32" x14ac:dyDescent="0.3">
      <c r="A84" s="39">
        <v>2</v>
      </c>
      <c r="B84" s="41" t="s">
        <v>1297</v>
      </c>
      <c r="C84" s="50" t="s">
        <v>426</v>
      </c>
      <c r="D84" s="50" t="s">
        <v>949</v>
      </c>
      <c r="E84" s="50" t="s">
        <v>25</v>
      </c>
      <c r="F84" s="51" t="s">
        <v>25</v>
      </c>
      <c r="G84" s="50" t="s">
        <v>866</v>
      </c>
      <c r="H84" s="59">
        <v>2584</v>
      </c>
      <c r="I84" s="59">
        <v>-379</v>
      </c>
      <c r="J84" s="59">
        <v>0</v>
      </c>
      <c r="K84" s="59">
        <v>0</v>
      </c>
      <c r="L84" s="59">
        <v>0</v>
      </c>
      <c r="M84" s="59">
        <v>-45</v>
      </c>
      <c r="N84" s="59">
        <v>0</v>
      </c>
      <c r="O84" s="59">
        <f t="shared" si="11"/>
        <v>2160</v>
      </c>
      <c r="P84" s="59">
        <v>-2500</v>
      </c>
      <c r="Q84" s="59">
        <v>0</v>
      </c>
      <c r="R84" s="59">
        <v>-500</v>
      </c>
      <c r="S84" s="59">
        <v>0</v>
      </c>
      <c r="T84" s="59">
        <v>0</v>
      </c>
      <c r="U84" s="59">
        <v>0</v>
      </c>
      <c r="V84" s="59">
        <v>0</v>
      </c>
      <c r="W84" s="59">
        <f t="shared" si="6"/>
        <v>-840</v>
      </c>
      <c r="X84" s="59">
        <f t="shared" si="7"/>
        <v>0</v>
      </c>
      <c r="Y84" s="59">
        <f t="shared" si="8"/>
        <v>-840</v>
      </c>
      <c r="Z84" s="59">
        <v>840</v>
      </c>
      <c r="AA84" s="59">
        <f t="shared" si="9"/>
        <v>0</v>
      </c>
      <c r="AB84" s="59">
        <f t="shared" si="10"/>
        <v>3000</v>
      </c>
      <c r="AD84" s="59" t="s">
        <v>1345</v>
      </c>
      <c r="AE84" s="60"/>
      <c r="AF84" s="59"/>
    </row>
    <row r="85" spans="1:32" x14ac:dyDescent="0.3">
      <c r="A85" s="39">
        <v>2</v>
      </c>
      <c r="B85" s="41" t="s">
        <v>585</v>
      </c>
      <c r="C85" s="50" t="s">
        <v>42</v>
      </c>
      <c r="D85" s="50" t="s">
        <v>948</v>
      </c>
      <c r="E85" s="50" t="s">
        <v>25</v>
      </c>
      <c r="F85" s="51" t="s">
        <v>25</v>
      </c>
      <c r="G85" s="50" t="s">
        <v>866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f t="shared" si="11"/>
        <v>0</v>
      </c>
      <c r="P85" s="59">
        <v>-2500</v>
      </c>
      <c r="Q85" s="59">
        <v>0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f t="shared" si="6"/>
        <v>-2500</v>
      </c>
      <c r="X85" s="59">
        <f t="shared" si="7"/>
        <v>0</v>
      </c>
      <c r="Y85" s="59">
        <f t="shared" si="8"/>
        <v>-2500</v>
      </c>
      <c r="Z85" s="59">
        <v>2500</v>
      </c>
      <c r="AA85" s="59">
        <f t="shared" si="9"/>
        <v>0</v>
      </c>
      <c r="AB85" s="59">
        <f t="shared" si="10"/>
        <v>2500</v>
      </c>
      <c r="AD85" s="59" t="s">
        <v>1346</v>
      </c>
      <c r="AE85" s="60"/>
      <c r="AF85" s="59"/>
    </row>
    <row r="86" spans="1:32" x14ac:dyDescent="0.3">
      <c r="A86" s="39">
        <v>2</v>
      </c>
      <c r="B86" s="41" t="s">
        <v>1171</v>
      </c>
      <c r="C86" s="50" t="s">
        <v>480</v>
      </c>
      <c r="D86" s="50" t="s">
        <v>1243</v>
      </c>
      <c r="E86" s="50" t="s">
        <v>25</v>
      </c>
      <c r="F86" s="51" t="s">
        <v>25</v>
      </c>
      <c r="G86" s="50" t="s">
        <v>866</v>
      </c>
      <c r="H86" s="59">
        <v>0</v>
      </c>
      <c r="I86" s="59">
        <v>0</v>
      </c>
      <c r="J86" s="59">
        <v>0</v>
      </c>
      <c r="K86" s="59">
        <v>0</v>
      </c>
      <c r="L86" s="59">
        <v>0</v>
      </c>
      <c r="M86" s="59">
        <v>0</v>
      </c>
      <c r="N86" s="59">
        <v>0</v>
      </c>
      <c r="O86" s="59">
        <f t="shared" si="11"/>
        <v>0</v>
      </c>
      <c r="P86" s="59">
        <v>-2000</v>
      </c>
      <c r="Q86" s="59">
        <v>0</v>
      </c>
      <c r="R86" s="59">
        <v>0</v>
      </c>
      <c r="S86" s="59">
        <v>0</v>
      </c>
      <c r="T86" s="59">
        <v>0</v>
      </c>
      <c r="U86" s="59">
        <v>0</v>
      </c>
      <c r="V86" s="59">
        <v>0</v>
      </c>
      <c r="W86" s="59">
        <f t="shared" si="6"/>
        <v>-2000</v>
      </c>
      <c r="X86" s="59">
        <f t="shared" si="7"/>
        <v>0</v>
      </c>
      <c r="Y86" s="59">
        <f t="shared" si="8"/>
        <v>-2000</v>
      </c>
      <c r="Z86" s="59">
        <v>2000</v>
      </c>
      <c r="AA86" s="59">
        <f t="shared" si="9"/>
        <v>0</v>
      </c>
      <c r="AB86" s="59">
        <f t="shared" si="10"/>
        <v>2000</v>
      </c>
      <c r="AD86" s="59" t="s">
        <v>1347</v>
      </c>
      <c r="AE86" s="60"/>
      <c r="AF86" s="59"/>
    </row>
    <row r="87" spans="1:32" x14ac:dyDescent="0.3">
      <c r="A87" s="39">
        <v>2</v>
      </c>
      <c r="B87" s="41" t="s">
        <v>1067</v>
      </c>
      <c r="C87" s="50" t="s">
        <v>46</v>
      </c>
      <c r="D87" s="50" t="s">
        <v>915</v>
      </c>
      <c r="E87" s="50" t="s">
        <v>25</v>
      </c>
      <c r="F87" s="51" t="s">
        <v>25</v>
      </c>
      <c r="G87" s="50" t="s">
        <v>866</v>
      </c>
      <c r="H87" s="59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f t="shared" si="11"/>
        <v>0</v>
      </c>
      <c r="P87" s="59">
        <v>0</v>
      </c>
      <c r="Q87" s="59">
        <v>0</v>
      </c>
      <c r="R87" s="59">
        <v>0</v>
      </c>
      <c r="S87" s="59">
        <v>0</v>
      </c>
      <c r="T87" s="59">
        <v>-700</v>
      </c>
      <c r="U87" s="59">
        <v>0</v>
      </c>
      <c r="V87" s="59">
        <v>0</v>
      </c>
      <c r="W87" s="59">
        <f t="shared" si="6"/>
        <v>-700</v>
      </c>
      <c r="X87" s="59">
        <f t="shared" si="7"/>
        <v>0</v>
      </c>
      <c r="Y87" s="59">
        <f t="shared" si="8"/>
        <v>-700</v>
      </c>
      <c r="Z87" s="59">
        <v>700</v>
      </c>
      <c r="AA87" s="59">
        <f t="shared" si="9"/>
        <v>0</v>
      </c>
      <c r="AB87" s="59">
        <f t="shared" si="10"/>
        <v>700</v>
      </c>
      <c r="AD87" s="59" t="s">
        <v>1348</v>
      </c>
      <c r="AE87" s="60"/>
      <c r="AF87" s="59"/>
    </row>
    <row r="88" spans="1:32" x14ac:dyDescent="0.3">
      <c r="A88" s="39">
        <v>2</v>
      </c>
      <c r="B88" s="41" t="s">
        <v>1013</v>
      </c>
      <c r="C88" s="50" t="s">
        <v>101</v>
      </c>
      <c r="D88" s="50" t="s">
        <v>945</v>
      </c>
      <c r="E88" s="50" t="s">
        <v>25</v>
      </c>
      <c r="F88" s="51" t="s">
        <v>25</v>
      </c>
      <c r="G88" s="50" t="s">
        <v>866</v>
      </c>
      <c r="H88" s="59">
        <v>0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f t="shared" si="11"/>
        <v>0</v>
      </c>
      <c r="P88" s="59">
        <v>0</v>
      </c>
      <c r="Q88" s="59">
        <v>0</v>
      </c>
      <c r="R88" s="59">
        <v>500</v>
      </c>
      <c r="S88" s="59">
        <v>0</v>
      </c>
      <c r="T88" s="59">
        <v>0</v>
      </c>
      <c r="U88" s="59">
        <v>0</v>
      </c>
      <c r="V88" s="59">
        <v>0</v>
      </c>
      <c r="W88" s="59">
        <f t="shared" si="6"/>
        <v>500</v>
      </c>
      <c r="X88" s="59">
        <f t="shared" si="7"/>
        <v>500</v>
      </c>
      <c r="Y88" s="59">
        <f t="shared" si="8"/>
        <v>0</v>
      </c>
      <c r="Z88" s="59">
        <v>0</v>
      </c>
      <c r="AA88" s="59">
        <f t="shared" si="9"/>
        <v>0</v>
      </c>
      <c r="AB88" s="59">
        <f t="shared" si="10"/>
        <v>-500</v>
      </c>
      <c r="AD88" s="59" t="s">
        <v>1349</v>
      </c>
      <c r="AE88" s="60"/>
      <c r="AF88" s="59"/>
    </row>
    <row r="89" spans="1:32" x14ac:dyDescent="0.3">
      <c r="A89" s="39">
        <v>2</v>
      </c>
      <c r="B89" s="41" t="s">
        <v>1106</v>
      </c>
      <c r="C89" s="50" t="s">
        <v>36</v>
      </c>
      <c r="D89" s="50" t="s">
        <v>904</v>
      </c>
      <c r="E89" s="50" t="s">
        <v>25</v>
      </c>
      <c r="F89" s="51" t="s">
        <v>25</v>
      </c>
      <c r="G89" s="50" t="s">
        <v>866</v>
      </c>
      <c r="H89" s="59">
        <v>0</v>
      </c>
      <c r="I89" s="59">
        <v>0</v>
      </c>
      <c r="J89" s="59">
        <v>0</v>
      </c>
      <c r="K89" s="59">
        <v>0</v>
      </c>
      <c r="L89" s="59">
        <v>0</v>
      </c>
      <c r="M89" s="59">
        <v>0</v>
      </c>
      <c r="N89" s="59">
        <v>0</v>
      </c>
      <c r="O89" s="59">
        <f t="shared" si="11"/>
        <v>0</v>
      </c>
      <c r="P89" s="59">
        <v>0</v>
      </c>
      <c r="Q89" s="59">
        <v>0</v>
      </c>
      <c r="R89" s="59">
        <v>500</v>
      </c>
      <c r="S89" s="59">
        <v>0</v>
      </c>
      <c r="T89" s="59">
        <v>0</v>
      </c>
      <c r="U89" s="59">
        <v>0</v>
      </c>
      <c r="V89" s="59">
        <v>0</v>
      </c>
      <c r="W89" s="59">
        <f t="shared" si="6"/>
        <v>500</v>
      </c>
      <c r="X89" s="59">
        <f t="shared" si="7"/>
        <v>500</v>
      </c>
      <c r="Y89" s="59">
        <f t="shared" si="8"/>
        <v>0</v>
      </c>
      <c r="Z89" s="59">
        <v>0</v>
      </c>
      <c r="AA89" s="59">
        <f t="shared" si="9"/>
        <v>0</v>
      </c>
      <c r="AB89" s="59">
        <f t="shared" si="10"/>
        <v>-500</v>
      </c>
      <c r="AD89" s="59" t="s">
        <v>1350</v>
      </c>
      <c r="AE89" s="60"/>
      <c r="AF89" s="59"/>
    </row>
    <row r="90" spans="1:32" x14ac:dyDescent="0.3">
      <c r="A90" s="39">
        <v>2</v>
      </c>
      <c r="B90" s="41" t="s">
        <v>1025</v>
      </c>
      <c r="C90" s="50" t="s">
        <v>195</v>
      </c>
      <c r="D90" s="50" t="s">
        <v>964</v>
      </c>
      <c r="E90" s="50" t="s">
        <v>871</v>
      </c>
      <c r="F90" s="51" t="s">
        <v>39</v>
      </c>
      <c r="G90" s="50" t="s">
        <v>866</v>
      </c>
      <c r="H90" s="59">
        <v>1239.72</v>
      </c>
      <c r="I90" s="59">
        <v>-477.02</v>
      </c>
      <c r="J90" s="59">
        <v>0</v>
      </c>
      <c r="K90" s="59">
        <v>0</v>
      </c>
      <c r="L90" s="59">
        <v>0</v>
      </c>
      <c r="M90" s="59">
        <v>-13</v>
      </c>
      <c r="N90" s="59">
        <v>0</v>
      </c>
      <c r="O90" s="59">
        <f t="shared" si="11"/>
        <v>749.7</v>
      </c>
      <c r="P90" s="59">
        <f>(-2500/7)*3</f>
        <v>-1071.4285714285716</v>
      </c>
      <c r="Q90" s="59">
        <v>0</v>
      </c>
      <c r="R90" s="59">
        <v>0</v>
      </c>
      <c r="S90" s="59">
        <v>0</v>
      </c>
      <c r="T90" s="59">
        <v>0</v>
      </c>
      <c r="U90" s="59">
        <v>0</v>
      </c>
      <c r="V90" s="59">
        <v>0</v>
      </c>
      <c r="W90" s="59">
        <f t="shared" si="6"/>
        <v>-321.72857142857151</v>
      </c>
      <c r="X90" s="59">
        <f t="shared" si="7"/>
        <v>0</v>
      </c>
      <c r="Y90" s="59">
        <f t="shared" si="8"/>
        <v>-321.72857142857151</v>
      </c>
      <c r="Z90" s="59">
        <v>0</v>
      </c>
      <c r="AA90" s="59">
        <f t="shared" si="9"/>
        <v>-321.72857142857151</v>
      </c>
      <c r="AB90" s="59">
        <f t="shared" si="10"/>
        <v>427.97142857142853</v>
      </c>
      <c r="AD90" s="59" t="s">
        <v>1351</v>
      </c>
      <c r="AE90" s="60"/>
      <c r="AF90" s="59"/>
    </row>
    <row r="91" spans="1:32" x14ac:dyDescent="0.3">
      <c r="A91" s="39">
        <v>2</v>
      </c>
      <c r="B91" s="41" t="s">
        <v>944</v>
      </c>
      <c r="C91" s="50" t="s">
        <v>372</v>
      </c>
      <c r="D91" s="50" t="s">
        <v>1004</v>
      </c>
      <c r="E91" s="50" t="s">
        <v>39</v>
      </c>
      <c r="F91" s="51" t="s">
        <v>39</v>
      </c>
      <c r="G91" s="50" t="s">
        <v>866</v>
      </c>
      <c r="H91" s="59">
        <v>4267.6499999999996</v>
      </c>
      <c r="I91" s="59">
        <v>-1721.5</v>
      </c>
      <c r="J91" s="59">
        <v>0</v>
      </c>
      <c r="K91" s="59">
        <v>0</v>
      </c>
      <c r="L91" s="59">
        <v>0</v>
      </c>
      <c r="M91" s="59">
        <v>-65</v>
      </c>
      <c r="N91" s="59">
        <v>0</v>
      </c>
      <c r="O91" s="59">
        <f t="shared" si="11"/>
        <v>2481.1499999999996</v>
      </c>
      <c r="P91" s="59">
        <v>-2500</v>
      </c>
      <c r="Q91" s="59">
        <v>0</v>
      </c>
      <c r="R91" s="59">
        <v>0</v>
      </c>
      <c r="S91" s="59">
        <v>0</v>
      </c>
      <c r="T91" s="59">
        <v>-700</v>
      </c>
      <c r="U91" s="59">
        <v>0</v>
      </c>
      <c r="V91" s="59">
        <v>0</v>
      </c>
      <c r="W91" s="59">
        <f t="shared" si="6"/>
        <v>-718.85000000000036</v>
      </c>
      <c r="X91" s="59">
        <f t="shared" si="7"/>
        <v>0</v>
      </c>
      <c r="Y91" s="59">
        <f t="shared" si="8"/>
        <v>-718.85000000000036</v>
      </c>
      <c r="Z91" s="59">
        <v>0</v>
      </c>
      <c r="AA91" s="59">
        <f t="shared" si="9"/>
        <v>-718.85000000000036</v>
      </c>
      <c r="AB91" s="59">
        <f t="shared" si="10"/>
        <v>1762.2999999999993</v>
      </c>
      <c r="AD91" s="59" t="s">
        <v>1352</v>
      </c>
      <c r="AE91" s="60"/>
      <c r="AF91" s="59"/>
    </row>
    <row r="92" spans="1:32" x14ac:dyDescent="0.3">
      <c r="A92" s="39">
        <v>2</v>
      </c>
      <c r="B92" s="41" t="s">
        <v>1155</v>
      </c>
      <c r="C92" s="50" t="s">
        <v>123</v>
      </c>
      <c r="D92" s="50" t="s">
        <v>999</v>
      </c>
      <c r="E92" s="50" t="s">
        <v>871</v>
      </c>
      <c r="F92" s="51" t="s">
        <v>39</v>
      </c>
      <c r="G92" s="50" t="s">
        <v>866</v>
      </c>
      <c r="H92" s="59">
        <v>3021.98</v>
      </c>
      <c r="I92" s="59">
        <v>-1761.6800000000003</v>
      </c>
      <c r="J92" s="59">
        <v>0</v>
      </c>
      <c r="K92" s="59">
        <v>0</v>
      </c>
      <c r="L92" s="59">
        <v>0</v>
      </c>
      <c r="M92" s="59">
        <v>-65</v>
      </c>
      <c r="N92" s="59">
        <v>0</v>
      </c>
      <c r="O92" s="59">
        <f t="shared" si="11"/>
        <v>1195.2999999999997</v>
      </c>
      <c r="P92" s="59">
        <v>-2500</v>
      </c>
      <c r="Q92" s="59">
        <f>-184*1.12</f>
        <v>-206.08</v>
      </c>
      <c r="R92" s="59">
        <v>-500</v>
      </c>
      <c r="S92" s="59">
        <v>0</v>
      </c>
      <c r="T92" s="59">
        <v>0</v>
      </c>
      <c r="U92" s="59">
        <v>0</v>
      </c>
      <c r="V92" s="59">
        <v>0</v>
      </c>
      <c r="W92" s="59">
        <f t="shared" si="6"/>
        <v>-2010.7800000000002</v>
      </c>
      <c r="X92" s="59">
        <f t="shared" si="7"/>
        <v>0</v>
      </c>
      <c r="Y92" s="59">
        <f t="shared" si="8"/>
        <v>-2010.7800000000002</v>
      </c>
      <c r="Z92" s="59">
        <v>0</v>
      </c>
      <c r="AA92" s="59">
        <f t="shared" si="9"/>
        <v>-2010.7800000000002</v>
      </c>
      <c r="AB92" s="59">
        <f t="shared" si="10"/>
        <v>-815.48000000000047</v>
      </c>
      <c r="AD92" s="59" t="s">
        <v>1291</v>
      </c>
      <c r="AE92" s="60"/>
      <c r="AF92" s="59"/>
    </row>
    <row r="93" spans="1:32" x14ac:dyDescent="0.3">
      <c r="A93" s="39">
        <v>2</v>
      </c>
      <c r="B93" s="41" t="s">
        <v>1056</v>
      </c>
      <c r="C93" s="50" t="s">
        <v>760</v>
      </c>
      <c r="D93" s="50" t="s">
        <v>1239</v>
      </c>
      <c r="E93" s="50" t="s">
        <v>25</v>
      </c>
      <c r="F93" s="143" t="s">
        <v>39</v>
      </c>
      <c r="G93" s="50" t="s">
        <v>866</v>
      </c>
      <c r="H93" s="59">
        <v>5181.2700000000004</v>
      </c>
      <c r="I93" s="59">
        <v>0</v>
      </c>
      <c r="J93" s="59">
        <v>0</v>
      </c>
      <c r="K93" s="59">
        <v>9.7899999999999991</v>
      </c>
      <c r="L93" s="59">
        <v>0</v>
      </c>
      <c r="M93" s="59">
        <v>0</v>
      </c>
      <c r="N93" s="59">
        <v>0</v>
      </c>
      <c r="O93" s="59">
        <f t="shared" si="11"/>
        <v>5191.0600000000004</v>
      </c>
      <c r="P93" s="59">
        <v>-5191</v>
      </c>
      <c r="Q93" s="59">
        <v>0</v>
      </c>
      <c r="R93" s="59">
        <v>0</v>
      </c>
      <c r="S93" s="59">
        <v>0</v>
      </c>
      <c r="T93" s="59">
        <v>0</v>
      </c>
      <c r="U93" s="59">
        <v>0</v>
      </c>
      <c r="V93" s="59">
        <v>0</v>
      </c>
      <c r="W93" s="59">
        <f t="shared" si="6"/>
        <v>6.0000000000400178E-2</v>
      </c>
      <c r="X93" s="59">
        <f t="shared" si="7"/>
        <v>6.0000000000400178E-2</v>
      </c>
      <c r="Y93" s="59">
        <f t="shared" si="8"/>
        <v>0</v>
      </c>
      <c r="Z93" s="59">
        <v>0</v>
      </c>
      <c r="AA93" s="59">
        <f t="shared" si="9"/>
        <v>0</v>
      </c>
      <c r="AB93" s="59">
        <f t="shared" si="10"/>
        <v>5191</v>
      </c>
      <c r="AD93" s="59" t="s">
        <v>1353</v>
      </c>
      <c r="AE93" s="60"/>
      <c r="AF93" s="59"/>
    </row>
    <row r="94" spans="1:32" x14ac:dyDescent="0.3">
      <c r="A94" s="39">
        <v>2</v>
      </c>
      <c r="B94" s="41" t="s">
        <v>872</v>
      </c>
      <c r="C94" s="50" t="s">
        <v>256</v>
      </c>
      <c r="D94" s="50" t="s">
        <v>997</v>
      </c>
      <c r="E94" s="50" t="s">
        <v>871</v>
      </c>
      <c r="F94" s="51" t="s">
        <v>39</v>
      </c>
      <c r="G94" s="50" t="s">
        <v>866</v>
      </c>
      <c r="H94" s="59">
        <v>7676.14</v>
      </c>
      <c r="I94" s="59">
        <v>-2792.7799999999997</v>
      </c>
      <c r="J94" s="59">
        <v>-80</v>
      </c>
      <c r="K94" s="59">
        <v>19.579999999999998</v>
      </c>
      <c r="L94" s="59">
        <v>-84.320000000000007</v>
      </c>
      <c r="M94" s="59">
        <v>-65</v>
      </c>
      <c r="N94" s="59">
        <v>0</v>
      </c>
      <c r="O94" s="59">
        <f t="shared" si="11"/>
        <v>4673.6200000000008</v>
      </c>
      <c r="P94" s="59">
        <v>-1250</v>
      </c>
      <c r="Q94" s="59">
        <v>0</v>
      </c>
      <c r="R94" s="59">
        <v>0</v>
      </c>
      <c r="S94" s="59">
        <v>0</v>
      </c>
      <c r="T94" s="59">
        <v>0</v>
      </c>
      <c r="U94" s="59">
        <v>0</v>
      </c>
      <c r="V94" s="59">
        <v>0</v>
      </c>
      <c r="W94" s="59">
        <f t="shared" si="6"/>
        <v>3423.6200000000008</v>
      </c>
      <c r="X94" s="59">
        <f t="shared" si="7"/>
        <v>3423.6200000000008</v>
      </c>
      <c r="Y94" s="59">
        <f t="shared" si="8"/>
        <v>0</v>
      </c>
      <c r="Z94" s="59">
        <v>0</v>
      </c>
      <c r="AA94" s="59">
        <f t="shared" si="9"/>
        <v>0</v>
      </c>
      <c r="AB94" s="59">
        <f t="shared" si="10"/>
        <v>1250</v>
      </c>
      <c r="AD94" s="59" t="s">
        <v>1332</v>
      </c>
      <c r="AE94" s="60"/>
      <c r="AF94" s="59"/>
    </row>
    <row r="95" spans="1:32" x14ac:dyDescent="0.3">
      <c r="A95" s="39">
        <v>2</v>
      </c>
      <c r="B95" s="41" t="s">
        <v>1010</v>
      </c>
      <c r="C95" s="50" t="s">
        <v>51</v>
      </c>
      <c r="D95" s="50" t="s">
        <v>1115</v>
      </c>
      <c r="E95" s="50" t="s">
        <v>25</v>
      </c>
      <c r="F95" s="143" t="s">
        <v>39</v>
      </c>
      <c r="G95" s="50" t="s">
        <v>866</v>
      </c>
      <c r="H95" s="59">
        <v>131.11000000000001</v>
      </c>
      <c r="I95" s="59">
        <v>0</v>
      </c>
      <c r="J95" s="59">
        <v>0</v>
      </c>
      <c r="K95" s="59">
        <v>0</v>
      </c>
      <c r="L95" s="59">
        <v>-1.48</v>
      </c>
      <c r="M95" s="59">
        <v>-40</v>
      </c>
      <c r="N95" s="59">
        <v>0</v>
      </c>
      <c r="O95" s="59">
        <f t="shared" si="11"/>
        <v>89.630000000000024</v>
      </c>
      <c r="P95" s="59">
        <f>(-2500/7)*4</f>
        <v>-1428.5714285714287</v>
      </c>
      <c r="Q95" s="59">
        <f>-142*1.12</f>
        <v>-159.04000000000002</v>
      </c>
      <c r="R95" s="59">
        <v>-500</v>
      </c>
      <c r="S95" s="59">
        <v>0</v>
      </c>
      <c r="T95" s="59">
        <v>0</v>
      </c>
      <c r="U95" s="59">
        <v>0</v>
      </c>
      <c r="V95" s="59">
        <v>0</v>
      </c>
      <c r="W95" s="59">
        <f t="shared" si="6"/>
        <v>-1997.9814285714285</v>
      </c>
      <c r="X95" s="59">
        <f t="shared" si="7"/>
        <v>0</v>
      </c>
      <c r="Y95" s="59">
        <f t="shared" si="8"/>
        <v>-1997.9814285714285</v>
      </c>
      <c r="Z95" s="59">
        <v>694</v>
      </c>
      <c r="AA95" s="59">
        <f t="shared" si="9"/>
        <v>-1303.9814285714285</v>
      </c>
      <c r="AB95" s="59">
        <f t="shared" si="10"/>
        <v>-520.35142857142853</v>
      </c>
      <c r="AD95" s="59" t="s">
        <v>1354</v>
      </c>
      <c r="AE95" s="60"/>
      <c r="AF95" s="59"/>
    </row>
    <row r="96" spans="1:32" x14ac:dyDescent="0.3">
      <c r="A96" s="39">
        <v>2</v>
      </c>
      <c r="B96" s="41" t="s">
        <v>1100</v>
      </c>
      <c r="C96" s="50" t="s">
        <v>213</v>
      </c>
      <c r="D96" s="50" t="s">
        <v>1116</v>
      </c>
      <c r="E96" s="50" t="s">
        <v>39</v>
      </c>
      <c r="F96" s="51" t="s">
        <v>39</v>
      </c>
      <c r="G96" s="50" t="s">
        <v>866</v>
      </c>
      <c r="H96" s="59">
        <v>2542.21</v>
      </c>
      <c r="I96" s="59">
        <v>-328.85</v>
      </c>
      <c r="J96" s="59">
        <v>0</v>
      </c>
      <c r="K96" s="59">
        <v>0</v>
      </c>
      <c r="L96" s="59">
        <v>-26.740000000000006</v>
      </c>
      <c r="M96" s="59">
        <v>-35</v>
      </c>
      <c r="N96" s="59">
        <v>0</v>
      </c>
      <c r="O96" s="59">
        <f t="shared" si="11"/>
        <v>2151.6200000000003</v>
      </c>
      <c r="P96" s="59">
        <v>-2500</v>
      </c>
      <c r="Q96" s="59">
        <f>-3752*1.12</f>
        <v>-4202.2400000000007</v>
      </c>
      <c r="R96" s="59">
        <v>0</v>
      </c>
      <c r="S96" s="59">
        <v>0</v>
      </c>
      <c r="T96" s="59">
        <v>0</v>
      </c>
      <c r="U96" s="59">
        <v>0</v>
      </c>
      <c r="V96" s="59">
        <v>0</v>
      </c>
      <c r="W96" s="59">
        <f t="shared" si="6"/>
        <v>-4550.6200000000008</v>
      </c>
      <c r="X96" s="59">
        <f t="shared" si="7"/>
        <v>0</v>
      </c>
      <c r="Y96" s="59">
        <f t="shared" si="8"/>
        <v>-4550.6200000000008</v>
      </c>
      <c r="Z96" s="59">
        <v>0</v>
      </c>
      <c r="AA96" s="59">
        <f t="shared" si="9"/>
        <v>-4550.6200000000008</v>
      </c>
      <c r="AB96" s="59">
        <f t="shared" si="10"/>
        <v>-2399.0000000000005</v>
      </c>
      <c r="AD96" s="59" t="s">
        <v>1355</v>
      </c>
      <c r="AE96" s="60"/>
      <c r="AF96" s="59"/>
    </row>
    <row r="97" spans="1:32" x14ac:dyDescent="0.3">
      <c r="A97" s="39">
        <v>2</v>
      </c>
      <c r="B97" s="41" t="s">
        <v>1244</v>
      </c>
      <c r="C97" s="50" t="s">
        <v>55</v>
      </c>
      <c r="D97" s="50" t="s">
        <v>1168</v>
      </c>
      <c r="E97" s="50" t="s">
        <v>25</v>
      </c>
      <c r="F97" s="143" t="s">
        <v>39</v>
      </c>
      <c r="G97" s="50" t="s">
        <v>866</v>
      </c>
      <c r="H97" s="59">
        <v>11557.6</v>
      </c>
      <c r="I97" s="59">
        <v>-5195.3499999999985</v>
      </c>
      <c r="J97" s="59">
        <v>-64</v>
      </c>
      <c r="K97" s="59">
        <v>0</v>
      </c>
      <c r="L97" s="59">
        <v>0</v>
      </c>
      <c r="M97" s="59">
        <v>-72</v>
      </c>
      <c r="N97" s="59">
        <v>0</v>
      </c>
      <c r="O97" s="59">
        <f t="shared" si="11"/>
        <v>6226.2500000000018</v>
      </c>
      <c r="P97" s="59">
        <v>-2500</v>
      </c>
      <c r="Q97" s="59">
        <v>0</v>
      </c>
      <c r="R97" s="59">
        <v>-500</v>
      </c>
      <c r="S97" s="59">
        <v>0</v>
      </c>
      <c r="T97" s="59">
        <v>0</v>
      </c>
      <c r="U97" s="59">
        <v>0</v>
      </c>
      <c r="V97" s="59">
        <v>0</v>
      </c>
      <c r="W97" s="59">
        <f t="shared" si="6"/>
        <v>3226.2500000000018</v>
      </c>
      <c r="X97" s="59">
        <f t="shared" si="7"/>
        <v>3226.2500000000018</v>
      </c>
      <c r="Y97" s="59">
        <f t="shared" si="8"/>
        <v>0</v>
      </c>
      <c r="Z97" s="59">
        <v>0</v>
      </c>
      <c r="AA97" s="59">
        <f t="shared" si="9"/>
        <v>0</v>
      </c>
      <c r="AB97" s="59">
        <f t="shared" si="10"/>
        <v>3000</v>
      </c>
      <c r="AD97" s="59"/>
      <c r="AE97" s="60"/>
      <c r="AF97" s="59"/>
    </row>
    <row r="98" spans="1:32" x14ac:dyDescent="0.3">
      <c r="A98" s="39">
        <v>2</v>
      </c>
      <c r="B98" s="41" t="s">
        <v>1003</v>
      </c>
      <c r="C98" s="50" t="s">
        <v>169</v>
      </c>
      <c r="D98" s="50" t="s">
        <v>967</v>
      </c>
      <c r="E98" s="50" t="s">
        <v>871</v>
      </c>
      <c r="F98" s="51" t="s">
        <v>39</v>
      </c>
      <c r="G98" s="50" t="s">
        <v>866</v>
      </c>
      <c r="H98" s="59">
        <v>2249.15</v>
      </c>
      <c r="I98" s="59">
        <v>-238.94</v>
      </c>
      <c r="J98" s="59">
        <v>0</v>
      </c>
      <c r="K98" s="59">
        <v>0</v>
      </c>
      <c r="L98" s="59">
        <v>0</v>
      </c>
      <c r="M98" s="59">
        <v>-20</v>
      </c>
      <c r="N98" s="59">
        <v>0</v>
      </c>
      <c r="O98" s="59">
        <f t="shared" si="11"/>
        <v>1990.21</v>
      </c>
      <c r="P98" s="59">
        <v>-2500</v>
      </c>
      <c r="Q98" s="59">
        <v>0</v>
      </c>
      <c r="R98" s="59">
        <v>0</v>
      </c>
      <c r="S98" s="59">
        <v>0</v>
      </c>
      <c r="T98" s="59">
        <v>0</v>
      </c>
      <c r="U98" s="59">
        <v>0</v>
      </c>
      <c r="V98" s="59">
        <v>0</v>
      </c>
      <c r="W98" s="59">
        <f t="shared" si="6"/>
        <v>-509.78999999999996</v>
      </c>
      <c r="X98" s="59">
        <f t="shared" si="7"/>
        <v>0</v>
      </c>
      <c r="Y98" s="59">
        <f t="shared" si="8"/>
        <v>-509.78999999999996</v>
      </c>
      <c r="Z98" s="59">
        <v>510</v>
      </c>
      <c r="AA98" s="59">
        <f t="shared" si="9"/>
        <v>0.21000000000003638</v>
      </c>
      <c r="AB98" s="59">
        <f t="shared" si="10"/>
        <v>2500.42</v>
      </c>
      <c r="AD98" s="59" t="s">
        <v>1356</v>
      </c>
      <c r="AE98" s="60"/>
      <c r="AF98" s="59"/>
    </row>
    <row r="99" spans="1:32" x14ac:dyDescent="0.3">
      <c r="A99" s="39">
        <v>2</v>
      </c>
      <c r="B99" s="41" t="s">
        <v>1357</v>
      </c>
      <c r="C99" s="50" t="s">
        <v>104</v>
      </c>
      <c r="D99" s="50" t="s">
        <v>881</v>
      </c>
      <c r="E99" s="50" t="s">
        <v>25</v>
      </c>
      <c r="F99" s="143" t="s">
        <v>39</v>
      </c>
      <c r="G99" s="50" t="s">
        <v>866</v>
      </c>
      <c r="H99" s="59">
        <v>411.71</v>
      </c>
      <c r="I99" s="59">
        <v>-106.37</v>
      </c>
      <c r="J99" s="59">
        <v>0</v>
      </c>
      <c r="K99" s="59">
        <v>0</v>
      </c>
      <c r="L99" s="59">
        <v>0</v>
      </c>
      <c r="M99" s="59">
        <v>-19</v>
      </c>
      <c r="N99" s="59">
        <v>0</v>
      </c>
      <c r="O99" s="59">
        <f t="shared" si="11"/>
        <v>286.33999999999997</v>
      </c>
      <c r="P99" s="59">
        <f>(-2300/7)*1.5</f>
        <v>-492.85714285714283</v>
      </c>
      <c r="Q99" s="59">
        <v>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  <c r="W99" s="59">
        <f t="shared" si="6"/>
        <v>-206.51714285714286</v>
      </c>
      <c r="X99" s="59">
        <f t="shared" si="7"/>
        <v>0</v>
      </c>
      <c r="Y99" s="59">
        <f t="shared" si="8"/>
        <v>-206.51714285714286</v>
      </c>
      <c r="Z99" s="59">
        <v>207</v>
      </c>
      <c r="AA99" s="59">
        <f t="shared" si="9"/>
        <v>0.48285714285714221</v>
      </c>
      <c r="AB99" s="59">
        <f t="shared" si="10"/>
        <v>493.82285714285712</v>
      </c>
      <c r="AD99" s="59" t="s">
        <v>1358</v>
      </c>
      <c r="AE99" s="60"/>
      <c r="AF99" s="59"/>
    </row>
    <row r="100" spans="1:32" x14ac:dyDescent="0.3">
      <c r="A100" s="39">
        <v>2</v>
      </c>
      <c r="B100" s="41" t="s">
        <v>874</v>
      </c>
      <c r="C100" s="50" t="s">
        <v>100</v>
      </c>
      <c r="D100" s="50" t="s">
        <v>1300</v>
      </c>
      <c r="E100" s="50" t="s">
        <v>25</v>
      </c>
      <c r="F100" s="51" t="s">
        <v>25</v>
      </c>
      <c r="G100" s="50" t="s">
        <v>737</v>
      </c>
      <c r="H100" s="59">
        <v>0</v>
      </c>
      <c r="I100" s="59">
        <v>0</v>
      </c>
      <c r="J100" s="59">
        <v>0</v>
      </c>
      <c r="K100" s="59">
        <v>0</v>
      </c>
      <c r="L100" s="59">
        <v>0</v>
      </c>
      <c r="M100" s="59">
        <v>0</v>
      </c>
      <c r="N100" s="59">
        <v>0</v>
      </c>
      <c r="O100" s="59">
        <f t="shared" si="11"/>
        <v>0</v>
      </c>
      <c r="P100" s="59">
        <v>-2500</v>
      </c>
      <c r="Q100" s="59">
        <v>0</v>
      </c>
      <c r="R100" s="59">
        <v>0</v>
      </c>
      <c r="S100" s="59">
        <v>0</v>
      </c>
      <c r="T100" s="59">
        <v>0</v>
      </c>
      <c r="U100" s="59">
        <v>0</v>
      </c>
      <c r="V100" s="59">
        <v>0</v>
      </c>
      <c r="W100" s="59">
        <f t="shared" si="6"/>
        <v>-2500</v>
      </c>
      <c r="X100" s="59">
        <f t="shared" si="7"/>
        <v>0</v>
      </c>
      <c r="Y100" s="59">
        <f t="shared" si="8"/>
        <v>-2500</v>
      </c>
      <c r="Z100" s="59">
        <v>2500</v>
      </c>
      <c r="AA100" s="59">
        <f t="shared" si="9"/>
        <v>0</v>
      </c>
      <c r="AB100" s="59">
        <f t="shared" si="10"/>
        <v>2500</v>
      </c>
      <c r="AD100" s="59" t="s">
        <v>1301</v>
      </c>
      <c r="AE100" s="60"/>
      <c r="AF100" s="59"/>
    </row>
    <row r="101" spans="1:32" x14ac:dyDescent="0.3">
      <c r="A101" s="39">
        <v>3</v>
      </c>
      <c r="B101" s="41" t="s">
        <v>922</v>
      </c>
      <c r="C101" s="50" t="s">
        <v>670</v>
      </c>
      <c r="D101" s="50" t="s">
        <v>1221</v>
      </c>
      <c r="E101" s="50" t="s">
        <v>25</v>
      </c>
      <c r="F101" s="51" t="s">
        <v>25</v>
      </c>
      <c r="G101" s="50" t="s">
        <v>737</v>
      </c>
      <c r="H101" s="59">
        <v>0</v>
      </c>
      <c r="I101" s="59">
        <v>0</v>
      </c>
      <c r="J101" s="59">
        <v>0</v>
      </c>
      <c r="K101" s="59">
        <v>0</v>
      </c>
      <c r="L101" s="59">
        <v>0</v>
      </c>
      <c r="M101" s="59">
        <v>0</v>
      </c>
      <c r="N101" s="59">
        <v>0</v>
      </c>
      <c r="O101" s="59">
        <f t="shared" si="11"/>
        <v>0</v>
      </c>
      <c r="P101" s="59">
        <v>-2500</v>
      </c>
      <c r="Q101" s="59">
        <f>-2865*1.12</f>
        <v>-3208.8</v>
      </c>
      <c r="R101" s="59">
        <v>0</v>
      </c>
      <c r="S101" s="59">
        <v>0</v>
      </c>
      <c r="T101" s="59">
        <v>0</v>
      </c>
      <c r="U101" s="59">
        <v>0</v>
      </c>
      <c r="V101" s="59">
        <v>0</v>
      </c>
      <c r="W101" s="59">
        <f t="shared" si="6"/>
        <v>-5708.8</v>
      </c>
      <c r="X101" s="59">
        <f t="shared" si="7"/>
        <v>0</v>
      </c>
      <c r="Y101" s="59">
        <f t="shared" si="8"/>
        <v>-5708.8</v>
      </c>
      <c r="Z101" s="59">
        <f>1940+2000+1150+850</f>
        <v>5940</v>
      </c>
      <c r="AA101" s="59">
        <f t="shared" si="9"/>
        <v>231.19999999999982</v>
      </c>
      <c r="AB101" s="59">
        <f t="shared" si="10"/>
        <v>6171.2</v>
      </c>
      <c r="AD101" s="59" t="s">
        <v>1361</v>
      </c>
      <c r="AF101" s="59"/>
    </row>
    <row r="102" spans="1:32" x14ac:dyDescent="0.3">
      <c r="A102" s="39">
        <v>3</v>
      </c>
      <c r="B102" s="41" t="s">
        <v>922</v>
      </c>
      <c r="C102" s="50" t="s">
        <v>104</v>
      </c>
      <c r="D102" s="50" t="s">
        <v>881</v>
      </c>
      <c r="E102" s="50" t="s">
        <v>25</v>
      </c>
      <c r="F102" s="51" t="s">
        <v>25</v>
      </c>
      <c r="G102" s="50" t="s">
        <v>737</v>
      </c>
      <c r="H102" s="59">
        <v>0</v>
      </c>
      <c r="I102" s="59">
        <v>0</v>
      </c>
      <c r="J102" s="59">
        <v>0</v>
      </c>
      <c r="K102" s="59">
        <v>0</v>
      </c>
      <c r="L102" s="59">
        <v>0</v>
      </c>
      <c r="M102" s="59">
        <v>0</v>
      </c>
      <c r="N102" s="59">
        <v>0</v>
      </c>
      <c r="O102" s="59">
        <f t="shared" si="11"/>
        <v>0</v>
      </c>
      <c r="P102" s="59">
        <v>0</v>
      </c>
      <c r="Q102" s="59">
        <f>-500*1.12</f>
        <v>-560</v>
      </c>
      <c r="R102" s="59">
        <v>0</v>
      </c>
      <c r="S102" s="59">
        <v>0</v>
      </c>
      <c r="T102" s="59">
        <v>-500</v>
      </c>
      <c r="U102" s="59">
        <v>0</v>
      </c>
      <c r="V102" s="59">
        <v>0</v>
      </c>
      <c r="W102" s="59">
        <f t="shared" si="6"/>
        <v>-1060</v>
      </c>
      <c r="X102" s="59">
        <f t="shared" si="7"/>
        <v>0</v>
      </c>
      <c r="Y102" s="59">
        <f t="shared" si="8"/>
        <v>-1060</v>
      </c>
      <c r="Z102" s="59">
        <v>1060</v>
      </c>
      <c r="AA102" s="59">
        <f t="shared" si="9"/>
        <v>0</v>
      </c>
      <c r="AB102" s="59">
        <f t="shared" si="10"/>
        <v>1060</v>
      </c>
      <c r="AD102" s="59" t="s">
        <v>1362</v>
      </c>
      <c r="AF102" s="59"/>
    </row>
    <row r="103" spans="1:32" x14ac:dyDescent="0.3">
      <c r="A103" s="39">
        <v>3</v>
      </c>
      <c r="B103" s="41" t="s">
        <v>620</v>
      </c>
      <c r="C103" s="50" t="s">
        <v>571</v>
      </c>
      <c r="D103" s="50" t="s">
        <v>974</v>
      </c>
      <c r="E103" s="50" t="s">
        <v>25</v>
      </c>
      <c r="F103" s="51" t="s">
        <v>25</v>
      </c>
      <c r="G103" s="50" t="s">
        <v>866</v>
      </c>
      <c r="H103" s="59">
        <v>242.16</v>
      </c>
      <c r="I103" s="59">
        <v>-118.95</v>
      </c>
      <c r="J103" s="59">
        <v>0</v>
      </c>
      <c r="K103" s="59">
        <v>0</v>
      </c>
      <c r="L103" s="59">
        <v>0</v>
      </c>
      <c r="M103" s="59">
        <v>-45</v>
      </c>
      <c r="N103" s="59">
        <v>0</v>
      </c>
      <c r="O103" s="59">
        <f t="shared" si="11"/>
        <v>78.209999999999994</v>
      </c>
      <c r="P103" s="59">
        <v>0</v>
      </c>
      <c r="Q103" s="59">
        <v>0</v>
      </c>
      <c r="R103" s="59">
        <v>0</v>
      </c>
      <c r="S103" s="59">
        <v>0</v>
      </c>
      <c r="T103" s="59">
        <v>0</v>
      </c>
      <c r="U103" s="59">
        <v>0</v>
      </c>
      <c r="V103" s="59">
        <v>0</v>
      </c>
      <c r="W103" s="59">
        <f t="shared" si="6"/>
        <v>78.209999999999994</v>
      </c>
      <c r="X103" s="59">
        <f t="shared" si="7"/>
        <v>78.209999999999994</v>
      </c>
      <c r="Y103" s="59">
        <f t="shared" si="8"/>
        <v>0</v>
      </c>
      <c r="Z103" s="59">
        <v>0</v>
      </c>
      <c r="AA103" s="59">
        <f t="shared" si="9"/>
        <v>0</v>
      </c>
      <c r="AB103" s="59">
        <f t="shared" si="10"/>
        <v>0</v>
      </c>
      <c r="AD103" s="59"/>
      <c r="AF103" s="59"/>
    </row>
    <row r="104" spans="1:32" x14ac:dyDescent="0.3">
      <c r="A104" s="39">
        <v>3</v>
      </c>
      <c r="B104" s="41" t="s">
        <v>620</v>
      </c>
      <c r="C104" s="50" t="s">
        <v>571</v>
      </c>
      <c r="D104" s="50" t="s">
        <v>974</v>
      </c>
      <c r="E104" s="50" t="s">
        <v>25</v>
      </c>
      <c r="F104" s="51" t="s">
        <v>25</v>
      </c>
      <c r="G104" s="50" t="s">
        <v>737</v>
      </c>
      <c r="H104" s="59">
        <v>5970.65</v>
      </c>
      <c r="I104" s="59">
        <v>-6945.33</v>
      </c>
      <c r="J104" s="59">
        <f>+I104*0.1-204.7</f>
        <v>-899.23299999999995</v>
      </c>
      <c r="K104" s="59">
        <v>0</v>
      </c>
      <c r="L104" s="59">
        <v>0</v>
      </c>
      <c r="M104" s="59">
        <v>-15</v>
      </c>
      <c r="N104" s="59">
        <v>0</v>
      </c>
      <c r="O104" s="59">
        <f t="shared" si="11"/>
        <v>-914.23299999999995</v>
      </c>
      <c r="P104" s="59">
        <v>-2600</v>
      </c>
      <c r="Q104" s="59">
        <f>-1802*1.12</f>
        <v>-2018.2400000000002</v>
      </c>
      <c r="R104" s="59">
        <v>0</v>
      </c>
      <c r="S104" s="59">
        <v>0</v>
      </c>
      <c r="T104" s="59">
        <v>0</v>
      </c>
      <c r="U104" s="59">
        <v>0</v>
      </c>
      <c r="V104" s="59">
        <v>0</v>
      </c>
      <c r="W104" s="59">
        <f t="shared" si="6"/>
        <v>-5532.473</v>
      </c>
      <c r="X104" s="59">
        <f t="shared" si="7"/>
        <v>0</v>
      </c>
      <c r="Y104" s="59">
        <f t="shared" si="8"/>
        <v>-5532.473</v>
      </c>
      <c r="Z104" s="59">
        <f>1000+1000+1000+1000+1000</f>
        <v>5000</v>
      </c>
      <c r="AA104" s="59">
        <f t="shared" si="9"/>
        <v>-532.47299999999996</v>
      </c>
      <c r="AB104" s="59">
        <f t="shared" si="10"/>
        <v>3553.2939999999999</v>
      </c>
      <c r="AD104" s="59" t="s">
        <v>1363</v>
      </c>
      <c r="AF104" s="59"/>
    </row>
    <row r="105" spans="1:32" x14ac:dyDescent="0.3">
      <c r="A105" s="39">
        <v>3</v>
      </c>
      <c r="B105" s="41" t="s">
        <v>1062</v>
      </c>
      <c r="C105" s="50" t="s">
        <v>360</v>
      </c>
      <c r="D105" s="50" t="s">
        <v>1158</v>
      </c>
      <c r="E105" s="50" t="s">
        <v>25</v>
      </c>
      <c r="F105" s="51" t="s">
        <v>25</v>
      </c>
      <c r="G105" s="50" t="s">
        <v>866</v>
      </c>
      <c r="H105" s="59">
        <v>4930.32</v>
      </c>
      <c r="I105" s="59">
        <v>-1865.99</v>
      </c>
      <c r="J105" s="59">
        <v>0</v>
      </c>
      <c r="K105" s="59">
        <v>-7.1</v>
      </c>
      <c r="L105" s="59">
        <v>0</v>
      </c>
      <c r="M105" s="59">
        <v>-52</v>
      </c>
      <c r="N105" s="59">
        <v>0</v>
      </c>
      <c r="O105" s="59">
        <f t="shared" si="11"/>
        <v>3005.23</v>
      </c>
      <c r="P105" s="59">
        <v>-2700</v>
      </c>
      <c r="Q105" s="59">
        <f>-64*1.12</f>
        <v>-71.680000000000007</v>
      </c>
      <c r="R105" s="59">
        <v>0</v>
      </c>
      <c r="S105" s="59">
        <v>0</v>
      </c>
      <c r="T105" s="59">
        <v>0</v>
      </c>
      <c r="U105" s="59">
        <v>0</v>
      </c>
      <c r="V105" s="59">
        <v>0</v>
      </c>
      <c r="W105" s="59">
        <f t="shared" si="6"/>
        <v>233.55</v>
      </c>
      <c r="X105" s="59">
        <f t="shared" si="7"/>
        <v>233.55</v>
      </c>
      <c r="Y105" s="59">
        <f t="shared" si="8"/>
        <v>0</v>
      </c>
      <c r="Z105" s="59">
        <v>0</v>
      </c>
      <c r="AA105" s="59">
        <f t="shared" si="9"/>
        <v>0</v>
      </c>
      <c r="AB105" s="59">
        <f t="shared" si="10"/>
        <v>2771.68</v>
      </c>
      <c r="AD105" s="59"/>
      <c r="AF105" s="59"/>
    </row>
    <row r="106" spans="1:32" x14ac:dyDescent="0.3">
      <c r="A106" s="39">
        <v>3</v>
      </c>
      <c r="B106" s="41" t="s">
        <v>837</v>
      </c>
      <c r="C106" s="50" t="s">
        <v>357</v>
      </c>
      <c r="D106" s="50" t="s">
        <v>1150</v>
      </c>
      <c r="E106" s="50" t="s">
        <v>25</v>
      </c>
      <c r="F106" s="51" t="s">
        <v>25</v>
      </c>
      <c r="G106" s="50" t="s">
        <v>866</v>
      </c>
      <c r="H106" s="59">
        <v>4919.8500000000004</v>
      </c>
      <c r="I106" s="59">
        <v>0</v>
      </c>
      <c r="J106" s="59">
        <v>0</v>
      </c>
      <c r="K106" s="59">
        <v>9.7899999999999991</v>
      </c>
      <c r="L106" s="59">
        <v>0</v>
      </c>
      <c r="M106" s="59">
        <v>-35</v>
      </c>
      <c r="N106" s="59">
        <f>+-231*1.12</f>
        <v>-258.72000000000003</v>
      </c>
      <c r="O106" s="59">
        <f t="shared" si="11"/>
        <v>4635.92</v>
      </c>
      <c r="P106" s="59">
        <v>-2700</v>
      </c>
      <c r="Q106" s="59">
        <v>0</v>
      </c>
      <c r="R106" s="59">
        <v>0</v>
      </c>
      <c r="S106" s="59">
        <v>0</v>
      </c>
      <c r="T106" s="59">
        <v>0</v>
      </c>
      <c r="U106" s="59">
        <v>0</v>
      </c>
      <c r="V106" s="59">
        <v>0</v>
      </c>
      <c r="W106" s="59">
        <f t="shared" si="6"/>
        <v>1935.92</v>
      </c>
      <c r="X106" s="59">
        <f t="shared" si="7"/>
        <v>1935.92</v>
      </c>
      <c r="Y106" s="59">
        <f t="shared" si="8"/>
        <v>0</v>
      </c>
      <c r="Z106" s="59">
        <v>0</v>
      </c>
      <c r="AA106" s="59">
        <f t="shared" si="9"/>
        <v>0</v>
      </c>
      <c r="AB106" s="59">
        <f t="shared" si="10"/>
        <v>2700</v>
      </c>
      <c r="AD106" s="59"/>
      <c r="AF106" s="59"/>
    </row>
    <row r="107" spans="1:32" x14ac:dyDescent="0.3">
      <c r="A107" s="39">
        <v>3</v>
      </c>
      <c r="B107" s="41" t="s">
        <v>1304</v>
      </c>
      <c r="C107" s="50" t="s">
        <v>183</v>
      </c>
      <c r="D107" s="50" t="s">
        <v>1305</v>
      </c>
      <c r="E107" s="50" t="s">
        <v>25</v>
      </c>
      <c r="F107" s="51" t="s">
        <v>25</v>
      </c>
      <c r="G107" s="50" t="s">
        <v>866</v>
      </c>
      <c r="H107" s="59">
        <v>-150</v>
      </c>
      <c r="I107" s="59">
        <v>0</v>
      </c>
      <c r="J107" s="59">
        <v>0</v>
      </c>
      <c r="K107" s="59">
        <v>0</v>
      </c>
      <c r="L107" s="59">
        <v>0</v>
      </c>
      <c r="M107" s="59">
        <v>0</v>
      </c>
      <c r="N107" s="59">
        <v>0</v>
      </c>
      <c r="O107" s="59">
        <f t="shared" si="11"/>
        <v>0</v>
      </c>
      <c r="P107" s="59">
        <v>150</v>
      </c>
      <c r="Q107" s="59">
        <v>0</v>
      </c>
      <c r="R107" s="59">
        <v>2000</v>
      </c>
      <c r="S107" s="59">
        <v>0</v>
      </c>
      <c r="T107" s="59">
        <v>0</v>
      </c>
      <c r="U107" s="59">
        <v>0</v>
      </c>
      <c r="V107" s="59">
        <v>0</v>
      </c>
      <c r="W107" s="59">
        <f t="shared" si="6"/>
        <v>2150</v>
      </c>
      <c r="X107" s="59">
        <f t="shared" si="7"/>
        <v>2150</v>
      </c>
      <c r="Y107" s="59">
        <f t="shared" si="8"/>
        <v>0</v>
      </c>
      <c r="Z107" s="59">
        <v>0</v>
      </c>
      <c r="AA107" s="59">
        <f t="shared" si="9"/>
        <v>0</v>
      </c>
      <c r="AB107" s="59">
        <f t="shared" si="10"/>
        <v>-2150</v>
      </c>
      <c r="AD107" s="59" t="s">
        <v>1364</v>
      </c>
      <c r="AF107" s="59"/>
    </row>
    <row r="108" spans="1:32" x14ac:dyDescent="0.3">
      <c r="A108" s="39">
        <v>3</v>
      </c>
      <c r="B108" s="41" t="s">
        <v>1307</v>
      </c>
      <c r="C108" s="50" t="s">
        <v>150</v>
      </c>
      <c r="D108" s="50" t="s">
        <v>1308</v>
      </c>
      <c r="E108" s="50" t="s">
        <v>25</v>
      </c>
      <c r="F108" s="51" t="s">
        <v>25</v>
      </c>
      <c r="G108" s="50" t="s">
        <v>866</v>
      </c>
      <c r="H108" s="59">
        <v>5654.44</v>
      </c>
      <c r="I108" s="59">
        <v>-1351.5800000000004</v>
      </c>
      <c r="J108" s="59">
        <v>-240</v>
      </c>
      <c r="K108" s="59">
        <v>0</v>
      </c>
      <c r="L108" s="59">
        <v>0</v>
      </c>
      <c r="M108" s="59">
        <v>-48</v>
      </c>
      <c r="N108" s="59">
        <v>0</v>
      </c>
      <c r="O108" s="59">
        <f t="shared" si="11"/>
        <v>4014.8599999999988</v>
      </c>
      <c r="P108" s="59">
        <f>(-2500/7)*7</f>
        <v>-2500</v>
      </c>
      <c r="Q108" s="59">
        <v>0</v>
      </c>
      <c r="R108" s="59">
        <v>-500</v>
      </c>
      <c r="S108" s="59">
        <v>0</v>
      </c>
      <c r="T108" s="59">
        <v>0</v>
      </c>
      <c r="U108" s="59">
        <v>0</v>
      </c>
      <c r="V108" s="59">
        <v>0</v>
      </c>
      <c r="W108" s="59">
        <f t="shared" si="6"/>
        <v>1014.8599999999988</v>
      </c>
      <c r="X108" s="59">
        <f t="shared" si="7"/>
        <v>1014.8599999999988</v>
      </c>
      <c r="Y108" s="59">
        <f t="shared" si="8"/>
        <v>0</v>
      </c>
      <c r="Z108" s="59">
        <v>0</v>
      </c>
      <c r="AA108" s="59">
        <f t="shared" si="9"/>
        <v>0</v>
      </c>
      <c r="AB108" s="59">
        <f t="shared" si="10"/>
        <v>3000</v>
      </c>
      <c r="AD108" s="59" t="s">
        <v>1365</v>
      </c>
      <c r="AF108" s="59"/>
    </row>
    <row r="109" spans="1:32" x14ac:dyDescent="0.3">
      <c r="A109" s="39">
        <v>3</v>
      </c>
      <c r="B109" s="41" t="s">
        <v>1310</v>
      </c>
      <c r="C109" s="50" t="s">
        <v>101</v>
      </c>
      <c r="D109" s="50" t="s">
        <v>945</v>
      </c>
      <c r="E109" s="50" t="s">
        <v>25</v>
      </c>
      <c r="F109" s="51" t="s">
        <v>25</v>
      </c>
      <c r="G109" s="50" t="s">
        <v>866</v>
      </c>
      <c r="H109" s="59">
        <v>8034.2</v>
      </c>
      <c r="I109" s="59">
        <v>-3094.0299999999997</v>
      </c>
      <c r="J109" s="59">
        <v>-94.4</v>
      </c>
      <c r="K109" s="59">
        <v>0</v>
      </c>
      <c r="L109" s="59">
        <v>0</v>
      </c>
      <c r="M109" s="59">
        <v>-72</v>
      </c>
      <c r="N109" s="59">
        <v>0</v>
      </c>
      <c r="O109" s="59">
        <f t="shared" si="11"/>
        <v>4773.7700000000004</v>
      </c>
      <c r="P109" s="59">
        <f>(-2500/7)*7</f>
        <v>-2500</v>
      </c>
      <c r="Q109" s="59">
        <v>0</v>
      </c>
      <c r="R109" s="59">
        <v>-500</v>
      </c>
      <c r="S109" s="59">
        <v>0</v>
      </c>
      <c r="T109" s="59">
        <v>0</v>
      </c>
      <c r="U109" s="59">
        <v>0</v>
      </c>
      <c r="V109" s="59">
        <v>0</v>
      </c>
      <c r="W109" s="59">
        <f t="shared" si="6"/>
        <v>1773.7700000000004</v>
      </c>
      <c r="X109" s="59">
        <f t="shared" si="7"/>
        <v>1773.7700000000004</v>
      </c>
      <c r="Y109" s="59">
        <f t="shared" si="8"/>
        <v>0</v>
      </c>
      <c r="Z109" s="59">
        <v>0</v>
      </c>
      <c r="AA109" s="59">
        <f t="shared" si="9"/>
        <v>0</v>
      </c>
      <c r="AB109" s="59">
        <f t="shared" si="10"/>
        <v>3000</v>
      </c>
      <c r="AD109" s="59" t="s">
        <v>1365</v>
      </c>
      <c r="AF109" s="59"/>
    </row>
    <row r="110" spans="1:32" x14ac:dyDescent="0.3">
      <c r="A110" s="39">
        <v>3</v>
      </c>
      <c r="B110" s="41" t="s">
        <v>1312</v>
      </c>
      <c r="C110" s="50" t="s">
        <v>347</v>
      </c>
      <c r="D110" s="50" t="s">
        <v>1122</v>
      </c>
      <c r="E110" s="50" t="s">
        <v>25</v>
      </c>
      <c r="F110" s="51" t="s">
        <v>25</v>
      </c>
      <c r="G110" s="50" t="s">
        <v>866</v>
      </c>
      <c r="H110" s="59">
        <v>0</v>
      </c>
      <c r="I110" s="59">
        <v>0</v>
      </c>
      <c r="J110" s="59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f t="shared" si="11"/>
        <v>0</v>
      </c>
      <c r="P110" s="59">
        <f>(-2500/7)*3</f>
        <v>-1071.4285714285716</v>
      </c>
      <c r="Q110" s="59">
        <v>0</v>
      </c>
      <c r="R110" s="59">
        <v>0</v>
      </c>
      <c r="S110" s="59">
        <v>0</v>
      </c>
      <c r="T110" s="59">
        <v>0</v>
      </c>
      <c r="U110" s="59">
        <v>0</v>
      </c>
      <c r="V110" s="59">
        <v>0</v>
      </c>
      <c r="W110" s="59">
        <f t="shared" si="6"/>
        <v>-1071.4285714285716</v>
      </c>
      <c r="X110" s="59">
        <f t="shared" si="7"/>
        <v>0</v>
      </c>
      <c r="Y110" s="59">
        <f t="shared" si="8"/>
        <v>-1071.4285714285716</v>
      </c>
      <c r="Z110" s="59">
        <v>1071</v>
      </c>
      <c r="AA110" s="59">
        <f t="shared" si="9"/>
        <v>-0.4285714285715585</v>
      </c>
      <c r="AB110" s="59">
        <f t="shared" si="10"/>
        <v>1070.5714285714284</v>
      </c>
      <c r="AD110" s="59" t="s">
        <v>1366</v>
      </c>
      <c r="AF110" s="59"/>
    </row>
    <row r="111" spans="1:32" x14ac:dyDescent="0.3">
      <c r="A111" s="39">
        <v>3</v>
      </c>
      <c r="B111" s="41" t="s">
        <v>1312</v>
      </c>
      <c r="C111" s="50" t="s">
        <v>347</v>
      </c>
      <c r="D111" s="50" t="s">
        <v>949</v>
      </c>
      <c r="E111" s="50" t="s">
        <v>25</v>
      </c>
      <c r="F111" s="51" t="s">
        <v>25</v>
      </c>
      <c r="G111" s="50" t="s">
        <v>866</v>
      </c>
      <c r="H111" s="59">
        <v>2807.35</v>
      </c>
      <c r="I111" s="59">
        <v>-307.75</v>
      </c>
      <c r="J111" s="59">
        <v>0</v>
      </c>
      <c r="K111" s="59">
        <v>0</v>
      </c>
      <c r="L111" s="59">
        <v>0</v>
      </c>
      <c r="M111" s="59">
        <v>-35</v>
      </c>
      <c r="N111" s="59">
        <f>+-80*1.12</f>
        <v>-89.600000000000009</v>
      </c>
      <c r="O111" s="59">
        <f t="shared" si="11"/>
        <v>2375</v>
      </c>
      <c r="P111" s="59">
        <f>(-2500/7)*3</f>
        <v>-1071.4285714285716</v>
      </c>
      <c r="Q111" s="59">
        <f>-837*1.12</f>
        <v>-937.44</v>
      </c>
      <c r="R111" s="59">
        <v>-500</v>
      </c>
      <c r="S111" s="59">
        <v>0</v>
      </c>
      <c r="T111" s="59">
        <v>0</v>
      </c>
      <c r="U111" s="59">
        <v>-250</v>
      </c>
      <c r="V111" s="59">
        <v>0</v>
      </c>
      <c r="W111" s="59">
        <f t="shared" si="6"/>
        <v>-383.86857142857161</v>
      </c>
      <c r="X111" s="59">
        <f t="shared" si="7"/>
        <v>0</v>
      </c>
      <c r="Y111" s="59">
        <f t="shared" si="8"/>
        <v>-383.86857142857161</v>
      </c>
      <c r="Z111" s="59">
        <v>384</v>
      </c>
      <c r="AA111" s="59">
        <f t="shared" si="9"/>
        <v>0.13142857142838693</v>
      </c>
      <c r="AB111" s="59">
        <f t="shared" si="10"/>
        <v>2759.1314285714284</v>
      </c>
      <c r="AD111" s="59" t="s">
        <v>1366</v>
      </c>
      <c r="AF111" s="59"/>
    </row>
    <row r="112" spans="1:32" x14ac:dyDescent="0.3">
      <c r="A112" s="39">
        <v>3</v>
      </c>
      <c r="B112" s="41" t="s">
        <v>1314</v>
      </c>
      <c r="C112" s="50" t="s">
        <v>334</v>
      </c>
      <c r="D112" s="50" t="s">
        <v>1169</v>
      </c>
      <c r="E112" s="50" t="s">
        <v>25</v>
      </c>
      <c r="F112" s="51" t="s">
        <v>25</v>
      </c>
      <c r="G112" s="50" t="s">
        <v>866</v>
      </c>
      <c r="H112" s="59">
        <v>7412.29</v>
      </c>
      <c r="I112" s="59">
        <v>-3877.2799999999997</v>
      </c>
      <c r="J112" s="59">
        <v>0</v>
      </c>
      <c r="K112" s="59">
        <v>0</v>
      </c>
      <c r="L112" s="59">
        <v>0</v>
      </c>
      <c r="M112" s="59">
        <v>-72</v>
      </c>
      <c r="N112" s="59">
        <v>0</v>
      </c>
      <c r="O112" s="59">
        <f t="shared" si="11"/>
        <v>3463.01</v>
      </c>
      <c r="P112" s="59">
        <f>(-2500/7)*7</f>
        <v>-2500</v>
      </c>
      <c r="Q112" s="59">
        <v>0</v>
      </c>
      <c r="R112" s="59">
        <v>-500</v>
      </c>
      <c r="S112" s="59">
        <v>0</v>
      </c>
      <c r="T112" s="59">
        <v>0</v>
      </c>
      <c r="U112" s="59">
        <v>0</v>
      </c>
      <c r="V112" s="59">
        <v>0</v>
      </c>
      <c r="W112" s="59">
        <f t="shared" si="6"/>
        <v>463.01000000000022</v>
      </c>
      <c r="X112" s="59">
        <f t="shared" si="7"/>
        <v>463.01000000000022</v>
      </c>
      <c r="Y112" s="59">
        <f t="shared" si="8"/>
        <v>0</v>
      </c>
      <c r="Z112" s="59">
        <v>0</v>
      </c>
      <c r="AA112" s="59">
        <f t="shared" si="9"/>
        <v>0</v>
      </c>
      <c r="AB112" s="59">
        <f t="shared" si="10"/>
        <v>3000</v>
      </c>
      <c r="AD112" s="59" t="s">
        <v>1365</v>
      </c>
      <c r="AF112" s="59"/>
    </row>
    <row r="113" spans="1:32" x14ac:dyDescent="0.3">
      <c r="A113" s="39">
        <v>3</v>
      </c>
      <c r="B113" s="41" t="s">
        <v>1142</v>
      </c>
      <c r="C113" s="50" t="s">
        <v>1316</v>
      </c>
      <c r="D113" s="50" t="s">
        <v>1317</v>
      </c>
      <c r="E113" s="50" t="s">
        <v>25</v>
      </c>
      <c r="F113" s="51" t="s">
        <v>25</v>
      </c>
      <c r="G113" s="50" t="s">
        <v>866</v>
      </c>
      <c r="H113" s="59">
        <v>0</v>
      </c>
      <c r="I113" s="59">
        <v>0</v>
      </c>
      <c r="J113" s="59">
        <v>0</v>
      </c>
      <c r="K113" s="59">
        <v>0</v>
      </c>
      <c r="L113" s="59">
        <v>0</v>
      </c>
      <c r="M113" s="59">
        <v>0</v>
      </c>
      <c r="N113" s="59">
        <v>0</v>
      </c>
      <c r="O113" s="59">
        <f t="shared" si="11"/>
        <v>0</v>
      </c>
      <c r="P113" s="59">
        <f>(-2700/7)*3</f>
        <v>-1157.1428571428571</v>
      </c>
      <c r="Q113" s="59">
        <f>-1208*1.12</f>
        <v>-1352.96</v>
      </c>
      <c r="R113" s="59">
        <v>0</v>
      </c>
      <c r="S113" s="59">
        <v>0</v>
      </c>
      <c r="T113" s="59">
        <v>0</v>
      </c>
      <c r="U113" s="59">
        <v>0</v>
      </c>
      <c r="V113" s="59">
        <v>0</v>
      </c>
      <c r="W113" s="59">
        <f t="shared" si="6"/>
        <v>-2510.1028571428569</v>
      </c>
      <c r="X113" s="59">
        <f t="shared" si="7"/>
        <v>0</v>
      </c>
      <c r="Y113" s="59">
        <f t="shared" si="8"/>
        <v>-2510.1028571428569</v>
      </c>
      <c r="Z113" s="59">
        <v>0</v>
      </c>
      <c r="AA113" s="59">
        <f t="shared" si="9"/>
        <v>-2510.1028571428569</v>
      </c>
      <c r="AB113" s="59">
        <f t="shared" si="10"/>
        <v>-2510.1028571428569</v>
      </c>
      <c r="AD113" s="59" t="s">
        <v>1367</v>
      </c>
      <c r="AF113" s="59"/>
    </row>
    <row r="114" spans="1:32" x14ac:dyDescent="0.3">
      <c r="A114" s="39">
        <v>3</v>
      </c>
      <c r="B114" s="41" t="s">
        <v>604</v>
      </c>
      <c r="C114" s="50" t="s">
        <v>605</v>
      </c>
      <c r="D114" s="50" t="s">
        <v>1223</v>
      </c>
      <c r="E114" s="50" t="s">
        <v>25</v>
      </c>
      <c r="F114" s="51" t="s">
        <v>25</v>
      </c>
      <c r="G114" s="50" t="s">
        <v>866</v>
      </c>
      <c r="H114" s="59">
        <v>303.52999999999997</v>
      </c>
      <c r="I114" s="59">
        <v>-204.26000000000002</v>
      </c>
      <c r="J114" s="59">
        <v>0</v>
      </c>
      <c r="K114" s="59">
        <v>0</v>
      </c>
      <c r="L114" s="59">
        <v>0</v>
      </c>
      <c r="M114" s="59">
        <v>-45</v>
      </c>
      <c r="N114" s="59">
        <v>0</v>
      </c>
      <c r="O114" s="59">
        <f t="shared" si="11"/>
        <v>54.269999999999953</v>
      </c>
      <c r="P114" s="59">
        <v>-2700</v>
      </c>
      <c r="Q114" s="59">
        <v>0</v>
      </c>
      <c r="R114" s="59">
        <v>0</v>
      </c>
      <c r="S114" s="59">
        <v>0</v>
      </c>
      <c r="T114" s="59">
        <v>0</v>
      </c>
      <c r="U114" s="59">
        <v>0</v>
      </c>
      <c r="V114" s="59">
        <v>0</v>
      </c>
      <c r="W114" s="59">
        <f t="shared" si="6"/>
        <v>-2645.73</v>
      </c>
      <c r="X114" s="59">
        <f t="shared" si="7"/>
        <v>0</v>
      </c>
      <c r="Y114" s="59">
        <f t="shared" si="8"/>
        <v>-2645.73</v>
      </c>
      <c r="Z114" s="59">
        <v>2646</v>
      </c>
      <c r="AA114" s="59">
        <f t="shared" si="9"/>
        <v>0.26999999999998181</v>
      </c>
      <c r="AB114" s="59">
        <f t="shared" si="10"/>
        <v>2700.54</v>
      </c>
      <c r="AD114" s="59" t="s">
        <v>1368</v>
      </c>
      <c r="AF114" s="59"/>
    </row>
    <row r="115" spans="1:32" x14ac:dyDescent="0.3">
      <c r="A115" s="39">
        <v>3</v>
      </c>
      <c r="B115" s="41" t="s">
        <v>1029</v>
      </c>
      <c r="C115" s="50" t="s">
        <v>68</v>
      </c>
      <c r="D115" s="50" t="s">
        <v>869</v>
      </c>
      <c r="E115" s="50" t="s">
        <v>25</v>
      </c>
      <c r="F115" s="51" t="s">
        <v>25</v>
      </c>
      <c r="G115" s="50" t="s">
        <v>866</v>
      </c>
      <c r="H115" s="59">
        <v>3467.94</v>
      </c>
      <c r="I115" s="59">
        <v>-89.93</v>
      </c>
      <c r="J115" s="59">
        <v>0</v>
      </c>
      <c r="K115" s="59">
        <v>0</v>
      </c>
      <c r="L115" s="59">
        <v>-31.849999999999998</v>
      </c>
      <c r="M115" s="59">
        <v>-15</v>
      </c>
      <c r="N115" s="59">
        <v>0</v>
      </c>
      <c r="O115" s="59">
        <f t="shared" si="11"/>
        <v>3331.1600000000003</v>
      </c>
      <c r="P115" s="59">
        <v>-2500</v>
      </c>
      <c r="Q115" s="59">
        <v>0</v>
      </c>
      <c r="R115" s="59">
        <v>0</v>
      </c>
      <c r="S115" s="59">
        <v>0</v>
      </c>
      <c r="T115" s="59">
        <v>-600</v>
      </c>
      <c r="U115" s="59">
        <v>0</v>
      </c>
      <c r="V115" s="59">
        <v>0</v>
      </c>
      <c r="W115" s="59">
        <f t="shared" si="6"/>
        <v>231.16000000000031</v>
      </c>
      <c r="X115" s="59">
        <f t="shared" si="7"/>
        <v>231.16000000000031</v>
      </c>
      <c r="Y115" s="59">
        <f t="shared" si="8"/>
        <v>0</v>
      </c>
      <c r="Z115" s="59">
        <v>0</v>
      </c>
      <c r="AA115" s="59">
        <f t="shared" si="9"/>
        <v>0</v>
      </c>
      <c r="AB115" s="59">
        <f t="shared" si="10"/>
        <v>3100</v>
      </c>
      <c r="AD115" s="59" t="s">
        <v>1369</v>
      </c>
      <c r="AF115" s="59"/>
    </row>
    <row r="116" spans="1:32" x14ac:dyDescent="0.3">
      <c r="A116" s="39">
        <v>3</v>
      </c>
      <c r="B116" s="41" t="s">
        <v>1141</v>
      </c>
      <c r="C116" s="50" t="s">
        <v>120</v>
      </c>
      <c r="D116" s="50" t="s">
        <v>950</v>
      </c>
      <c r="E116" s="50" t="s">
        <v>25</v>
      </c>
      <c r="F116" s="51" t="s">
        <v>25</v>
      </c>
      <c r="G116" s="50" t="s">
        <v>866</v>
      </c>
      <c r="H116" s="59">
        <v>2841.17</v>
      </c>
      <c r="I116" s="59">
        <v>-1095.9000000000001</v>
      </c>
      <c r="J116" s="59">
        <v>0</v>
      </c>
      <c r="K116" s="59">
        <v>0</v>
      </c>
      <c r="L116" s="59">
        <v>0</v>
      </c>
      <c r="M116" s="59">
        <v>-38</v>
      </c>
      <c r="N116" s="59">
        <v>0</v>
      </c>
      <c r="O116" s="59">
        <f t="shared" si="11"/>
        <v>1707.27</v>
      </c>
      <c r="P116" s="59">
        <v>-2500</v>
      </c>
      <c r="Q116" s="59">
        <v>0</v>
      </c>
      <c r="R116" s="59">
        <v>-500</v>
      </c>
      <c r="S116" s="59">
        <v>0</v>
      </c>
      <c r="T116" s="59">
        <v>0</v>
      </c>
      <c r="U116" s="59">
        <v>0</v>
      </c>
      <c r="V116" s="59">
        <v>0</v>
      </c>
      <c r="W116" s="59">
        <f t="shared" si="6"/>
        <v>-1292.73</v>
      </c>
      <c r="X116" s="59">
        <f t="shared" si="7"/>
        <v>0</v>
      </c>
      <c r="Y116" s="59">
        <f t="shared" si="8"/>
        <v>-1292.73</v>
      </c>
      <c r="Z116" s="59">
        <v>1300</v>
      </c>
      <c r="AA116" s="59">
        <f t="shared" si="9"/>
        <v>7.2699999999999818</v>
      </c>
      <c r="AB116" s="59">
        <f t="shared" si="10"/>
        <v>3014.54</v>
      </c>
      <c r="AD116" s="59" t="s">
        <v>1370</v>
      </c>
      <c r="AF116" s="59"/>
    </row>
    <row r="117" spans="1:32" x14ac:dyDescent="0.3">
      <c r="A117" s="39">
        <v>3</v>
      </c>
      <c r="B117" s="41" t="s">
        <v>913</v>
      </c>
      <c r="C117" s="50" t="s">
        <v>361</v>
      </c>
      <c r="D117" s="50" t="s">
        <v>1164</v>
      </c>
      <c r="E117" s="50" t="s">
        <v>25</v>
      </c>
      <c r="F117" s="51" t="s">
        <v>25</v>
      </c>
      <c r="G117" s="50" t="s">
        <v>866</v>
      </c>
      <c r="H117" s="59">
        <v>3828</v>
      </c>
      <c r="I117" s="59">
        <v>-3259.1699999999996</v>
      </c>
      <c r="J117" s="59">
        <v>0</v>
      </c>
      <c r="K117" s="59">
        <v>0</v>
      </c>
      <c r="L117" s="59">
        <v>0</v>
      </c>
      <c r="M117" s="59">
        <v>-72</v>
      </c>
      <c r="N117" s="59">
        <f>-198.17*1.12</f>
        <v>-221.9504</v>
      </c>
      <c r="O117" s="59">
        <f t="shared" si="11"/>
        <v>274.87960000000038</v>
      </c>
      <c r="P117" s="59">
        <f>(-2700/7)*7</f>
        <v>-2700</v>
      </c>
      <c r="Q117" s="59">
        <f>-1146*1.12</f>
        <v>-1283.5200000000002</v>
      </c>
      <c r="R117" s="59">
        <v>0</v>
      </c>
      <c r="S117" s="59">
        <v>0</v>
      </c>
      <c r="T117" s="59">
        <v>0</v>
      </c>
      <c r="U117" s="59">
        <v>0</v>
      </c>
      <c r="V117" s="59">
        <v>0</v>
      </c>
      <c r="W117" s="59">
        <f t="shared" si="6"/>
        <v>-3708.6404000000002</v>
      </c>
      <c r="X117" s="59">
        <f t="shared" si="7"/>
        <v>0</v>
      </c>
      <c r="Y117" s="59">
        <f t="shared" si="8"/>
        <v>-3708.6404000000002</v>
      </c>
      <c r="Z117" s="59">
        <f>900+500+500+700</f>
        <v>2600</v>
      </c>
      <c r="AA117" s="59">
        <f t="shared" si="9"/>
        <v>-1108.6404000000002</v>
      </c>
      <c r="AB117" s="59">
        <f t="shared" si="10"/>
        <v>1766.2392</v>
      </c>
      <c r="AD117" s="59" t="s">
        <v>1371</v>
      </c>
      <c r="AF117" s="59"/>
    </row>
    <row r="118" spans="1:32" x14ac:dyDescent="0.3">
      <c r="A118" s="39">
        <v>3</v>
      </c>
      <c r="B118" s="41" t="s">
        <v>913</v>
      </c>
      <c r="C118" s="50" t="s">
        <v>120</v>
      </c>
      <c r="D118" s="50" t="s">
        <v>950</v>
      </c>
      <c r="E118" s="50" t="s">
        <v>25</v>
      </c>
      <c r="F118" s="51" t="s">
        <v>25</v>
      </c>
      <c r="G118" s="50" t="s">
        <v>866</v>
      </c>
      <c r="H118" s="59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9">
        <f t="shared" si="11"/>
        <v>0</v>
      </c>
      <c r="P118" s="59">
        <v>0</v>
      </c>
      <c r="Q118" s="59">
        <v>0</v>
      </c>
      <c r="R118" s="59">
        <v>0</v>
      </c>
      <c r="S118" s="59">
        <v>0</v>
      </c>
      <c r="T118" s="59">
        <v>-700</v>
      </c>
      <c r="U118" s="59">
        <v>0</v>
      </c>
      <c r="V118" s="59">
        <v>0</v>
      </c>
      <c r="W118" s="59">
        <f t="shared" si="6"/>
        <v>-700</v>
      </c>
      <c r="X118" s="59">
        <f t="shared" si="7"/>
        <v>0</v>
      </c>
      <c r="Y118" s="59">
        <f t="shared" si="8"/>
        <v>-700</v>
      </c>
      <c r="Z118" s="59">
        <v>700</v>
      </c>
      <c r="AA118" s="59">
        <f t="shared" si="9"/>
        <v>0</v>
      </c>
      <c r="AB118" s="59">
        <f t="shared" si="10"/>
        <v>700</v>
      </c>
      <c r="AD118" s="59" t="s">
        <v>1372</v>
      </c>
      <c r="AF118" s="59"/>
    </row>
    <row r="119" spans="1:32" x14ac:dyDescent="0.3">
      <c r="A119" s="39">
        <v>3</v>
      </c>
      <c r="B119" s="41" t="s">
        <v>457</v>
      </c>
      <c r="C119" s="50" t="s">
        <v>672</v>
      </c>
      <c r="D119" s="50" t="s">
        <v>1226</v>
      </c>
      <c r="E119" s="50" t="s">
        <v>25</v>
      </c>
      <c r="F119" s="51" t="s">
        <v>25</v>
      </c>
      <c r="G119" s="50" t="s">
        <v>866</v>
      </c>
      <c r="H119" s="59">
        <v>3381.1</v>
      </c>
      <c r="I119" s="59">
        <v>-866.69</v>
      </c>
      <c r="J119" s="59">
        <v>0</v>
      </c>
      <c r="K119" s="59">
        <v>0</v>
      </c>
      <c r="L119" s="59">
        <v>0</v>
      </c>
      <c r="M119" s="59">
        <v>-35</v>
      </c>
      <c r="N119" s="59">
        <f>-95*1.12</f>
        <v>-106.4</v>
      </c>
      <c r="O119" s="59">
        <f t="shared" si="11"/>
        <v>2373.0099999999998</v>
      </c>
      <c r="P119" s="59">
        <v>-2500</v>
      </c>
      <c r="Q119" s="59">
        <f>-2257*1.12</f>
        <v>-2527.84</v>
      </c>
      <c r="R119" s="59">
        <v>0</v>
      </c>
      <c r="S119" s="59">
        <v>0</v>
      </c>
      <c r="T119" s="59">
        <v>0</v>
      </c>
      <c r="U119" s="59">
        <v>0</v>
      </c>
      <c r="V119" s="59">
        <v>0</v>
      </c>
      <c r="W119" s="59">
        <f t="shared" si="6"/>
        <v>-2654.8300000000004</v>
      </c>
      <c r="X119" s="59">
        <f t="shared" si="7"/>
        <v>0</v>
      </c>
      <c r="Y119" s="59">
        <f t="shared" si="8"/>
        <v>-2654.8300000000004</v>
      </c>
      <c r="Z119" s="59">
        <v>940</v>
      </c>
      <c r="AA119" s="59">
        <f t="shared" si="9"/>
        <v>-1714.8300000000004</v>
      </c>
      <c r="AB119" s="59">
        <f t="shared" si="10"/>
        <v>1598.1799999999994</v>
      </c>
      <c r="AD119" s="59" t="s">
        <v>1373</v>
      </c>
      <c r="AF119" s="59"/>
    </row>
    <row r="120" spans="1:32" x14ac:dyDescent="0.3">
      <c r="A120" s="39">
        <v>3</v>
      </c>
      <c r="B120" s="41" t="s">
        <v>457</v>
      </c>
      <c r="C120" s="50" t="s">
        <v>573</v>
      </c>
      <c r="D120" s="50" t="s">
        <v>1160</v>
      </c>
      <c r="E120" s="50" t="s">
        <v>25</v>
      </c>
      <c r="F120" s="51" t="s">
        <v>25</v>
      </c>
      <c r="G120" s="50" t="s">
        <v>866</v>
      </c>
      <c r="H120" s="59">
        <v>0</v>
      </c>
      <c r="I120" s="59">
        <v>0</v>
      </c>
      <c r="J120" s="59">
        <v>0</v>
      </c>
      <c r="K120" s="59">
        <v>0</v>
      </c>
      <c r="L120" s="59">
        <v>0</v>
      </c>
      <c r="M120" s="59">
        <v>0</v>
      </c>
      <c r="N120" s="59">
        <v>0</v>
      </c>
      <c r="O120" s="59">
        <f t="shared" si="11"/>
        <v>0</v>
      </c>
      <c r="P120" s="59">
        <v>0</v>
      </c>
      <c r="Q120" s="59">
        <f>-500*1.12</f>
        <v>-560</v>
      </c>
      <c r="R120" s="59">
        <v>0</v>
      </c>
      <c r="S120" s="59">
        <v>0</v>
      </c>
      <c r="T120" s="59">
        <v>-500</v>
      </c>
      <c r="U120" s="59">
        <v>0</v>
      </c>
      <c r="V120" s="59">
        <v>0</v>
      </c>
      <c r="W120" s="59">
        <f t="shared" si="6"/>
        <v>-1060</v>
      </c>
      <c r="X120" s="59">
        <f t="shared" si="7"/>
        <v>0</v>
      </c>
      <c r="Y120" s="59">
        <f t="shared" si="8"/>
        <v>-1060</v>
      </c>
      <c r="Z120" s="59">
        <v>1060</v>
      </c>
      <c r="AA120" s="59">
        <f t="shared" si="9"/>
        <v>0</v>
      </c>
      <c r="AB120" s="59">
        <f t="shared" si="10"/>
        <v>1060</v>
      </c>
      <c r="AD120" s="59" t="s">
        <v>1374</v>
      </c>
      <c r="AF120" s="59"/>
    </row>
    <row r="121" spans="1:32" x14ac:dyDescent="0.3">
      <c r="A121" s="39">
        <v>3</v>
      </c>
      <c r="B121" s="41" t="s">
        <v>612</v>
      </c>
      <c r="C121" s="50" t="s">
        <v>36</v>
      </c>
      <c r="D121" s="50" t="s">
        <v>904</v>
      </c>
      <c r="E121" s="50" t="s">
        <v>25</v>
      </c>
      <c r="F121" s="51" t="s">
        <v>25</v>
      </c>
      <c r="G121" s="50" t="s">
        <v>866</v>
      </c>
      <c r="H121" s="59">
        <v>5459.83</v>
      </c>
      <c r="I121" s="59">
        <v>-2600.9500000000003</v>
      </c>
      <c r="J121" s="59">
        <v>0</v>
      </c>
      <c r="K121" s="59">
        <v>0</v>
      </c>
      <c r="L121" s="59">
        <v>0</v>
      </c>
      <c r="M121" s="59">
        <v>-45</v>
      </c>
      <c r="N121" s="59">
        <v>0</v>
      </c>
      <c r="O121" s="59">
        <f t="shared" si="11"/>
        <v>2813.8799999999997</v>
      </c>
      <c r="P121" s="59">
        <v>-2500</v>
      </c>
      <c r="Q121" s="59">
        <v>0</v>
      </c>
      <c r="R121" s="59">
        <v>-500</v>
      </c>
      <c r="S121" s="59">
        <v>0</v>
      </c>
      <c r="T121" s="59">
        <v>0</v>
      </c>
      <c r="U121" s="59">
        <v>0</v>
      </c>
      <c r="V121" s="59">
        <v>0</v>
      </c>
      <c r="W121" s="59">
        <f t="shared" si="6"/>
        <v>-186.12000000000035</v>
      </c>
      <c r="X121" s="59">
        <f t="shared" si="7"/>
        <v>0</v>
      </c>
      <c r="Y121" s="59">
        <f t="shared" si="8"/>
        <v>-186.12000000000035</v>
      </c>
      <c r="Z121" s="59">
        <v>186</v>
      </c>
      <c r="AA121" s="59">
        <f t="shared" si="9"/>
        <v>-0.12000000000034561</v>
      </c>
      <c r="AB121" s="59">
        <f t="shared" si="10"/>
        <v>2999.7599999999993</v>
      </c>
      <c r="AD121" s="59" t="s">
        <v>1375</v>
      </c>
      <c r="AF121" s="59"/>
    </row>
    <row r="122" spans="1:32" x14ac:dyDescent="0.3">
      <c r="A122" s="39">
        <v>3</v>
      </c>
      <c r="B122" s="41" t="s">
        <v>1153</v>
      </c>
      <c r="C122" s="50" t="s">
        <v>1328</v>
      </c>
      <c r="D122" s="50" t="s">
        <v>912</v>
      </c>
      <c r="E122" s="50" t="s">
        <v>25</v>
      </c>
      <c r="F122" s="51" t="s">
        <v>25</v>
      </c>
      <c r="G122" s="50" t="s">
        <v>866</v>
      </c>
      <c r="H122" s="59">
        <v>2985.27</v>
      </c>
      <c r="I122" s="59">
        <v>-743.94999999999993</v>
      </c>
      <c r="J122" s="59">
        <v>0</v>
      </c>
      <c r="K122" s="59">
        <v>0</v>
      </c>
      <c r="L122" s="59">
        <v>0</v>
      </c>
      <c r="M122" s="59">
        <v>-35</v>
      </c>
      <c r="N122" s="59">
        <f>-25.87-1.12</f>
        <v>-26.990000000000002</v>
      </c>
      <c r="O122" s="59">
        <f t="shared" si="11"/>
        <v>2179.3300000000004</v>
      </c>
      <c r="P122" s="59">
        <v>-2700</v>
      </c>
      <c r="Q122" s="59">
        <v>0</v>
      </c>
      <c r="R122" s="59">
        <v>-500</v>
      </c>
      <c r="S122" s="59">
        <v>0</v>
      </c>
      <c r="T122" s="59">
        <v>0</v>
      </c>
      <c r="U122" s="59">
        <v>0</v>
      </c>
      <c r="V122" s="59">
        <v>0</v>
      </c>
      <c r="W122" s="59">
        <f t="shared" si="6"/>
        <v>-1020.6699999999996</v>
      </c>
      <c r="X122" s="59">
        <f t="shared" si="7"/>
        <v>0</v>
      </c>
      <c r="Y122" s="59">
        <f t="shared" si="8"/>
        <v>-1020.6699999999996</v>
      </c>
      <c r="Z122" s="59">
        <v>1021</v>
      </c>
      <c r="AA122" s="59">
        <f t="shared" si="9"/>
        <v>0.33000000000038199</v>
      </c>
      <c r="AB122" s="59">
        <f t="shared" si="10"/>
        <v>3200.6600000000008</v>
      </c>
      <c r="AD122" s="59" t="s">
        <v>1376</v>
      </c>
      <c r="AF122" s="59"/>
    </row>
    <row r="123" spans="1:32" x14ac:dyDescent="0.3">
      <c r="A123" s="39">
        <v>3</v>
      </c>
      <c r="B123" s="41" t="s">
        <v>1157</v>
      </c>
      <c r="C123" s="50" t="s">
        <v>1265</v>
      </c>
      <c r="D123" s="50" t="s">
        <v>912</v>
      </c>
      <c r="E123" s="50" t="s">
        <v>25</v>
      </c>
      <c r="F123" s="51" t="s">
        <v>25</v>
      </c>
      <c r="G123" s="50" t="s">
        <v>866</v>
      </c>
      <c r="H123" s="59">
        <v>9332.19</v>
      </c>
      <c r="I123" s="59">
        <v>-3961.4999999999995</v>
      </c>
      <c r="J123" s="59">
        <v>-107.2</v>
      </c>
      <c r="K123" s="59">
        <v>0</v>
      </c>
      <c r="L123" s="59">
        <v>0</v>
      </c>
      <c r="M123" s="59">
        <v>-75</v>
      </c>
      <c r="N123" s="59">
        <v>0</v>
      </c>
      <c r="O123" s="59">
        <f t="shared" si="11"/>
        <v>5188.4900000000007</v>
      </c>
      <c r="P123" s="59">
        <v>-2700</v>
      </c>
      <c r="Q123" s="59">
        <v>0</v>
      </c>
      <c r="R123" s="59">
        <v>-500</v>
      </c>
      <c r="S123" s="59">
        <v>0</v>
      </c>
      <c r="T123" s="59">
        <v>0</v>
      </c>
      <c r="U123" s="59">
        <v>0</v>
      </c>
      <c r="V123" s="59">
        <v>0</v>
      </c>
      <c r="W123" s="59">
        <f t="shared" si="6"/>
        <v>1988.4900000000007</v>
      </c>
      <c r="X123" s="59">
        <f t="shared" si="7"/>
        <v>1988.4900000000007</v>
      </c>
      <c r="Y123" s="59">
        <f t="shared" si="8"/>
        <v>0</v>
      </c>
      <c r="Z123" s="59">
        <v>0</v>
      </c>
      <c r="AA123" s="59">
        <f t="shared" si="9"/>
        <v>0</v>
      </c>
      <c r="AB123" s="59">
        <f t="shared" si="10"/>
        <v>3200</v>
      </c>
      <c r="AD123" s="59" t="s">
        <v>1377</v>
      </c>
      <c r="AF123" s="59"/>
    </row>
    <row r="124" spans="1:32" x14ac:dyDescent="0.3">
      <c r="A124" s="39">
        <v>3</v>
      </c>
      <c r="B124" s="41" t="s">
        <v>1190</v>
      </c>
      <c r="C124" s="50" t="s">
        <v>46</v>
      </c>
      <c r="D124" s="50" t="s">
        <v>915</v>
      </c>
      <c r="E124" s="50" t="s">
        <v>25</v>
      </c>
      <c r="F124" s="51" t="s">
        <v>25</v>
      </c>
      <c r="G124" s="50" t="s">
        <v>866</v>
      </c>
      <c r="H124" s="59">
        <v>4915.1099999999997</v>
      </c>
      <c r="I124" s="59">
        <v>-471.21000000000004</v>
      </c>
      <c r="J124" s="59">
        <v>0</v>
      </c>
      <c r="K124" s="59">
        <v>0</v>
      </c>
      <c r="L124" s="59">
        <v>-48.319999999999986</v>
      </c>
      <c r="M124" s="59">
        <v>-35</v>
      </c>
      <c r="N124" s="59">
        <f>-69*1.12</f>
        <v>-77.28</v>
      </c>
      <c r="O124" s="59">
        <f t="shared" si="11"/>
        <v>4283.3</v>
      </c>
      <c r="P124" s="59">
        <v>-2500</v>
      </c>
      <c r="Q124" s="59">
        <f>-3462</f>
        <v>-3462</v>
      </c>
      <c r="R124" s="59">
        <v>-500</v>
      </c>
      <c r="S124" s="59">
        <v>0</v>
      </c>
      <c r="T124" s="59">
        <v>0</v>
      </c>
      <c r="U124" s="59">
        <v>0</v>
      </c>
      <c r="V124" s="59">
        <v>0</v>
      </c>
      <c r="W124" s="59">
        <f t="shared" si="6"/>
        <v>-2178.6999999999998</v>
      </c>
      <c r="X124" s="59">
        <f t="shared" si="7"/>
        <v>0</v>
      </c>
      <c r="Y124" s="59">
        <f t="shared" si="8"/>
        <v>-2178.6999999999998</v>
      </c>
      <c r="Z124" s="59">
        <v>0</v>
      </c>
      <c r="AA124" s="59">
        <f t="shared" si="9"/>
        <v>-2178.6999999999998</v>
      </c>
      <c r="AB124" s="59">
        <f t="shared" si="10"/>
        <v>2104.6000000000004</v>
      </c>
      <c r="AD124" s="59" t="s">
        <v>1378</v>
      </c>
      <c r="AF124" s="59"/>
    </row>
    <row r="125" spans="1:32" x14ac:dyDescent="0.3">
      <c r="A125" s="39">
        <v>3</v>
      </c>
      <c r="B125" s="41" t="s">
        <v>1190</v>
      </c>
      <c r="C125" s="50" t="s">
        <v>169</v>
      </c>
      <c r="E125" s="50" t="s">
        <v>871</v>
      </c>
      <c r="F125" s="51" t="s">
        <v>39</v>
      </c>
      <c r="G125" s="50" t="s">
        <v>866</v>
      </c>
      <c r="H125" s="59">
        <v>0</v>
      </c>
      <c r="I125" s="59">
        <v>0</v>
      </c>
      <c r="J125" s="59">
        <v>0</v>
      </c>
      <c r="K125" s="59">
        <v>0</v>
      </c>
      <c r="L125" s="59">
        <v>0</v>
      </c>
      <c r="M125" s="59">
        <v>0</v>
      </c>
      <c r="N125" s="59">
        <v>0</v>
      </c>
      <c r="O125" s="59">
        <f t="shared" si="11"/>
        <v>0</v>
      </c>
      <c r="P125" s="59">
        <v>0</v>
      </c>
      <c r="Q125" s="59">
        <v>0</v>
      </c>
      <c r="R125" s="59">
        <v>0</v>
      </c>
      <c r="S125" s="59">
        <v>0</v>
      </c>
      <c r="T125" s="59">
        <v>-700</v>
      </c>
      <c r="U125" s="59">
        <v>0</v>
      </c>
      <c r="V125" s="59">
        <v>0</v>
      </c>
      <c r="W125" s="59">
        <f t="shared" si="6"/>
        <v>-700</v>
      </c>
      <c r="X125" s="59">
        <f t="shared" si="7"/>
        <v>0</v>
      </c>
      <c r="Y125" s="59">
        <f t="shared" si="8"/>
        <v>-700</v>
      </c>
      <c r="Z125" s="59">
        <v>0</v>
      </c>
      <c r="AA125" s="59">
        <f t="shared" si="9"/>
        <v>-700</v>
      </c>
      <c r="AB125" s="59">
        <f t="shared" si="10"/>
        <v>-700</v>
      </c>
      <c r="AD125" s="59" t="s">
        <v>1378</v>
      </c>
      <c r="AF125" s="59"/>
    </row>
    <row r="126" spans="1:32" x14ac:dyDescent="0.3">
      <c r="A126" s="39">
        <v>3</v>
      </c>
      <c r="B126" s="41" t="s">
        <v>484</v>
      </c>
      <c r="C126" s="50" t="s">
        <v>1065</v>
      </c>
      <c r="D126" s="50" t="s">
        <v>1159</v>
      </c>
      <c r="E126" s="50" t="s">
        <v>25</v>
      </c>
      <c r="F126" s="51" t="s">
        <v>25</v>
      </c>
      <c r="G126" s="50" t="s">
        <v>866</v>
      </c>
      <c r="H126" s="59">
        <v>8717.44</v>
      </c>
      <c r="I126" s="59">
        <v>-3510.12</v>
      </c>
      <c r="J126" s="59">
        <v>-180</v>
      </c>
      <c r="K126" s="59">
        <v>0</v>
      </c>
      <c r="L126" s="59">
        <v>0</v>
      </c>
      <c r="M126" s="59">
        <v>-78</v>
      </c>
      <c r="N126" s="59">
        <v>0</v>
      </c>
      <c r="O126" s="59">
        <f t="shared" si="11"/>
        <v>4949.3200000000006</v>
      </c>
      <c r="P126" s="59">
        <v>-2500</v>
      </c>
      <c r="Q126" s="59">
        <v>5</v>
      </c>
      <c r="R126" s="59">
        <v>0</v>
      </c>
      <c r="S126" s="59">
        <v>0</v>
      </c>
      <c r="T126" s="59">
        <v>0</v>
      </c>
      <c r="U126" s="59">
        <v>0</v>
      </c>
      <c r="V126" s="59">
        <v>0</v>
      </c>
      <c r="W126" s="59">
        <f t="shared" si="6"/>
        <v>2454.3200000000006</v>
      </c>
      <c r="X126" s="59">
        <f t="shared" si="7"/>
        <v>2454.3200000000006</v>
      </c>
      <c r="Y126" s="59">
        <f t="shared" si="8"/>
        <v>0</v>
      </c>
      <c r="Z126" s="59">
        <v>0</v>
      </c>
      <c r="AA126" s="59">
        <f t="shared" si="9"/>
        <v>0</v>
      </c>
      <c r="AB126" s="59">
        <f t="shared" si="10"/>
        <v>2495</v>
      </c>
      <c r="AD126" s="59" t="s">
        <v>1379</v>
      </c>
      <c r="AF126" s="59"/>
    </row>
    <row r="127" spans="1:32" x14ac:dyDescent="0.3">
      <c r="A127" s="39">
        <v>3</v>
      </c>
      <c r="B127" s="41" t="s">
        <v>408</v>
      </c>
      <c r="C127" s="50" t="s">
        <v>563</v>
      </c>
      <c r="D127" s="50" t="s">
        <v>1230</v>
      </c>
      <c r="E127" s="50" t="s">
        <v>25</v>
      </c>
      <c r="F127" s="51" t="s">
        <v>25</v>
      </c>
      <c r="G127" s="50" t="s">
        <v>866</v>
      </c>
      <c r="H127" s="59">
        <v>1177.73</v>
      </c>
      <c r="I127" s="59">
        <v>-772.99</v>
      </c>
      <c r="J127" s="59">
        <v>0</v>
      </c>
      <c r="K127" s="59">
        <v>0</v>
      </c>
      <c r="L127" s="59">
        <v>0</v>
      </c>
      <c r="M127" s="59">
        <v>-35</v>
      </c>
      <c r="N127" s="59">
        <v>0</v>
      </c>
      <c r="O127" s="59">
        <f t="shared" si="11"/>
        <v>369.74</v>
      </c>
      <c r="P127" s="59">
        <v>-2500</v>
      </c>
      <c r="Q127" s="59">
        <f>-1822*1.12</f>
        <v>-2040.64</v>
      </c>
      <c r="R127" s="59">
        <v>0</v>
      </c>
      <c r="S127" s="59">
        <v>0</v>
      </c>
      <c r="T127" s="59">
        <v>0</v>
      </c>
      <c r="U127" s="59">
        <v>0</v>
      </c>
      <c r="V127" s="59">
        <v>0</v>
      </c>
      <c r="W127" s="59">
        <f t="shared" si="6"/>
        <v>-4170.9000000000005</v>
      </c>
      <c r="X127" s="59">
        <f t="shared" si="7"/>
        <v>0</v>
      </c>
      <c r="Y127" s="59">
        <f t="shared" si="8"/>
        <v>-4170.9000000000005</v>
      </c>
      <c r="Z127" s="59">
        <v>4171</v>
      </c>
      <c r="AA127" s="59">
        <f t="shared" si="9"/>
        <v>9.9999999999454303E-2</v>
      </c>
      <c r="AB127" s="59">
        <f t="shared" si="10"/>
        <v>4540.8399999999992</v>
      </c>
      <c r="AD127" s="59" t="s">
        <v>1380</v>
      </c>
      <c r="AF127" s="59"/>
    </row>
    <row r="128" spans="1:32" x14ac:dyDescent="0.3">
      <c r="A128" s="39">
        <v>3</v>
      </c>
      <c r="B128" s="41" t="s">
        <v>1196</v>
      </c>
      <c r="C128" s="50" t="s">
        <v>409</v>
      </c>
      <c r="D128" s="50" t="s">
        <v>946</v>
      </c>
      <c r="E128" s="50" t="s">
        <v>25</v>
      </c>
      <c r="F128" s="51" t="s">
        <v>25</v>
      </c>
      <c r="G128" s="50" t="s">
        <v>866</v>
      </c>
      <c r="H128" s="59">
        <v>6700.43</v>
      </c>
      <c r="I128" s="59">
        <v>-3154.7999999999993</v>
      </c>
      <c r="J128" s="59">
        <v>-320</v>
      </c>
      <c r="K128" s="59">
        <v>0</v>
      </c>
      <c r="L128" s="59">
        <v>0</v>
      </c>
      <c r="M128" s="59">
        <v>-72</v>
      </c>
      <c r="N128" s="59">
        <f>-134.88*1.12</f>
        <v>-151.06560000000002</v>
      </c>
      <c r="O128" s="59">
        <f t="shared" si="11"/>
        <v>3002.5644000000011</v>
      </c>
      <c r="P128" s="59">
        <v>-2500</v>
      </c>
      <c r="Q128" s="59">
        <f>-1991*1.12</f>
        <v>-2229.92</v>
      </c>
      <c r="R128" s="59">
        <v>-500</v>
      </c>
      <c r="S128" s="59">
        <v>0</v>
      </c>
      <c r="T128" s="59">
        <v>0</v>
      </c>
      <c r="U128" s="59">
        <v>0</v>
      </c>
      <c r="V128" s="59">
        <v>0</v>
      </c>
      <c r="W128" s="59">
        <f t="shared" si="6"/>
        <v>-2227.355599999999</v>
      </c>
      <c r="X128" s="59">
        <f t="shared" si="7"/>
        <v>0</v>
      </c>
      <c r="Y128" s="59">
        <f t="shared" si="8"/>
        <v>-2227.355599999999</v>
      </c>
      <c r="Z128" s="59">
        <v>0</v>
      </c>
      <c r="AA128" s="59">
        <f t="shared" si="9"/>
        <v>-2227.355599999999</v>
      </c>
      <c r="AB128" s="59">
        <f t="shared" si="10"/>
        <v>775.20880000000216</v>
      </c>
      <c r="AD128" s="59" t="s">
        <v>1381</v>
      </c>
      <c r="AF128" s="59"/>
    </row>
    <row r="129" spans="1:32" x14ac:dyDescent="0.3">
      <c r="A129" s="39">
        <v>3</v>
      </c>
      <c r="B129" s="41" t="s">
        <v>747</v>
      </c>
      <c r="C129" s="50" t="s">
        <v>152</v>
      </c>
      <c r="D129" s="50" t="s">
        <v>1108</v>
      </c>
      <c r="E129" s="50" t="s">
        <v>25</v>
      </c>
      <c r="F129" s="51" t="s">
        <v>25</v>
      </c>
      <c r="G129" s="50" t="s">
        <v>866</v>
      </c>
      <c r="H129" s="59">
        <v>374.23</v>
      </c>
      <c r="I129" s="59">
        <v>0</v>
      </c>
      <c r="J129" s="59">
        <v>-13.98</v>
      </c>
      <c r="K129" s="59">
        <v>0</v>
      </c>
      <c r="L129" s="59">
        <v>0</v>
      </c>
      <c r="M129" s="59">
        <v>0</v>
      </c>
      <c r="N129" s="59">
        <f>-95*1.12</f>
        <v>-106.4</v>
      </c>
      <c r="O129" s="59">
        <f t="shared" si="11"/>
        <v>253.85</v>
      </c>
      <c r="P129" s="59">
        <v>-2500</v>
      </c>
      <c r="Q129" s="59">
        <f>-463*1.12</f>
        <v>-518.56000000000006</v>
      </c>
      <c r="R129" s="59">
        <v>-500</v>
      </c>
      <c r="S129" s="59">
        <v>0</v>
      </c>
      <c r="T129" s="59">
        <v>0</v>
      </c>
      <c r="U129" s="59">
        <v>0</v>
      </c>
      <c r="V129" s="59">
        <v>0</v>
      </c>
      <c r="W129" s="59">
        <f t="shared" si="6"/>
        <v>-3264.71</v>
      </c>
      <c r="X129" s="59">
        <f t="shared" si="7"/>
        <v>0</v>
      </c>
      <c r="Y129" s="59">
        <f t="shared" si="8"/>
        <v>-3264.71</v>
      </c>
      <c r="Z129" s="59">
        <f>1000+1200+500</f>
        <v>2700</v>
      </c>
      <c r="AA129" s="59">
        <f t="shared" si="9"/>
        <v>-564.71</v>
      </c>
      <c r="AB129" s="59">
        <f t="shared" si="10"/>
        <v>2389.14</v>
      </c>
      <c r="AD129" s="59" t="s">
        <v>1382</v>
      </c>
      <c r="AF129" s="59"/>
    </row>
    <row r="130" spans="1:32" x14ac:dyDescent="0.3">
      <c r="A130" s="39">
        <v>3</v>
      </c>
      <c r="B130" s="41" t="s">
        <v>1120</v>
      </c>
      <c r="C130" s="50" t="s">
        <v>1273</v>
      </c>
      <c r="D130" s="50" t="s">
        <v>912</v>
      </c>
      <c r="E130" s="50" t="s">
        <v>25</v>
      </c>
      <c r="F130" s="51" t="s">
        <v>25</v>
      </c>
      <c r="G130" s="50" t="s">
        <v>866</v>
      </c>
      <c r="H130" s="59">
        <v>7226.08</v>
      </c>
      <c r="I130" s="59">
        <v>-2367.1600000000003</v>
      </c>
      <c r="J130" s="59">
        <v>0</v>
      </c>
      <c r="K130" s="59">
        <v>0</v>
      </c>
      <c r="L130" s="59">
        <v>-85.589999999999961</v>
      </c>
      <c r="M130" s="59">
        <v>-52</v>
      </c>
      <c r="N130" s="59">
        <v>0</v>
      </c>
      <c r="O130" s="59">
        <f t="shared" si="11"/>
        <v>4721.33</v>
      </c>
      <c r="P130" s="59">
        <v>-2700</v>
      </c>
      <c r="Q130" s="59">
        <v>0</v>
      </c>
      <c r="R130" s="59">
        <v>-500</v>
      </c>
      <c r="S130" s="59">
        <v>0</v>
      </c>
      <c r="T130" s="59">
        <v>0</v>
      </c>
      <c r="U130" s="59">
        <v>0</v>
      </c>
      <c r="V130" s="59">
        <v>0</v>
      </c>
      <c r="W130" s="59">
        <f t="shared" ref="W130:W193" si="12">SUM(O130:V130)</f>
        <v>1521.33</v>
      </c>
      <c r="X130" s="59">
        <f t="shared" ref="X130:X193" si="13">IF(W130&gt;=0,W130,0)</f>
        <v>1521.33</v>
      </c>
      <c r="Y130" s="59">
        <f t="shared" ref="Y130:Y193" si="14">IF(W130&lt;=0,W130,0)</f>
        <v>0</v>
      </c>
      <c r="Z130" s="59">
        <v>0</v>
      </c>
      <c r="AA130" s="59">
        <f t="shared" ref="AA130:AA193" si="15">+Y130+Z130</f>
        <v>0</v>
      </c>
      <c r="AB130" s="59">
        <f t="shared" ref="AB130:AB193" si="16">+O130-X130+Z130+AA130</f>
        <v>3200</v>
      </c>
      <c r="AD130" s="59" t="s">
        <v>1383</v>
      </c>
      <c r="AF130" s="59"/>
    </row>
    <row r="131" spans="1:32" x14ac:dyDescent="0.3">
      <c r="A131" s="39">
        <v>3</v>
      </c>
      <c r="B131" s="41" t="s">
        <v>515</v>
      </c>
      <c r="C131" s="50" t="s">
        <v>645</v>
      </c>
      <c r="D131" s="50" t="s">
        <v>1122</v>
      </c>
      <c r="E131" s="50" t="s">
        <v>25</v>
      </c>
      <c r="F131" s="51" t="s">
        <v>25</v>
      </c>
      <c r="G131" s="50" t="s">
        <v>866</v>
      </c>
      <c r="H131" s="59">
        <v>5868.92</v>
      </c>
      <c r="I131" s="59">
        <v>-302.39999999999998</v>
      </c>
      <c r="J131" s="59">
        <v>-32</v>
      </c>
      <c r="K131" s="59">
        <v>0</v>
      </c>
      <c r="L131" s="59">
        <v>0</v>
      </c>
      <c r="M131" s="59">
        <v>-32</v>
      </c>
      <c r="N131" s="59">
        <v>0</v>
      </c>
      <c r="O131" s="59">
        <f t="shared" si="11"/>
        <v>5502.52</v>
      </c>
      <c r="P131" s="59">
        <v>-2500</v>
      </c>
      <c r="Q131" s="59">
        <v>0</v>
      </c>
      <c r="R131" s="59">
        <v>0</v>
      </c>
      <c r="S131" s="59">
        <v>0</v>
      </c>
      <c r="T131" s="59">
        <v>0</v>
      </c>
      <c r="U131" s="59">
        <v>0</v>
      </c>
      <c r="V131" s="59">
        <v>0</v>
      </c>
      <c r="W131" s="59">
        <f t="shared" si="12"/>
        <v>3002.5200000000004</v>
      </c>
      <c r="X131" s="59">
        <f t="shared" si="13"/>
        <v>3002.5200000000004</v>
      </c>
      <c r="Y131" s="59">
        <f t="shared" si="14"/>
        <v>0</v>
      </c>
      <c r="Z131" s="59">
        <v>0</v>
      </c>
      <c r="AA131" s="59">
        <f t="shared" si="15"/>
        <v>0</v>
      </c>
      <c r="AB131" s="59">
        <f t="shared" si="16"/>
        <v>2500</v>
      </c>
      <c r="AD131" s="59"/>
      <c r="AF131" s="59"/>
    </row>
    <row r="132" spans="1:32" x14ac:dyDescent="0.3">
      <c r="A132" s="39">
        <v>3</v>
      </c>
      <c r="B132" s="41" t="s">
        <v>515</v>
      </c>
      <c r="C132" s="50" t="s">
        <v>110</v>
      </c>
      <c r="D132" s="50" t="s">
        <v>912</v>
      </c>
      <c r="E132" s="50" t="s">
        <v>25</v>
      </c>
      <c r="F132" s="51" t="s">
        <v>25</v>
      </c>
      <c r="G132" s="50" t="s">
        <v>866</v>
      </c>
      <c r="H132" s="59">
        <v>0</v>
      </c>
      <c r="I132" s="59">
        <v>0</v>
      </c>
      <c r="J132" s="59">
        <v>0</v>
      </c>
      <c r="K132" s="59">
        <v>0</v>
      </c>
      <c r="L132" s="59">
        <v>0</v>
      </c>
      <c r="M132" s="59">
        <v>0</v>
      </c>
      <c r="N132" s="59">
        <v>0</v>
      </c>
      <c r="O132" s="59">
        <f t="shared" si="11"/>
        <v>0</v>
      </c>
      <c r="P132" s="59">
        <v>0</v>
      </c>
      <c r="Q132" s="59">
        <v>0</v>
      </c>
      <c r="R132" s="59">
        <v>0</v>
      </c>
      <c r="S132" s="59">
        <v>0</v>
      </c>
      <c r="T132" s="59">
        <v>-700</v>
      </c>
      <c r="U132" s="59">
        <v>0</v>
      </c>
      <c r="V132" s="59">
        <v>0</v>
      </c>
      <c r="W132" s="59">
        <f t="shared" si="12"/>
        <v>-700</v>
      </c>
      <c r="X132" s="59">
        <f t="shared" si="13"/>
        <v>0</v>
      </c>
      <c r="Y132" s="59">
        <f t="shared" si="14"/>
        <v>-700</v>
      </c>
      <c r="Z132" s="59">
        <v>0</v>
      </c>
      <c r="AA132" s="59">
        <f t="shared" si="15"/>
        <v>-700</v>
      </c>
      <c r="AB132" s="59">
        <f t="shared" si="16"/>
        <v>-700</v>
      </c>
      <c r="AD132" s="59" t="s">
        <v>1337</v>
      </c>
      <c r="AF132" s="59"/>
    </row>
    <row r="133" spans="1:32" x14ac:dyDescent="0.3">
      <c r="A133" s="39">
        <v>3</v>
      </c>
      <c r="B133" s="41" t="s">
        <v>1088</v>
      </c>
      <c r="C133" s="50" t="s">
        <v>257</v>
      </c>
      <c r="D133" s="50" t="s">
        <v>943</v>
      </c>
      <c r="E133" s="50" t="s">
        <v>25</v>
      </c>
      <c r="F133" s="51" t="s">
        <v>25</v>
      </c>
      <c r="G133" s="50" t="s">
        <v>866</v>
      </c>
      <c r="H133" s="59">
        <v>2767.31</v>
      </c>
      <c r="I133" s="59">
        <v>0</v>
      </c>
      <c r="J133" s="59">
        <v>0</v>
      </c>
      <c r="K133" s="59">
        <v>0</v>
      </c>
      <c r="L133" s="59">
        <v>-22.639999999999997</v>
      </c>
      <c r="M133" s="59">
        <v>0</v>
      </c>
      <c r="N133" s="59">
        <v>0</v>
      </c>
      <c r="O133" s="59">
        <f t="shared" si="11"/>
        <v>2744.67</v>
      </c>
      <c r="P133" s="59">
        <v>-2500</v>
      </c>
      <c r="Q133" s="59">
        <v>0</v>
      </c>
      <c r="R133" s="59">
        <v>0</v>
      </c>
      <c r="S133" s="59">
        <v>0</v>
      </c>
      <c r="T133" s="59">
        <v>0</v>
      </c>
      <c r="U133" s="59">
        <v>0</v>
      </c>
      <c r="V133" s="59">
        <v>0</v>
      </c>
      <c r="W133" s="59">
        <f t="shared" si="12"/>
        <v>244.67000000000007</v>
      </c>
      <c r="X133" s="59">
        <f t="shared" si="13"/>
        <v>244.67000000000007</v>
      </c>
      <c r="Y133" s="59">
        <f t="shared" si="14"/>
        <v>0</v>
      </c>
      <c r="Z133" s="59">
        <v>0</v>
      </c>
      <c r="AA133" s="59">
        <f t="shared" si="15"/>
        <v>0</v>
      </c>
      <c r="AB133" s="59">
        <f t="shared" si="16"/>
        <v>2500</v>
      </c>
      <c r="AD133" s="59" t="s">
        <v>1338</v>
      </c>
      <c r="AF133" s="59"/>
    </row>
    <row r="134" spans="1:32" x14ac:dyDescent="0.3">
      <c r="A134" s="39">
        <v>3</v>
      </c>
      <c r="B134" s="41" t="s">
        <v>1143</v>
      </c>
      <c r="C134" s="50" t="s">
        <v>64</v>
      </c>
      <c r="D134" s="50" t="s">
        <v>949</v>
      </c>
      <c r="E134" s="50" t="s">
        <v>25</v>
      </c>
      <c r="F134" s="51" t="s">
        <v>25</v>
      </c>
      <c r="G134" s="50" t="s">
        <v>866</v>
      </c>
      <c r="H134" s="59">
        <v>3458.2</v>
      </c>
      <c r="I134" s="59">
        <v>-1835.0500000000002</v>
      </c>
      <c r="J134" s="59">
        <v>0</v>
      </c>
      <c r="K134" s="59">
        <v>0</v>
      </c>
      <c r="L134" s="59">
        <v>0</v>
      </c>
      <c r="M134" s="59">
        <v>-45</v>
      </c>
      <c r="N134" s="59">
        <v>0</v>
      </c>
      <c r="O134" s="59">
        <f t="shared" si="11"/>
        <v>1578.1499999999996</v>
      </c>
      <c r="P134" s="59">
        <v>-2500</v>
      </c>
      <c r="Q134" s="59">
        <f>-1236*1.12</f>
        <v>-1384.3200000000002</v>
      </c>
      <c r="R134" s="59">
        <v>-500</v>
      </c>
      <c r="S134" s="59">
        <v>0</v>
      </c>
      <c r="T134" s="59">
        <v>0</v>
      </c>
      <c r="U134" s="59">
        <v>0</v>
      </c>
      <c r="V134" s="59">
        <v>0</v>
      </c>
      <c r="W134" s="59">
        <f t="shared" si="12"/>
        <v>-2806.1700000000005</v>
      </c>
      <c r="X134" s="59">
        <f t="shared" si="13"/>
        <v>0</v>
      </c>
      <c r="Y134" s="59">
        <f t="shared" si="14"/>
        <v>-2806.1700000000005</v>
      </c>
      <c r="Z134" s="59">
        <v>0</v>
      </c>
      <c r="AA134" s="59">
        <f t="shared" si="15"/>
        <v>-2806.1700000000005</v>
      </c>
      <c r="AB134" s="59">
        <f t="shared" si="16"/>
        <v>-1228.0200000000009</v>
      </c>
      <c r="AD134" s="59" t="s">
        <v>1384</v>
      </c>
      <c r="AF134" s="59"/>
    </row>
    <row r="135" spans="1:32" x14ac:dyDescent="0.3">
      <c r="A135" s="39">
        <v>3</v>
      </c>
      <c r="B135" s="41" t="s">
        <v>1151</v>
      </c>
      <c r="C135" s="50" t="s">
        <v>1285</v>
      </c>
      <c r="D135" s="50" t="s">
        <v>1340</v>
      </c>
      <c r="E135" s="50" t="s">
        <v>25</v>
      </c>
      <c r="F135" s="51" t="s">
        <v>25</v>
      </c>
      <c r="G135" s="50" t="s">
        <v>866</v>
      </c>
      <c r="H135" s="59">
        <v>5152.9399999999996</v>
      </c>
      <c r="I135" s="59">
        <v>-543.58000000000004</v>
      </c>
      <c r="J135" s="59">
        <v>-48</v>
      </c>
      <c r="K135" s="59">
        <v>0</v>
      </c>
      <c r="L135" s="59">
        <v>0</v>
      </c>
      <c r="M135" s="59">
        <v>-35</v>
      </c>
      <c r="N135" s="59">
        <v>0</v>
      </c>
      <c r="O135" s="59">
        <f t="shared" ref="O135:O198" si="17">IF(H135+I135&lt;0,SUM(J135:N135),SUM(H135:N135))</f>
        <v>4526.3599999999997</v>
      </c>
      <c r="P135" s="59">
        <v>-2700</v>
      </c>
      <c r="Q135" s="59">
        <v>0</v>
      </c>
      <c r="R135" s="59">
        <v>-500</v>
      </c>
      <c r="S135" s="59">
        <v>0</v>
      </c>
      <c r="T135" s="59">
        <v>0</v>
      </c>
      <c r="U135" s="59">
        <v>0</v>
      </c>
      <c r="V135" s="59">
        <v>0</v>
      </c>
      <c r="W135" s="59">
        <f t="shared" si="12"/>
        <v>1326.3599999999997</v>
      </c>
      <c r="X135" s="59">
        <f t="shared" si="13"/>
        <v>1326.3599999999997</v>
      </c>
      <c r="Y135" s="59">
        <f t="shared" si="14"/>
        <v>0</v>
      </c>
      <c r="Z135" s="59">
        <v>0</v>
      </c>
      <c r="AA135" s="59">
        <f t="shared" si="15"/>
        <v>0</v>
      </c>
      <c r="AB135" s="59">
        <f t="shared" si="16"/>
        <v>3200</v>
      </c>
      <c r="AD135" s="59" t="s">
        <v>1385</v>
      </c>
      <c r="AF135" s="59"/>
    </row>
    <row r="136" spans="1:32" x14ac:dyDescent="0.3">
      <c r="A136" s="39">
        <v>3</v>
      </c>
      <c r="B136" s="41" t="s">
        <v>742</v>
      </c>
      <c r="C136" s="50" t="s">
        <v>573</v>
      </c>
      <c r="D136" s="50" t="s">
        <v>1160</v>
      </c>
      <c r="E136" s="50" t="s">
        <v>25</v>
      </c>
      <c r="F136" s="51" t="s">
        <v>25</v>
      </c>
      <c r="G136" s="50" t="s">
        <v>866</v>
      </c>
      <c r="H136" s="59">
        <v>7850.95</v>
      </c>
      <c r="I136" s="59">
        <v>-5829.5599999999986</v>
      </c>
      <c r="J136" s="59">
        <v>-40.799999999999997</v>
      </c>
      <c r="K136" s="59">
        <v>0</v>
      </c>
      <c r="L136" s="59">
        <v>-78.619999999999962</v>
      </c>
      <c r="M136" s="59">
        <v>-98</v>
      </c>
      <c r="N136" s="59">
        <v>0</v>
      </c>
      <c r="O136" s="59">
        <f t="shared" si="17"/>
        <v>1803.9700000000014</v>
      </c>
      <c r="P136" s="59">
        <v>-2500</v>
      </c>
      <c r="Q136" s="59">
        <v>0</v>
      </c>
      <c r="R136" s="59">
        <v>-500</v>
      </c>
      <c r="S136" s="59">
        <v>0</v>
      </c>
      <c r="T136" s="59">
        <v>0</v>
      </c>
      <c r="U136" s="59">
        <v>0</v>
      </c>
      <c r="V136" s="59">
        <v>0</v>
      </c>
      <c r="W136" s="59">
        <f t="shared" si="12"/>
        <v>-1196.0299999999986</v>
      </c>
      <c r="X136" s="59">
        <f t="shared" si="13"/>
        <v>0</v>
      </c>
      <c r="Y136" s="59">
        <f t="shared" si="14"/>
        <v>-1196.0299999999986</v>
      </c>
      <c r="Z136" s="59">
        <v>0</v>
      </c>
      <c r="AA136" s="59">
        <f t="shared" si="15"/>
        <v>-1196.0299999999986</v>
      </c>
      <c r="AB136" s="59">
        <f t="shared" si="16"/>
        <v>607.94000000000278</v>
      </c>
      <c r="AD136" s="59" t="s">
        <v>1342</v>
      </c>
      <c r="AF136" s="59"/>
    </row>
    <row r="137" spans="1:32" x14ac:dyDescent="0.3">
      <c r="A137" s="39">
        <v>3</v>
      </c>
      <c r="B137" s="41" t="s">
        <v>1025</v>
      </c>
      <c r="C137" s="50" t="s">
        <v>51</v>
      </c>
      <c r="D137" s="50" t="s">
        <v>1115</v>
      </c>
      <c r="E137" s="50" t="s">
        <v>25</v>
      </c>
      <c r="F137" s="51" t="s">
        <v>25</v>
      </c>
      <c r="G137" s="50" t="s">
        <v>866</v>
      </c>
      <c r="H137" s="59">
        <v>3107.57</v>
      </c>
      <c r="I137" s="59">
        <v>-1529.7499999999998</v>
      </c>
      <c r="J137" s="59">
        <v>0</v>
      </c>
      <c r="K137" s="59">
        <v>0</v>
      </c>
      <c r="L137" s="59">
        <v>0</v>
      </c>
      <c r="M137" s="59">
        <v>-35</v>
      </c>
      <c r="N137" s="59">
        <v>0</v>
      </c>
      <c r="O137" s="59">
        <f t="shared" si="17"/>
        <v>1542.8200000000004</v>
      </c>
      <c r="P137" s="59">
        <v>-2500</v>
      </c>
      <c r="Q137" s="59">
        <f>-1645*1.12</f>
        <v>-1842.4</v>
      </c>
      <c r="R137" s="59">
        <v>0</v>
      </c>
      <c r="S137" s="59">
        <v>0</v>
      </c>
      <c r="T137" s="59">
        <v>0</v>
      </c>
      <c r="U137" s="59">
        <v>0</v>
      </c>
      <c r="V137" s="59">
        <v>0</v>
      </c>
      <c r="W137" s="59">
        <f t="shared" si="12"/>
        <v>-2799.58</v>
      </c>
      <c r="X137" s="59">
        <f t="shared" si="13"/>
        <v>0</v>
      </c>
      <c r="Y137" s="59">
        <f t="shared" si="14"/>
        <v>-2799.58</v>
      </c>
      <c r="Z137" s="59">
        <v>0</v>
      </c>
      <c r="AA137" s="59">
        <f t="shared" si="15"/>
        <v>-2799.58</v>
      </c>
      <c r="AB137" s="59">
        <f t="shared" si="16"/>
        <v>-1256.7599999999995</v>
      </c>
      <c r="AD137" s="59" t="s">
        <v>1386</v>
      </c>
      <c r="AF137" s="59"/>
    </row>
    <row r="138" spans="1:32" x14ac:dyDescent="0.3">
      <c r="A138" s="39">
        <v>3</v>
      </c>
      <c r="B138" s="41" t="s">
        <v>1025</v>
      </c>
      <c r="C138" s="50" t="s">
        <v>195</v>
      </c>
      <c r="D138" s="50" t="s">
        <v>964</v>
      </c>
      <c r="E138" s="50" t="s">
        <v>871</v>
      </c>
      <c r="F138" s="51" t="s">
        <v>39</v>
      </c>
      <c r="G138" s="50" t="s">
        <v>866</v>
      </c>
      <c r="H138" s="59">
        <v>0</v>
      </c>
      <c r="I138" s="59">
        <v>0</v>
      </c>
      <c r="J138" s="59">
        <v>0</v>
      </c>
      <c r="K138" s="59">
        <v>0</v>
      </c>
      <c r="L138" s="59">
        <v>0</v>
      </c>
      <c r="M138" s="59">
        <v>0</v>
      </c>
      <c r="N138" s="59">
        <v>0</v>
      </c>
      <c r="O138" s="59">
        <f t="shared" si="17"/>
        <v>0</v>
      </c>
      <c r="P138" s="59">
        <v>0</v>
      </c>
      <c r="Q138" s="59">
        <f>-322*1.12</f>
        <v>-360.64000000000004</v>
      </c>
      <c r="R138" s="59">
        <v>0</v>
      </c>
      <c r="S138" s="59">
        <v>0</v>
      </c>
      <c r="T138" s="59">
        <v>-500</v>
      </c>
      <c r="U138" s="59">
        <v>0</v>
      </c>
      <c r="V138" s="59">
        <v>0</v>
      </c>
      <c r="W138" s="59">
        <f t="shared" si="12"/>
        <v>-860.6400000000001</v>
      </c>
      <c r="X138" s="59">
        <f t="shared" si="13"/>
        <v>0</v>
      </c>
      <c r="Y138" s="59">
        <f t="shared" si="14"/>
        <v>-860.6400000000001</v>
      </c>
      <c r="Z138" s="59">
        <v>800</v>
      </c>
      <c r="AA138" s="59">
        <f t="shared" si="15"/>
        <v>-60.6400000000001</v>
      </c>
      <c r="AB138" s="59">
        <f t="shared" si="16"/>
        <v>739.3599999999999</v>
      </c>
      <c r="AD138" s="59" t="s">
        <v>1387</v>
      </c>
      <c r="AF138" s="59"/>
    </row>
    <row r="139" spans="1:32" x14ac:dyDescent="0.3">
      <c r="A139" s="39">
        <v>3</v>
      </c>
      <c r="B139" s="41" t="s">
        <v>1295</v>
      </c>
      <c r="C139" s="50" t="s">
        <v>53</v>
      </c>
      <c r="D139" s="50" t="s">
        <v>1167</v>
      </c>
      <c r="E139" s="50" t="s">
        <v>25</v>
      </c>
      <c r="F139" s="51" t="s">
        <v>25</v>
      </c>
      <c r="G139" s="50" t="s">
        <v>866</v>
      </c>
      <c r="H139" s="59">
        <v>3765.28</v>
      </c>
      <c r="I139" s="59">
        <v>-1771.97</v>
      </c>
      <c r="J139" s="59">
        <v>0</v>
      </c>
      <c r="K139" s="59">
        <v>0</v>
      </c>
      <c r="L139" s="59">
        <v>0</v>
      </c>
      <c r="M139" s="59">
        <v>-38</v>
      </c>
      <c r="N139" s="59">
        <v>0</v>
      </c>
      <c r="O139" s="59">
        <f t="shared" si="17"/>
        <v>1955.3100000000002</v>
      </c>
      <c r="P139" s="59">
        <v>-2500</v>
      </c>
      <c r="Q139" s="59">
        <f>-95*1.12</f>
        <v>-106.4</v>
      </c>
      <c r="R139" s="59">
        <v>-500</v>
      </c>
      <c r="S139" s="59">
        <v>0</v>
      </c>
      <c r="T139" s="59">
        <v>0</v>
      </c>
      <c r="U139" s="59">
        <v>0</v>
      </c>
      <c r="V139" s="59">
        <v>0</v>
      </c>
      <c r="W139" s="59">
        <f t="shared" si="12"/>
        <v>-1151.0899999999997</v>
      </c>
      <c r="X139" s="59">
        <f t="shared" si="13"/>
        <v>0</v>
      </c>
      <c r="Y139" s="59">
        <f t="shared" si="14"/>
        <v>-1151.0899999999997</v>
      </c>
      <c r="Z139" s="59">
        <v>1151</v>
      </c>
      <c r="AA139" s="59">
        <f t="shared" si="15"/>
        <v>-8.9999999999690772E-2</v>
      </c>
      <c r="AB139" s="59">
        <f t="shared" si="16"/>
        <v>3106.2200000000007</v>
      </c>
      <c r="AD139" s="59" t="s">
        <v>1388</v>
      </c>
      <c r="AF139" s="59"/>
    </row>
    <row r="140" spans="1:32" x14ac:dyDescent="0.3">
      <c r="A140" s="39">
        <v>3</v>
      </c>
      <c r="B140" s="41" t="s">
        <v>1297</v>
      </c>
      <c r="C140" s="50" t="s">
        <v>426</v>
      </c>
      <c r="D140" s="50" t="s">
        <v>949</v>
      </c>
      <c r="E140" s="50" t="s">
        <v>25</v>
      </c>
      <c r="F140" s="51" t="s">
        <v>25</v>
      </c>
      <c r="G140" s="50" t="s">
        <v>866</v>
      </c>
      <c r="H140" s="59">
        <v>0</v>
      </c>
      <c r="I140" s="59">
        <v>0</v>
      </c>
      <c r="J140" s="59">
        <v>0</v>
      </c>
      <c r="K140" s="59">
        <v>0</v>
      </c>
      <c r="L140" s="59">
        <v>0</v>
      </c>
      <c r="M140" s="59">
        <v>0</v>
      </c>
      <c r="N140" s="59">
        <v>0</v>
      </c>
      <c r="O140" s="59">
        <f t="shared" si="17"/>
        <v>0</v>
      </c>
      <c r="P140" s="59">
        <f>(-2500/7)*2</f>
        <v>-714.28571428571433</v>
      </c>
      <c r="Q140" s="59">
        <v>0</v>
      </c>
      <c r="R140" s="59">
        <v>0</v>
      </c>
      <c r="S140" s="59">
        <v>0</v>
      </c>
      <c r="T140" s="59">
        <v>0</v>
      </c>
      <c r="U140" s="59">
        <v>0</v>
      </c>
      <c r="V140" s="59">
        <v>0</v>
      </c>
      <c r="W140" s="59">
        <f t="shared" si="12"/>
        <v>-714.28571428571433</v>
      </c>
      <c r="X140" s="59">
        <f t="shared" si="13"/>
        <v>0</v>
      </c>
      <c r="Y140" s="59">
        <f t="shared" si="14"/>
        <v>-714.28571428571433</v>
      </c>
      <c r="Z140" s="59">
        <v>714</v>
      </c>
      <c r="AA140" s="59">
        <f t="shared" si="15"/>
        <v>-0.28571428571433444</v>
      </c>
      <c r="AB140" s="59">
        <f t="shared" si="16"/>
        <v>713.71428571428567</v>
      </c>
      <c r="AD140" s="59" t="s">
        <v>1389</v>
      </c>
      <c r="AF140" s="59"/>
    </row>
    <row r="141" spans="1:32" x14ac:dyDescent="0.3">
      <c r="A141" s="39">
        <v>3</v>
      </c>
      <c r="B141" s="41" t="s">
        <v>1297</v>
      </c>
      <c r="C141" s="50" t="s">
        <v>480</v>
      </c>
      <c r="D141" s="50" t="s">
        <v>1243</v>
      </c>
      <c r="E141" s="50" t="s">
        <v>25</v>
      </c>
      <c r="F141" s="51" t="s">
        <v>25</v>
      </c>
      <c r="G141" s="50" t="s">
        <v>866</v>
      </c>
      <c r="H141" s="59">
        <v>2306.23</v>
      </c>
      <c r="I141" s="59">
        <v>-952.35</v>
      </c>
      <c r="J141" s="59">
        <v>0</v>
      </c>
      <c r="K141" s="59">
        <v>0</v>
      </c>
      <c r="L141" s="59">
        <v>0</v>
      </c>
      <c r="M141" s="59">
        <v>-42</v>
      </c>
      <c r="N141" s="59">
        <v>0</v>
      </c>
      <c r="O141" s="59">
        <f t="shared" si="17"/>
        <v>1311.88</v>
      </c>
      <c r="P141" s="59">
        <f>(-2700/7)*3</f>
        <v>-1157.1428571428571</v>
      </c>
      <c r="Q141" s="59">
        <v>0</v>
      </c>
      <c r="R141" s="59">
        <v>-500</v>
      </c>
      <c r="S141" s="59">
        <v>0</v>
      </c>
      <c r="T141" s="59">
        <v>0</v>
      </c>
      <c r="U141" s="59">
        <v>0</v>
      </c>
      <c r="V141" s="59">
        <v>0</v>
      </c>
      <c r="W141" s="59">
        <f t="shared" si="12"/>
        <v>-345.262857142857</v>
      </c>
      <c r="X141" s="59">
        <f t="shared" si="13"/>
        <v>0</v>
      </c>
      <c r="Y141" s="59">
        <f t="shared" si="14"/>
        <v>-345.262857142857</v>
      </c>
      <c r="Z141" s="59">
        <v>346</v>
      </c>
      <c r="AA141" s="59">
        <f t="shared" si="15"/>
        <v>0.73714285714299876</v>
      </c>
      <c r="AB141" s="59">
        <f t="shared" si="16"/>
        <v>1658.6171428571431</v>
      </c>
      <c r="AD141" s="59"/>
      <c r="AF141" s="59"/>
    </row>
    <row r="142" spans="1:32" x14ac:dyDescent="0.3">
      <c r="A142" s="39">
        <v>3</v>
      </c>
      <c r="B142" s="41" t="s">
        <v>585</v>
      </c>
      <c r="C142" s="50" t="s">
        <v>42</v>
      </c>
      <c r="D142" s="50" t="s">
        <v>948</v>
      </c>
      <c r="E142" s="50" t="s">
        <v>25</v>
      </c>
      <c r="F142" s="51" t="s">
        <v>25</v>
      </c>
      <c r="G142" s="50" t="s">
        <v>866</v>
      </c>
      <c r="H142" s="59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f t="shared" si="17"/>
        <v>0</v>
      </c>
      <c r="P142" s="59">
        <v>-2500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f t="shared" si="12"/>
        <v>-2500</v>
      </c>
      <c r="X142" s="59">
        <f t="shared" si="13"/>
        <v>0</v>
      </c>
      <c r="Y142" s="59">
        <f t="shared" si="14"/>
        <v>-2500</v>
      </c>
      <c r="Z142" s="59">
        <v>2500</v>
      </c>
      <c r="AA142" s="59">
        <f t="shared" si="15"/>
        <v>0</v>
      </c>
      <c r="AB142" s="59">
        <f t="shared" si="16"/>
        <v>2500</v>
      </c>
      <c r="AD142" s="59" t="s">
        <v>1390</v>
      </c>
      <c r="AF142" s="59"/>
    </row>
    <row r="143" spans="1:32" x14ac:dyDescent="0.3">
      <c r="A143" s="39">
        <v>3</v>
      </c>
      <c r="B143" s="41" t="s">
        <v>1067</v>
      </c>
      <c r="C143" s="50" t="s">
        <v>46</v>
      </c>
      <c r="D143" s="50" t="s">
        <v>915</v>
      </c>
      <c r="E143" s="50" t="s">
        <v>25</v>
      </c>
      <c r="F143" s="51" t="s">
        <v>25</v>
      </c>
      <c r="G143" s="50" t="s">
        <v>866</v>
      </c>
      <c r="H143" s="59">
        <v>0</v>
      </c>
      <c r="I143" s="59">
        <v>0</v>
      </c>
      <c r="J143" s="59">
        <v>0</v>
      </c>
      <c r="K143" s="59">
        <v>0</v>
      </c>
      <c r="L143" s="59">
        <v>0</v>
      </c>
      <c r="M143" s="59">
        <v>0</v>
      </c>
      <c r="N143" s="59">
        <v>0</v>
      </c>
      <c r="O143" s="59">
        <f t="shared" si="17"/>
        <v>0</v>
      </c>
      <c r="P143" s="59">
        <v>0</v>
      </c>
      <c r="Q143" s="59">
        <v>0</v>
      </c>
      <c r="R143" s="59">
        <v>0</v>
      </c>
      <c r="S143" s="59">
        <v>0</v>
      </c>
      <c r="T143" s="59">
        <v>-700</v>
      </c>
      <c r="U143" s="59">
        <v>0</v>
      </c>
      <c r="V143" s="59">
        <v>0</v>
      </c>
      <c r="W143" s="59">
        <f t="shared" si="12"/>
        <v>-700</v>
      </c>
      <c r="X143" s="59">
        <f t="shared" si="13"/>
        <v>0</v>
      </c>
      <c r="Y143" s="59">
        <f t="shared" si="14"/>
        <v>-700</v>
      </c>
      <c r="Z143" s="59">
        <v>700</v>
      </c>
      <c r="AA143" s="59">
        <f t="shared" si="15"/>
        <v>0</v>
      </c>
      <c r="AB143" s="59">
        <f t="shared" si="16"/>
        <v>700</v>
      </c>
      <c r="AD143" s="59" t="s">
        <v>1391</v>
      </c>
      <c r="AF143" s="59"/>
    </row>
    <row r="144" spans="1:32" x14ac:dyDescent="0.3">
      <c r="A144" s="39">
        <v>3</v>
      </c>
      <c r="B144" s="41" t="s">
        <v>1013</v>
      </c>
      <c r="C144" s="50" t="s">
        <v>101</v>
      </c>
      <c r="D144" s="50" t="s">
        <v>945</v>
      </c>
      <c r="E144" s="50" t="s">
        <v>25</v>
      </c>
      <c r="F144" s="51" t="s">
        <v>25</v>
      </c>
      <c r="G144" s="50" t="s">
        <v>866</v>
      </c>
      <c r="H144" s="59">
        <v>0</v>
      </c>
      <c r="I144" s="59">
        <v>0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f t="shared" si="17"/>
        <v>0</v>
      </c>
      <c r="P144" s="59">
        <v>0</v>
      </c>
      <c r="Q144" s="59">
        <v>0</v>
      </c>
      <c r="R144" s="59">
        <v>500</v>
      </c>
      <c r="S144" s="59">
        <v>0</v>
      </c>
      <c r="T144" s="59">
        <v>0</v>
      </c>
      <c r="U144" s="59">
        <v>0</v>
      </c>
      <c r="V144" s="59">
        <v>0</v>
      </c>
      <c r="W144" s="59">
        <f t="shared" si="12"/>
        <v>500</v>
      </c>
      <c r="X144" s="59">
        <f t="shared" si="13"/>
        <v>500</v>
      </c>
      <c r="Y144" s="59">
        <f t="shared" si="14"/>
        <v>0</v>
      </c>
      <c r="Z144" s="59">
        <v>0</v>
      </c>
      <c r="AA144" s="59">
        <f t="shared" si="15"/>
        <v>0</v>
      </c>
      <c r="AB144" s="59">
        <f t="shared" si="16"/>
        <v>-500</v>
      </c>
      <c r="AD144" s="59" t="s">
        <v>1392</v>
      </c>
      <c r="AF144" s="59"/>
    </row>
    <row r="145" spans="1:32" x14ac:dyDescent="0.3">
      <c r="A145" s="39">
        <v>3</v>
      </c>
      <c r="B145" s="41" t="s">
        <v>1106</v>
      </c>
      <c r="C145" s="50" t="s">
        <v>36</v>
      </c>
      <c r="D145" s="50" t="s">
        <v>904</v>
      </c>
      <c r="E145" s="50" t="s">
        <v>25</v>
      </c>
      <c r="F145" s="51" t="s">
        <v>25</v>
      </c>
      <c r="G145" s="50" t="s">
        <v>866</v>
      </c>
      <c r="H145" s="59">
        <v>0</v>
      </c>
      <c r="I145" s="59">
        <v>0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f t="shared" si="17"/>
        <v>0</v>
      </c>
      <c r="P145" s="59">
        <v>0</v>
      </c>
      <c r="Q145" s="59">
        <v>0</v>
      </c>
      <c r="R145" s="59">
        <v>500</v>
      </c>
      <c r="S145" s="59">
        <v>0</v>
      </c>
      <c r="T145" s="59">
        <v>0</v>
      </c>
      <c r="U145" s="59">
        <v>0</v>
      </c>
      <c r="V145" s="59">
        <v>0</v>
      </c>
      <c r="W145" s="59">
        <f t="shared" si="12"/>
        <v>500</v>
      </c>
      <c r="X145" s="59">
        <f t="shared" si="13"/>
        <v>500</v>
      </c>
      <c r="Y145" s="59">
        <f t="shared" si="14"/>
        <v>0</v>
      </c>
      <c r="Z145" s="59">
        <v>0</v>
      </c>
      <c r="AA145" s="59">
        <f t="shared" si="15"/>
        <v>0</v>
      </c>
      <c r="AB145" s="59">
        <f t="shared" si="16"/>
        <v>-500</v>
      </c>
      <c r="AD145" s="59" t="s">
        <v>1393</v>
      </c>
      <c r="AF145" s="59"/>
    </row>
    <row r="146" spans="1:32" x14ac:dyDescent="0.3">
      <c r="A146" s="39">
        <v>3</v>
      </c>
      <c r="B146" s="41" t="s">
        <v>944</v>
      </c>
      <c r="C146" s="50" t="s">
        <v>372</v>
      </c>
      <c r="D146" s="50" t="s">
        <v>1004</v>
      </c>
      <c r="E146" s="50" t="s">
        <v>39</v>
      </c>
      <c r="F146" s="51" t="s">
        <v>39</v>
      </c>
      <c r="G146" s="50" t="s">
        <v>866</v>
      </c>
      <c r="H146" s="59">
        <v>6029.21</v>
      </c>
      <c r="I146" s="59">
        <v>-1877.28</v>
      </c>
      <c r="J146" s="59">
        <v>0</v>
      </c>
      <c r="K146" s="59">
        <v>0</v>
      </c>
      <c r="L146" s="59">
        <v>0</v>
      </c>
      <c r="M146" s="59">
        <v>-50</v>
      </c>
      <c r="N146" s="59">
        <v>0</v>
      </c>
      <c r="O146" s="59">
        <f t="shared" si="17"/>
        <v>4101.93</v>
      </c>
      <c r="P146" s="59">
        <v>-2500</v>
      </c>
      <c r="Q146" s="59">
        <f>-719*1.12</f>
        <v>-805.28000000000009</v>
      </c>
      <c r="R146" s="59">
        <v>0</v>
      </c>
      <c r="S146" s="59">
        <v>0</v>
      </c>
      <c r="T146" s="59">
        <v>0</v>
      </c>
      <c r="U146" s="59">
        <v>0</v>
      </c>
      <c r="V146" s="59">
        <v>0</v>
      </c>
      <c r="W146" s="59">
        <f t="shared" si="12"/>
        <v>796.6500000000002</v>
      </c>
      <c r="X146" s="59">
        <f t="shared" si="13"/>
        <v>796.6500000000002</v>
      </c>
      <c r="Y146" s="59">
        <f t="shared" si="14"/>
        <v>0</v>
      </c>
      <c r="Z146" s="59">
        <v>0</v>
      </c>
      <c r="AA146" s="59">
        <f t="shared" si="15"/>
        <v>0</v>
      </c>
      <c r="AB146" s="59">
        <f t="shared" si="16"/>
        <v>3305.28</v>
      </c>
      <c r="AD146" s="59" t="s">
        <v>1352</v>
      </c>
      <c r="AF146" s="59"/>
    </row>
    <row r="147" spans="1:32" x14ac:dyDescent="0.3">
      <c r="A147" s="39">
        <v>3</v>
      </c>
      <c r="B147" s="41" t="s">
        <v>1155</v>
      </c>
      <c r="C147" s="50" t="s">
        <v>123</v>
      </c>
      <c r="D147" s="50" t="s">
        <v>999</v>
      </c>
      <c r="E147" s="50" t="s">
        <v>871</v>
      </c>
      <c r="F147" s="51" t="s">
        <v>39</v>
      </c>
      <c r="G147" s="50" t="s">
        <v>866</v>
      </c>
      <c r="H147" s="59">
        <v>4634.16</v>
      </c>
      <c r="I147" s="59">
        <v>-2712.07</v>
      </c>
      <c r="J147" s="59">
        <v>0</v>
      </c>
      <c r="K147" s="59">
        <v>0</v>
      </c>
      <c r="L147" s="59">
        <v>0</v>
      </c>
      <c r="M147" s="59">
        <v>-52</v>
      </c>
      <c r="N147" s="59">
        <v>0</v>
      </c>
      <c r="O147" s="59">
        <f t="shared" si="17"/>
        <v>1870.0899999999997</v>
      </c>
      <c r="P147" s="59">
        <v>-2500</v>
      </c>
      <c r="Q147" s="59">
        <f>-2011*1.12</f>
        <v>-2252.3200000000002</v>
      </c>
      <c r="R147" s="59">
        <v>2000</v>
      </c>
      <c r="S147" s="59">
        <v>0</v>
      </c>
      <c r="T147" s="59">
        <v>0</v>
      </c>
      <c r="U147" s="59">
        <v>0</v>
      </c>
      <c r="V147" s="59">
        <v>0</v>
      </c>
      <c r="W147" s="59">
        <f t="shared" si="12"/>
        <v>-882.23000000000047</v>
      </c>
      <c r="X147" s="59">
        <f t="shared" si="13"/>
        <v>0</v>
      </c>
      <c r="Y147" s="59">
        <f t="shared" si="14"/>
        <v>-882.23000000000047</v>
      </c>
      <c r="Z147" s="59">
        <v>0</v>
      </c>
      <c r="AA147" s="59">
        <f t="shared" si="15"/>
        <v>-882.23000000000047</v>
      </c>
      <c r="AB147" s="59">
        <f t="shared" si="16"/>
        <v>987.85999999999922</v>
      </c>
      <c r="AD147" s="59" t="s">
        <v>1394</v>
      </c>
      <c r="AF147" s="59"/>
    </row>
    <row r="148" spans="1:32" x14ac:dyDescent="0.3">
      <c r="A148" s="39">
        <v>3</v>
      </c>
      <c r="B148" s="41" t="s">
        <v>1056</v>
      </c>
      <c r="C148" s="50" t="s">
        <v>760</v>
      </c>
      <c r="D148" s="50" t="s">
        <v>1239</v>
      </c>
      <c r="E148" s="50" t="s">
        <v>25</v>
      </c>
      <c r="F148" s="143" t="s">
        <v>39</v>
      </c>
      <c r="G148" s="50" t="s">
        <v>866</v>
      </c>
      <c r="H148" s="59">
        <v>2424.7800000000002</v>
      </c>
      <c r="I148" s="59">
        <v>0</v>
      </c>
      <c r="J148" s="59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f t="shared" si="17"/>
        <v>2424.7800000000002</v>
      </c>
      <c r="P148" s="59">
        <v>-2425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59">
        <v>0</v>
      </c>
      <c r="W148" s="59">
        <f t="shared" si="12"/>
        <v>-0.21999999999979991</v>
      </c>
      <c r="X148" s="59">
        <f t="shared" si="13"/>
        <v>0</v>
      </c>
      <c r="Y148" s="59">
        <f t="shared" si="14"/>
        <v>-0.21999999999979991</v>
      </c>
      <c r="Z148" s="59">
        <v>0</v>
      </c>
      <c r="AA148" s="59">
        <f t="shared" si="15"/>
        <v>-0.21999999999979991</v>
      </c>
      <c r="AB148" s="59">
        <f t="shared" si="16"/>
        <v>2424.5600000000004</v>
      </c>
      <c r="AD148" s="59" t="s">
        <v>1395</v>
      </c>
      <c r="AF148" s="59"/>
    </row>
    <row r="149" spans="1:32" x14ac:dyDescent="0.3">
      <c r="A149" s="39">
        <v>3</v>
      </c>
      <c r="B149" s="41" t="s">
        <v>872</v>
      </c>
      <c r="C149" s="50" t="s">
        <v>256</v>
      </c>
      <c r="D149" s="50" t="s">
        <v>997</v>
      </c>
      <c r="E149" s="50" t="s">
        <v>871</v>
      </c>
      <c r="F149" s="51" t="s">
        <v>39</v>
      </c>
      <c r="G149" s="50" t="s">
        <v>866</v>
      </c>
      <c r="H149" s="59">
        <v>7876.41</v>
      </c>
      <c r="I149" s="59">
        <v>-4061.15</v>
      </c>
      <c r="J149" s="59">
        <v>-94</v>
      </c>
      <c r="K149" s="59">
        <v>0</v>
      </c>
      <c r="L149" s="59">
        <v>-72</v>
      </c>
      <c r="M149" s="59">
        <v>-65</v>
      </c>
      <c r="N149" s="59">
        <v>-141.28800000000004</v>
      </c>
      <c r="O149" s="59">
        <f t="shared" si="17"/>
        <v>3442.9719999999998</v>
      </c>
      <c r="P149" s="59">
        <v>-2500</v>
      </c>
      <c r="Q149" s="59">
        <v>0</v>
      </c>
      <c r="R149" s="59">
        <v>0</v>
      </c>
      <c r="S149" s="59">
        <v>-700</v>
      </c>
      <c r="T149" s="59">
        <v>0</v>
      </c>
      <c r="U149" s="59">
        <v>0</v>
      </c>
      <c r="V149" s="59">
        <v>0</v>
      </c>
      <c r="W149" s="59">
        <f t="shared" si="12"/>
        <v>242.97199999999975</v>
      </c>
      <c r="X149" s="59">
        <f t="shared" si="13"/>
        <v>242.97199999999975</v>
      </c>
      <c r="Y149" s="59">
        <f t="shared" si="14"/>
        <v>0</v>
      </c>
      <c r="Z149" s="59">
        <v>0</v>
      </c>
      <c r="AA149" s="59">
        <f t="shared" si="15"/>
        <v>0</v>
      </c>
      <c r="AB149" s="59">
        <f t="shared" si="16"/>
        <v>3200</v>
      </c>
      <c r="AD149" s="59" t="s">
        <v>1396</v>
      </c>
      <c r="AF149" s="59"/>
    </row>
    <row r="150" spans="1:32" x14ac:dyDescent="0.3">
      <c r="A150" s="39">
        <v>3</v>
      </c>
      <c r="B150" s="41" t="s">
        <v>1100</v>
      </c>
      <c r="C150" s="50" t="s">
        <v>213</v>
      </c>
      <c r="D150" s="50" t="s">
        <v>1116</v>
      </c>
      <c r="E150" s="50" t="s">
        <v>39</v>
      </c>
      <c r="F150" s="51" t="s">
        <v>39</v>
      </c>
      <c r="G150" s="50" t="s">
        <v>866</v>
      </c>
      <c r="H150" s="59">
        <v>2982.78</v>
      </c>
      <c r="I150" s="59">
        <v>-428</v>
      </c>
      <c r="J150" s="59">
        <v>0</v>
      </c>
      <c r="K150" s="59">
        <v>0</v>
      </c>
      <c r="L150" s="59">
        <v>-30</v>
      </c>
      <c r="M150" s="59">
        <v>-32</v>
      </c>
      <c r="N150" s="59">
        <v>0</v>
      </c>
      <c r="O150" s="59">
        <f t="shared" si="17"/>
        <v>2492.7800000000002</v>
      </c>
      <c r="P150" s="59">
        <v>-2500</v>
      </c>
      <c r="Q150" s="59">
        <v>-4551</v>
      </c>
      <c r="R150" s="59">
        <v>0</v>
      </c>
      <c r="S150" s="59">
        <v>0</v>
      </c>
      <c r="T150" s="59">
        <v>0</v>
      </c>
      <c r="U150" s="59">
        <v>0</v>
      </c>
      <c r="V150" s="59">
        <v>0</v>
      </c>
      <c r="W150" s="59">
        <f t="shared" si="12"/>
        <v>-4558.2199999999993</v>
      </c>
      <c r="X150" s="59">
        <f t="shared" si="13"/>
        <v>0</v>
      </c>
      <c r="Y150" s="59">
        <f t="shared" si="14"/>
        <v>-4558.2199999999993</v>
      </c>
      <c r="Z150" s="59">
        <v>507</v>
      </c>
      <c r="AA150" s="59">
        <f t="shared" si="15"/>
        <v>-4051.2199999999993</v>
      </c>
      <c r="AB150" s="59">
        <f t="shared" si="16"/>
        <v>-1051.4399999999991</v>
      </c>
      <c r="AD150" s="59" t="s">
        <v>1397</v>
      </c>
      <c r="AF150" s="59"/>
    </row>
    <row r="151" spans="1:32" x14ac:dyDescent="0.3">
      <c r="A151" s="39">
        <v>3</v>
      </c>
      <c r="B151" s="41" t="s">
        <v>1244</v>
      </c>
      <c r="C151" s="50" t="s">
        <v>55</v>
      </c>
      <c r="D151" s="50" t="s">
        <v>1168</v>
      </c>
      <c r="E151" s="50" t="s">
        <v>25</v>
      </c>
      <c r="F151" s="143" t="s">
        <v>39</v>
      </c>
      <c r="G151" s="50" t="s">
        <v>866</v>
      </c>
      <c r="H151" s="59">
        <v>8700.42</v>
      </c>
      <c r="I151" s="59">
        <v>-5081</v>
      </c>
      <c r="J151" s="59">
        <v>0</v>
      </c>
      <c r="K151" s="59">
        <v>0</v>
      </c>
      <c r="L151" s="59">
        <v>0</v>
      </c>
      <c r="M151" s="59">
        <v>-72</v>
      </c>
      <c r="N151" s="59">
        <f>-960.78*1.12</f>
        <v>-1076.0736000000002</v>
      </c>
      <c r="O151" s="59">
        <f t="shared" si="17"/>
        <v>2471.3463999999999</v>
      </c>
      <c r="P151" s="59">
        <v>-2500</v>
      </c>
      <c r="Q151" s="59">
        <v>0</v>
      </c>
      <c r="R151" s="59">
        <v>-500</v>
      </c>
      <c r="S151" s="59">
        <v>0</v>
      </c>
      <c r="T151" s="59">
        <v>0</v>
      </c>
      <c r="U151" s="59">
        <v>0</v>
      </c>
      <c r="V151" s="59">
        <v>0</v>
      </c>
      <c r="W151" s="59">
        <f t="shared" si="12"/>
        <v>-528.6536000000001</v>
      </c>
      <c r="X151" s="59">
        <f t="shared" si="13"/>
        <v>0</v>
      </c>
      <c r="Y151" s="59">
        <f t="shared" si="14"/>
        <v>-528.6536000000001</v>
      </c>
      <c r="Z151" s="59">
        <v>0</v>
      </c>
      <c r="AA151" s="59">
        <f t="shared" si="15"/>
        <v>-528.6536000000001</v>
      </c>
      <c r="AB151" s="59">
        <f t="shared" si="16"/>
        <v>1942.6927999999998</v>
      </c>
      <c r="AD151" s="59" t="s">
        <v>1398</v>
      </c>
      <c r="AF151" s="59"/>
    </row>
    <row r="152" spans="1:32" x14ac:dyDescent="0.3">
      <c r="A152" s="39">
        <v>3</v>
      </c>
      <c r="B152" s="41" t="s">
        <v>1003</v>
      </c>
      <c r="C152" s="50" t="s">
        <v>169</v>
      </c>
      <c r="D152" s="50" t="s">
        <v>967</v>
      </c>
      <c r="E152" s="50" t="s">
        <v>871</v>
      </c>
      <c r="F152" s="51" t="s">
        <v>39</v>
      </c>
      <c r="G152" s="50" t="s">
        <v>866</v>
      </c>
      <c r="H152" s="59">
        <v>994.48</v>
      </c>
      <c r="I152" s="59">
        <v>0</v>
      </c>
      <c r="J152" s="59">
        <v>0</v>
      </c>
      <c r="K152" s="59">
        <v>0</v>
      </c>
      <c r="L152" s="59">
        <v>0</v>
      </c>
      <c r="M152" s="59">
        <v>0</v>
      </c>
      <c r="N152" s="59">
        <v>-76.160000000000011</v>
      </c>
      <c r="O152" s="59">
        <f t="shared" si="17"/>
        <v>918.32</v>
      </c>
      <c r="P152" s="59">
        <v>0</v>
      </c>
      <c r="Q152" s="59">
        <v>0</v>
      </c>
      <c r="R152" s="59">
        <v>0</v>
      </c>
      <c r="S152" s="59">
        <v>0</v>
      </c>
      <c r="T152" s="59">
        <v>0</v>
      </c>
      <c r="U152" s="59">
        <v>0</v>
      </c>
      <c r="V152" s="59">
        <v>0</v>
      </c>
      <c r="W152" s="59">
        <f t="shared" si="12"/>
        <v>918.32</v>
      </c>
      <c r="X152" s="59">
        <f t="shared" si="13"/>
        <v>918.32</v>
      </c>
      <c r="Y152" s="59">
        <f t="shared" si="14"/>
        <v>0</v>
      </c>
      <c r="Z152" s="59">
        <v>918</v>
      </c>
      <c r="AA152" s="59">
        <f t="shared" si="15"/>
        <v>918</v>
      </c>
      <c r="AB152" s="59">
        <f t="shared" si="16"/>
        <v>1836</v>
      </c>
      <c r="AD152" s="59" t="s">
        <v>1399</v>
      </c>
      <c r="AF152" s="59"/>
    </row>
    <row r="153" spans="1:32" x14ac:dyDescent="0.3">
      <c r="A153" s="39">
        <v>3</v>
      </c>
      <c r="B153" s="41" t="s">
        <v>1003</v>
      </c>
      <c r="C153" s="50" t="s">
        <v>104</v>
      </c>
      <c r="D153" s="50" t="s">
        <v>881</v>
      </c>
      <c r="E153" s="50" t="s">
        <v>25</v>
      </c>
      <c r="F153" s="51" t="s">
        <v>25</v>
      </c>
      <c r="G153" s="50" t="s">
        <v>866</v>
      </c>
      <c r="H153" s="59">
        <v>1097.04</v>
      </c>
      <c r="I153" s="59">
        <v>0</v>
      </c>
      <c r="J153" s="59">
        <v>0</v>
      </c>
      <c r="K153" s="59">
        <v>0</v>
      </c>
      <c r="L153" s="59">
        <v>0</v>
      </c>
      <c r="M153" s="59">
        <v>0</v>
      </c>
      <c r="N153" s="59">
        <v>0</v>
      </c>
      <c r="O153" s="59">
        <f t="shared" si="17"/>
        <v>1097.04</v>
      </c>
      <c r="P153" s="59">
        <f>(-2500/7)*6.5</f>
        <v>-2321.4285714285716</v>
      </c>
      <c r="Q153" s="59">
        <v>0</v>
      </c>
      <c r="R153" s="59">
        <v>0</v>
      </c>
      <c r="S153" s="59">
        <v>0</v>
      </c>
      <c r="T153" s="59">
        <v>0</v>
      </c>
      <c r="U153" s="59">
        <v>0</v>
      </c>
      <c r="V153" s="59">
        <v>0</v>
      </c>
      <c r="W153" s="59">
        <f t="shared" si="12"/>
        <v>-1224.3885714285716</v>
      </c>
      <c r="X153" s="59">
        <f t="shared" si="13"/>
        <v>0</v>
      </c>
      <c r="Y153" s="59">
        <f t="shared" si="14"/>
        <v>-1224.3885714285716</v>
      </c>
      <c r="Z153" s="59">
        <v>306</v>
      </c>
      <c r="AA153" s="59">
        <f t="shared" si="15"/>
        <v>-918.38857142857159</v>
      </c>
      <c r="AB153" s="59">
        <f t="shared" si="16"/>
        <v>484.65142857142837</v>
      </c>
      <c r="AD153" s="59" t="s">
        <v>1400</v>
      </c>
      <c r="AF153" s="59"/>
    </row>
    <row r="154" spans="1:32" x14ac:dyDescent="0.3">
      <c r="A154" s="39">
        <v>3</v>
      </c>
      <c r="B154" s="41" t="s">
        <v>874</v>
      </c>
      <c r="C154" s="50" t="s">
        <v>100</v>
      </c>
      <c r="D154" s="50" t="s">
        <v>1300</v>
      </c>
      <c r="E154" s="50" t="s">
        <v>25</v>
      </c>
      <c r="F154" s="51" t="s">
        <v>25</v>
      </c>
      <c r="G154" s="50" t="s">
        <v>737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f t="shared" si="17"/>
        <v>0</v>
      </c>
      <c r="P154" s="59">
        <v>-2500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f t="shared" si="12"/>
        <v>-2500</v>
      </c>
      <c r="X154" s="59">
        <f t="shared" si="13"/>
        <v>0</v>
      </c>
      <c r="Y154" s="59">
        <f t="shared" si="14"/>
        <v>-2500</v>
      </c>
      <c r="Z154" s="59">
        <f>2500+200</f>
        <v>2700</v>
      </c>
      <c r="AA154" s="59">
        <f t="shared" si="15"/>
        <v>200</v>
      </c>
      <c r="AB154" s="59">
        <f t="shared" si="16"/>
        <v>2900</v>
      </c>
      <c r="AD154" s="59" t="s">
        <v>3273</v>
      </c>
      <c r="AF154" s="59"/>
    </row>
    <row r="155" spans="1:32" x14ac:dyDescent="0.3">
      <c r="A155" s="39">
        <v>3</v>
      </c>
      <c r="B155" s="41" t="s">
        <v>1401</v>
      </c>
      <c r="C155" s="50" t="s">
        <v>347</v>
      </c>
      <c r="D155" s="50" t="s">
        <v>1122</v>
      </c>
      <c r="E155" s="50" t="s">
        <v>25</v>
      </c>
      <c r="F155" s="51" t="s">
        <v>25</v>
      </c>
      <c r="G155" s="50" t="s">
        <v>866</v>
      </c>
      <c r="H155" s="59">
        <v>3346.44</v>
      </c>
      <c r="I155" s="59">
        <v>-2088.21</v>
      </c>
      <c r="J155" s="59">
        <v>0</v>
      </c>
      <c r="K155" s="59">
        <v>0</v>
      </c>
      <c r="L155" s="59">
        <v>0</v>
      </c>
      <c r="M155" s="59">
        <v>-50</v>
      </c>
      <c r="N155" s="59">
        <v>0</v>
      </c>
      <c r="O155" s="59">
        <f t="shared" si="17"/>
        <v>1208.23</v>
      </c>
      <c r="P155" s="59">
        <f>(-2500/7)*2</f>
        <v>-714.28571428571433</v>
      </c>
      <c r="Q155" s="59">
        <v>0</v>
      </c>
      <c r="R155" s="59">
        <f>(-500/7)*2</f>
        <v>-142.85714285714286</v>
      </c>
      <c r="S155" s="59">
        <v>0</v>
      </c>
      <c r="T155" s="59">
        <v>0</v>
      </c>
      <c r="U155" s="59">
        <v>0</v>
      </c>
      <c r="V155" s="59">
        <v>0</v>
      </c>
      <c r="W155" s="59">
        <f t="shared" si="12"/>
        <v>351.08714285714279</v>
      </c>
      <c r="X155" s="59">
        <f t="shared" si="13"/>
        <v>351.08714285714279</v>
      </c>
      <c r="Y155" s="59">
        <f t="shared" si="14"/>
        <v>0</v>
      </c>
      <c r="Z155" s="59">
        <v>0</v>
      </c>
      <c r="AA155" s="59">
        <f t="shared" si="15"/>
        <v>0</v>
      </c>
      <c r="AB155" s="59">
        <f t="shared" si="16"/>
        <v>857.14285714285722</v>
      </c>
      <c r="AC155" s="59">
        <v>1000</v>
      </c>
      <c r="AD155" s="59" t="s">
        <v>1402</v>
      </c>
      <c r="AF155" s="59"/>
    </row>
    <row r="156" spans="1:32" x14ac:dyDescent="0.3">
      <c r="A156" s="39">
        <v>3</v>
      </c>
      <c r="B156" s="41" t="s">
        <v>1403</v>
      </c>
      <c r="C156" s="50" t="s">
        <v>195</v>
      </c>
      <c r="D156" s="50" t="s">
        <v>1404</v>
      </c>
      <c r="E156" s="50" t="s">
        <v>871</v>
      </c>
      <c r="F156" s="51" t="s">
        <v>39</v>
      </c>
      <c r="G156" s="50" t="s">
        <v>866</v>
      </c>
      <c r="H156" s="59">
        <v>3769.82</v>
      </c>
      <c r="I156" s="59">
        <v>-1355.84</v>
      </c>
      <c r="J156" s="59">
        <v>0</v>
      </c>
      <c r="K156" s="59">
        <v>0</v>
      </c>
      <c r="L156" s="59">
        <v>0</v>
      </c>
      <c r="M156" s="59">
        <v>-35</v>
      </c>
      <c r="N156" s="59">
        <v>0</v>
      </c>
      <c r="O156" s="59">
        <f t="shared" si="17"/>
        <v>2378.9800000000005</v>
      </c>
      <c r="P156" s="59">
        <f>(-2500/7)*5</f>
        <v>-1785.7142857142858</v>
      </c>
      <c r="Q156" s="59">
        <v>0</v>
      </c>
      <c r="R156" s="59">
        <f>(-500/7)*5</f>
        <v>-357.14285714285717</v>
      </c>
      <c r="S156" s="59">
        <v>0</v>
      </c>
      <c r="T156" s="59">
        <v>0</v>
      </c>
      <c r="U156" s="59">
        <v>0</v>
      </c>
      <c r="V156" s="59">
        <v>0</v>
      </c>
      <c r="W156" s="59">
        <f t="shared" si="12"/>
        <v>236.12285714285753</v>
      </c>
      <c r="X156" s="59">
        <f t="shared" si="13"/>
        <v>236.12285714285753</v>
      </c>
      <c r="Y156" s="59">
        <f t="shared" si="14"/>
        <v>0</v>
      </c>
      <c r="Z156" s="59">
        <v>0</v>
      </c>
      <c r="AA156" s="59">
        <f t="shared" si="15"/>
        <v>0</v>
      </c>
      <c r="AB156" s="59">
        <f t="shared" si="16"/>
        <v>2142.8571428571431</v>
      </c>
      <c r="AC156" s="59">
        <v>2000</v>
      </c>
      <c r="AD156" s="59"/>
      <c r="AF156" s="59"/>
    </row>
    <row r="157" spans="1:32" x14ac:dyDescent="0.3">
      <c r="A157" s="39">
        <v>3</v>
      </c>
      <c r="B157" s="41" t="s">
        <v>1405</v>
      </c>
      <c r="C157" s="50" t="s">
        <v>1316</v>
      </c>
      <c r="D157" s="50" t="s">
        <v>1317</v>
      </c>
      <c r="E157" s="50" t="s">
        <v>25</v>
      </c>
      <c r="F157" s="51" t="s">
        <v>25</v>
      </c>
      <c r="G157" s="50" t="s">
        <v>737</v>
      </c>
      <c r="H157" s="59">
        <v>2006.87</v>
      </c>
      <c r="I157" s="59">
        <v>-738.04</v>
      </c>
      <c r="J157" s="59">
        <f>+(I157*0.1)-238.48</f>
        <v>-312.28399999999999</v>
      </c>
      <c r="K157" s="59">
        <v>0</v>
      </c>
      <c r="L157" s="59">
        <v>0</v>
      </c>
      <c r="M157" s="59">
        <v>-15</v>
      </c>
      <c r="N157" s="59">
        <v>0</v>
      </c>
      <c r="O157" s="59">
        <f t="shared" si="17"/>
        <v>941.54599999999994</v>
      </c>
      <c r="P157" s="59">
        <f>(-2700/7)*3</f>
        <v>-1157.1428571428571</v>
      </c>
      <c r="Q157" s="59">
        <v>0</v>
      </c>
      <c r="R157" s="59">
        <v>-500</v>
      </c>
      <c r="S157" s="59">
        <v>0</v>
      </c>
      <c r="T157" s="59">
        <v>0</v>
      </c>
      <c r="U157" s="59">
        <v>0</v>
      </c>
      <c r="V157" s="59">
        <v>0</v>
      </c>
      <c r="W157" s="59">
        <f t="shared" si="12"/>
        <v>-715.59685714285717</v>
      </c>
      <c r="X157" s="59">
        <f t="shared" si="13"/>
        <v>0</v>
      </c>
      <c r="Y157" s="59">
        <f t="shared" si="14"/>
        <v>-715.59685714285717</v>
      </c>
      <c r="Z157" s="59">
        <v>716</v>
      </c>
      <c r="AA157" s="59">
        <f t="shared" si="15"/>
        <v>0.40314285714282505</v>
      </c>
      <c r="AB157" s="59">
        <f t="shared" si="16"/>
        <v>1657.9491428571428</v>
      </c>
      <c r="AD157" s="59" t="s">
        <v>1406</v>
      </c>
      <c r="AF157" s="59"/>
    </row>
    <row r="158" spans="1:32" x14ac:dyDescent="0.3">
      <c r="A158" s="39">
        <v>3</v>
      </c>
      <c r="B158" s="41" t="s">
        <v>1407</v>
      </c>
      <c r="C158" s="50" t="s">
        <v>183</v>
      </c>
      <c r="D158" s="50" t="s">
        <v>1305</v>
      </c>
      <c r="E158" s="50" t="s">
        <v>25</v>
      </c>
      <c r="F158" s="51" t="s">
        <v>25</v>
      </c>
      <c r="G158" s="50" t="s">
        <v>737</v>
      </c>
      <c r="H158" s="59">
        <v>618</v>
      </c>
      <c r="I158" s="59">
        <v>0</v>
      </c>
      <c r="J158" s="59">
        <v>-83.71</v>
      </c>
      <c r="K158" s="59">
        <v>0</v>
      </c>
      <c r="L158" s="59">
        <v>0</v>
      </c>
      <c r="M158" s="59">
        <v>0</v>
      </c>
      <c r="N158" s="59">
        <v>0</v>
      </c>
      <c r="O158" s="59">
        <f t="shared" si="17"/>
        <v>534.29</v>
      </c>
      <c r="P158" s="59">
        <f>(-2500/7)*1.5</f>
        <v>-535.71428571428578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f t="shared" si="12"/>
        <v>-1.4242857142858156</v>
      </c>
      <c r="X158" s="59">
        <f t="shared" si="13"/>
        <v>0</v>
      </c>
      <c r="Y158" s="59">
        <f t="shared" si="14"/>
        <v>-1.4242857142858156</v>
      </c>
      <c r="Z158" s="59">
        <v>0</v>
      </c>
      <c r="AA158" s="59">
        <f t="shared" si="15"/>
        <v>-1.4242857142858156</v>
      </c>
      <c r="AB158" s="59">
        <f t="shared" si="16"/>
        <v>532.86571428571415</v>
      </c>
      <c r="AD158" s="59"/>
      <c r="AF158" s="59"/>
    </row>
    <row r="159" spans="1:32" x14ac:dyDescent="0.3">
      <c r="A159" s="39">
        <v>4</v>
      </c>
      <c r="B159" s="41" t="s">
        <v>1295</v>
      </c>
      <c r="C159" s="50" t="s">
        <v>53</v>
      </c>
      <c r="D159" s="50" t="s">
        <v>1167</v>
      </c>
      <c r="E159" s="50" t="s">
        <v>25</v>
      </c>
      <c r="F159" s="51" t="s">
        <v>25</v>
      </c>
      <c r="G159" s="50" t="s">
        <v>866</v>
      </c>
      <c r="H159" s="59">
        <v>2717.01</v>
      </c>
      <c r="I159" s="59">
        <v>-519.26</v>
      </c>
      <c r="J159" s="59">
        <v>-32</v>
      </c>
      <c r="K159" s="59">
        <v>50.84</v>
      </c>
      <c r="L159" s="59">
        <v>0</v>
      </c>
      <c r="M159" s="59">
        <v>-30</v>
      </c>
      <c r="N159" s="59">
        <v>0</v>
      </c>
      <c r="O159" s="59">
        <f t="shared" si="17"/>
        <v>2186.59</v>
      </c>
      <c r="P159" s="59">
        <v>-2500</v>
      </c>
      <c r="Q159" s="59">
        <v>0</v>
      </c>
      <c r="R159" s="59">
        <v>-500</v>
      </c>
      <c r="S159" s="59">
        <v>0</v>
      </c>
      <c r="T159" s="59">
        <v>0</v>
      </c>
      <c r="U159" s="59">
        <v>0</v>
      </c>
      <c r="V159" s="59">
        <v>0</v>
      </c>
      <c r="W159" s="59">
        <f t="shared" si="12"/>
        <v>-813.40999999999985</v>
      </c>
      <c r="X159" s="59">
        <f t="shared" si="13"/>
        <v>0</v>
      </c>
      <c r="Y159" s="59">
        <f t="shared" si="14"/>
        <v>-813.40999999999985</v>
      </c>
      <c r="Z159" s="59">
        <v>813</v>
      </c>
      <c r="AA159" s="59">
        <f t="shared" si="15"/>
        <v>-0.40999999999985448</v>
      </c>
      <c r="AB159" s="59">
        <f t="shared" si="16"/>
        <v>2999.1800000000003</v>
      </c>
      <c r="AD159" s="59" t="s">
        <v>1408</v>
      </c>
      <c r="AF159" s="59"/>
    </row>
    <row r="160" spans="1:32" x14ac:dyDescent="0.3">
      <c r="A160" s="39">
        <v>4</v>
      </c>
      <c r="B160" s="41" t="s">
        <v>1003</v>
      </c>
      <c r="C160" s="50" t="s">
        <v>1409</v>
      </c>
      <c r="D160" s="50" t="s">
        <v>967</v>
      </c>
      <c r="E160" s="50" t="s">
        <v>25</v>
      </c>
      <c r="F160" s="51" t="s">
        <v>25</v>
      </c>
      <c r="G160" s="50" t="s">
        <v>866</v>
      </c>
      <c r="H160" s="59">
        <v>1619.72</v>
      </c>
      <c r="I160" s="59">
        <v>-31.99</v>
      </c>
      <c r="J160" s="59">
        <v>0</v>
      </c>
      <c r="K160" s="59">
        <v>639.26</v>
      </c>
      <c r="L160" s="59">
        <v>0</v>
      </c>
      <c r="M160" s="59">
        <v>-5</v>
      </c>
      <c r="N160" s="59">
        <v>0</v>
      </c>
      <c r="O160" s="59">
        <f t="shared" si="17"/>
        <v>2221.9899999999998</v>
      </c>
      <c r="P160" s="59">
        <f>(-2500/7)*4</f>
        <v>-1428.5714285714287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f t="shared" si="12"/>
        <v>793.41857142857111</v>
      </c>
      <c r="X160" s="59">
        <f t="shared" si="13"/>
        <v>793.41857142857111</v>
      </c>
      <c r="Y160" s="59">
        <f t="shared" si="14"/>
        <v>0</v>
      </c>
      <c r="Z160" s="59">
        <v>0</v>
      </c>
      <c r="AA160" s="59">
        <f t="shared" si="15"/>
        <v>0</v>
      </c>
      <c r="AB160" s="59">
        <f t="shared" si="16"/>
        <v>1428.5714285714287</v>
      </c>
      <c r="AD160" s="59" t="s">
        <v>1410</v>
      </c>
      <c r="AF160" s="59"/>
    </row>
    <row r="161" spans="1:32" x14ac:dyDescent="0.3">
      <c r="A161" s="39">
        <v>4</v>
      </c>
      <c r="B161" s="41" t="s">
        <v>1003</v>
      </c>
      <c r="C161" s="50" t="s">
        <v>104</v>
      </c>
      <c r="D161" s="50" t="s">
        <v>881</v>
      </c>
      <c r="E161" s="50" t="s">
        <v>25</v>
      </c>
      <c r="F161" s="51" t="s">
        <v>25</v>
      </c>
      <c r="G161" s="50" t="s">
        <v>866</v>
      </c>
      <c r="H161" s="59">
        <v>0</v>
      </c>
      <c r="I161" s="59">
        <v>0</v>
      </c>
      <c r="J161" s="59">
        <v>0</v>
      </c>
      <c r="K161" s="59">
        <v>0</v>
      </c>
      <c r="L161" s="59">
        <v>0</v>
      </c>
      <c r="M161" s="59">
        <v>0</v>
      </c>
      <c r="N161" s="59">
        <v>0</v>
      </c>
      <c r="O161" s="59">
        <f t="shared" si="17"/>
        <v>0</v>
      </c>
      <c r="P161" s="59">
        <f>(-2500/7)*3</f>
        <v>-1071.4285714285716</v>
      </c>
      <c r="Q161" s="59">
        <v>0</v>
      </c>
      <c r="R161" s="59">
        <v>0</v>
      </c>
      <c r="S161" s="59">
        <v>0</v>
      </c>
      <c r="T161" s="59">
        <v>0</v>
      </c>
      <c r="U161" s="59">
        <v>0</v>
      </c>
      <c r="V161" s="59">
        <v>0</v>
      </c>
      <c r="W161" s="59">
        <f t="shared" si="12"/>
        <v>-1071.4285714285716</v>
      </c>
      <c r="X161" s="59">
        <f t="shared" si="13"/>
        <v>0</v>
      </c>
      <c r="Y161" s="59">
        <f t="shared" si="14"/>
        <v>-1071.4285714285716</v>
      </c>
      <c r="Z161" s="59">
        <v>1093</v>
      </c>
      <c r="AA161" s="59">
        <f t="shared" si="15"/>
        <v>21.571428571428442</v>
      </c>
      <c r="AB161" s="59">
        <f t="shared" si="16"/>
        <v>1114.5714285714284</v>
      </c>
      <c r="AD161" s="59" t="s">
        <v>1411</v>
      </c>
      <c r="AF161" s="59"/>
    </row>
    <row r="162" spans="1:32" x14ac:dyDescent="0.3">
      <c r="A162" s="39">
        <v>4</v>
      </c>
      <c r="B162" s="41" t="s">
        <v>1412</v>
      </c>
      <c r="C162" s="50" t="s">
        <v>774</v>
      </c>
      <c r="E162" s="50" t="s">
        <v>25</v>
      </c>
      <c r="F162" s="51" t="s">
        <v>25</v>
      </c>
      <c r="G162" s="50" t="s">
        <v>866</v>
      </c>
      <c r="H162" s="59">
        <v>2426.34</v>
      </c>
      <c r="I162" s="59">
        <v>-556.28000000000009</v>
      </c>
      <c r="J162" s="59">
        <v>0</v>
      </c>
      <c r="K162" s="59">
        <v>0</v>
      </c>
      <c r="L162" s="59">
        <v>-29.179999999999996</v>
      </c>
      <c r="M162" s="59">
        <v>-35</v>
      </c>
      <c r="N162" s="59">
        <v>0</v>
      </c>
      <c r="O162" s="59">
        <f t="shared" si="17"/>
        <v>1805.8799999999999</v>
      </c>
      <c r="P162" s="59">
        <f>(-2500/7)*2.5</f>
        <v>-892.85714285714289</v>
      </c>
      <c r="Q162" s="59">
        <v>0</v>
      </c>
      <c r="R162" s="59">
        <v>-179</v>
      </c>
      <c r="S162" s="59">
        <v>0</v>
      </c>
      <c r="T162" s="59">
        <v>0</v>
      </c>
      <c r="U162" s="59">
        <v>0</v>
      </c>
      <c r="V162" s="59">
        <v>0</v>
      </c>
      <c r="W162" s="59">
        <f t="shared" si="12"/>
        <v>734.02285714285699</v>
      </c>
      <c r="X162" s="59">
        <f t="shared" si="13"/>
        <v>734.02285714285699</v>
      </c>
      <c r="Y162" s="59">
        <f t="shared" si="14"/>
        <v>0</v>
      </c>
      <c r="Z162" s="59">
        <v>0</v>
      </c>
      <c r="AA162" s="59">
        <f t="shared" si="15"/>
        <v>0</v>
      </c>
      <c r="AB162" s="59">
        <f t="shared" si="16"/>
        <v>1071.8571428571429</v>
      </c>
      <c r="AC162" s="59">
        <v>2000</v>
      </c>
      <c r="AD162" s="59" t="s">
        <v>1413</v>
      </c>
      <c r="AF162" s="59"/>
    </row>
    <row r="163" spans="1:32" x14ac:dyDescent="0.3">
      <c r="A163" s="39">
        <v>4</v>
      </c>
      <c r="B163" s="41" t="s">
        <v>1297</v>
      </c>
      <c r="C163" s="50" t="s">
        <v>480</v>
      </c>
      <c r="D163" s="50" t="s">
        <v>1243</v>
      </c>
      <c r="E163" s="50" t="s">
        <v>25</v>
      </c>
      <c r="F163" s="51" t="s">
        <v>25</v>
      </c>
      <c r="G163" s="50" t="s">
        <v>866</v>
      </c>
      <c r="H163" s="59">
        <v>4348.4799999999996</v>
      </c>
      <c r="I163" s="59">
        <v>-1462.7600000000002</v>
      </c>
      <c r="J163" s="59">
        <v>-64</v>
      </c>
      <c r="K163" s="59">
        <v>0</v>
      </c>
      <c r="L163" s="59">
        <v>0</v>
      </c>
      <c r="M163" s="59">
        <v>-55</v>
      </c>
      <c r="N163" s="59">
        <v>0</v>
      </c>
      <c r="O163" s="59">
        <f t="shared" si="17"/>
        <v>2766.7199999999993</v>
      </c>
      <c r="P163" s="59">
        <v>-2700</v>
      </c>
      <c r="Q163" s="59">
        <v>0</v>
      </c>
      <c r="R163" s="59">
        <v>-500</v>
      </c>
      <c r="S163" s="59">
        <v>0</v>
      </c>
      <c r="T163" s="59">
        <v>0</v>
      </c>
      <c r="U163" s="59">
        <v>0</v>
      </c>
      <c r="V163" s="59">
        <v>0</v>
      </c>
      <c r="W163" s="59">
        <f t="shared" si="12"/>
        <v>-433.28000000000065</v>
      </c>
      <c r="X163" s="59">
        <f t="shared" si="13"/>
        <v>0</v>
      </c>
      <c r="Y163" s="59">
        <f t="shared" si="14"/>
        <v>-433.28000000000065</v>
      </c>
      <c r="Z163" s="59">
        <v>0</v>
      </c>
      <c r="AA163" s="59">
        <f t="shared" si="15"/>
        <v>-433.28000000000065</v>
      </c>
      <c r="AB163" s="59">
        <f t="shared" si="16"/>
        <v>2333.4399999999987</v>
      </c>
      <c r="AD163" s="59"/>
      <c r="AF163" s="59"/>
    </row>
    <row r="164" spans="1:32" x14ac:dyDescent="0.3">
      <c r="A164" s="39">
        <v>4</v>
      </c>
      <c r="B164" s="41" t="s">
        <v>1010</v>
      </c>
      <c r="C164" s="50" t="s">
        <v>80</v>
      </c>
      <c r="E164" s="50" t="s">
        <v>25</v>
      </c>
      <c r="F164" s="51" t="s">
        <v>25</v>
      </c>
      <c r="G164" s="50" t="s">
        <v>866</v>
      </c>
      <c r="H164" s="59">
        <v>0</v>
      </c>
      <c r="I164" s="59">
        <v>0</v>
      </c>
      <c r="J164" s="59">
        <v>0</v>
      </c>
      <c r="K164" s="59">
        <v>0</v>
      </c>
      <c r="L164" s="59">
        <v>0</v>
      </c>
      <c r="M164" s="59">
        <v>0</v>
      </c>
      <c r="N164" s="59">
        <v>0</v>
      </c>
      <c r="O164" s="59">
        <f t="shared" si="17"/>
        <v>0</v>
      </c>
      <c r="P164" s="59">
        <v>0</v>
      </c>
      <c r="Q164" s="59">
        <v>-1460</v>
      </c>
      <c r="R164" s="59">
        <v>0</v>
      </c>
      <c r="S164" s="59">
        <v>0</v>
      </c>
      <c r="T164" s="62">
        <v>0</v>
      </c>
      <c r="U164" s="59">
        <v>0</v>
      </c>
      <c r="V164" s="59">
        <v>0</v>
      </c>
      <c r="W164" s="62">
        <f t="shared" si="12"/>
        <v>-1460</v>
      </c>
      <c r="X164" s="59">
        <f t="shared" si="13"/>
        <v>0</v>
      </c>
      <c r="Y164" s="59">
        <f t="shared" si="14"/>
        <v>-1460</v>
      </c>
      <c r="Z164" s="59">
        <v>0</v>
      </c>
      <c r="AA164" s="59">
        <f t="shared" si="15"/>
        <v>-1460</v>
      </c>
      <c r="AB164" s="59">
        <f t="shared" si="16"/>
        <v>-1460</v>
      </c>
      <c r="AD164" s="59" t="s">
        <v>3274</v>
      </c>
      <c r="AF164" s="59"/>
    </row>
    <row r="165" spans="1:32" x14ac:dyDescent="0.3">
      <c r="A165" s="39">
        <v>4</v>
      </c>
      <c r="B165" s="41" t="s">
        <v>1401</v>
      </c>
      <c r="C165" s="50" t="s">
        <v>347</v>
      </c>
      <c r="D165" s="50" t="s">
        <v>1122</v>
      </c>
      <c r="E165" s="50" t="s">
        <v>25</v>
      </c>
      <c r="F165" s="51" t="s">
        <v>25</v>
      </c>
      <c r="G165" s="50" t="s">
        <v>866</v>
      </c>
      <c r="H165" s="59">
        <v>3784.05</v>
      </c>
      <c r="I165" s="59">
        <v>-1267.29</v>
      </c>
      <c r="J165" s="59">
        <v>0</v>
      </c>
      <c r="K165" s="59">
        <v>0</v>
      </c>
      <c r="L165" s="59">
        <v>0</v>
      </c>
      <c r="M165" s="59">
        <v>-50</v>
      </c>
      <c r="N165" s="59">
        <v>0</v>
      </c>
      <c r="O165" s="59">
        <f t="shared" si="17"/>
        <v>2466.7600000000002</v>
      </c>
      <c r="P165" s="59">
        <v>-2500</v>
      </c>
      <c r="Q165" s="59">
        <v>0</v>
      </c>
      <c r="R165" s="59">
        <v>-500</v>
      </c>
      <c r="S165" s="59">
        <v>0</v>
      </c>
      <c r="T165" s="59">
        <v>0</v>
      </c>
      <c r="U165" s="59">
        <v>0</v>
      </c>
      <c r="V165" s="59">
        <v>0</v>
      </c>
      <c r="W165" s="59">
        <f t="shared" si="12"/>
        <v>-533.23999999999978</v>
      </c>
      <c r="X165" s="59">
        <f t="shared" si="13"/>
        <v>0</v>
      </c>
      <c r="Y165" s="59">
        <f t="shared" si="14"/>
        <v>-533.23999999999978</v>
      </c>
      <c r="Z165" s="59">
        <v>533</v>
      </c>
      <c r="AA165" s="59">
        <f t="shared" si="15"/>
        <v>-0.23999999999978172</v>
      </c>
      <c r="AB165" s="59">
        <f t="shared" si="16"/>
        <v>2999.5200000000004</v>
      </c>
      <c r="AD165" s="59" t="s">
        <v>1414</v>
      </c>
      <c r="AF165" s="59"/>
    </row>
    <row r="166" spans="1:32" x14ac:dyDescent="0.3">
      <c r="A166" s="39">
        <v>4</v>
      </c>
      <c r="B166" s="41" t="s">
        <v>1100</v>
      </c>
      <c r="C166" s="50" t="s">
        <v>213</v>
      </c>
      <c r="D166" s="50" t="s">
        <v>1116</v>
      </c>
      <c r="E166" s="50" t="s">
        <v>39</v>
      </c>
      <c r="F166" s="51" t="s">
        <v>39</v>
      </c>
      <c r="G166" s="50" t="s">
        <v>866</v>
      </c>
      <c r="H166" s="59">
        <v>2531.27</v>
      </c>
      <c r="I166" s="59">
        <v>-209.39</v>
      </c>
      <c r="J166" s="59">
        <v>0</v>
      </c>
      <c r="K166" s="59">
        <v>0</v>
      </c>
      <c r="L166" s="59">
        <v>-24.899999999999995</v>
      </c>
      <c r="M166" s="59">
        <f>-2.988-10</f>
        <v>-12.988</v>
      </c>
      <c r="N166" s="59">
        <v>0</v>
      </c>
      <c r="O166" s="59">
        <f t="shared" si="17"/>
        <v>2283.9920000000002</v>
      </c>
      <c r="P166" s="59">
        <v>-2500</v>
      </c>
      <c r="Q166" s="59">
        <v>-4051</v>
      </c>
      <c r="R166" s="59">
        <v>0</v>
      </c>
      <c r="S166" s="59">
        <v>0</v>
      </c>
      <c r="T166" s="59">
        <v>0</v>
      </c>
      <c r="U166" s="59">
        <v>0</v>
      </c>
      <c r="V166" s="59">
        <v>0</v>
      </c>
      <c r="W166" s="59">
        <f t="shared" si="12"/>
        <v>-4267.0079999999998</v>
      </c>
      <c r="X166" s="59">
        <f t="shared" si="13"/>
        <v>0</v>
      </c>
      <c r="Y166" s="59">
        <f t="shared" si="14"/>
        <v>-4267.0079999999998</v>
      </c>
      <c r="Z166" s="59">
        <v>716</v>
      </c>
      <c r="AA166" s="59">
        <f t="shared" si="15"/>
        <v>-3551.0079999999998</v>
      </c>
      <c r="AB166" s="59">
        <f t="shared" si="16"/>
        <v>-551.01599999999962</v>
      </c>
      <c r="AD166" s="59" t="s">
        <v>1415</v>
      </c>
      <c r="AF166" s="59"/>
    </row>
    <row r="167" spans="1:32" x14ac:dyDescent="0.3">
      <c r="A167" s="39">
        <v>4</v>
      </c>
      <c r="B167" s="41" t="s">
        <v>1143</v>
      </c>
      <c r="C167" s="50" t="s">
        <v>64</v>
      </c>
      <c r="D167" s="50" t="s">
        <v>949</v>
      </c>
      <c r="E167" s="50" t="s">
        <v>25</v>
      </c>
      <c r="F167" s="51" t="s">
        <v>25</v>
      </c>
      <c r="G167" s="50" t="s">
        <v>866</v>
      </c>
      <c r="H167" s="59">
        <v>1247.1500000000001</v>
      </c>
      <c r="I167" s="59">
        <v>-50</v>
      </c>
      <c r="J167" s="59">
        <v>0</v>
      </c>
      <c r="K167" s="59">
        <v>0</v>
      </c>
      <c r="L167" s="59">
        <v>0</v>
      </c>
      <c r="M167" s="59">
        <v>-5</v>
      </c>
      <c r="N167" s="59">
        <v>0</v>
      </c>
      <c r="O167" s="59">
        <f t="shared" si="17"/>
        <v>1192.1500000000001</v>
      </c>
      <c r="P167" s="59">
        <f>(-2500/7)*5.5</f>
        <v>-1964.2857142857144</v>
      </c>
      <c r="Q167" s="59">
        <f>-2806*1.12</f>
        <v>-3142.7200000000003</v>
      </c>
      <c r="R167" s="59">
        <v>0</v>
      </c>
      <c r="S167" s="59">
        <v>0</v>
      </c>
      <c r="T167" s="59">
        <v>0</v>
      </c>
      <c r="U167" s="59">
        <v>0</v>
      </c>
      <c r="V167" s="59">
        <v>0</v>
      </c>
      <c r="W167" s="59">
        <f t="shared" si="12"/>
        <v>-3914.8557142857144</v>
      </c>
      <c r="X167" s="59">
        <f t="shared" si="13"/>
        <v>0</v>
      </c>
      <c r="Y167" s="59">
        <f t="shared" si="14"/>
        <v>-3914.8557142857144</v>
      </c>
      <c r="Z167" s="59">
        <v>0</v>
      </c>
      <c r="AA167" s="59">
        <f t="shared" si="15"/>
        <v>-3914.8557142857144</v>
      </c>
      <c r="AB167" s="59">
        <f t="shared" si="16"/>
        <v>-2722.7057142857143</v>
      </c>
      <c r="AD167" s="59" t="s">
        <v>1416</v>
      </c>
      <c r="AF167" s="59"/>
    </row>
    <row r="168" spans="1:32" x14ac:dyDescent="0.3">
      <c r="A168" s="39">
        <v>4</v>
      </c>
      <c r="B168" s="41" t="s">
        <v>1088</v>
      </c>
      <c r="C168" s="50" t="s">
        <v>257</v>
      </c>
      <c r="D168" s="50" t="s">
        <v>943</v>
      </c>
      <c r="E168" s="50" t="s">
        <v>25</v>
      </c>
      <c r="F168" s="51" t="s">
        <v>25</v>
      </c>
      <c r="G168" s="50" t="s">
        <v>866</v>
      </c>
      <c r="H168" s="59">
        <v>2656.49</v>
      </c>
      <c r="I168" s="59">
        <v>0</v>
      </c>
      <c r="J168" s="59">
        <v>0</v>
      </c>
      <c r="K168" s="59">
        <v>0</v>
      </c>
      <c r="L168" s="59">
        <v>-22.879999999999995</v>
      </c>
      <c r="M168" s="59">
        <v>0</v>
      </c>
      <c r="N168" s="59">
        <v>0</v>
      </c>
      <c r="O168" s="59">
        <f t="shared" si="17"/>
        <v>2633.6099999999997</v>
      </c>
      <c r="P168" s="59">
        <v>-2500</v>
      </c>
      <c r="Q168" s="59">
        <v>0</v>
      </c>
      <c r="R168" s="59">
        <v>0</v>
      </c>
      <c r="S168" s="59">
        <v>0</v>
      </c>
      <c r="T168" s="59">
        <v>0</v>
      </c>
      <c r="U168" s="59">
        <v>0</v>
      </c>
      <c r="V168" s="59">
        <v>0</v>
      </c>
      <c r="W168" s="59">
        <f t="shared" si="12"/>
        <v>133.60999999999967</v>
      </c>
      <c r="X168" s="59">
        <f t="shared" si="13"/>
        <v>133.60999999999967</v>
      </c>
      <c r="Y168" s="59">
        <f t="shared" si="14"/>
        <v>0</v>
      </c>
      <c r="Z168" s="59">
        <v>0</v>
      </c>
      <c r="AA168" s="59">
        <f t="shared" si="15"/>
        <v>0</v>
      </c>
      <c r="AB168" s="59">
        <f t="shared" si="16"/>
        <v>2500</v>
      </c>
      <c r="AD168" s="59" t="s">
        <v>1338</v>
      </c>
      <c r="AF168" s="59"/>
    </row>
    <row r="169" spans="1:32" x14ac:dyDescent="0.3">
      <c r="A169" s="39">
        <v>4</v>
      </c>
      <c r="B169" s="41" t="s">
        <v>1025</v>
      </c>
      <c r="C169" s="50" t="s">
        <v>51</v>
      </c>
      <c r="D169" s="50" t="s">
        <v>1115</v>
      </c>
      <c r="E169" s="50" t="s">
        <v>25</v>
      </c>
      <c r="F169" s="51" t="s">
        <v>25</v>
      </c>
      <c r="G169" s="50" t="s">
        <v>866</v>
      </c>
      <c r="H169" s="59">
        <v>2971.68</v>
      </c>
      <c r="I169" s="59">
        <v>-717.98</v>
      </c>
      <c r="J169" s="59">
        <v>0</v>
      </c>
      <c r="K169" s="59">
        <v>0</v>
      </c>
      <c r="L169" s="59">
        <v>0</v>
      </c>
      <c r="M169" s="59">
        <v>-30</v>
      </c>
      <c r="N169" s="59">
        <v>0</v>
      </c>
      <c r="O169" s="59">
        <f t="shared" si="17"/>
        <v>2223.6999999999998</v>
      </c>
      <c r="P169" s="59">
        <v>-2500</v>
      </c>
      <c r="Q169" s="59">
        <f>-2800*1.12</f>
        <v>-3136.0000000000005</v>
      </c>
      <c r="R169" s="59">
        <v>0</v>
      </c>
      <c r="S169" s="59">
        <v>0</v>
      </c>
      <c r="T169" s="59">
        <v>0</v>
      </c>
      <c r="U169" s="59">
        <v>0</v>
      </c>
      <c r="V169" s="59">
        <v>0</v>
      </c>
      <c r="W169" s="59">
        <f t="shared" si="12"/>
        <v>-3412.3000000000006</v>
      </c>
      <c r="X169" s="59">
        <f t="shared" si="13"/>
        <v>0</v>
      </c>
      <c r="Y169" s="59">
        <f t="shared" si="14"/>
        <v>-3412.3000000000006</v>
      </c>
      <c r="Z169" s="59">
        <v>1002</v>
      </c>
      <c r="AA169" s="59">
        <f t="shared" si="15"/>
        <v>-2410.3000000000006</v>
      </c>
      <c r="AB169" s="59">
        <f t="shared" si="16"/>
        <v>815.39999999999918</v>
      </c>
      <c r="AD169" s="59" t="s">
        <v>1417</v>
      </c>
      <c r="AF169" s="59"/>
    </row>
    <row r="170" spans="1:32" x14ac:dyDescent="0.3">
      <c r="A170" s="39">
        <v>4</v>
      </c>
      <c r="B170" s="41" t="s">
        <v>1418</v>
      </c>
      <c r="C170" s="50" t="s">
        <v>798</v>
      </c>
      <c r="D170" s="50" t="s">
        <v>1419</v>
      </c>
      <c r="E170" s="50" t="s">
        <v>39</v>
      </c>
      <c r="F170" s="51" t="s">
        <v>39</v>
      </c>
      <c r="G170" s="50" t="s">
        <v>866</v>
      </c>
      <c r="H170" s="59">
        <v>3205.39</v>
      </c>
      <c r="I170" s="59">
        <v>-1180.6300000000003</v>
      </c>
      <c r="J170" s="59">
        <v>0</v>
      </c>
      <c r="K170" s="59">
        <v>0</v>
      </c>
      <c r="L170" s="59">
        <v>0</v>
      </c>
      <c r="M170" s="59">
        <v>-50</v>
      </c>
      <c r="N170" s="59">
        <v>0</v>
      </c>
      <c r="O170" s="59">
        <f t="shared" si="17"/>
        <v>1974.7599999999995</v>
      </c>
      <c r="P170" s="59">
        <f>(-2500/7)*3</f>
        <v>-1071.4285714285716</v>
      </c>
      <c r="Q170" s="59">
        <v>0</v>
      </c>
      <c r="R170" s="59">
        <v>-214</v>
      </c>
      <c r="S170" s="59">
        <v>0</v>
      </c>
      <c r="T170" s="59">
        <v>0</v>
      </c>
      <c r="U170" s="59">
        <v>0</v>
      </c>
      <c r="V170" s="59">
        <v>0</v>
      </c>
      <c r="W170" s="59">
        <f t="shared" si="12"/>
        <v>689.33142857142798</v>
      </c>
      <c r="X170" s="59">
        <f t="shared" si="13"/>
        <v>689.33142857142798</v>
      </c>
      <c r="Y170" s="59">
        <f t="shared" si="14"/>
        <v>0</v>
      </c>
      <c r="Z170" s="59">
        <v>0</v>
      </c>
      <c r="AA170" s="59">
        <f t="shared" si="15"/>
        <v>0</v>
      </c>
      <c r="AB170" s="59">
        <f t="shared" si="16"/>
        <v>1285.4285714285716</v>
      </c>
      <c r="AC170" s="59">
        <v>2000</v>
      </c>
      <c r="AD170" s="59" t="s">
        <v>1420</v>
      </c>
      <c r="AF170" s="59"/>
    </row>
    <row r="171" spans="1:32" x14ac:dyDescent="0.3">
      <c r="A171" s="39">
        <v>4</v>
      </c>
      <c r="B171" s="41" t="s">
        <v>515</v>
      </c>
      <c r="C171" s="50" t="s">
        <v>645</v>
      </c>
      <c r="D171" s="50" t="s">
        <v>1122</v>
      </c>
      <c r="E171" s="50" t="s">
        <v>25</v>
      </c>
      <c r="F171" s="51" t="s">
        <v>25</v>
      </c>
      <c r="G171" s="50" t="s">
        <v>866</v>
      </c>
      <c r="H171" s="59">
        <v>6223.71</v>
      </c>
      <c r="I171" s="59">
        <v>-628.45000000000005</v>
      </c>
      <c r="J171" s="59">
        <v>-40</v>
      </c>
      <c r="K171" s="59">
        <v>0</v>
      </c>
      <c r="L171" s="59">
        <v>0</v>
      </c>
      <c r="M171" s="59">
        <v>-30</v>
      </c>
      <c r="N171" s="59">
        <v>0</v>
      </c>
      <c r="O171" s="59">
        <f t="shared" si="17"/>
        <v>5525.26</v>
      </c>
      <c r="P171" s="59">
        <v>-2500</v>
      </c>
      <c r="Q171" s="59">
        <v>0</v>
      </c>
      <c r="R171" s="59">
        <v>0</v>
      </c>
      <c r="S171" s="59">
        <v>0</v>
      </c>
      <c r="T171" s="59">
        <v>0</v>
      </c>
      <c r="U171" s="59">
        <v>0</v>
      </c>
      <c r="V171" s="59">
        <v>0</v>
      </c>
      <c r="W171" s="59">
        <f t="shared" si="12"/>
        <v>3025.26</v>
      </c>
      <c r="X171" s="59">
        <f t="shared" si="13"/>
        <v>3025.26</v>
      </c>
      <c r="Y171" s="59">
        <f t="shared" si="14"/>
        <v>0</v>
      </c>
      <c r="Z171" s="59">
        <v>0</v>
      </c>
      <c r="AA171" s="59">
        <f t="shared" si="15"/>
        <v>0</v>
      </c>
      <c r="AB171" s="59">
        <f t="shared" si="16"/>
        <v>2500</v>
      </c>
      <c r="AD171" s="59"/>
      <c r="AF171" s="59"/>
    </row>
    <row r="172" spans="1:32" x14ac:dyDescent="0.3">
      <c r="A172" s="39">
        <v>4</v>
      </c>
      <c r="B172" s="41" t="s">
        <v>515</v>
      </c>
      <c r="C172" s="50" t="s">
        <v>110</v>
      </c>
      <c r="D172" s="50" t="s">
        <v>912</v>
      </c>
      <c r="E172" s="50" t="s">
        <v>25</v>
      </c>
      <c r="F172" s="51" t="s">
        <v>25</v>
      </c>
      <c r="G172" s="50" t="s">
        <v>866</v>
      </c>
      <c r="H172" s="59">
        <v>0</v>
      </c>
      <c r="I172" s="59">
        <v>0</v>
      </c>
      <c r="J172" s="59">
        <v>0</v>
      </c>
      <c r="K172" s="59">
        <v>0</v>
      </c>
      <c r="L172" s="59">
        <v>0</v>
      </c>
      <c r="M172" s="59">
        <v>0</v>
      </c>
      <c r="N172" s="59">
        <v>0</v>
      </c>
      <c r="O172" s="59">
        <f t="shared" si="17"/>
        <v>0</v>
      </c>
      <c r="P172" s="59">
        <v>0</v>
      </c>
      <c r="Q172" s="59">
        <v>0</v>
      </c>
      <c r="R172" s="59">
        <v>0</v>
      </c>
      <c r="S172" s="59">
        <v>0</v>
      </c>
      <c r="T172" s="59">
        <v>-700</v>
      </c>
      <c r="U172" s="59">
        <v>0</v>
      </c>
      <c r="V172" s="59">
        <v>0</v>
      </c>
      <c r="W172" s="59">
        <f t="shared" si="12"/>
        <v>-700</v>
      </c>
      <c r="X172" s="59">
        <f t="shared" si="13"/>
        <v>0</v>
      </c>
      <c r="Y172" s="59">
        <f t="shared" si="14"/>
        <v>-700</v>
      </c>
      <c r="Z172" s="59">
        <v>700</v>
      </c>
      <c r="AA172" s="59">
        <f t="shared" si="15"/>
        <v>0</v>
      </c>
      <c r="AB172" s="59">
        <f t="shared" si="16"/>
        <v>700</v>
      </c>
      <c r="AD172" s="59" t="s">
        <v>1337</v>
      </c>
      <c r="AF172" s="59"/>
    </row>
    <row r="173" spans="1:32" x14ac:dyDescent="0.3">
      <c r="A173" s="39">
        <v>4</v>
      </c>
      <c r="B173" s="41" t="s">
        <v>1120</v>
      </c>
      <c r="C173" s="50" t="s">
        <v>1273</v>
      </c>
      <c r="D173" s="50" t="s">
        <v>912</v>
      </c>
      <c r="E173" s="50" t="s">
        <v>25</v>
      </c>
      <c r="F173" s="51" t="s">
        <v>25</v>
      </c>
      <c r="G173" s="50" t="s">
        <v>866</v>
      </c>
      <c r="H173" s="59">
        <v>7164.3</v>
      </c>
      <c r="I173" s="59">
        <v>-1961.9900000000002</v>
      </c>
      <c r="J173" s="59">
        <v>0</v>
      </c>
      <c r="K173" s="59">
        <v>0</v>
      </c>
      <c r="L173" s="59">
        <v>-74.75</v>
      </c>
      <c r="M173" s="59">
        <v>-55</v>
      </c>
      <c r="N173" s="59">
        <v>0</v>
      </c>
      <c r="O173" s="59">
        <f t="shared" si="17"/>
        <v>5072.5599999999995</v>
      </c>
      <c r="P173" s="59">
        <v>-2700</v>
      </c>
      <c r="Q173" s="59">
        <v>0</v>
      </c>
      <c r="R173" s="59">
        <v>0</v>
      </c>
      <c r="S173" s="59">
        <v>0</v>
      </c>
      <c r="T173" s="59">
        <v>0</v>
      </c>
      <c r="U173" s="59">
        <v>0</v>
      </c>
      <c r="V173" s="59">
        <v>0</v>
      </c>
      <c r="W173" s="59">
        <f t="shared" si="12"/>
        <v>2372.5599999999995</v>
      </c>
      <c r="X173" s="59">
        <f t="shared" si="13"/>
        <v>2372.5599999999995</v>
      </c>
      <c r="Y173" s="59">
        <f t="shared" si="14"/>
        <v>0</v>
      </c>
      <c r="Z173" s="59">
        <v>0</v>
      </c>
      <c r="AA173" s="59">
        <f t="shared" si="15"/>
        <v>0</v>
      </c>
      <c r="AB173" s="59">
        <f t="shared" si="16"/>
        <v>2700</v>
      </c>
      <c r="AD173" s="59" t="s">
        <v>1383</v>
      </c>
      <c r="AF173" s="59"/>
    </row>
    <row r="174" spans="1:32" x14ac:dyDescent="0.3">
      <c r="A174" s="39">
        <v>4</v>
      </c>
      <c r="B174" s="41" t="s">
        <v>922</v>
      </c>
      <c r="C174" s="50" t="s">
        <v>670</v>
      </c>
      <c r="D174" s="50" t="s">
        <v>1221</v>
      </c>
      <c r="E174" s="50" t="s">
        <v>25</v>
      </c>
      <c r="F174" s="51" t="s">
        <v>25</v>
      </c>
      <c r="G174" s="50" t="s">
        <v>737</v>
      </c>
      <c r="H174" s="59">
        <v>0</v>
      </c>
      <c r="I174" s="59">
        <v>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f t="shared" si="17"/>
        <v>0</v>
      </c>
      <c r="P174" s="59">
        <v>-2500</v>
      </c>
      <c r="Q174" s="59">
        <v>231</v>
      </c>
      <c r="R174" s="59">
        <v>0</v>
      </c>
      <c r="S174" s="59">
        <v>0</v>
      </c>
      <c r="T174" s="59">
        <v>0</v>
      </c>
      <c r="U174" s="59">
        <v>0</v>
      </c>
      <c r="V174" s="59">
        <v>0</v>
      </c>
      <c r="W174" s="59">
        <f t="shared" si="12"/>
        <v>-2269</v>
      </c>
      <c r="X174" s="59">
        <f t="shared" si="13"/>
        <v>0</v>
      </c>
      <c r="Y174" s="59">
        <f t="shared" si="14"/>
        <v>-2269</v>
      </c>
      <c r="Z174" s="59">
        <f>2000+300</f>
        <v>2300</v>
      </c>
      <c r="AA174" s="59">
        <f t="shared" si="15"/>
        <v>31</v>
      </c>
      <c r="AB174" s="59">
        <f t="shared" si="16"/>
        <v>2331</v>
      </c>
      <c r="AD174" s="59" t="s">
        <v>1421</v>
      </c>
      <c r="AF174" s="59"/>
    </row>
    <row r="175" spans="1:32" x14ac:dyDescent="0.3">
      <c r="A175" s="39">
        <v>4</v>
      </c>
      <c r="B175" s="41" t="s">
        <v>922</v>
      </c>
      <c r="C175" s="50" t="s">
        <v>104</v>
      </c>
      <c r="D175" s="50" t="s">
        <v>1221</v>
      </c>
      <c r="E175" s="50" t="s">
        <v>25</v>
      </c>
      <c r="F175" s="51" t="s">
        <v>25</v>
      </c>
      <c r="G175" s="50" t="s">
        <v>737</v>
      </c>
      <c r="H175" s="59">
        <v>0</v>
      </c>
      <c r="I175" s="59">
        <v>0</v>
      </c>
      <c r="J175" s="59">
        <v>0</v>
      </c>
      <c r="K175" s="59">
        <v>0</v>
      </c>
      <c r="L175" s="59">
        <v>0</v>
      </c>
      <c r="M175" s="59">
        <v>0</v>
      </c>
      <c r="N175" s="59">
        <v>0</v>
      </c>
      <c r="O175" s="59">
        <f t="shared" si="17"/>
        <v>0</v>
      </c>
      <c r="P175" s="59">
        <v>0</v>
      </c>
      <c r="Q175" s="59">
        <v>0</v>
      </c>
      <c r="R175" s="59">
        <v>0</v>
      </c>
      <c r="S175" s="59">
        <v>0</v>
      </c>
      <c r="T175" s="59">
        <v>-500</v>
      </c>
      <c r="U175" s="59">
        <v>0</v>
      </c>
      <c r="V175" s="59">
        <v>0</v>
      </c>
      <c r="W175" s="59">
        <f t="shared" si="12"/>
        <v>-500</v>
      </c>
      <c r="X175" s="59">
        <f t="shared" si="13"/>
        <v>0</v>
      </c>
      <c r="Y175" s="59">
        <f t="shared" si="14"/>
        <v>-500</v>
      </c>
      <c r="Z175" s="59">
        <v>500</v>
      </c>
      <c r="AA175" s="59">
        <f t="shared" si="15"/>
        <v>0</v>
      </c>
      <c r="AB175" s="59">
        <f t="shared" si="16"/>
        <v>500</v>
      </c>
      <c r="AD175" s="59" t="s">
        <v>1422</v>
      </c>
      <c r="AF175" s="59"/>
    </row>
    <row r="176" spans="1:32" x14ac:dyDescent="0.3">
      <c r="A176" s="39">
        <v>4</v>
      </c>
      <c r="B176" s="41" t="s">
        <v>1423</v>
      </c>
      <c r="C176" s="50" t="s">
        <v>55</v>
      </c>
      <c r="E176" s="50" t="s">
        <v>25</v>
      </c>
      <c r="F176" s="51" t="s">
        <v>25</v>
      </c>
      <c r="G176" s="50" t="s">
        <v>866</v>
      </c>
      <c r="H176" s="59">
        <v>310.02</v>
      </c>
      <c r="I176" s="59">
        <v>0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f t="shared" si="17"/>
        <v>310.02</v>
      </c>
      <c r="P176" s="59">
        <f>(-2500/7)*2</f>
        <v>-714.28571428571433</v>
      </c>
      <c r="Q176" s="59">
        <v>0</v>
      </c>
      <c r="R176" s="59">
        <v>-143</v>
      </c>
      <c r="S176" s="59">
        <v>0</v>
      </c>
      <c r="T176" s="59">
        <v>0</v>
      </c>
      <c r="U176" s="59">
        <v>0</v>
      </c>
      <c r="V176" s="59">
        <v>0</v>
      </c>
      <c r="W176" s="59">
        <f t="shared" si="12"/>
        <v>-547.26571428571435</v>
      </c>
      <c r="X176" s="59">
        <f t="shared" si="13"/>
        <v>0</v>
      </c>
      <c r="Y176" s="59">
        <f t="shared" si="14"/>
        <v>-547.26571428571435</v>
      </c>
      <c r="Z176" s="59">
        <v>547</v>
      </c>
      <c r="AA176" s="59">
        <f t="shared" si="15"/>
        <v>-0.26571428571435263</v>
      </c>
      <c r="AB176" s="59">
        <f t="shared" si="16"/>
        <v>856.75428571428563</v>
      </c>
      <c r="AC176" s="59">
        <v>2000</v>
      </c>
      <c r="AD176" s="59" t="s">
        <v>1424</v>
      </c>
      <c r="AF176" s="59"/>
    </row>
    <row r="177" spans="1:32" x14ac:dyDescent="0.3">
      <c r="A177" s="39">
        <v>4</v>
      </c>
      <c r="B177" s="41" t="s">
        <v>1425</v>
      </c>
      <c r="C177" s="50" t="s">
        <v>426</v>
      </c>
      <c r="E177" s="50" t="s">
        <v>25</v>
      </c>
      <c r="F177" s="51" t="s">
        <v>25</v>
      </c>
      <c r="G177" s="50" t="s">
        <v>866</v>
      </c>
      <c r="H177" s="59">
        <v>3091.18</v>
      </c>
      <c r="I177" s="59">
        <v>0</v>
      </c>
      <c r="J177" s="59">
        <v>0</v>
      </c>
      <c r="K177" s="59">
        <v>0</v>
      </c>
      <c r="L177" s="59">
        <v>0</v>
      </c>
      <c r="M177" s="59">
        <v>0</v>
      </c>
      <c r="N177" s="59">
        <v>0</v>
      </c>
      <c r="O177" s="59">
        <f t="shared" si="17"/>
        <v>3091.18</v>
      </c>
      <c r="P177" s="59">
        <f>(-2500/7)*2</f>
        <v>-714.28571428571433</v>
      </c>
      <c r="Q177" s="59">
        <v>0</v>
      </c>
      <c r="R177" s="59">
        <v>-143</v>
      </c>
      <c r="S177" s="59">
        <v>0</v>
      </c>
      <c r="T177" s="59">
        <v>0</v>
      </c>
      <c r="U177" s="59">
        <v>0</v>
      </c>
      <c r="V177" s="59">
        <v>0</v>
      </c>
      <c r="W177" s="59">
        <f t="shared" si="12"/>
        <v>2233.8942857142856</v>
      </c>
      <c r="X177" s="59">
        <f t="shared" si="13"/>
        <v>2233.8942857142856</v>
      </c>
      <c r="Y177" s="59">
        <f t="shared" si="14"/>
        <v>0</v>
      </c>
      <c r="Z177" s="59">
        <v>0</v>
      </c>
      <c r="AA177" s="59">
        <f t="shared" si="15"/>
        <v>0</v>
      </c>
      <c r="AB177" s="59">
        <f t="shared" si="16"/>
        <v>857.28571428571422</v>
      </c>
      <c r="AC177" s="59">
        <v>1000</v>
      </c>
      <c r="AD177" s="59" t="s">
        <v>1426</v>
      </c>
      <c r="AF177" s="59"/>
    </row>
    <row r="178" spans="1:32" x14ac:dyDescent="0.3">
      <c r="A178" s="39">
        <v>4</v>
      </c>
      <c r="B178" s="41" t="s">
        <v>1307</v>
      </c>
      <c r="C178" s="50" t="s">
        <v>150</v>
      </c>
      <c r="D178" s="50" t="s">
        <v>1308</v>
      </c>
      <c r="E178" s="50" t="s">
        <v>25</v>
      </c>
      <c r="F178" s="51" t="s">
        <v>25</v>
      </c>
      <c r="G178" s="50" t="s">
        <v>866</v>
      </c>
      <c r="H178" s="59">
        <v>4510.46</v>
      </c>
      <c r="I178" s="59">
        <v>-1748.7700000000004</v>
      </c>
      <c r="J178" s="59">
        <v>0</v>
      </c>
      <c r="K178" s="59">
        <v>0</v>
      </c>
      <c r="L178" s="59">
        <v>0</v>
      </c>
      <c r="M178" s="59">
        <v>-52</v>
      </c>
      <c r="N178" s="59">
        <v>0</v>
      </c>
      <c r="O178" s="59">
        <f t="shared" si="17"/>
        <v>2709.6899999999996</v>
      </c>
      <c r="P178" s="59">
        <v>-2500</v>
      </c>
      <c r="Q178" s="59">
        <v>0</v>
      </c>
      <c r="R178" s="59">
        <v>-500</v>
      </c>
      <c r="S178" s="59">
        <v>0</v>
      </c>
      <c r="T178" s="59">
        <v>0</v>
      </c>
      <c r="U178" s="59">
        <v>0</v>
      </c>
      <c r="V178" s="59">
        <v>0</v>
      </c>
      <c r="W178" s="59">
        <f t="shared" si="12"/>
        <v>-290.3100000000004</v>
      </c>
      <c r="X178" s="59">
        <f t="shared" si="13"/>
        <v>0</v>
      </c>
      <c r="Y178" s="59">
        <f t="shared" si="14"/>
        <v>-290.3100000000004</v>
      </c>
      <c r="Z178" s="59">
        <v>290</v>
      </c>
      <c r="AA178" s="59">
        <f t="shared" si="15"/>
        <v>-0.31000000000040018</v>
      </c>
      <c r="AB178" s="59">
        <f t="shared" si="16"/>
        <v>2999.3799999999992</v>
      </c>
      <c r="AD178" s="59" t="s">
        <v>1427</v>
      </c>
      <c r="AF178" s="59"/>
    </row>
    <row r="179" spans="1:32" x14ac:dyDescent="0.3">
      <c r="A179" s="39">
        <v>4</v>
      </c>
      <c r="B179" s="41" t="s">
        <v>1244</v>
      </c>
      <c r="C179" s="50" t="s">
        <v>55</v>
      </c>
      <c r="D179" s="50" t="s">
        <v>1168</v>
      </c>
      <c r="E179" s="50" t="s">
        <v>25</v>
      </c>
      <c r="F179" s="143" t="s">
        <v>39</v>
      </c>
      <c r="G179" s="50" t="s">
        <v>866</v>
      </c>
      <c r="H179" s="59">
        <v>3124.9</v>
      </c>
      <c r="I179" s="59">
        <v>-1410.47</v>
      </c>
      <c r="J179" s="59">
        <v>0</v>
      </c>
      <c r="K179" s="59">
        <v>0</v>
      </c>
      <c r="L179" s="59">
        <v>0</v>
      </c>
      <c r="M179" s="59">
        <v>-50</v>
      </c>
      <c r="N179" s="59">
        <v>0</v>
      </c>
      <c r="O179" s="59">
        <f t="shared" si="17"/>
        <v>1664.43</v>
      </c>
      <c r="P179" s="59">
        <f>(-2500/7)*4</f>
        <v>-1428.5714285714287</v>
      </c>
      <c r="Q179" s="59">
        <f>-529*1.12</f>
        <v>-592.48</v>
      </c>
      <c r="R179" s="59">
        <v>-500</v>
      </c>
      <c r="S179" s="59">
        <v>0</v>
      </c>
      <c r="T179" s="59">
        <v>0</v>
      </c>
      <c r="U179" s="59">
        <v>0</v>
      </c>
      <c r="V179" s="59">
        <v>0</v>
      </c>
      <c r="W179" s="59">
        <f t="shared" si="12"/>
        <v>-856.62142857142862</v>
      </c>
      <c r="X179" s="59">
        <f t="shared" si="13"/>
        <v>0</v>
      </c>
      <c r="Y179" s="59">
        <f t="shared" si="14"/>
        <v>-856.62142857142862</v>
      </c>
      <c r="Z179" s="59">
        <v>0</v>
      </c>
      <c r="AA179" s="59">
        <f t="shared" si="15"/>
        <v>-856.62142857142862</v>
      </c>
      <c r="AB179" s="59">
        <f t="shared" si="16"/>
        <v>807.80857142857144</v>
      </c>
      <c r="AD179" s="59" t="s">
        <v>1428</v>
      </c>
      <c r="AF179" s="59"/>
    </row>
    <row r="180" spans="1:32" x14ac:dyDescent="0.3">
      <c r="A180" s="39">
        <v>4</v>
      </c>
      <c r="B180" s="41" t="s">
        <v>1244</v>
      </c>
      <c r="C180" s="50" t="s">
        <v>1429</v>
      </c>
      <c r="E180" s="50" t="s">
        <v>25</v>
      </c>
      <c r="F180" s="51" t="s">
        <v>25</v>
      </c>
      <c r="G180" s="50" t="s">
        <v>866</v>
      </c>
      <c r="H180" s="59">
        <v>4595.2</v>
      </c>
      <c r="I180" s="59">
        <v>-2586.3500000000004</v>
      </c>
      <c r="J180" s="59">
        <v>0</v>
      </c>
      <c r="K180" s="59">
        <v>0</v>
      </c>
      <c r="L180" s="59">
        <v>0</v>
      </c>
      <c r="M180" s="59">
        <f>-53.532-65</f>
        <v>-118.532</v>
      </c>
      <c r="N180" s="59">
        <v>-446.1</v>
      </c>
      <c r="O180" s="59">
        <f t="shared" si="17"/>
        <v>1444.2179999999994</v>
      </c>
      <c r="P180" s="59">
        <f>(-2700/7)*3</f>
        <v>-1157.1428571428571</v>
      </c>
      <c r="Q180" s="59">
        <v>0</v>
      </c>
      <c r="R180" s="59">
        <v>0</v>
      </c>
      <c r="S180" s="59">
        <v>0</v>
      </c>
      <c r="T180" s="59">
        <v>0</v>
      </c>
      <c r="U180" s="59">
        <v>0</v>
      </c>
      <c r="V180" s="59">
        <v>0</v>
      </c>
      <c r="W180" s="59">
        <f t="shared" si="12"/>
        <v>287.07514285714228</v>
      </c>
      <c r="X180" s="59">
        <f t="shared" si="13"/>
        <v>287.07514285714228</v>
      </c>
      <c r="Y180" s="59">
        <f t="shared" si="14"/>
        <v>0</v>
      </c>
      <c r="Z180" s="59">
        <v>0</v>
      </c>
      <c r="AA180" s="59">
        <f t="shared" si="15"/>
        <v>0</v>
      </c>
      <c r="AB180" s="59">
        <f t="shared" si="16"/>
        <v>1157.1428571428571</v>
      </c>
      <c r="AD180" s="59" t="s">
        <v>1430</v>
      </c>
      <c r="AF180" s="59"/>
    </row>
    <row r="181" spans="1:32" x14ac:dyDescent="0.3">
      <c r="A181" s="39">
        <v>4</v>
      </c>
      <c r="B181" s="41" t="s">
        <v>747</v>
      </c>
      <c r="C181" s="50" t="s">
        <v>152</v>
      </c>
      <c r="D181" s="50" t="s">
        <v>1108</v>
      </c>
      <c r="E181" s="50" t="s">
        <v>25</v>
      </c>
      <c r="F181" s="51" t="s">
        <v>25</v>
      </c>
      <c r="G181" s="50" t="s">
        <v>866</v>
      </c>
      <c r="H181" s="59">
        <v>0</v>
      </c>
      <c r="I181" s="59">
        <v>0</v>
      </c>
      <c r="J181" s="59">
        <v>0</v>
      </c>
      <c r="K181" s="59">
        <v>0</v>
      </c>
      <c r="L181" s="59">
        <v>0</v>
      </c>
      <c r="M181" s="59">
        <v>0</v>
      </c>
      <c r="N181" s="59">
        <v>0</v>
      </c>
      <c r="O181" s="59">
        <f t="shared" si="17"/>
        <v>0</v>
      </c>
      <c r="P181" s="59">
        <f>(-2500/7)*4</f>
        <v>-1428.5714285714287</v>
      </c>
      <c r="Q181" s="59">
        <f>-565*1.12</f>
        <v>-632.80000000000007</v>
      </c>
      <c r="R181" s="59">
        <v>-500</v>
      </c>
      <c r="S181" s="59">
        <v>0</v>
      </c>
      <c r="T181" s="59">
        <v>0</v>
      </c>
      <c r="U181" s="59">
        <v>0</v>
      </c>
      <c r="V181" s="59">
        <v>0</v>
      </c>
      <c r="W181" s="59">
        <f t="shared" si="12"/>
        <v>-2561.3714285714286</v>
      </c>
      <c r="X181" s="59">
        <f t="shared" si="13"/>
        <v>0</v>
      </c>
      <c r="Y181" s="59">
        <f t="shared" si="14"/>
        <v>-2561.3714285714286</v>
      </c>
      <c r="Z181" s="59">
        <v>2444</v>
      </c>
      <c r="AA181" s="59">
        <f t="shared" si="15"/>
        <v>-117.37142857142862</v>
      </c>
      <c r="AB181" s="59">
        <f t="shared" si="16"/>
        <v>2326.6285714285714</v>
      </c>
      <c r="AD181" s="59" t="s">
        <v>1431</v>
      </c>
      <c r="AF181" s="59"/>
    </row>
    <row r="182" spans="1:32" x14ac:dyDescent="0.3">
      <c r="A182" s="39">
        <v>4</v>
      </c>
      <c r="B182" s="41" t="s">
        <v>747</v>
      </c>
      <c r="C182" s="50" t="s">
        <v>1586</v>
      </c>
      <c r="E182" s="50" t="s">
        <v>25</v>
      </c>
      <c r="F182" s="51" t="s">
        <v>25</v>
      </c>
      <c r="G182" s="50" t="s">
        <v>866</v>
      </c>
      <c r="H182" s="59">
        <v>3101.27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0</v>
      </c>
      <c r="O182" s="59">
        <f t="shared" si="17"/>
        <v>3101.27</v>
      </c>
      <c r="P182" s="59">
        <f>(-2700/7)*3</f>
        <v>-1157.1428571428571</v>
      </c>
      <c r="Q182" s="59">
        <v>0</v>
      </c>
      <c r="R182" s="59">
        <v>0</v>
      </c>
      <c r="S182" s="59">
        <v>0</v>
      </c>
      <c r="T182" s="59">
        <v>0</v>
      </c>
      <c r="U182" s="59">
        <v>0</v>
      </c>
      <c r="V182" s="59">
        <v>0</v>
      </c>
      <c r="W182" s="59">
        <f t="shared" si="12"/>
        <v>1944.1271428571429</v>
      </c>
      <c r="X182" s="59">
        <f t="shared" si="13"/>
        <v>1944.1271428571429</v>
      </c>
      <c r="Y182" s="59">
        <f t="shared" si="14"/>
        <v>0</v>
      </c>
      <c r="Z182" s="59">
        <v>0</v>
      </c>
      <c r="AA182" s="59">
        <f t="shared" si="15"/>
        <v>0</v>
      </c>
      <c r="AB182" s="59">
        <f t="shared" si="16"/>
        <v>1157.1428571428571</v>
      </c>
      <c r="AD182" s="59" t="s">
        <v>1430</v>
      </c>
      <c r="AF182" s="59"/>
    </row>
    <row r="183" spans="1:32" x14ac:dyDescent="0.3">
      <c r="A183" s="39">
        <v>4</v>
      </c>
      <c r="B183" s="41" t="s">
        <v>1432</v>
      </c>
      <c r="C183" s="50" t="s">
        <v>183</v>
      </c>
      <c r="E183" s="50" t="s">
        <v>25</v>
      </c>
      <c r="F183" s="51" t="s">
        <v>25</v>
      </c>
      <c r="G183" s="50" t="s">
        <v>866</v>
      </c>
      <c r="H183" s="59">
        <v>315.66000000000003</v>
      </c>
      <c r="I183" s="59">
        <v>-84.89</v>
      </c>
      <c r="J183" s="59">
        <v>0</v>
      </c>
      <c r="K183" s="59">
        <v>0</v>
      </c>
      <c r="L183" s="59">
        <v>0</v>
      </c>
      <c r="M183" s="59">
        <v>-5</v>
      </c>
      <c r="N183" s="59">
        <v>0</v>
      </c>
      <c r="O183" s="59">
        <f t="shared" si="17"/>
        <v>225.77000000000004</v>
      </c>
      <c r="P183" s="59">
        <f>(-2500/7)*5.5</f>
        <v>-1964.2857142857144</v>
      </c>
      <c r="Q183" s="59">
        <v>0</v>
      </c>
      <c r="R183" s="59">
        <v>-392.85714285714289</v>
      </c>
      <c r="S183" s="59">
        <v>0</v>
      </c>
      <c r="T183" s="59">
        <v>0</v>
      </c>
      <c r="U183" s="59">
        <v>0</v>
      </c>
      <c r="V183" s="59">
        <v>0</v>
      </c>
      <c r="W183" s="59">
        <f t="shared" si="12"/>
        <v>-2131.3728571428574</v>
      </c>
      <c r="X183" s="59">
        <f t="shared" si="13"/>
        <v>0</v>
      </c>
      <c r="Y183" s="59">
        <f t="shared" si="14"/>
        <v>-2131.3728571428574</v>
      </c>
      <c r="Z183" s="59">
        <v>2357</v>
      </c>
      <c r="AA183" s="59">
        <f t="shared" si="15"/>
        <v>225.62714285714264</v>
      </c>
      <c r="AB183" s="59">
        <f t="shared" si="16"/>
        <v>2808.3971428571426</v>
      </c>
      <c r="AD183" s="59" t="s">
        <v>1433</v>
      </c>
      <c r="AF183" s="59"/>
    </row>
    <row r="184" spans="1:32" x14ac:dyDescent="0.3">
      <c r="A184" s="39">
        <v>4</v>
      </c>
      <c r="B184" s="41" t="s">
        <v>1196</v>
      </c>
      <c r="C184" s="50" t="s">
        <v>409</v>
      </c>
      <c r="D184" s="50" t="s">
        <v>946</v>
      </c>
      <c r="E184" s="50" t="s">
        <v>25</v>
      </c>
      <c r="F184" s="51" t="s">
        <v>25</v>
      </c>
      <c r="G184" s="50" t="s">
        <v>866</v>
      </c>
      <c r="H184" s="59">
        <v>2272.29</v>
      </c>
      <c r="I184" s="59">
        <v>-1082.3900000000001</v>
      </c>
      <c r="J184" s="59">
        <v>0</v>
      </c>
      <c r="K184" s="59">
        <v>0</v>
      </c>
      <c r="L184" s="59">
        <v>0</v>
      </c>
      <c r="M184" s="59">
        <v>-55</v>
      </c>
      <c r="N184" s="59">
        <v>-71</v>
      </c>
      <c r="O184" s="59">
        <f t="shared" si="17"/>
        <v>1063.8999999999999</v>
      </c>
      <c r="P184" s="59">
        <v>-2500</v>
      </c>
      <c r="Q184" s="59">
        <f>-2227*1.12</f>
        <v>-2494.2400000000002</v>
      </c>
      <c r="R184" s="59">
        <v>-500</v>
      </c>
      <c r="S184" s="59">
        <v>0</v>
      </c>
      <c r="T184" s="59">
        <v>0</v>
      </c>
      <c r="U184" s="59">
        <v>0</v>
      </c>
      <c r="V184" s="59">
        <v>0</v>
      </c>
      <c r="W184" s="59">
        <f t="shared" si="12"/>
        <v>-4430.34</v>
      </c>
      <c r="X184" s="59">
        <f t="shared" si="13"/>
        <v>0</v>
      </c>
      <c r="Y184" s="59">
        <f t="shared" si="14"/>
        <v>-4430.34</v>
      </c>
      <c r="Z184" s="59">
        <v>0</v>
      </c>
      <c r="AA184" s="59">
        <f t="shared" si="15"/>
        <v>-4430.34</v>
      </c>
      <c r="AB184" s="59">
        <f t="shared" si="16"/>
        <v>-3366.4400000000005</v>
      </c>
      <c r="AD184" s="59" t="s">
        <v>1381</v>
      </c>
      <c r="AF184" s="59"/>
    </row>
    <row r="185" spans="1:32" x14ac:dyDescent="0.3">
      <c r="A185" s="39">
        <v>4</v>
      </c>
      <c r="B185" s="41" t="s">
        <v>408</v>
      </c>
      <c r="C185" s="50" t="s">
        <v>563</v>
      </c>
      <c r="D185" s="50" t="s">
        <v>1230</v>
      </c>
      <c r="E185" s="50" t="s">
        <v>25</v>
      </c>
      <c r="F185" s="51" t="s">
        <v>25</v>
      </c>
      <c r="G185" s="50" t="s">
        <v>866</v>
      </c>
      <c r="H185" s="59">
        <v>109.7</v>
      </c>
      <c r="I185" s="59">
        <v>-55.98</v>
      </c>
      <c r="J185" s="59">
        <v>0</v>
      </c>
      <c r="K185" s="59">
        <v>0</v>
      </c>
      <c r="L185" s="59">
        <v>0</v>
      </c>
      <c r="M185" s="59">
        <v>-10</v>
      </c>
      <c r="N185" s="59">
        <v>0</v>
      </c>
      <c r="O185" s="59">
        <f t="shared" si="17"/>
        <v>43.720000000000006</v>
      </c>
      <c r="P185" s="59">
        <v>0</v>
      </c>
      <c r="Q185" s="59">
        <v>0</v>
      </c>
      <c r="R185" s="59">
        <v>0</v>
      </c>
      <c r="S185" s="59">
        <v>0</v>
      </c>
      <c r="T185" s="59">
        <v>0</v>
      </c>
      <c r="U185" s="59">
        <v>0</v>
      </c>
      <c r="V185" s="59">
        <v>0</v>
      </c>
      <c r="W185" s="59">
        <f t="shared" si="12"/>
        <v>43.720000000000006</v>
      </c>
      <c r="X185" s="59">
        <f t="shared" si="13"/>
        <v>43.720000000000006</v>
      </c>
      <c r="Y185" s="59">
        <f t="shared" si="14"/>
        <v>0</v>
      </c>
      <c r="Z185" s="59">
        <v>0</v>
      </c>
      <c r="AA185" s="59">
        <f t="shared" si="15"/>
        <v>0</v>
      </c>
      <c r="AB185" s="59">
        <f t="shared" si="16"/>
        <v>0</v>
      </c>
      <c r="AD185" s="59" t="s">
        <v>1434</v>
      </c>
      <c r="AF185" s="59"/>
    </row>
    <row r="186" spans="1:32" x14ac:dyDescent="0.3">
      <c r="A186" s="39">
        <v>4</v>
      </c>
      <c r="B186" s="41" t="s">
        <v>484</v>
      </c>
      <c r="C186" s="50" t="s">
        <v>1065</v>
      </c>
      <c r="D186" s="50" t="s">
        <v>1159</v>
      </c>
      <c r="E186" s="50" t="s">
        <v>25</v>
      </c>
      <c r="F186" s="51" t="s">
        <v>25</v>
      </c>
      <c r="G186" s="50" t="s">
        <v>866</v>
      </c>
      <c r="H186" s="59">
        <v>7261.91</v>
      </c>
      <c r="I186" s="59">
        <v>-3818.639999999999</v>
      </c>
      <c r="J186" s="59">
        <v>-104</v>
      </c>
      <c r="K186" s="59">
        <v>0</v>
      </c>
      <c r="L186" s="59">
        <v>0</v>
      </c>
      <c r="M186" s="59">
        <v>-75</v>
      </c>
      <c r="N186" s="59">
        <v>0</v>
      </c>
      <c r="O186" s="59">
        <f t="shared" si="17"/>
        <v>3264.2700000000009</v>
      </c>
      <c r="P186" s="59">
        <v>-2500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59">
        <v>0</v>
      </c>
      <c r="W186" s="59">
        <f t="shared" si="12"/>
        <v>764.27000000000089</v>
      </c>
      <c r="X186" s="59">
        <f t="shared" si="13"/>
        <v>764.27000000000089</v>
      </c>
      <c r="Y186" s="59">
        <f t="shared" si="14"/>
        <v>0</v>
      </c>
      <c r="Z186" s="59">
        <v>0</v>
      </c>
      <c r="AA186" s="59">
        <f t="shared" si="15"/>
        <v>0</v>
      </c>
      <c r="AB186" s="59">
        <f t="shared" si="16"/>
        <v>2500</v>
      </c>
      <c r="AD186" s="59" t="s">
        <v>1379</v>
      </c>
      <c r="AF186" s="59"/>
    </row>
    <row r="187" spans="1:32" x14ac:dyDescent="0.3">
      <c r="A187" s="39">
        <v>4</v>
      </c>
      <c r="B187" s="41" t="s">
        <v>1013</v>
      </c>
      <c r="C187" s="50" t="s">
        <v>101</v>
      </c>
      <c r="D187" s="50" t="s">
        <v>945</v>
      </c>
      <c r="E187" s="50" t="s">
        <v>25</v>
      </c>
      <c r="F187" s="51" t="s">
        <v>25</v>
      </c>
      <c r="G187" s="50" t="s">
        <v>866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f t="shared" si="17"/>
        <v>0</v>
      </c>
      <c r="P187" s="59">
        <v>0</v>
      </c>
      <c r="Q187" s="59">
        <v>0</v>
      </c>
      <c r="R187" s="59">
        <v>400</v>
      </c>
      <c r="S187" s="59">
        <v>0</v>
      </c>
      <c r="T187" s="59">
        <v>0</v>
      </c>
      <c r="U187" s="59">
        <v>0</v>
      </c>
      <c r="V187" s="59">
        <v>0</v>
      </c>
      <c r="W187" s="59">
        <f t="shared" si="12"/>
        <v>400</v>
      </c>
      <c r="X187" s="59">
        <f t="shared" si="13"/>
        <v>400</v>
      </c>
      <c r="Y187" s="59">
        <f t="shared" si="14"/>
        <v>0</v>
      </c>
      <c r="Z187" s="59">
        <v>0</v>
      </c>
      <c r="AA187" s="59">
        <f t="shared" si="15"/>
        <v>0</v>
      </c>
      <c r="AB187" s="59">
        <f t="shared" si="16"/>
        <v>-400</v>
      </c>
      <c r="AD187" s="59" t="s">
        <v>1435</v>
      </c>
      <c r="AF187" s="59"/>
    </row>
    <row r="188" spans="1:32" x14ac:dyDescent="0.3">
      <c r="A188" s="39">
        <v>4</v>
      </c>
      <c r="B188" s="41" t="s">
        <v>1190</v>
      </c>
      <c r="C188" s="50" t="s">
        <v>46</v>
      </c>
      <c r="D188" s="50" t="s">
        <v>915</v>
      </c>
      <c r="E188" s="50" t="s">
        <v>25</v>
      </c>
      <c r="F188" s="51" t="s">
        <v>25</v>
      </c>
      <c r="G188" s="50" t="s">
        <v>866</v>
      </c>
      <c r="H188" s="59">
        <v>2895.31</v>
      </c>
      <c r="I188" s="59">
        <v>-89.91</v>
      </c>
      <c r="J188" s="59">
        <v>0</v>
      </c>
      <c r="K188" s="59">
        <v>0</v>
      </c>
      <c r="L188" s="59">
        <v>-26.83</v>
      </c>
      <c r="M188" s="59">
        <v>-10</v>
      </c>
      <c r="N188" s="59">
        <v>0</v>
      </c>
      <c r="O188" s="59">
        <f t="shared" si="17"/>
        <v>2768.57</v>
      </c>
      <c r="P188" s="59">
        <v>-2500</v>
      </c>
      <c r="Q188" s="59">
        <f>-2879*1.12</f>
        <v>-3224.4800000000005</v>
      </c>
      <c r="R188" s="59">
        <v>-500</v>
      </c>
      <c r="S188" s="59">
        <v>0</v>
      </c>
      <c r="T188" s="59">
        <v>0</v>
      </c>
      <c r="U188" s="59">
        <v>0</v>
      </c>
      <c r="V188" s="59">
        <v>0</v>
      </c>
      <c r="W188" s="59">
        <f t="shared" si="12"/>
        <v>-3455.9100000000003</v>
      </c>
      <c r="X188" s="59">
        <f t="shared" si="13"/>
        <v>0</v>
      </c>
      <c r="Y188" s="59">
        <f t="shared" si="14"/>
        <v>-3455.9100000000003</v>
      </c>
      <c r="Z188" s="59">
        <v>0</v>
      </c>
      <c r="AA188" s="59">
        <f t="shared" si="15"/>
        <v>-3455.9100000000003</v>
      </c>
      <c r="AB188" s="59">
        <f t="shared" si="16"/>
        <v>-687.34000000000015</v>
      </c>
      <c r="AD188" s="59" t="s">
        <v>1436</v>
      </c>
      <c r="AF188" s="59"/>
    </row>
    <row r="189" spans="1:32" x14ac:dyDescent="0.3">
      <c r="A189" s="39">
        <v>4</v>
      </c>
      <c r="B189" s="41" t="s">
        <v>1190</v>
      </c>
      <c r="C189" s="50" t="s">
        <v>169</v>
      </c>
      <c r="E189" s="50" t="s">
        <v>871</v>
      </c>
      <c r="F189" s="51" t="s">
        <v>39</v>
      </c>
      <c r="G189" s="50" t="s">
        <v>866</v>
      </c>
      <c r="H189" s="59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0</v>
      </c>
      <c r="N189" s="59">
        <v>0</v>
      </c>
      <c r="O189" s="59">
        <f t="shared" si="17"/>
        <v>0</v>
      </c>
      <c r="P189" s="59">
        <v>0</v>
      </c>
      <c r="Q189" s="59">
        <v>0</v>
      </c>
      <c r="R189" s="59">
        <v>0</v>
      </c>
      <c r="S189" s="59">
        <v>0</v>
      </c>
      <c r="T189" s="59">
        <v>-700</v>
      </c>
      <c r="U189" s="59">
        <v>0</v>
      </c>
      <c r="V189" s="59">
        <v>0</v>
      </c>
      <c r="W189" s="59">
        <f t="shared" si="12"/>
        <v>-700</v>
      </c>
      <c r="X189" s="59">
        <f t="shared" si="13"/>
        <v>0</v>
      </c>
      <c r="Y189" s="59">
        <f t="shared" si="14"/>
        <v>-700</v>
      </c>
      <c r="Z189" s="59">
        <v>0</v>
      </c>
      <c r="AA189" s="59">
        <f t="shared" si="15"/>
        <v>-700</v>
      </c>
      <c r="AB189" s="59">
        <f t="shared" si="16"/>
        <v>-700</v>
      </c>
      <c r="AD189" s="59" t="s">
        <v>1437</v>
      </c>
      <c r="AF189" s="59"/>
    </row>
    <row r="190" spans="1:32" x14ac:dyDescent="0.3">
      <c r="A190" s="39">
        <v>4</v>
      </c>
      <c r="B190" s="41" t="s">
        <v>1312</v>
      </c>
      <c r="C190" s="50" t="s">
        <v>347</v>
      </c>
      <c r="D190" s="50" t="s">
        <v>949</v>
      </c>
      <c r="E190" s="50" t="s">
        <v>25</v>
      </c>
      <c r="F190" s="51" t="s">
        <v>25</v>
      </c>
      <c r="G190" s="50" t="s">
        <v>866</v>
      </c>
      <c r="H190" s="59">
        <v>0</v>
      </c>
      <c r="I190" s="59">
        <v>0</v>
      </c>
      <c r="J190" s="59">
        <v>0</v>
      </c>
      <c r="K190" s="59">
        <v>0</v>
      </c>
      <c r="L190" s="59">
        <v>0</v>
      </c>
      <c r="M190" s="59">
        <v>0</v>
      </c>
      <c r="N190" s="59">
        <v>0</v>
      </c>
      <c r="O190" s="59">
        <f t="shared" si="17"/>
        <v>0</v>
      </c>
      <c r="P190" s="59">
        <f>(-2500/7)*4</f>
        <v>-1428.5714285714287</v>
      </c>
      <c r="Q190" s="59">
        <v>0</v>
      </c>
      <c r="R190" s="59">
        <v>-500</v>
      </c>
      <c r="S190" s="59">
        <v>0</v>
      </c>
      <c r="T190" s="59">
        <v>0</v>
      </c>
      <c r="U190" s="59">
        <v>0</v>
      </c>
      <c r="V190" s="59">
        <v>0</v>
      </c>
      <c r="W190" s="59">
        <f t="shared" si="12"/>
        <v>-1928.5714285714287</v>
      </c>
      <c r="X190" s="59">
        <f t="shared" si="13"/>
        <v>0</v>
      </c>
      <c r="Y190" s="59">
        <f t="shared" si="14"/>
        <v>-1928.5714285714287</v>
      </c>
      <c r="Z190" s="59">
        <v>1929</v>
      </c>
      <c r="AA190" s="59">
        <f t="shared" si="15"/>
        <v>0.42857142857133113</v>
      </c>
      <c r="AB190" s="59">
        <f t="shared" si="16"/>
        <v>1929.4285714285713</v>
      </c>
      <c r="AD190" s="59" t="s">
        <v>1438</v>
      </c>
      <c r="AF190" s="59"/>
    </row>
    <row r="191" spans="1:32" x14ac:dyDescent="0.3">
      <c r="A191" s="39">
        <v>4</v>
      </c>
      <c r="B191" s="41" t="s">
        <v>1312</v>
      </c>
      <c r="C191" s="50" t="s">
        <v>1439</v>
      </c>
      <c r="E191" s="50" t="s">
        <v>25</v>
      </c>
      <c r="F191" s="51" t="s">
        <v>25</v>
      </c>
      <c r="G191" s="50" t="s">
        <v>866</v>
      </c>
      <c r="H191" s="59">
        <v>3223.49</v>
      </c>
      <c r="I191" s="59">
        <v>0</v>
      </c>
      <c r="J191" s="59">
        <v>0</v>
      </c>
      <c r="K191" s="59">
        <v>0</v>
      </c>
      <c r="L191" s="59">
        <v>0</v>
      </c>
      <c r="M191" s="59">
        <v>0</v>
      </c>
      <c r="N191" s="59">
        <v>0</v>
      </c>
      <c r="O191" s="59">
        <f t="shared" si="17"/>
        <v>3223.49</v>
      </c>
      <c r="P191" s="59">
        <f>(-2700/7)*3</f>
        <v>-1157.1428571428571</v>
      </c>
      <c r="Q191" s="59">
        <v>0</v>
      </c>
      <c r="R191" s="59">
        <v>0</v>
      </c>
      <c r="S191" s="59">
        <v>0</v>
      </c>
      <c r="T191" s="59">
        <v>0</v>
      </c>
      <c r="U191" s="59">
        <v>0</v>
      </c>
      <c r="V191" s="59">
        <v>0</v>
      </c>
      <c r="W191" s="59">
        <f t="shared" si="12"/>
        <v>2066.3471428571429</v>
      </c>
      <c r="X191" s="59">
        <f t="shared" si="13"/>
        <v>2066.3471428571429</v>
      </c>
      <c r="Y191" s="59">
        <f t="shared" si="14"/>
        <v>0</v>
      </c>
      <c r="Z191" s="59">
        <v>0</v>
      </c>
      <c r="AA191" s="59">
        <f t="shared" si="15"/>
        <v>0</v>
      </c>
      <c r="AB191" s="59">
        <f t="shared" si="16"/>
        <v>1157.1428571428569</v>
      </c>
      <c r="AD191" s="59" t="s">
        <v>1430</v>
      </c>
      <c r="AF191" s="59"/>
    </row>
    <row r="192" spans="1:32" x14ac:dyDescent="0.3">
      <c r="A192" s="39">
        <v>4</v>
      </c>
      <c r="B192" s="41" t="s">
        <v>1157</v>
      </c>
      <c r="C192" s="50" t="s">
        <v>1265</v>
      </c>
      <c r="D192" s="50" t="s">
        <v>912</v>
      </c>
      <c r="E192" s="50" t="s">
        <v>25</v>
      </c>
      <c r="F192" s="51" t="s">
        <v>25</v>
      </c>
      <c r="G192" s="50" t="s">
        <v>866</v>
      </c>
      <c r="H192" s="59">
        <v>10655.92</v>
      </c>
      <c r="I192" s="59">
        <v>-4929.0999999999995</v>
      </c>
      <c r="J192" s="59">
        <v>-128</v>
      </c>
      <c r="K192" s="59">
        <v>0</v>
      </c>
      <c r="L192" s="59">
        <v>0</v>
      </c>
      <c r="M192" s="59">
        <v>-90</v>
      </c>
      <c r="N192" s="59">
        <v>0</v>
      </c>
      <c r="O192" s="59">
        <f t="shared" si="17"/>
        <v>5508.8200000000006</v>
      </c>
      <c r="P192" s="59">
        <v>-2700</v>
      </c>
      <c r="Q192" s="59">
        <v>0</v>
      </c>
      <c r="R192" s="59">
        <v>-500</v>
      </c>
      <c r="S192" s="59">
        <v>0</v>
      </c>
      <c r="T192" s="59">
        <v>0</v>
      </c>
      <c r="U192" s="59">
        <v>0</v>
      </c>
      <c r="V192" s="59">
        <v>0</v>
      </c>
      <c r="W192" s="59">
        <f t="shared" si="12"/>
        <v>2308.8200000000006</v>
      </c>
      <c r="X192" s="59">
        <f t="shared" si="13"/>
        <v>2308.8200000000006</v>
      </c>
      <c r="Y192" s="59">
        <f t="shared" si="14"/>
        <v>0</v>
      </c>
      <c r="Z192" s="59">
        <v>0</v>
      </c>
      <c r="AA192" s="59">
        <f t="shared" si="15"/>
        <v>0</v>
      </c>
      <c r="AB192" s="59">
        <f t="shared" si="16"/>
        <v>3200</v>
      </c>
      <c r="AD192" s="59" t="s">
        <v>1377</v>
      </c>
      <c r="AF192" s="59"/>
    </row>
    <row r="193" spans="1:32" x14ac:dyDescent="0.3">
      <c r="A193" s="39">
        <v>4</v>
      </c>
      <c r="B193" s="41" t="s">
        <v>874</v>
      </c>
      <c r="C193" s="50" t="s">
        <v>100</v>
      </c>
      <c r="D193" s="50" t="s">
        <v>1300</v>
      </c>
      <c r="E193" s="50" t="s">
        <v>25</v>
      </c>
      <c r="F193" s="51" t="s">
        <v>25</v>
      </c>
      <c r="G193" s="50" t="s">
        <v>737</v>
      </c>
      <c r="H193" s="59">
        <v>0</v>
      </c>
      <c r="I193" s="59">
        <v>0</v>
      </c>
      <c r="J193" s="59">
        <v>0</v>
      </c>
      <c r="K193" s="59">
        <v>0</v>
      </c>
      <c r="L193" s="59">
        <v>0</v>
      </c>
      <c r="M193" s="59">
        <v>0</v>
      </c>
      <c r="N193" s="59">
        <v>0</v>
      </c>
      <c r="O193" s="59">
        <f t="shared" si="17"/>
        <v>0</v>
      </c>
      <c r="P193" s="59">
        <v>-2500</v>
      </c>
      <c r="Q193" s="59">
        <v>0</v>
      </c>
      <c r="R193" s="59">
        <v>0</v>
      </c>
      <c r="S193" s="59">
        <v>0</v>
      </c>
      <c r="T193" s="59">
        <v>0</v>
      </c>
      <c r="U193" s="59">
        <v>0</v>
      </c>
      <c r="V193" s="59">
        <v>0</v>
      </c>
      <c r="W193" s="59">
        <f t="shared" si="12"/>
        <v>-2500</v>
      </c>
      <c r="X193" s="59">
        <f t="shared" si="13"/>
        <v>0</v>
      </c>
      <c r="Y193" s="59">
        <f t="shared" si="14"/>
        <v>-2500</v>
      </c>
      <c r="Z193" s="59">
        <v>2600</v>
      </c>
      <c r="AA193" s="59">
        <f t="shared" si="15"/>
        <v>100</v>
      </c>
      <c r="AB193" s="59">
        <f t="shared" si="16"/>
        <v>2700</v>
      </c>
      <c r="AD193" s="59" t="s">
        <v>3275</v>
      </c>
      <c r="AF193" s="59"/>
    </row>
    <row r="194" spans="1:32" x14ac:dyDescent="0.3">
      <c r="A194" s="39">
        <v>4</v>
      </c>
      <c r="B194" s="41" t="s">
        <v>1314</v>
      </c>
      <c r="C194" s="50" t="s">
        <v>334</v>
      </c>
      <c r="D194" s="50" t="s">
        <v>1169</v>
      </c>
      <c r="E194" s="50" t="s">
        <v>25</v>
      </c>
      <c r="F194" s="51" t="s">
        <v>25</v>
      </c>
      <c r="G194" s="50" t="s">
        <v>866</v>
      </c>
      <c r="H194" s="59">
        <v>5512.13</v>
      </c>
      <c r="I194" s="59">
        <v>-2334.98</v>
      </c>
      <c r="J194" s="59">
        <v>0</v>
      </c>
      <c r="K194" s="59">
        <v>0</v>
      </c>
      <c r="L194" s="59">
        <v>0</v>
      </c>
      <c r="M194" s="59">
        <v>-65</v>
      </c>
      <c r="N194" s="59">
        <v>0</v>
      </c>
      <c r="O194" s="59">
        <f t="shared" si="17"/>
        <v>3112.15</v>
      </c>
      <c r="P194" s="59">
        <v>-2500</v>
      </c>
      <c r="Q194" s="59">
        <v>0</v>
      </c>
      <c r="R194" s="59">
        <v>-500</v>
      </c>
      <c r="S194" s="59">
        <v>0</v>
      </c>
      <c r="T194" s="59">
        <v>0</v>
      </c>
      <c r="U194" s="59">
        <v>0</v>
      </c>
      <c r="V194" s="59">
        <v>0</v>
      </c>
      <c r="W194" s="59">
        <f t="shared" ref="W194:W257" si="18">SUM(O194:V194)</f>
        <v>112.15000000000009</v>
      </c>
      <c r="X194" s="59">
        <f t="shared" ref="X194:X257" si="19">IF(W194&gt;=0,W194,0)</f>
        <v>112.15000000000009</v>
      </c>
      <c r="Y194" s="59">
        <f t="shared" ref="Y194:Y257" si="20">IF(W194&lt;=0,W194,0)</f>
        <v>0</v>
      </c>
      <c r="Z194" s="59">
        <v>0</v>
      </c>
      <c r="AA194" s="59">
        <f>+Y194+Z194</f>
        <v>0</v>
      </c>
      <c r="AB194" s="59">
        <f t="shared" ref="AB194:AB257" si="21">+O194-X194+Z194+AA194</f>
        <v>3000</v>
      </c>
      <c r="AD194" s="59" t="s">
        <v>1365</v>
      </c>
      <c r="AF194" s="59"/>
    </row>
    <row r="195" spans="1:32" x14ac:dyDescent="0.3">
      <c r="A195" s="39">
        <v>4</v>
      </c>
      <c r="B195" s="41" t="s">
        <v>872</v>
      </c>
      <c r="C195" s="50" t="s">
        <v>256</v>
      </c>
      <c r="D195" s="50" t="s">
        <v>997</v>
      </c>
      <c r="E195" s="50" t="s">
        <v>871</v>
      </c>
      <c r="F195" s="51" t="s">
        <v>39</v>
      </c>
      <c r="G195" s="50" t="s">
        <v>866</v>
      </c>
      <c r="H195" s="59">
        <v>9873.41</v>
      </c>
      <c r="I195" s="59">
        <v>-4849.7099999999982</v>
      </c>
      <c r="J195" s="59">
        <v>-80</v>
      </c>
      <c r="K195" s="59">
        <v>0</v>
      </c>
      <c r="L195" s="59">
        <v>-93.38</v>
      </c>
      <c r="M195" s="59">
        <f>-18-90</f>
        <v>-108</v>
      </c>
      <c r="N195" s="59">
        <v>-150</v>
      </c>
      <c r="O195" s="59">
        <f t="shared" si="17"/>
        <v>4592.3200000000015</v>
      </c>
      <c r="P195" s="59">
        <v>-2500</v>
      </c>
      <c r="Q195" s="59">
        <v>0</v>
      </c>
      <c r="R195" s="59">
        <v>0</v>
      </c>
      <c r="S195" s="59">
        <v>-700</v>
      </c>
      <c r="T195" s="59">
        <v>0</v>
      </c>
      <c r="U195" s="59">
        <v>0</v>
      </c>
      <c r="V195" s="59">
        <v>0</v>
      </c>
      <c r="W195" s="59">
        <f t="shared" si="18"/>
        <v>1392.3200000000015</v>
      </c>
      <c r="X195" s="59">
        <f t="shared" si="19"/>
        <v>1392.3200000000015</v>
      </c>
      <c r="Y195" s="59">
        <f t="shared" si="20"/>
        <v>0</v>
      </c>
      <c r="Z195" s="59">
        <v>0</v>
      </c>
      <c r="AA195" s="59">
        <f>+Y195+Z195</f>
        <v>0</v>
      </c>
      <c r="AB195" s="59">
        <f t="shared" si="21"/>
        <v>3200</v>
      </c>
      <c r="AD195" s="59" t="s">
        <v>1396</v>
      </c>
      <c r="AF195" s="59"/>
    </row>
    <row r="196" spans="1:32" x14ac:dyDescent="0.3">
      <c r="A196" s="39">
        <v>4</v>
      </c>
      <c r="B196" s="41" t="s">
        <v>1405</v>
      </c>
      <c r="C196" s="50" t="s">
        <v>1316</v>
      </c>
      <c r="D196" s="50" t="s">
        <v>1317</v>
      </c>
      <c r="E196" s="50" t="s">
        <v>25</v>
      </c>
      <c r="F196" s="51" t="s">
        <v>25</v>
      </c>
      <c r="G196" s="50" t="s">
        <v>737</v>
      </c>
      <c r="H196" s="59">
        <v>4616.3100000000004</v>
      </c>
      <c r="I196" s="59">
        <v>-1585.52</v>
      </c>
      <c r="J196" s="59">
        <f>-159</f>
        <v>-159</v>
      </c>
      <c r="K196" s="59">
        <v>0</v>
      </c>
      <c r="L196" s="59">
        <v>0</v>
      </c>
      <c r="M196" s="59">
        <v>-52</v>
      </c>
      <c r="N196" s="59">
        <v>0</v>
      </c>
      <c r="O196" s="59">
        <f t="shared" si="17"/>
        <v>2819.7900000000004</v>
      </c>
      <c r="P196" s="59">
        <v>-2700</v>
      </c>
      <c r="Q196" s="59">
        <v>0</v>
      </c>
      <c r="R196" s="59">
        <v>-500</v>
      </c>
      <c r="S196" s="59">
        <v>0</v>
      </c>
      <c r="T196" s="59">
        <v>0</v>
      </c>
      <c r="U196" s="59">
        <v>0</v>
      </c>
      <c r="V196" s="59">
        <v>0</v>
      </c>
      <c r="W196" s="59">
        <f t="shared" si="18"/>
        <v>-380.20999999999958</v>
      </c>
      <c r="X196" s="59">
        <f t="shared" si="19"/>
        <v>0</v>
      </c>
      <c r="Y196" s="59">
        <f t="shared" si="20"/>
        <v>-380.20999999999958</v>
      </c>
      <c r="Z196" s="59">
        <v>380</v>
      </c>
      <c r="AA196" s="59">
        <f>+Y196+Z196</f>
        <v>-0.20999999999958163</v>
      </c>
      <c r="AB196" s="59">
        <f t="shared" si="21"/>
        <v>3199.5800000000008</v>
      </c>
      <c r="AD196" s="59" t="s">
        <v>1440</v>
      </c>
      <c r="AF196" s="59"/>
    </row>
    <row r="197" spans="1:32" x14ac:dyDescent="0.3">
      <c r="A197" s="39">
        <v>4</v>
      </c>
      <c r="B197" s="41" t="s">
        <v>1153</v>
      </c>
      <c r="C197" s="50" t="s">
        <v>1328</v>
      </c>
      <c r="D197" s="50" t="s">
        <v>912</v>
      </c>
      <c r="E197" s="50" t="s">
        <v>25</v>
      </c>
      <c r="F197" s="51" t="s">
        <v>25</v>
      </c>
      <c r="G197" s="50" t="s">
        <v>866</v>
      </c>
      <c r="H197" s="59">
        <v>3897</v>
      </c>
      <c r="I197" s="59">
        <v>-758.78</v>
      </c>
      <c r="J197" s="59">
        <v>0</v>
      </c>
      <c r="K197" s="59">
        <v>0</v>
      </c>
      <c r="L197" s="59">
        <v>0</v>
      </c>
      <c r="M197" s="59">
        <v>-60</v>
      </c>
      <c r="N197" s="59">
        <v>0</v>
      </c>
      <c r="O197" s="59">
        <f t="shared" si="17"/>
        <v>3078.2200000000003</v>
      </c>
      <c r="P197" s="59">
        <v>-2700</v>
      </c>
      <c r="Q197" s="59">
        <v>0</v>
      </c>
      <c r="R197" s="59">
        <v>-500</v>
      </c>
      <c r="S197" s="59">
        <v>0</v>
      </c>
      <c r="T197" s="59">
        <v>0</v>
      </c>
      <c r="U197" s="59">
        <v>0</v>
      </c>
      <c r="V197" s="59">
        <v>0</v>
      </c>
      <c r="W197" s="59">
        <f t="shared" si="18"/>
        <v>-121.77999999999975</v>
      </c>
      <c r="X197" s="59">
        <f t="shared" si="19"/>
        <v>0</v>
      </c>
      <c r="Y197" s="59">
        <f t="shared" si="20"/>
        <v>-121.77999999999975</v>
      </c>
      <c r="Z197" s="59">
        <v>122</v>
      </c>
      <c r="AA197" s="59">
        <f>+Y197+Z197</f>
        <v>0.22000000000025466</v>
      </c>
      <c r="AB197" s="59">
        <f t="shared" si="21"/>
        <v>3200.4400000000005</v>
      </c>
      <c r="AD197" s="59" t="s">
        <v>1441</v>
      </c>
      <c r="AF197" s="59"/>
    </row>
    <row r="198" spans="1:32" x14ac:dyDescent="0.3">
      <c r="A198" s="39">
        <v>4</v>
      </c>
      <c r="B198" s="41" t="s">
        <v>1056</v>
      </c>
      <c r="C198" s="50" t="s">
        <v>760</v>
      </c>
      <c r="D198" s="50" t="s">
        <v>1239</v>
      </c>
      <c r="E198" s="50" t="s">
        <v>25</v>
      </c>
      <c r="F198" s="143" t="s">
        <v>39</v>
      </c>
      <c r="G198" s="50" t="s">
        <v>866</v>
      </c>
      <c r="H198" s="59">
        <v>2478.44</v>
      </c>
      <c r="I198" s="59">
        <v>0</v>
      </c>
      <c r="J198" s="59">
        <v>0</v>
      </c>
      <c r="K198" s="59">
        <v>0</v>
      </c>
      <c r="L198" s="59">
        <v>0</v>
      </c>
      <c r="M198" s="59">
        <v>0</v>
      </c>
      <c r="N198" s="59">
        <v>0</v>
      </c>
      <c r="O198" s="59">
        <f t="shared" si="17"/>
        <v>2478.44</v>
      </c>
      <c r="P198" s="59">
        <v>-2478</v>
      </c>
      <c r="Q198" s="59">
        <v>0</v>
      </c>
      <c r="R198" s="59">
        <v>0</v>
      </c>
      <c r="S198" s="59">
        <v>0</v>
      </c>
      <c r="T198" s="59">
        <v>0</v>
      </c>
      <c r="U198" s="59">
        <v>0</v>
      </c>
      <c r="V198" s="59">
        <v>0</v>
      </c>
      <c r="W198" s="59">
        <f t="shared" si="18"/>
        <v>0.44000000000005457</v>
      </c>
      <c r="X198" s="59">
        <f t="shared" si="19"/>
        <v>0.44000000000005457</v>
      </c>
      <c r="Y198" s="59">
        <f t="shared" si="20"/>
        <v>0</v>
      </c>
      <c r="Z198" s="59">
        <v>0</v>
      </c>
      <c r="AA198" s="59">
        <v>0</v>
      </c>
      <c r="AB198" s="59">
        <f t="shared" si="21"/>
        <v>2478</v>
      </c>
      <c r="AD198" s="59" t="s">
        <v>1395</v>
      </c>
      <c r="AF198" s="59"/>
    </row>
    <row r="199" spans="1:32" x14ac:dyDescent="0.3">
      <c r="A199" s="39">
        <v>4</v>
      </c>
      <c r="B199" s="41" t="s">
        <v>620</v>
      </c>
      <c r="C199" s="50" t="s">
        <v>571</v>
      </c>
      <c r="D199" s="50" t="s">
        <v>974</v>
      </c>
      <c r="E199" s="50" t="s">
        <v>25</v>
      </c>
      <c r="F199" s="51" t="s">
        <v>25</v>
      </c>
      <c r="G199" s="50" t="s">
        <v>737</v>
      </c>
      <c r="H199" s="59">
        <v>42.41</v>
      </c>
      <c r="I199" s="59">
        <v>-4353.72</v>
      </c>
      <c r="J199" s="59">
        <v>-539.89</v>
      </c>
      <c r="K199" s="59">
        <v>0</v>
      </c>
      <c r="L199" s="59">
        <v>0</v>
      </c>
      <c r="M199" s="59">
        <v>-75</v>
      </c>
      <c r="N199" s="59">
        <v>0</v>
      </c>
      <c r="O199" s="59">
        <f t="shared" ref="O199:O262" si="22">IF(H199+I199&lt;0,SUM(J199:N199),SUM(H199:N199))</f>
        <v>-614.89</v>
      </c>
      <c r="P199" s="59">
        <v>-2600</v>
      </c>
      <c r="Q199" s="59">
        <f>-532*1.12</f>
        <v>-595.84</v>
      </c>
      <c r="R199" s="59">
        <v>0</v>
      </c>
      <c r="S199" s="59">
        <v>0</v>
      </c>
      <c r="T199" s="59">
        <v>0</v>
      </c>
      <c r="U199" s="59">
        <v>0</v>
      </c>
      <c r="V199" s="59">
        <v>0</v>
      </c>
      <c r="W199" s="59">
        <f t="shared" si="18"/>
        <v>-3810.73</v>
      </c>
      <c r="X199" s="59">
        <f t="shared" si="19"/>
        <v>0</v>
      </c>
      <c r="Y199" s="59">
        <f t="shared" si="20"/>
        <v>-3810.73</v>
      </c>
      <c r="Z199" s="59">
        <f>1429+1600+500+1200</f>
        <v>4729</v>
      </c>
      <c r="AA199" s="59">
        <f t="shared" ref="AA199:AA262" si="23">+Y199+Z199</f>
        <v>918.27</v>
      </c>
      <c r="AB199" s="59">
        <f t="shared" si="21"/>
        <v>5032.3799999999992</v>
      </c>
      <c r="AD199" s="59" t="s">
        <v>1442</v>
      </c>
      <c r="AF199" s="59"/>
    </row>
    <row r="200" spans="1:32" x14ac:dyDescent="0.3">
      <c r="A200" s="39">
        <v>4</v>
      </c>
      <c r="B200" s="41" t="s">
        <v>612</v>
      </c>
      <c r="C200" s="50" t="s">
        <v>36</v>
      </c>
      <c r="D200" s="50" t="s">
        <v>904</v>
      </c>
      <c r="E200" s="50" t="s">
        <v>25</v>
      </c>
      <c r="F200" s="51" t="s">
        <v>25</v>
      </c>
      <c r="G200" s="50" t="s">
        <v>866</v>
      </c>
      <c r="H200" s="59">
        <v>6713.59</v>
      </c>
      <c r="I200" s="59">
        <v>-2138.8599999999997</v>
      </c>
      <c r="J200" s="59">
        <v>0</v>
      </c>
      <c r="K200" s="59">
        <v>0</v>
      </c>
      <c r="L200" s="59">
        <v>0</v>
      </c>
      <c r="M200" s="59">
        <v>-75</v>
      </c>
      <c r="N200" s="59">
        <v>0</v>
      </c>
      <c r="O200" s="59">
        <f t="shared" si="22"/>
        <v>4499.7300000000005</v>
      </c>
      <c r="P200" s="59">
        <f>(-2500/7)*4</f>
        <v>-1428.5714285714287</v>
      </c>
      <c r="Q200" s="59">
        <v>0</v>
      </c>
      <c r="R200" s="59">
        <v>-500</v>
      </c>
      <c r="S200" s="59">
        <v>0</v>
      </c>
      <c r="T200" s="59">
        <v>0</v>
      </c>
      <c r="U200" s="59">
        <v>0</v>
      </c>
      <c r="V200" s="59">
        <v>0</v>
      </c>
      <c r="W200" s="59">
        <f t="shared" si="18"/>
        <v>2571.158571428572</v>
      </c>
      <c r="X200" s="59">
        <f t="shared" si="19"/>
        <v>2571.158571428572</v>
      </c>
      <c r="Y200" s="59">
        <f t="shared" si="20"/>
        <v>0</v>
      </c>
      <c r="Z200" s="59">
        <v>0</v>
      </c>
      <c r="AA200" s="59">
        <f t="shared" si="23"/>
        <v>0</v>
      </c>
      <c r="AB200" s="59">
        <f t="shared" si="21"/>
        <v>1928.5714285714284</v>
      </c>
      <c r="AD200" s="59" t="s">
        <v>1375</v>
      </c>
      <c r="AF200" s="59"/>
    </row>
    <row r="201" spans="1:32" x14ac:dyDescent="0.3">
      <c r="A201" s="39">
        <v>4</v>
      </c>
      <c r="B201" s="41" t="s">
        <v>612</v>
      </c>
      <c r="C201" s="50" t="s">
        <v>1443</v>
      </c>
      <c r="E201" s="50" t="s">
        <v>25</v>
      </c>
      <c r="F201" s="51" t="s">
        <v>25</v>
      </c>
      <c r="G201" s="50" t="s">
        <v>866</v>
      </c>
      <c r="H201" s="59">
        <v>0</v>
      </c>
      <c r="I201" s="59">
        <v>0</v>
      </c>
      <c r="J201" s="59">
        <v>0</v>
      </c>
      <c r="K201" s="59">
        <v>0</v>
      </c>
      <c r="L201" s="59">
        <v>0</v>
      </c>
      <c r="M201" s="59">
        <v>0</v>
      </c>
      <c r="N201" s="59">
        <v>0</v>
      </c>
      <c r="O201" s="59">
        <f t="shared" si="22"/>
        <v>0</v>
      </c>
      <c r="P201" s="59">
        <f>(-2700/7)*3</f>
        <v>-1157.1428571428571</v>
      </c>
      <c r="Q201" s="59">
        <v>0</v>
      </c>
      <c r="R201" s="59">
        <v>0</v>
      </c>
      <c r="S201" s="59">
        <v>0</v>
      </c>
      <c r="T201" s="59">
        <v>0</v>
      </c>
      <c r="U201" s="59">
        <v>0</v>
      </c>
      <c r="V201" s="59">
        <v>0</v>
      </c>
      <c r="W201" s="59">
        <f t="shared" si="18"/>
        <v>-1157.1428571428571</v>
      </c>
      <c r="X201" s="59">
        <f t="shared" si="19"/>
        <v>0</v>
      </c>
      <c r="Y201" s="59">
        <f t="shared" si="20"/>
        <v>-1157.1428571428571</v>
      </c>
      <c r="Z201" s="59">
        <v>1157</v>
      </c>
      <c r="AA201" s="59">
        <f t="shared" si="23"/>
        <v>-0.14285714285711038</v>
      </c>
      <c r="AB201" s="59">
        <f t="shared" si="21"/>
        <v>1156.8571428571429</v>
      </c>
      <c r="AD201" s="59" t="s">
        <v>1444</v>
      </c>
      <c r="AF201" s="59"/>
    </row>
    <row r="202" spans="1:32" x14ac:dyDescent="0.3">
      <c r="A202" s="39">
        <v>4</v>
      </c>
      <c r="B202" s="41" t="s">
        <v>1106</v>
      </c>
      <c r="C202" s="50" t="s">
        <v>36</v>
      </c>
      <c r="D202" s="50" t="s">
        <v>904</v>
      </c>
      <c r="E202" s="50" t="s">
        <v>25</v>
      </c>
      <c r="F202" s="51" t="s">
        <v>25</v>
      </c>
      <c r="G202" s="50" t="s">
        <v>866</v>
      </c>
      <c r="H202" s="59">
        <v>0</v>
      </c>
      <c r="I202" s="59">
        <v>0</v>
      </c>
      <c r="J202" s="59">
        <v>0</v>
      </c>
      <c r="K202" s="59">
        <v>0</v>
      </c>
      <c r="L202" s="59">
        <v>0</v>
      </c>
      <c r="M202" s="59">
        <v>0</v>
      </c>
      <c r="N202" s="59">
        <v>0</v>
      </c>
      <c r="O202" s="59">
        <f t="shared" si="22"/>
        <v>0</v>
      </c>
      <c r="P202" s="59">
        <v>0</v>
      </c>
      <c r="Q202" s="59">
        <v>0</v>
      </c>
      <c r="R202" s="59">
        <v>500</v>
      </c>
      <c r="S202" s="59">
        <v>0</v>
      </c>
      <c r="T202" s="59">
        <v>0</v>
      </c>
      <c r="U202" s="59">
        <v>0</v>
      </c>
      <c r="V202" s="59">
        <v>0</v>
      </c>
      <c r="W202" s="59">
        <f t="shared" si="18"/>
        <v>500</v>
      </c>
      <c r="X202" s="59">
        <f t="shared" si="19"/>
        <v>500</v>
      </c>
      <c r="Y202" s="59">
        <f t="shared" si="20"/>
        <v>0</v>
      </c>
      <c r="Z202" s="59">
        <v>0</v>
      </c>
      <c r="AA202" s="59">
        <f t="shared" si="23"/>
        <v>0</v>
      </c>
      <c r="AB202" s="59">
        <f t="shared" si="21"/>
        <v>-500</v>
      </c>
      <c r="AD202" s="59" t="s">
        <v>1445</v>
      </c>
      <c r="AF202" s="59"/>
    </row>
    <row r="203" spans="1:32" x14ac:dyDescent="0.3">
      <c r="A203" s="39">
        <v>4</v>
      </c>
      <c r="B203" s="41" t="s">
        <v>1155</v>
      </c>
      <c r="C203" s="50" t="s">
        <v>123</v>
      </c>
      <c r="D203" s="50" t="s">
        <v>999</v>
      </c>
      <c r="E203" s="50" t="s">
        <v>871</v>
      </c>
      <c r="F203" s="51" t="s">
        <v>39</v>
      </c>
      <c r="G203" s="50" t="s">
        <v>866</v>
      </c>
      <c r="H203" s="59">
        <v>1397.39</v>
      </c>
      <c r="I203" s="59">
        <v>-135.94</v>
      </c>
      <c r="J203" s="59">
        <v>0</v>
      </c>
      <c r="K203" s="59">
        <v>0</v>
      </c>
      <c r="L203" s="59">
        <v>0</v>
      </c>
      <c r="M203" s="59">
        <v>-10</v>
      </c>
      <c r="N203" s="59">
        <v>0</v>
      </c>
      <c r="O203" s="59">
        <f t="shared" si="22"/>
        <v>1251.45</v>
      </c>
      <c r="P203" s="59">
        <f>(-2500/7)*3.5</f>
        <v>-1250</v>
      </c>
      <c r="Q203" s="59">
        <v>0</v>
      </c>
      <c r="R203" s="59">
        <v>0</v>
      </c>
      <c r="S203" s="59">
        <v>0</v>
      </c>
      <c r="T203" s="59">
        <v>0</v>
      </c>
      <c r="U203" s="59">
        <v>0</v>
      </c>
      <c r="V203" s="59">
        <v>0</v>
      </c>
      <c r="W203" s="59">
        <f t="shared" si="18"/>
        <v>1.4500000000000455</v>
      </c>
      <c r="X203" s="59">
        <f t="shared" si="19"/>
        <v>1.4500000000000455</v>
      </c>
      <c r="Y203" s="59">
        <f t="shared" si="20"/>
        <v>0</v>
      </c>
      <c r="Z203" s="59">
        <v>0</v>
      </c>
      <c r="AA203" s="59">
        <f t="shared" si="23"/>
        <v>0</v>
      </c>
      <c r="AB203" s="59">
        <f t="shared" si="21"/>
        <v>1250</v>
      </c>
      <c r="AD203" s="59" t="s">
        <v>1446</v>
      </c>
      <c r="AF203" s="59"/>
    </row>
    <row r="204" spans="1:32" x14ac:dyDescent="0.3">
      <c r="A204" s="39">
        <v>4</v>
      </c>
      <c r="B204" s="41" t="s">
        <v>457</v>
      </c>
      <c r="C204" s="50" t="s">
        <v>672</v>
      </c>
      <c r="D204" s="50" t="s">
        <v>1226</v>
      </c>
      <c r="E204" s="50" t="s">
        <v>25</v>
      </c>
      <c r="F204" s="51" t="s">
        <v>25</v>
      </c>
      <c r="G204" s="50" t="s">
        <v>866</v>
      </c>
      <c r="H204" s="59">
        <v>4229.34</v>
      </c>
      <c r="I204" s="59">
        <v>-238.41</v>
      </c>
      <c r="J204" s="59">
        <v>0</v>
      </c>
      <c r="K204" s="59">
        <v>0</v>
      </c>
      <c r="L204" s="59">
        <v>0</v>
      </c>
      <c r="M204" s="59">
        <v>-15</v>
      </c>
      <c r="N204" s="59">
        <v>0</v>
      </c>
      <c r="O204" s="59">
        <f t="shared" si="22"/>
        <v>3975.9300000000003</v>
      </c>
      <c r="P204" s="59">
        <v>-2500</v>
      </c>
      <c r="Q204" s="59">
        <f>-1715*1.12</f>
        <v>-1920.8000000000002</v>
      </c>
      <c r="R204" s="59">
        <v>0</v>
      </c>
      <c r="S204" s="59">
        <v>0</v>
      </c>
      <c r="T204" s="59">
        <v>0</v>
      </c>
      <c r="U204" s="59">
        <v>0</v>
      </c>
      <c r="V204" s="59">
        <v>0</v>
      </c>
      <c r="W204" s="59">
        <f t="shared" si="18"/>
        <v>-444.86999999999989</v>
      </c>
      <c r="X204" s="59">
        <f t="shared" si="19"/>
        <v>0</v>
      </c>
      <c r="Y204" s="59">
        <f t="shared" si="20"/>
        <v>-444.86999999999989</v>
      </c>
      <c r="Z204" s="59">
        <v>0</v>
      </c>
      <c r="AA204" s="59">
        <f t="shared" si="23"/>
        <v>-444.86999999999989</v>
      </c>
      <c r="AB204" s="59">
        <f t="shared" si="21"/>
        <v>3531.0600000000004</v>
      </c>
      <c r="AD204" s="59" t="s">
        <v>1373</v>
      </c>
      <c r="AF204" s="59"/>
    </row>
    <row r="205" spans="1:32" x14ac:dyDescent="0.3">
      <c r="A205" s="39">
        <v>4</v>
      </c>
      <c r="B205" s="41" t="s">
        <v>457</v>
      </c>
      <c r="C205" s="50" t="s">
        <v>573</v>
      </c>
      <c r="D205" s="50" t="s">
        <v>1160</v>
      </c>
      <c r="E205" s="50" t="s">
        <v>25</v>
      </c>
      <c r="F205" s="51" t="s">
        <v>25</v>
      </c>
      <c r="G205" s="50" t="s">
        <v>866</v>
      </c>
      <c r="H205" s="59">
        <v>0</v>
      </c>
      <c r="I205" s="59">
        <v>0</v>
      </c>
      <c r="J205" s="59">
        <v>0</v>
      </c>
      <c r="K205" s="59">
        <v>0</v>
      </c>
      <c r="L205" s="59">
        <v>0</v>
      </c>
      <c r="M205" s="59">
        <v>0</v>
      </c>
      <c r="N205" s="59">
        <v>0</v>
      </c>
      <c r="O205" s="59">
        <f t="shared" si="22"/>
        <v>0</v>
      </c>
      <c r="P205" s="59">
        <v>0</v>
      </c>
      <c r="Q205" s="59">
        <v>0</v>
      </c>
      <c r="R205" s="59">
        <v>0</v>
      </c>
      <c r="S205" s="59">
        <v>0</v>
      </c>
      <c r="T205" s="59">
        <v>-500</v>
      </c>
      <c r="U205" s="59">
        <v>0</v>
      </c>
      <c r="V205" s="59">
        <v>0</v>
      </c>
      <c r="W205" s="59">
        <f t="shared" si="18"/>
        <v>-500</v>
      </c>
      <c r="X205" s="59">
        <f t="shared" si="19"/>
        <v>0</v>
      </c>
      <c r="Y205" s="59">
        <f t="shared" si="20"/>
        <v>-500</v>
      </c>
      <c r="Z205" s="59">
        <v>0</v>
      </c>
      <c r="AA205" s="59">
        <f t="shared" si="23"/>
        <v>-500</v>
      </c>
      <c r="AB205" s="59">
        <f t="shared" si="21"/>
        <v>-500</v>
      </c>
      <c r="AD205" s="59" t="s">
        <v>1374</v>
      </c>
      <c r="AF205" s="59"/>
    </row>
    <row r="206" spans="1:32" x14ac:dyDescent="0.3">
      <c r="A206" s="39">
        <v>4</v>
      </c>
      <c r="B206" s="41" t="s">
        <v>742</v>
      </c>
      <c r="C206" s="50" t="s">
        <v>573</v>
      </c>
      <c r="D206" s="50" t="s">
        <v>1160</v>
      </c>
      <c r="E206" s="50" t="s">
        <v>25</v>
      </c>
      <c r="F206" s="51" t="s">
        <v>25</v>
      </c>
      <c r="G206" s="50" t="s">
        <v>866</v>
      </c>
      <c r="H206" s="59">
        <v>6644.71</v>
      </c>
      <c r="I206" s="59">
        <v>-2588.39</v>
      </c>
      <c r="J206" s="59">
        <v>-72</v>
      </c>
      <c r="K206" s="59">
        <v>0</v>
      </c>
      <c r="L206" s="59">
        <v>-72.519999999999968</v>
      </c>
      <c r="M206" s="59">
        <v>-60</v>
      </c>
      <c r="N206" s="59">
        <v>0</v>
      </c>
      <c r="O206" s="59">
        <f t="shared" si="22"/>
        <v>3851.8</v>
      </c>
      <c r="P206" s="59">
        <v>-2500</v>
      </c>
      <c r="Q206" s="59">
        <f>-1196*1.12</f>
        <v>-1339.5200000000002</v>
      </c>
      <c r="R206" s="59">
        <v>-500</v>
      </c>
      <c r="S206" s="59">
        <v>0</v>
      </c>
      <c r="T206" s="59">
        <v>0</v>
      </c>
      <c r="U206" s="59">
        <v>-1500</v>
      </c>
      <c r="V206" s="59">
        <v>0</v>
      </c>
      <c r="W206" s="59">
        <f t="shared" si="18"/>
        <v>-1987.72</v>
      </c>
      <c r="X206" s="59">
        <f t="shared" si="19"/>
        <v>0</v>
      </c>
      <c r="Y206" s="59">
        <f t="shared" si="20"/>
        <v>-1987.72</v>
      </c>
      <c r="Z206" s="59">
        <v>0</v>
      </c>
      <c r="AA206" s="59">
        <f t="shared" si="23"/>
        <v>-1987.72</v>
      </c>
      <c r="AB206" s="59">
        <f t="shared" si="21"/>
        <v>1864.0800000000002</v>
      </c>
      <c r="AD206" s="59" t="s">
        <v>1342</v>
      </c>
      <c r="AF206" s="59"/>
    </row>
    <row r="207" spans="1:32" x14ac:dyDescent="0.3">
      <c r="A207" s="39">
        <v>4</v>
      </c>
      <c r="B207" s="41" t="s">
        <v>1403</v>
      </c>
      <c r="C207" s="50" t="s">
        <v>195</v>
      </c>
      <c r="D207" s="50" t="s">
        <v>1404</v>
      </c>
      <c r="E207" s="50" t="s">
        <v>871</v>
      </c>
      <c r="F207" s="51" t="s">
        <v>39</v>
      </c>
      <c r="G207" s="50" t="s">
        <v>866</v>
      </c>
      <c r="H207" s="59">
        <v>5150.8999999999996</v>
      </c>
      <c r="I207" s="59">
        <v>-2048.98</v>
      </c>
      <c r="J207" s="59">
        <v>0</v>
      </c>
      <c r="K207" s="59">
        <v>152.58000000000001</v>
      </c>
      <c r="L207" s="59">
        <v>0</v>
      </c>
      <c r="M207" s="59">
        <v>-60</v>
      </c>
      <c r="N207" s="59">
        <v>0</v>
      </c>
      <c r="O207" s="59">
        <f t="shared" si="22"/>
        <v>3194.4999999999995</v>
      </c>
      <c r="P207" s="59">
        <v>-2500</v>
      </c>
      <c r="Q207" s="59">
        <v>0</v>
      </c>
      <c r="R207" s="59">
        <v>-500</v>
      </c>
      <c r="S207" s="59">
        <v>0</v>
      </c>
      <c r="T207" s="59">
        <v>0</v>
      </c>
      <c r="U207" s="59">
        <v>0</v>
      </c>
      <c r="V207" s="59">
        <v>0</v>
      </c>
      <c r="W207" s="59">
        <f t="shared" si="18"/>
        <v>194.49999999999955</v>
      </c>
      <c r="X207" s="59">
        <f t="shared" si="19"/>
        <v>194.49999999999955</v>
      </c>
      <c r="Y207" s="59">
        <f t="shared" si="20"/>
        <v>0</v>
      </c>
      <c r="Z207" s="59">
        <v>0</v>
      </c>
      <c r="AA207" s="59">
        <f t="shared" si="23"/>
        <v>0</v>
      </c>
      <c r="AB207" s="59">
        <f t="shared" si="21"/>
        <v>3000</v>
      </c>
      <c r="AD207" s="59"/>
      <c r="AF207" s="59"/>
    </row>
    <row r="208" spans="1:32" x14ac:dyDescent="0.3">
      <c r="A208" s="39">
        <v>4</v>
      </c>
      <c r="B208" s="41" t="s">
        <v>913</v>
      </c>
      <c r="C208" s="50" t="s">
        <v>361</v>
      </c>
      <c r="D208" s="50" t="s">
        <v>1164</v>
      </c>
      <c r="E208" s="50" t="s">
        <v>25</v>
      </c>
      <c r="F208" s="51" t="s">
        <v>25</v>
      </c>
      <c r="G208" s="50" t="s">
        <v>866</v>
      </c>
      <c r="H208" s="59">
        <v>2359.11</v>
      </c>
      <c r="I208" s="59">
        <v>-1756.58</v>
      </c>
      <c r="J208" s="59">
        <v>0</v>
      </c>
      <c r="K208" s="59">
        <v>0</v>
      </c>
      <c r="L208" s="59">
        <v>0</v>
      </c>
      <c r="M208" s="59">
        <f>-9.5292-52</f>
        <v>-61.529200000000003</v>
      </c>
      <c r="N208" s="59">
        <v>-79.41</v>
      </c>
      <c r="O208" s="59">
        <f t="shared" si="22"/>
        <v>461.59080000000029</v>
      </c>
      <c r="P208" s="59">
        <v>-2700</v>
      </c>
      <c r="Q208" s="59">
        <f>-1109*1.12</f>
        <v>-1242.0800000000002</v>
      </c>
      <c r="R208" s="59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f t="shared" si="18"/>
        <v>-3480.4892</v>
      </c>
      <c r="X208" s="59">
        <f t="shared" si="19"/>
        <v>0</v>
      </c>
      <c r="Y208" s="59">
        <f t="shared" si="20"/>
        <v>-3480.4892</v>
      </c>
      <c r="Z208" s="59">
        <f>700+500</f>
        <v>1200</v>
      </c>
      <c r="AA208" s="59">
        <f t="shared" si="23"/>
        <v>-2280.4892</v>
      </c>
      <c r="AB208" s="59">
        <f t="shared" si="21"/>
        <v>-618.89839999999958</v>
      </c>
      <c r="AD208" s="59" t="s">
        <v>1447</v>
      </c>
      <c r="AF208" s="59"/>
    </row>
    <row r="209" spans="1:32" x14ac:dyDescent="0.3">
      <c r="A209" s="39">
        <v>4</v>
      </c>
      <c r="B209" s="41" t="s">
        <v>913</v>
      </c>
      <c r="C209" s="50" t="s">
        <v>120</v>
      </c>
      <c r="D209" s="50" t="s">
        <v>950</v>
      </c>
      <c r="E209" s="50" t="s">
        <v>25</v>
      </c>
      <c r="F209" s="51" t="s">
        <v>25</v>
      </c>
      <c r="G209" s="50" t="s">
        <v>866</v>
      </c>
      <c r="H209" s="59">
        <v>0</v>
      </c>
      <c r="I209" s="59">
        <v>0</v>
      </c>
      <c r="J209" s="59">
        <v>0</v>
      </c>
      <c r="K209" s="59">
        <v>0</v>
      </c>
      <c r="L209" s="59">
        <v>0</v>
      </c>
      <c r="M209" s="59">
        <v>0</v>
      </c>
      <c r="N209" s="59">
        <v>0</v>
      </c>
      <c r="O209" s="59">
        <f t="shared" si="22"/>
        <v>0</v>
      </c>
      <c r="P209" s="59">
        <v>0</v>
      </c>
      <c r="Q209" s="59">
        <v>0</v>
      </c>
      <c r="R209" s="59">
        <v>0</v>
      </c>
      <c r="S209" s="59">
        <v>0</v>
      </c>
      <c r="T209" s="59">
        <v>-500</v>
      </c>
      <c r="U209" s="59">
        <v>0</v>
      </c>
      <c r="V209" s="59">
        <v>0</v>
      </c>
      <c r="W209" s="59">
        <f t="shared" si="18"/>
        <v>-500</v>
      </c>
      <c r="X209" s="59">
        <f t="shared" si="19"/>
        <v>0</v>
      </c>
      <c r="Y209" s="59">
        <f t="shared" si="20"/>
        <v>-500</v>
      </c>
      <c r="Z209" s="59">
        <v>500</v>
      </c>
      <c r="AA209" s="59">
        <f t="shared" si="23"/>
        <v>0</v>
      </c>
      <c r="AB209" s="59">
        <f t="shared" si="21"/>
        <v>500</v>
      </c>
      <c r="AD209" s="59"/>
      <c r="AF209" s="59"/>
    </row>
    <row r="210" spans="1:32" x14ac:dyDescent="0.3">
      <c r="A210" s="39">
        <v>4</v>
      </c>
      <c r="B210" s="41" t="s">
        <v>1310</v>
      </c>
      <c r="C210" s="50" t="s">
        <v>101</v>
      </c>
      <c r="D210" s="50" t="s">
        <v>945</v>
      </c>
      <c r="E210" s="50" t="s">
        <v>25</v>
      </c>
      <c r="F210" s="51" t="s">
        <v>25</v>
      </c>
      <c r="G210" s="50" t="s">
        <v>866</v>
      </c>
      <c r="H210" s="59">
        <v>4861.72</v>
      </c>
      <c r="I210" s="59">
        <v>-1401.2300000000002</v>
      </c>
      <c r="J210" s="59">
        <v>-32</v>
      </c>
      <c r="K210" s="59">
        <v>0</v>
      </c>
      <c r="L210" s="59">
        <v>0</v>
      </c>
      <c r="M210" s="59">
        <f>-2.8092-52</f>
        <v>-54.809199999999997</v>
      </c>
      <c r="N210" s="59">
        <v>-23.410000000000025</v>
      </c>
      <c r="O210" s="59">
        <f t="shared" si="22"/>
        <v>3350.2707999999998</v>
      </c>
      <c r="P210" s="59">
        <v>-2500</v>
      </c>
      <c r="Q210" s="59">
        <v>0</v>
      </c>
      <c r="R210" s="59">
        <v>-500</v>
      </c>
      <c r="S210" s="59">
        <v>0</v>
      </c>
      <c r="T210" s="59">
        <v>0</v>
      </c>
      <c r="U210" s="59">
        <v>0</v>
      </c>
      <c r="V210" s="59">
        <v>0</v>
      </c>
      <c r="W210" s="59">
        <f t="shared" si="18"/>
        <v>350.27079999999978</v>
      </c>
      <c r="X210" s="59">
        <f t="shared" si="19"/>
        <v>350.27079999999978</v>
      </c>
      <c r="Y210" s="59">
        <f t="shared" si="20"/>
        <v>0</v>
      </c>
      <c r="Z210" s="59">
        <v>0</v>
      </c>
      <c r="AA210" s="59">
        <f t="shared" si="23"/>
        <v>0</v>
      </c>
      <c r="AB210" s="59">
        <f t="shared" si="21"/>
        <v>3000</v>
      </c>
      <c r="AD210" s="59" t="s">
        <v>1365</v>
      </c>
      <c r="AF210" s="59"/>
    </row>
    <row r="211" spans="1:32" x14ac:dyDescent="0.3">
      <c r="A211" s="39">
        <v>4</v>
      </c>
      <c r="B211" s="41" t="s">
        <v>1151</v>
      </c>
      <c r="C211" s="50" t="s">
        <v>1285</v>
      </c>
      <c r="D211" s="50" t="s">
        <v>1340</v>
      </c>
      <c r="E211" s="50" t="s">
        <v>25</v>
      </c>
      <c r="F211" s="51" t="s">
        <v>25</v>
      </c>
      <c r="G211" s="50" t="s">
        <v>866</v>
      </c>
      <c r="H211" s="59">
        <v>4737.03</v>
      </c>
      <c r="I211" s="59">
        <v>0</v>
      </c>
      <c r="J211" s="59">
        <v>-48</v>
      </c>
      <c r="K211" s="59">
        <v>0</v>
      </c>
      <c r="L211" s="59">
        <v>0</v>
      </c>
      <c r="M211" s="59">
        <v>0</v>
      </c>
      <c r="N211" s="59">
        <v>0</v>
      </c>
      <c r="O211" s="59">
        <f t="shared" si="22"/>
        <v>4689.03</v>
      </c>
      <c r="P211" s="59">
        <v>-2700</v>
      </c>
      <c r="Q211" s="59">
        <v>0</v>
      </c>
      <c r="R211" s="59">
        <v>-500</v>
      </c>
      <c r="S211" s="59">
        <v>0</v>
      </c>
      <c r="T211" s="59">
        <v>0</v>
      </c>
      <c r="U211" s="59">
        <v>0</v>
      </c>
      <c r="V211" s="59">
        <v>0</v>
      </c>
      <c r="W211" s="59">
        <f t="shared" si="18"/>
        <v>1489.0299999999997</v>
      </c>
      <c r="X211" s="59">
        <f t="shared" si="19"/>
        <v>1489.0299999999997</v>
      </c>
      <c r="Y211" s="59">
        <f t="shared" si="20"/>
        <v>0</v>
      </c>
      <c r="Z211" s="59">
        <v>0</v>
      </c>
      <c r="AA211" s="59">
        <f t="shared" si="23"/>
        <v>0</v>
      </c>
      <c r="AB211" s="59">
        <f t="shared" si="21"/>
        <v>3200</v>
      </c>
      <c r="AD211" s="59" t="s">
        <v>1385</v>
      </c>
      <c r="AF211" s="59"/>
    </row>
    <row r="212" spans="1:32" x14ac:dyDescent="0.3">
      <c r="A212" s="39">
        <v>4</v>
      </c>
      <c r="B212" s="41" t="s">
        <v>1141</v>
      </c>
      <c r="C212" s="50" t="s">
        <v>120</v>
      </c>
      <c r="D212" s="50" t="s">
        <v>950</v>
      </c>
      <c r="E212" s="50" t="s">
        <v>25</v>
      </c>
      <c r="F212" s="51" t="s">
        <v>25</v>
      </c>
      <c r="G212" s="50" t="s">
        <v>866</v>
      </c>
      <c r="H212" s="59">
        <v>906.13</v>
      </c>
      <c r="I212" s="59">
        <v>-259.78999999999996</v>
      </c>
      <c r="J212" s="59">
        <v>0</v>
      </c>
      <c r="K212" s="59">
        <v>0</v>
      </c>
      <c r="L212" s="59">
        <v>0</v>
      </c>
      <c r="M212" s="59">
        <v>-10</v>
      </c>
      <c r="N212" s="59">
        <v>0</v>
      </c>
      <c r="O212" s="59">
        <f t="shared" si="22"/>
        <v>636.34</v>
      </c>
      <c r="P212" s="59">
        <v>-2500</v>
      </c>
      <c r="Q212" s="59">
        <v>0</v>
      </c>
      <c r="R212" s="59">
        <v>-500</v>
      </c>
      <c r="S212" s="59">
        <v>0</v>
      </c>
      <c r="T212" s="59">
        <v>0</v>
      </c>
      <c r="U212" s="59">
        <v>0</v>
      </c>
      <c r="V212" s="59">
        <v>0</v>
      </c>
      <c r="W212" s="59">
        <f t="shared" si="18"/>
        <v>-2363.66</v>
      </c>
      <c r="X212" s="59">
        <f t="shared" si="19"/>
        <v>0</v>
      </c>
      <c r="Y212" s="59">
        <f t="shared" si="20"/>
        <v>-2363.66</v>
      </c>
      <c r="Z212" s="59">
        <f>7+2364</f>
        <v>2371</v>
      </c>
      <c r="AA212" s="59">
        <f t="shared" si="23"/>
        <v>7.3400000000001455</v>
      </c>
      <c r="AB212" s="59">
        <f t="shared" si="21"/>
        <v>3014.6800000000003</v>
      </c>
      <c r="AD212" s="59" t="s">
        <v>1448</v>
      </c>
      <c r="AF212" s="59"/>
    </row>
    <row r="213" spans="1:32" x14ac:dyDescent="0.3">
      <c r="A213" s="39">
        <v>4</v>
      </c>
      <c r="B213" s="41" t="s">
        <v>1449</v>
      </c>
      <c r="C213" s="50" t="s">
        <v>123</v>
      </c>
      <c r="D213" s="50" t="s">
        <v>1450</v>
      </c>
      <c r="E213" s="50" t="s">
        <v>871</v>
      </c>
      <c r="F213" s="51" t="s">
        <v>39</v>
      </c>
      <c r="G213" s="50" t="s">
        <v>866</v>
      </c>
      <c r="H213" s="59">
        <v>1588.8</v>
      </c>
      <c r="I213" s="59">
        <v>0</v>
      </c>
      <c r="J213" s="59">
        <v>0</v>
      </c>
      <c r="K213" s="59">
        <v>0</v>
      </c>
      <c r="L213" s="59">
        <v>0</v>
      </c>
      <c r="M213" s="59">
        <v>0</v>
      </c>
      <c r="N213" s="59">
        <v>0</v>
      </c>
      <c r="O213" s="59">
        <f t="shared" si="22"/>
        <v>1588.8</v>
      </c>
      <c r="P213" s="59">
        <f>(-2500/7)*1.5</f>
        <v>-535.71428571428578</v>
      </c>
      <c r="Q213" s="59">
        <v>0</v>
      </c>
      <c r="R213" s="59">
        <f>-107</f>
        <v>-107</v>
      </c>
      <c r="S213" s="59">
        <v>0</v>
      </c>
      <c r="T213" s="59">
        <v>0</v>
      </c>
      <c r="U213" s="59">
        <v>0</v>
      </c>
      <c r="V213" s="59">
        <v>0</v>
      </c>
      <c r="W213" s="59">
        <f t="shared" si="18"/>
        <v>946.08571428571418</v>
      </c>
      <c r="X213" s="59">
        <f t="shared" si="19"/>
        <v>946.08571428571418</v>
      </c>
      <c r="Y213" s="59">
        <f t="shared" si="20"/>
        <v>0</v>
      </c>
      <c r="Z213" s="59">
        <v>0</v>
      </c>
      <c r="AA213" s="59">
        <f t="shared" si="23"/>
        <v>0</v>
      </c>
      <c r="AB213" s="59">
        <f t="shared" si="21"/>
        <v>642.71428571428578</v>
      </c>
      <c r="AC213" s="59">
        <v>2000</v>
      </c>
      <c r="AD213" s="59" t="s">
        <v>1451</v>
      </c>
      <c r="AF213" s="59"/>
    </row>
    <row r="214" spans="1:32" x14ac:dyDescent="0.3">
      <c r="A214" s="39">
        <v>4</v>
      </c>
      <c r="B214" s="41" t="s">
        <v>1029</v>
      </c>
      <c r="C214" s="50" t="s">
        <v>68</v>
      </c>
      <c r="D214" s="50" t="s">
        <v>869</v>
      </c>
      <c r="E214" s="50" t="s">
        <v>25</v>
      </c>
      <c r="F214" s="51" t="s">
        <v>25</v>
      </c>
      <c r="G214" s="50" t="s">
        <v>866</v>
      </c>
      <c r="H214" s="59">
        <v>5051.8999999999996</v>
      </c>
      <c r="I214" s="59">
        <v>-1322.94</v>
      </c>
      <c r="J214" s="59">
        <v>0</v>
      </c>
      <c r="K214" s="59">
        <v>0</v>
      </c>
      <c r="L214" s="59">
        <v>-45.070000000000007</v>
      </c>
      <c r="M214" s="59">
        <v>-50</v>
      </c>
      <c r="N214" s="59">
        <v>0</v>
      </c>
      <c r="O214" s="59">
        <f t="shared" si="22"/>
        <v>3633.8899999999994</v>
      </c>
      <c r="P214" s="59">
        <v>-2500</v>
      </c>
      <c r="Q214" s="59">
        <v>0</v>
      </c>
      <c r="R214" s="59">
        <v>0</v>
      </c>
      <c r="S214" s="59">
        <v>0</v>
      </c>
      <c r="T214" s="59">
        <v>-600</v>
      </c>
      <c r="U214" s="59">
        <v>0</v>
      </c>
      <c r="V214" s="59">
        <v>0</v>
      </c>
      <c r="W214" s="59">
        <f t="shared" si="18"/>
        <v>533.88999999999942</v>
      </c>
      <c r="X214" s="59">
        <f t="shared" si="19"/>
        <v>533.88999999999942</v>
      </c>
      <c r="Y214" s="59">
        <f t="shared" si="20"/>
        <v>0</v>
      </c>
      <c r="Z214" s="59">
        <v>0</v>
      </c>
      <c r="AA214" s="59">
        <f t="shared" si="23"/>
        <v>0</v>
      </c>
      <c r="AB214" s="59">
        <f t="shared" si="21"/>
        <v>3100</v>
      </c>
      <c r="AD214" s="59" t="s">
        <v>1452</v>
      </c>
      <c r="AF214" s="59"/>
    </row>
    <row r="215" spans="1:32" x14ac:dyDescent="0.3">
      <c r="A215" s="39">
        <v>4</v>
      </c>
      <c r="B215" s="41" t="s">
        <v>604</v>
      </c>
      <c r="C215" s="50" t="s">
        <v>605</v>
      </c>
      <c r="D215" s="50" t="s">
        <v>1223</v>
      </c>
      <c r="E215" s="50" t="s">
        <v>25</v>
      </c>
      <c r="F215" s="51" t="s">
        <v>25</v>
      </c>
      <c r="G215" s="50" t="s">
        <v>866</v>
      </c>
      <c r="H215" s="59">
        <v>1986.57</v>
      </c>
      <c r="I215" s="59">
        <v>-1219.5100000000002</v>
      </c>
      <c r="J215" s="59">
        <v>0</v>
      </c>
      <c r="K215" s="59">
        <v>0</v>
      </c>
      <c r="L215" s="59">
        <v>0</v>
      </c>
      <c r="M215" s="59">
        <v>-52</v>
      </c>
      <c r="N215" s="59">
        <v>0</v>
      </c>
      <c r="O215" s="59">
        <f t="shared" si="22"/>
        <v>715.05999999999972</v>
      </c>
      <c r="P215" s="59">
        <v>-2700</v>
      </c>
      <c r="Q215" s="59">
        <v>0</v>
      </c>
      <c r="R215" s="59">
        <v>0</v>
      </c>
      <c r="S215" s="59">
        <v>0</v>
      </c>
      <c r="T215" s="59">
        <v>0</v>
      </c>
      <c r="U215" s="59">
        <v>0</v>
      </c>
      <c r="V215" s="59">
        <v>0</v>
      </c>
      <c r="W215" s="59">
        <f t="shared" si="18"/>
        <v>-1984.9400000000003</v>
      </c>
      <c r="X215" s="59">
        <f t="shared" si="19"/>
        <v>0</v>
      </c>
      <c r="Y215" s="59">
        <f t="shared" si="20"/>
        <v>-1984.9400000000003</v>
      </c>
      <c r="Z215" s="59">
        <v>0</v>
      </c>
      <c r="AA215" s="59">
        <f t="shared" si="23"/>
        <v>-1984.9400000000003</v>
      </c>
      <c r="AB215" s="59">
        <f t="shared" si="21"/>
        <v>-1269.8800000000006</v>
      </c>
      <c r="AD215" s="59" t="s">
        <v>1368</v>
      </c>
      <c r="AF215" s="59"/>
    </row>
    <row r="216" spans="1:32" x14ac:dyDescent="0.3">
      <c r="A216" s="39">
        <v>4</v>
      </c>
      <c r="B216" s="41" t="s">
        <v>1453</v>
      </c>
      <c r="C216" s="50" t="s">
        <v>814</v>
      </c>
      <c r="D216" s="50" t="s">
        <v>1564</v>
      </c>
      <c r="E216" s="50" t="s">
        <v>25</v>
      </c>
      <c r="F216" s="51" t="s">
        <v>25</v>
      </c>
      <c r="G216" s="50" t="s">
        <v>866</v>
      </c>
      <c r="H216" s="59">
        <v>5680.72</v>
      </c>
      <c r="I216" s="59">
        <v>-2117.98</v>
      </c>
      <c r="J216" s="59">
        <v>-32</v>
      </c>
      <c r="K216" s="59">
        <v>0</v>
      </c>
      <c r="L216" s="59">
        <v>0</v>
      </c>
      <c r="M216" s="59">
        <v>-65</v>
      </c>
      <c r="N216" s="59">
        <v>0</v>
      </c>
      <c r="O216" s="59">
        <f t="shared" si="22"/>
        <v>3465.7400000000002</v>
      </c>
      <c r="P216" s="59">
        <f>(-2600/7)*4.5</f>
        <v>-1671.4285714285716</v>
      </c>
      <c r="Q216" s="59">
        <v>0</v>
      </c>
      <c r="R216" s="59">
        <v>-321</v>
      </c>
      <c r="S216" s="59">
        <v>0</v>
      </c>
      <c r="T216" s="59">
        <v>0</v>
      </c>
      <c r="U216" s="59">
        <v>0</v>
      </c>
      <c r="V216" s="59">
        <v>0</v>
      </c>
      <c r="W216" s="59">
        <f t="shared" si="18"/>
        <v>1473.3114285714287</v>
      </c>
      <c r="X216" s="59">
        <f t="shared" si="19"/>
        <v>1473.3114285714287</v>
      </c>
      <c r="Y216" s="59">
        <f t="shared" si="20"/>
        <v>0</v>
      </c>
      <c r="Z216" s="59">
        <v>0</v>
      </c>
      <c r="AA216" s="59">
        <f t="shared" si="23"/>
        <v>0</v>
      </c>
      <c r="AB216" s="59">
        <f t="shared" si="21"/>
        <v>1992.4285714285716</v>
      </c>
      <c r="AC216" s="59">
        <v>2000</v>
      </c>
      <c r="AD216" s="59" t="s">
        <v>1413</v>
      </c>
      <c r="AF216" s="59"/>
    </row>
    <row r="217" spans="1:32" x14ac:dyDescent="0.3">
      <c r="A217" s="39">
        <v>4</v>
      </c>
      <c r="B217" s="41" t="s">
        <v>944</v>
      </c>
      <c r="C217" s="50" t="s">
        <v>372</v>
      </c>
      <c r="D217" s="50" t="s">
        <v>1004</v>
      </c>
      <c r="E217" s="50" t="s">
        <v>39</v>
      </c>
      <c r="F217" s="51" t="s">
        <v>39</v>
      </c>
      <c r="G217" s="50" t="s">
        <v>866</v>
      </c>
      <c r="H217" s="59">
        <v>5320.39</v>
      </c>
      <c r="I217" s="59">
        <v>-1904.2500000000002</v>
      </c>
      <c r="J217" s="59">
        <v>0</v>
      </c>
      <c r="K217" s="59">
        <v>0</v>
      </c>
      <c r="L217" s="59">
        <v>0</v>
      </c>
      <c r="M217" s="59">
        <v>-55</v>
      </c>
      <c r="N217" s="59">
        <v>0</v>
      </c>
      <c r="O217" s="59">
        <f t="shared" si="22"/>
        <v>3361.1400000000003</v>
      </c>
      <c r="P217" s="59">
        <v>-2500</v>
      </c>
      <c r="Q217" s="59">
        <v>0</v>
      </c>
      <c r="R217" s="59">
        <v>0</v>
      </c>
      <c r="S217" s="59">
        <v>0</v>
      </c>
      <c r="T217" s="59">
        <v>0</v>
      </c>
      <c r="U217" s="59">
        <v>0</v>
      </c>
      <c r="V217" s="59">
        <v>0</v>
      </c>
      <c r="W217" s="59">
        <f t="shared" si="18"/>
        <v>861.14000000000033</v>
      </c>
      <c r="X217" s="59">
        <f t="shared" si="19"/>
        <v>861.14000000000033</v>
      </c>
      <c r="Y217" s="59">
        <f t="shared" si="20"/>
        <v>0</v>
      </c>
      <c r="Z217" s="59">
        <v>0</v>
      </c>
      <c r="AA217" s="59">
        <f t="shared" si="23"/>
        <v>0</v>
      </c>
      <c r="AB217" s="59">
        <f t="shared" si="21"/>
        <v>2500</v>
      </c>
      <c r="AD217" s="59" t="s">
        <v>1352</v>
      </c>
      <c r="AF217" s="59"/>
    </row>
    <row r="218" spans="1:32" x14ac:dyDescent="0.3">
      <c r="A218" s="39">
        <v>4</v>
      </c>
      <c r="B218" s="41" t="s">
        <v>1454</v>
      </c>
      <c r="C218" s="50" t="s">
        <v>152</v>
      </c>
      <c r="E218" s="50" t="s">
        <v>25</v>
      </c>
      <c r="F218" s="51" t="s">
        <v>25</v>
      </c>
      <c r="G218" s="50" t="s">
        <v>866</v>
      </c>
      <c r="H218" s="59">
        <v>1822.85</v>
      </c>
      <c r="I218" s="59">
        <v>-439.67</v>
      </c>
      <c r="J218" s="59">
        <v>0</v>
      </c>
      <c r="K218" s="59">
        <v>0</v>
      </c>
      <c r="L218" s="59">
        <v>0</v>
      </c>
      <c r="M218" s="59">
        <v>-35</v>
      </c>
      <c r="N218" s="59">
        <v>0</v>
      </c>
      <c r="O218" s="59">
        <f t="shared" si="22"/>
        <v>1348.1799999999998</v>
      </c>
      <c r="P218" s="59">
        <f>(-2500/7)*3</f>
        <v>-1071.4285714285716</v>
      </c>
      <c r="Q218" s="59">
        <v>0</v>
      </c>
      <c r="R218" s="59">
        <v>-214</v>
      </c>
      <c r="S218" s="59">
        <v>0</v>
      </c>
      <c r="T218" s="59">
        <v>0</v>
      </c>
      <c r="U218" s="59">
        <v>0</v>
      </c>
      <c r="V218" s="59">
        <v>0</v>
      </c>
      <c r="W218" s="59">
        <f t="shared" si="18"/>
        <v>62.751428571428278</v>
      </c>
      <c r="X218" s="59">
        <f t="shared" si="19"/>
        <v>62.751428571428278</v>
      </c>
      <c r="Y218" s="59">
        <f t="shared" si="20"/>
        <v>0</v>
      </c>
      <c r="Z218" s="59">
        <v>0</v>
      </c>
      <c r="AA218" s="59">
        <f t="shared" si="23"/>
        <v>0</v>
      </c>
      <c r="AB218" s="59">
        <f t="shared" si="21"/>
        <v>1285.4285714285716</v>
      </c>
      <c r="AC218" s="59">
        <v>2000</v>
      </c>
      <c r="AD218" s="59" t="s">
        <v>1455</v>
      </c>
      <c r="AF218" s="59"/>
    </row>
    <row r="219" spans="1:32" x14ac:dyDescent="0.3">
      <c r="A219" s="39">
        <v>4</v>
      </c>
      <c r="B219" s="41" t="s">
        <v>1456</v>
      </c>
      <c r="C219" s="50" t="s">
        <v>563</v>
      </c>
      <c r="E219" s="50" t="s">
        <v>25</v>
      </c>
      <c r="F219" s="51" t="s">
        <v>25</v>
      </c>
      <c r="G219" s="50" t="s">
        <v>866</v>
      </c>
      <c r="H219" s="59">
        <v>2111.48</v>
      </c>
      <c r="I219" s="59">
        <v>-1870.4400000000003</v>
      </c>
      <c r="J219" s="59">
        <v>0</v>
      </c>
      <c r="K219" s="59">
        <v>0</v>
      </c>
      <c r="L219" s="59">
        <v>0</v>
      </c>
      <c r="M219" s="59">
        <v>-55</v>
      </c>
      <c r="N219" s="59">
        <v>0</v>
      </c>
      <c r="O219" s="59">
        <f t="shared" si="22"/>
        <v>186.03999999999974</v>
      </c>
      <c r="P219" s="59">
        <f>(-2500/7)*5</f>
        <v>-1785.7142857142858</v>
      </c>
      <c r="Q219" s="59">
        <v>0</v>
      </c>
      <c r="R219" s="59">
        <f>-1857.14285714286+1500</f>
        <v>-357.14285714286007</v>
      </c>
      <c r="S219" s="59">
        <v>0</v>
      </c>
      <c r="T219" s="59">
        <v>0</v>
      </c>
      <c r="U219" s="59">
        <v>0</v>
      </c>
      <c r="V219" s="59">
        <v>0</v>
      </c>
      <c r="W219" s="59">
        <f t="shared" si="18"/>
        <v>-1956.8171428571461</v>
      </c>
      <c r="X219" s="59">
        <f t="shared" si="19"/>
        <v>0</v>
      </c>
      <c r="Y219" s="59">
        <f t="shared" si="20"/>
        <v>-1956.8171428571461</v>
      </c>
      <c r="Z219" s="59">
        <f>1200+700</f>
        <v>1900</v>
      </c>
      <c r="AA219" s="59">
        <f t="shared" si="23"/>
        <v>-56.817142857146109</v>
      </c>
      <c r="AB219" s="59">
        <f t="shared" si="21"/>
        <v>2029.2228571428539</v>
      </c>
      <c r="AC219" s="59">
        <v>1500</v>
      </c>
      <c r="AD219" s="59" t="s">
        <v>1457</v>
      </c>
      <c r="AF219" s="59"/>
    </row>
    <row r="220" spans="1:32" x14ac:dyDescent="0.3">
      <c r="A220" s="39">
        <v>4</v>
      </c>
      <c r="B220" s="41" t="s">
        <v>837</v>
      </c>
      <c r="C220" s="50" t="s">
        <v>357</v>
      </c>
      <c r="D220" s="50" t="s">
        <v>1150</v>
      </c>
      <c r="E220" s="50" t="s">
        <v>25</v>
      </c>
      <c r="F220" s="51" t="s">
        <v>25</v>
      </c>
      <c r="G220" s="50" t="s">
        <v>866</v>
      </c>
      <c r="H220" s="59">
        <v>4427.37</v>
      </c>
      <c r="I220" s="59">
        <v>0</v>
      </c>
      <c r="J220" s="59">
        <v>0</v>
      </c>
      <c r="K220" s="59">
        <v>0</v>
      </c>
      <c r="L220" s="59">
        <v>0</v>
      </c>
      <c r="M220" s="59">
        <v>-15</v>
      </c>
      <c r="N220" s="59">
        <v>0</v>
      </c>
      <c r="O220" s="59">
        <f t="shared" si="22"/>
        <v>4412.37</v>
      </c>
      <c r="P220" s="59">
        <v>-2700</v>
      </c>
      <c r="Q220" s="59">
        <v>0</v>
      </c>
      <c r="R220" s="59">
        <v>0</v>
      </c>
      <c r="S220" s="59">
        <v>0</v>
      </c>
      <c r="T220" s="59">
        <v>0</v>
      </c>
      <c r="U220" s="59">
        <v>0</v>
      </c>
      <c r="V220" s="59">
        <v>0</v>
      </c>
      <c r="W220" s="59">
        <f t="shared" si="18"/>
        <v>1712.37</v>
      </c>
      <c r="X220" s="59">
        <f t="shared" si="19"/>
        <v>1712.37</v>
      </c>
      <c r="Y220" s="59">
        <f t="shared" si="20"/>
        <v>0</v>
      </c>
      <c r="Z220" s="59">
        <v>0</v>
      </c>
      <c r="AA220" s="59">
        <f t="shared" si="23"/>
        <v>0</v>
      </c>
      <c r="AB220" s="59">
        <f t="shared" si="21"/>
        <v>2700</v>
      </c>
      <c r="AD220" s="59"/>
      <c r="AF220" s="59"/>
    </row>
    <row r="221" spans="1:32" x14ac:dyDescent="0.3">
      <c r="A221" s="39">
        <v>4</v>
      </c>
      <c r="B221" s="41" t="s">
        <v>585</v>
      </c>
      <c r="C221" s="50" t="s">
        <v>42</v>
      </c>
      <c r="D221" s="50" t="s">
        <v>948</v>
      </c>
      <c r="E221" s="50" t="s">
        <v>25</v>
      </c>
      <c r="F221" s="51" t="s">
        <v>25</v>
      </c>
      <c r="G221" s="50" t="s">
        <v>866</v>
      </c>
      <c r="H221" s="59">
        <v>0</v>
      </c>
      <c r="I221" s="59">
        <v>0</v>
      </c>
      <c r="J221" s="59">
        <v>0</v>
      </c>
      <c r="K221" s="59">
        <v>0</v>
      </c>
      <c r="L221" s="59">
        <v>0</v>
      </c>
      <c r="M221" s="59">
        <v>0</v>
      </c>
      <c r="N221" s="59">
        <v>0</v>
      </c>
      <c r="O221" s="59">
        <f t="shared" si="22"/>
        <v>0</v>
      </c>
      <c r="P221" s="59">
        <v>-2500</v>
      </c>
      <c r="Q221" s="59">
        <v>0</v>
      </c>
      <c r="R221" s="59">
        <v>0</v>
      </c>
      <c r="S221" s="59">
        <v>0</v>
      </c>
      <c r="T221" s="59">
        <v>0</v>
      </c>
      <c r="U221" s="59">
        <v>0</v>
      </c>
      <c r="V221" s="59">
        <v>0</v>
      </c>
      <c r="W221" s="59">
        <f t="shared" si="18"/>
        <v>-2500</v>
      </c>
      <c r="X221" s="59">
        <f t="shared" si="19"/>
        <v>0</v>
      </c>
      <c r="Y221" s="59">
        <f t="shared" si="20"/>
        <v>-2500</v>
      </c>
      <c r="Z221" s="59">
        <v>2500</v>
      </c>
      <c r="AA221" s="59">
        <f t="shared" si="23"/>
        <v>0</v>
      </c>
      <c r="AB221" s="59">
        <f t="shared" si="21"/>
        <v>2500</v>
      </c>
      <c r="AD221" s="59" t="s">
        <v>1458</v>
      </c>
      <c r="AF221" s="59"/>
    </row>
    <row r="222" spans="1:32" x14ac:dyDescent="0.3">
      <c r="A222" s="39">
        <v>4</v>
      </c>
      <c r="B222" s="41" t="s">
        <v>1062</v>
      </c>
      <c r="C222" s="50" t="s">
        <v>360</v>
      </c>
      <c r="D222" s="50" t="s">
        <v>1158</v>
      </c>
      <c r="E222" s="50" t="s">
        <v>25</v>
      </c>
      <c r="F222" s="51" t="s">
        <v>25</v>
      </c>
      <c r="G222" s="50" t="s">
        <v>866</v>
      </c>
      <c r="H222" s="59">
        <v>9334.27</v>
      </c>
      <c r="I222" s="59">
        <v>-4432.91</v>
      </c>
      <c r="J222" s="59">
        <v>-24</v>
      </c>
      <c r="K222" s="59">
        <v>0</v>
      </c>
      <c r="L222" s="59">
        <v>0</v>
      </c>
      <c r="M222" s="59">
        <v>-75</v>
      </c>
      <c r="N222" s="59">
        <v>0</v>
      </c>
      <c r="O222" s="59">
        <f t="shared" si="22"/>
        <v>4802.3600000000006</v>
      </c>
      <c r="P222" s="59">
        <v>-2700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59">
        <v>0</v>
      </c>
      <c r="W222" s="59">
        <f t="shared" si="18"/>
        <v>2102.3600000000006</v>
      </c>
      <c r="X222" s="59">
        <f t="shared" si="19"/>
        <v>2102.3600000000006</v>
      </c>
      <c r="Y222" s="59">
        <f t="shared" si="20"/>
        <v>0</v>
      </c>
      <c r="Z222" s="59">
        <v>0</v>
      </c>
      <c r="AA222" s="59">
        <f t="shared" si="23"/>
        <v>0</v>
      </c>
      <c r="AB222" s="59">
        <f t="shared" si="21"/>
        <v>2700</v>
      </c>
      <c r="AD222" s="59"/>
      <c r="AF222" s="59"/>
    </row>
    <row r="223" spans="1:32" ht="12.75" customHeight="1" x14ac:dyDescent="0.3">
      <c r="A223" s="39">
        <v>5</v>
      </c>
      <c r="B223" s="41" t="s">
        <v>1003</v>
      </c>
      <c r="C223" s="50" t="s">
        <v>1409</v>
      </c>
      <c r="D223" s="50" t="s">
        <v>967</v>
      </c>
      <c r="E223" s="50" t="s">
        <v>25</v>
      </c>
      <c r="F223" s="51" t="s">
        <v>25</v>
      </c>
      <c r="G223" s="50" t="s">
        <v>866</v>
      </c>
      <c r="H223" s="59">
        <v>3050.2</v>
      </c>
      <c r="I223" s="59">
        <v>-22.45</v>
      </c>
      <c r="J223" s="59">
        <v>0</v>
      </c>
      <c r="K223" s="59">
        <v>0</v>
      </c>
      <c r="L223" s="59">
        <v>0</v>
      </c>
      <c r="M223" s="59">
        <v>-7.9005448460928864</v>
      </c>
      <c r="N223" s="59">
        <v>-62</v>
      </c>
      <c r="O223" s="59">
        <f t="shared" si="22"/>
        <v>2957.849455153907</v>
      </c>
      <c r="P223" s="59">
        <v>-2500</v>
      </c>
      <c r="Q223" s="59">
        <v>0</v>
      </c>
      <c r="R223" s="59">
        <v>0</v>
      </c>
      <c r="S223" s="59">
        <v>0</v>
      </c>
      <c r="T223" s="59">
        <v>-2500</v>
      </c>
      <c r="U223" s="59">
        <v>2500</v>
      </c>
      <c r="V223" s="59">
        <v>0</v>
      </c>
      <c r="W223" s="59">
        <f t="shared" si="18"/>
        <v>457.849455153907</v>
      </c>
      <c r="X223" s="59">
        <f t="shared" si="19"/>
        <v>457.849455153907</v>
      </c>
      <c r="Y223" s="59">
        <f t="shared" si="20"/>
        <v>0</v>
      </c>
      <c r="Z223" s="59">
        <v>0</v>
      </c>
      <c r="AA223" s="59">
        <f t="shared" si="23"/>
        <v>0</v>
      </c>
      <c r="AB223" s="59">
        <f t="shared" si="21"/>
        <v>2500</v>
      </c>
      <c r="AD223" s="59" t="s">
        <v>1459</v>
      </c>
      <c r="AF223" s="59"/>
    </row>
    <row r="224" spans="1:32" ht="12.75" customHeight="1" x14ac:dyDescent="0.3">
      <c r="A224" s="39">
        <v>5</v>
      </c>
      <c r="B224" s="41" t="s">
        <v>1412</v>
      </c>
      <c r="C224" s="50" t="s">
        <v>774</v>
      </c>
      <c r="E224" s="50" t="s">
        <v>25</v>
      </c>
      <c r="F224" s="51" t="s">
        <v>25</v>
      </c>
      <c r="G224" s="50" t="s">
        <v>866</v>
      </c>
      <c r="H224" s="59">
        <v>2271.39</v>
      </c>
      <c r="I224" s="59">
        <v>-1524.6300000000003</v>
      </c>
      <c r="J224" s="59">
        <v>0</v>
      </c>
      <c r="K224" s="59">
        <v>0</v>
      </c>
      <c r="L224" s="59">
        <v>-25.58</v>
      </c>
      <c r="M224" s="59">
        <v>-81.276636467643598</v>
      </c>
      <c r="N224" s="59">
        <v>0</v>
      </c>
      <c r="O224" s="59">
        <f t="shared" si="22"/>
        <v>639.90336353235591</v>
      </c>
      <c r="P224" s="59">
        <v>-2500</v>
      </c>
      <c r="Q224" s="59">
        <v>0</v>
      </c>
      <c r="R224" s="59">
        <v>-500</v>
      </c>
      <c r="S224" s="59">
        <v>0</v>
      </c>
      <c r="T224" s="59">
        <v>0</v>
      </c>
      <c r="U224" s="59">
        <v>0</v>
      </c>
      <c r="V224" s="59">
        <v>0</v>
      </c>
      <c r="W224" s="59">
        <f t="shared" si="18"/>
        <v>-2360.0966364676442</v>
      </c>
      <c r="X224" s="59">
        <f t="shared" si="19"/>
        <v>0</v>
      </c>
      <c r="Y224" s="59">
        <f t="shared" si="20"/>
        <v>-2360.0966364676442</v>
      </c>
      <c r="Z224" s="59">
        <v>2360</v>
      </c>
      <c r="AA224" s="59">
        <f t="shared" si="23"/>
        <v>-9.6636467644202639E-2</v>
      </c>
      <c r="AB224" s="59">
        <f t="shared" si="21"/>
        <v>2999.8067270647116</v>
      </c>
      <c r="AD224" s="59" t="s">
        <v>1460</v>
      </c>
      <c r="AF224" s="59"/>
    </row>
    <row r="225" spans="1:32" ht="12.75" customHeight="1" x14ac:dyDescent="0.3">
      <c r="A225" s="39">
        <v>5</v>
      </c>
      <c r="B225" s="41" t="s">
        <v>1297</v>
      </c>
      <c r="C225" s="50" t="s">
        <v>480</v>
      </c>
      <c r="D225" s="50" t="s">
        <v>1243</v>
      </c>
      <c r="E225" s="50" t="s">
        <v>25</v>
      </c>
      <c r="F225" s="51" t="s">
        <v>25</v>
      </c>
      <c r="G225" s="50" t="s">
        <v>866</v>
      </c>
      <c r="H225" s="59">
        <v>5121.7</v>
      </c>
      <c r="I225" s="59">
        <v>-715.95999999999992</v>
      </c>
      <c r="J225" s="59">
        <v>-96.800000000000011</v>
      </c>
      <c r="K225" s="59">
        <v>0</v>
      </c>
      <c r="L225" s="59">
        <v>0</v>
      </c>
      <c r="M225" s="59">
        <v>-33</v>
      </c>
      <c r="N225" s="59">
        <v>0</v>
      </c>
      <c r="O225" s="59">
        <f t="shared" si="22"/>
        <v>4275.9399999999996</v>
      </c>
      <c r="P225" s="59">
        <v>-2700</v>
      </c>
      <c r="Q225" s="59">
        <f>-433*1.12</f>
        <v>-484.96000000000004</v>
      </c>
      <c r="R225" s="59">
        <v>-429</v>
      </c>
      <c r="S225" s="59">
        <v>0</v>
      </c>
      <c r="T225" s="59">
        <v>0</v>
      </c>
      <c r="U225" s="59">
        <v>0</v>
      </c>
      <c r="V225" s="59">
        <v>0</v>
      </c>
      <c r="W225" s="59">
        <f t="shared" si="18"/>
        <v>661.97999999999956</v>
      </c>
      <c r="X225" s="59">
        <f t="shared" si="19"/>
        <v>661.97999999999956</v>
      </c>
      <c r="Y225" s="59">
        <f t="shared" si="20"/>
        <v>0</v>
      </c>
      <c r="Z225" s="59">
        <v>0</v>
      </c>
      <c r="AA225" s="59">
        <f t="shared" si="23"/>
        <v>0</v>
      </c>
      <c r="AB225" s="59">
        <f t="shared" si="21"/>
        <v>3613.96</v>
      </c>
      <c r="AD225" s="59" t="s">
        <v>1461</v>
      </c>
      <c r="AF225" s="59"/>
    </row>
    <row r="226" spans="1:32" ht="12.75" customHeight="1" x14ac:dyDescent="0.3">
      <c r="A226" s="39">
        <v>5</v>
      </c>
      <c r="B226" s="41" t="s">
        <v>1010</v>
      </c>
      <c r="C226" s="50" t="s">
        <v>80</v>
      </c>
      <c r="E226" s="50" t="s">
        <v>25</v>
      </c>
      <c r="F226" s="51" t="s">
        <v>25</v>
      </c>
      <c r="G226" s="50" t="s">
        <v>866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f t="shared" si="22"/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f>VLOOKUP(B226,[1]HOJALATERÍA!$A$4:$BO$49,67,0)</f>
        <v>0</v>
      </c>
      <c r="U226" s="59">
        <v>0</v>
      </c>
      <c r="V226" s="59">
        <v>0</v>
      </c>
      <c r="W226" s="59">
        <f t="shared" si="18"/>
        <v>0</v>
      </c>
      <c r="X226" s="59">
        <f t="shared" si="19"/>
        <v>0</v>
      </c>
      <c r="Y226" s="59">
        <f t="shared" si="20"/>
        <v>0</v>
      </c>
      <c r="Z226" s="59">
        <v>0</v>
      </c>
      <c r="AA226" s="59">
        <f t="shared" si="23"/>
        <v>0</v>
      </c>
      <c r="AB226" s="59">
        <f t="shared" si="21"/>
        <v>0</v>
      </c>
      <c r="AD226" s="59" t="s">
        <v>1462</v>
      </c>
      <c r="AF226" s="59"/>
    </row>
    <row r="227" spans="1:32" ht="12.75" customHeight="1" x14ac:dyDescent="0.3">
      <c r="A227" s="39">
        <v>5</v>
      </c>
      <c r="B227" s="41" t="s">
        <v>1401</v>
      </c>
      <c r="C227" s="50" t="s">
        <v>347</v>
      </c>
      <c r="D227" s="50" t="s">
        <v>1122</v>
      </c>
      <c r="E227" s="50" t="s">
        <v>25</v>
      </c>
      <c r="F227" s="51" t="s">
        <v>25</v>
      </c>
      <c r="G227" s="50" t="s">
        <v>866</v>
      </c>
      <c r="H227" s="59">
        <v>0</v>
      </c>
      <c r="I227" s="59">
        <v>0</v>
      </c>
      <c r="J227" s="59">
        <v>0</v>
      </c>
      <c r="K227" s="59">
        <v>0</v>
      </c>
      <c r="L227" s="59">
        <v>0</v>
      </c>
      <c r="M227" s="59">
        <v>-10</v>
      </c>
      <c r="N227" s="59">
        <v>0</v>
      </c>
      <c r="O227" s="59">
        <f t="shared" si="22"/>
        <v>-10</v>
      </c>
      <c r="P227" s="59">
        <f>(-2500/7)*1.5</f>
        <v>-535.71428571428578</v>
      </c>
      <c r="Q227" s="59">
        <v>0</v>
      </c>
      <c r="R227" s="59">
        <v>0</v>
      </c>
      <c r="S227" s="59">
        <v>0</v>
      </c>
      <c r="T227" s="59">
        <v>0</v>
      </c>
      <c r="U227" s="59">
        <v>0</v>
      </c>
      <c r="V227" s="59">
        <v>0</v>
      </c>
      <c r="W227" s="59">
        <f t="shared" si="18"/>
        <v>-545.71428571428578</v>
      </c>
      <c r="X227" s="59">
        <f t="shared" si="19"/>
        <v>0</v>
      </c>
      <c r="Y227" s="59">
        <f t="shared" si="20"/>
        <v>-545.71428571428578</v>
      </c>
      <c r="Z227" s="59">
        <v>460.5</v>
      </c>
      <c r="AA227" s="59">
        <f t="shared" si="23"/>
        <v>-85.214285714285779</v>
      </c>
      <c r="AB227" s="59">
        <f t="shared" si="21"/>
        <v>365.28571428571422</v>
      </c>
      <c r="AD227" s="59" t="s">
        <v>1463</v>
      </c>
      <c r="AF227" s="59"/>
    </row>
    <row r="228" spans="1:32" ht="12.75" customHeight="1" x14ac:dyDescent="0.3">
      <c r="A228" s="39">
        <v>5</v>
      </c>
      <c r="B228" s="41" t="s">
        <v>1401</v>
      </c>
      <c r="C228" s="50" t="s">
        <v>1464</v>
      </c>
      <c r="E228" s="50" t="s">
        <v>25</v>
      </c>
      <c r="F228" s="51" t="s">
        <v>25</v>
      </c>
      <c r="G228" s="50" t="s">
        <v>866</v>
      </c>
      <c r="H228" s="59">
        <v>4108.33</v>
      </c>
      <c r="I228" s="59">
        <v>-1513.49</v>
      </c>
      <c r="J228" s="59">
        <v>0</v>
      </c>
      <c r="K228" s="59">
        <v>0</v>
      </c>
      <c r="L228" s="59">
        <v>0</v>
      </c>
      <c r="M228" s="59">
        <v>-81.048107755595709</v>
      </c>
      <c r="N228" s="59">
        <v>0</v>
      </c>
      <c r="O228" s="59">
        <f t="shared" si="22"/>
        <v>2513.7918922444046</v>
      </c>
      <c r="P228" s="59">
        <f>(-2700/7)*5</f>
        <v>-1928.5714285714287</v>
      </c>
      <c r="Q228" s="59">
        <v>0</v>
      </c>
      <c r="R228" s="59">
        <v>-500</v>
      </c>
      <c r="S228" s="59">
        <v>0</v>
      </c>
      <c r="T228" s="59">
        <v>0</v>
      </c>
      <c r="U228" s="59">
        <v>0</v>
      </c>
      <c r="V228" s="59">
        <v>0</v>
      </c>
      <c r="W228" s="59">
        <f t="shared" si="18"/>
        <v>85.220463672975939</v>
      </c>
      <c r="X228" s="59">
        <f t="shared" si="19"/>
        <v>85.220463672975939</v>
      </c>
      <c r="Y228" s="59">
        <f t="shared" si="20"/>
        <v>0</v>
      </c>
      <c r="Z228" s="59">
        <v>85</v>
      </c>
      <c r="AA228" s="59">
        <f t="shared" si="23"/>
        <v>85</v>
      </c>
      <c r="AB228" s="59">
        <f t="shared" si="21"/>
        <v>2598.5714285714284</v>
      </c>
      <c r="AD228" s="59" t="s">
        <v>1465</v>
      </c>
      <c r="AF228" s="59"/>
    </row>
    <row r="229" spans="1:32" ht="12.75" customHeight="1" x14ac:dyDescent="0.3">
      <c r="A229" s="39">
        <v>5</v>
      </c>
      <c r="B229" s="41" t="s">
        <v>1100</v>
      </c>
      <c r="C229" s="50" t="s">
        <v>213</v>
      </c>
      <c r="D229" s="50" t="s">
        <v>1116</v>
      </c>
      <c r="E229" s="50" t="s">
        <v>39</v>
      </c>
      <c r="F229" s="51" t="s">
        <v>39</v>
      </c>
      <c r="G229" s="50" t="s">
        <v>866</v>
      </c>
      <c r="H229" s="59">
        <v>3202.66</v>
      </c>
      <c r="I229" s="59">
        <v>-484.6</v>
      </c>
      <c r="J229" s="59">
        <v>0</v>
      </c>
      <c r="K229" s="59">
        <v>0</v>
      </c>
      <c r="L229" s="59">
        <v>-34.290000000000006</v>
      </c>
      <c r="M229" s="59">
        <v>-18.617910229861653</v>
      </c>
      <c r="N229" s="59">
        <v>0</v>
      </c>
      <c r="O229" s="59">
        <f t="shared" si="22"/>
        <v>2665.1520897701384</v>
      </c>
      <c r="P229" s="59">
        <v>-2500</v>
      </c>
      <c r="Q229" s="59">
        <v>-3551</v>
      </c>
      <c r="R229" s="59">
        <v>0</v>
      </c>
      <c r="S229" s="59">
        <v>0</v>
      </c>
      <c r="T229" s="59">
        <v>0</v>
      </c>
      <c r="U229" s="59">
        <v>0</v>
      </c>
      <c r="V229" s="59">
        <v>0</v>
      </c>
      <c r="W229" s="59">
        <f t="shared" si="18"/>
        <v>-3385.8479102298616</v>
      </c>
      <c r="X229" s="59">
        <f t="shared" si="19"/>
        <v>0</v>
      </c>
      <c r="Y229" s="59">
        <f t="shared" si="20"/>
        <v>-3385.8479102298616</v>
      </c>
      <c r="Z229" s="59">
        <v>335</v>
      </c>
      <c r="AA229" s="59">
        <f t="shared" si="23"/>
        <v>-3050.8479102298616</v>
      </c>
      <c r="AB229" s="59">
        <f t="shared" si="21"/>
        <v>-50.695820459723109</v>
      </c>
      <c r="AD229" s="59" t="s">
        <v>1466</v>
      </c>
      <c r="AF229" s="59"/>
    </row>
    <row r="230" spans="1:32" ht="12.75" customHeight="1" x14ac:dyDescent="0.3">
      <c r="A230" s="39">
        <v>5</v>
      </c>
      <c r="B230" s="41" t="s">
        <v>1088</v>
      </c>
      <c r="C230" s="50" t="s">
        <v>257</v>
      </c>
      <c r="D230" s="50" t="s">
        <v>943</v>
      </c>
      <c r="E230" s="50" t="s">
        <v>25</v>
      </c>
      <c r="F230" s="51" t="s">
        <v>25</v>
      </c>
      <c r="G230" s="50" t="s">
        <v>866</v>
      </c>
      <c r="H230" s="59">
        <v>3451.78</v>
      </c>
      <c r="I230" s="59">
        <v>0</v>
      </c>
      <c r="J230" s="59">
        <v>0</v>
      </c>
      <c r="K230" s="59">
        <v>0</v>
      </c>
      <c r="L230" s="59">
        <v>-27.5</v>
      </c>
      <c r="M230" s="59">
        <v>-10</v>
      </c>
      <c r="N230" s="59">
        <v>0</v>
      </c>
      <c r="O230" s="59">
        <f t="shared" si="22"/>
        <v>3414.28</v>
      </c>
      <c r="P230" s="59">
        <v>-2500</v>
      </c>
      <c r="Q230" s="59">
        <v>0</v>
      </c>
      <c r="R230" s="59">
        <v>0</v>
      </c>
      <c r="S230" s="59">
        <v>0</v>
      </c>
      <c r="T230" s="59">
        <v>-700</v>
      </c>
      <c r="U230" s="59">
        <v>0</v>
      </c>
      <c r="V230" s="59">
        <v>0</v>
      </c>
      <c r="W230" s="59">
        <f t="shared" si="18"/>
        <v>214.2800000000002</v>
      </c>
      <c r="X230" s="59">
        <f t="shared" si="19"/>
        <v>214.2800000000002</v>
      </c>
      <c r="Y230" s="59">
        <f t="shared" si="20"/>
        <v>0</v>
      </c>
      <c r="Z230" s="59">
        <v>0</v>
      </c>
      <c r="AA230" s="59">
        <f t="shared" si="23"/>
        <v>0</v>
      </c>
      <c r="AB230" s="59">
        <f t="shared" si="21"/>
        <v>3200</v>
      </c>
      <c r="AD230" s="59" t="s">
        <v>1467</v>
      </c>
      <c r="AF230" s="59"/>
    </row>
    <row r="231" spans="1:32" ht="12.75" customHeight="1" x14ac:dyDescent="0.3">
      <c r="A231" s="39">
        <v>5</v>
      </c>
      <c r="B231" s="41" t="s">
        <v>1025</v>
      </c>
      <c r="C231" s="50" t="s">
        <v>51</v>
      </c>
      <c r="D231" s="50" t="s">
        <v>1115</v>
      </c>
      <c r="E231" s="50" t="s">
        <v>25</v>
      </c>
      <c r="F231" s="51" t="s">
        <v>25</v>
      </c>
      <c r="G231" s="50" t="s">
        <v>866</v>
      </c>
      <c r="H231" s="59">
        <v>726.54</v>
      </c>
      <c r="I231" s="59">
        <v>-303.81</v>
      </c>
      <c r="J231" s="59">
        <v>0</v>
      </c>
      <c r="K231" s="59">
        <v>0</v>
      </c>
      <c r="L231" s="59">
        <v>0</v>
      </c>
      <c r="M231" s="59">
        <v>-23</v>
      </c>
      <c r="N231" s="59">
        <v>0</v>
      </c>
      <c r="O231" s="59">
        <f t="shared" si="22"/>
        <v>399.72999999999996</v>
      </c>
      <c r="P231" s="59">
        <v>-2500</v>
      </c>
      <c r="Q231" s="59">
        <f>-2410*1.12</f>
        <v>-2699.2000000000003</v>
      </c>
      <c r="R231" s="59">
        <v>0</v>
      </c>
      <c r="S231" s="59">
        <v>0</v>
      </c>
      <c r="T231" s="59">
        <f>VLOOKUP(B231,[1]HOJALATERÍA!$A$4:$BO$49,67,0)</f>
        <v>0</v>
      </c>
      <c r="U231" s="59">
        <v>0</v>
      </c>
      <c r="V231" s="59">
        <v>0</v>
      </c>
      <c r="W231" s="59">
        <f t="shared" si="18"/>
        <v>-4799.47</v>
      </c>
      <c r="X231" s="59">
        <f t="shared" si="19"/>
        <v>0</v>
      </c>
      <c r="Y231" s="59">
        <f t="shared" si="20"/>
        <v>-4799.47</v>
      </c>
      <c r="Z231" s="59">
        <f>1100+630+1339</f>
        <v>3069</v>
      </c>
      <c r="AA231" s="59">
        <f t="shared" si="23"/>
        <v>-1730.4700000000003</v>
      </c>
      <c r="AB231" s="59">
        <f t="shared" si="21"/>
        <v>1738.2599999999998</v>
      </c>
      <c r="AD231" s="59" t="s">
        <v>1468</v>
      </c>
      <c r="AF231" s="59"/>
    </row>
    <row r="232" spans="1:32" ht="12.75" customHeight="1" x14ac:dyDescent="0.3">
      <c r="A232" s="39">
        <v>5</v>
      </c>
      <c r="B232" s="41" t="s">
        <v>1418</v>
      </c>
      <c r="C232" s="50" t="s">
        <v>798</v>
      </c>
      <c r="D232" s="50" t="s">
        <v>1419</v>
      </c>
      <c r="E232" s="50" t="s">
        <v>39</v>
      </c>
      <c r="F232" s="51" t="s">
        <v>39</v>
      </c>
      <c r="G232" s="50" t="s">
        <v>866</v>
      </c>
      <c r="H232" s="59">
        <v>483.94</v>
      </c>
      <c r="I232" s="59">
        <v>-269.95999999999998</v>
      </c>
      <c r="J232" s="59">
        <v>0</v>
      </c>
      <c r="K232" s="59">
        <v>0</v>
      </c>
      <c r="L232" s="59">
        <v>0</v>
      </c>
      <c r="M232" s="59">
        <v>-10.371628241133823</v>
      </c>
      <c r="N232" s="59">
        <v>0</v>
      </c>
      <c r="O232" s="59">
        <f t="shared" si="22"/>
        <v>203.60837175886618</v>
      </c>
      <c r="P232" s="59">
        <f>(-2500/7)*1</f>
        <v>-357.14285714285717</v>
      </c>
      <c r="Q232" s="59">
        <v>0</v>
      </c>
      <c r="R232" s="59">
        <v>0</v>
      </c>
      <c r="S232" s="59">
        <v>0</v>
      </c>
      <c r="T232" s="59">
        <v>0</v>
      </c>
      <c r="U232" s="59">
        <v>0</v>
      </c>
      <c r="V232" s="59">
        <v>0</v>
      </c>
      <c r="W232" s="59">
        <f t="shared" si="18"/>
        <v>-153.53448538399098</v>
      </c>
      <c r="X232" s="59">
        <f t="shared" si="19"/>
        <v>0</v>
      </c>
      <c r="Y232" s="59">
        <f t="shared" si="20"/>
        <v>-153.53448538399098</v>
      </c>
      <c r="Z232" s="59">
        <v>154</v>
      </c>
      <c r="AA232" s="59">
        <f t="shared" si="23"/>
        <v>0.46551461600901689</v>
      </c>
      <c r="AB232" s="59">
        <f t="shared" si="21"/>
        <v>358.0738863748752</v>
      </c>
      <c r="AD232" s="59" t="s">
        <v>1469</v>
      </c>
      <c r="AF232" s="59"/>
    </row>
    <row r="233" spans="1:32" ht="12.75" customHeight="1" x14ac:dyDescent="0.3">
      <c r="A233" s="39">
        <v>5</v>
      </c>
      <c r="B233" s="41" t="s">
        <v>515</v>
      </c>
      <c r="C233" s="50" t="s">
        <v>645</v>
      </c>
      <c r="D233" s="50" t="s">
        <v>1122</v>
      </c>
      <c r="E233" s="50" t="s">
        <v>25</v>
      </c>
      <c r="F233" s="51" t="s">
        <v>25</v>
      </c>
      <c r="G233" s="50" t="s">
        <v>866</v>
      </c>
      <c r="H233" s="59">
        <v>6799.64</v>
      </c>
      <c r="I233" s="59">
        <v>0</v>
      </c>
      <c r="J233" s="59">
        <v>-40</v>
      </c>
      <c r="K233" s="59">
        <v>0</v>
      </c>
      <c r="L233" s="59">
        <v>0</v>
      </c>
      <c r="M233" s="59">
        <v>-10</v>
      </c>
      <c r="N233" s="59">
        <v>0</v>
      </c>
      <c r="O233" s="59">
        <f t="shared" si="22"/>
        <v>6749.64</v>
      </c>
      <c r="P233" s="59">
        <v>-2500</v>
      </c>
      <c r="Q233" s="59">
        <v>0</v>
      </c>
      <c r="R233" s="59">
        <v>0</v>
      </c>
      <c r="S233" s="59">
        <v>0</v>
      </c>
      <c r="T233" s="59">
        <v>0</v>
      </c>
      <c r="U233" s="59">
        <v>0</v>
      </c>
      <c r="V233" s="59">
        <v>0</v>
      </c>
      <c r="W233" s="59">
        <f t="shared" si="18"/>
        <v>4249.6400000000003</v>
      </c>
      <c r="X233" s="59">
        <f t="shared" si="19"/>
        <v>4249.6400000000003</v>
      </c>
      <c r="Y233" s="59">
        <f t="shared" si="20"/>
        <v>0</v>
      </c>
      <c r="Z233" s="59">
        <v>0</v>
      </c>
      <c r="AA233" s="59">
        <f t="shared" si="23"/>
        <v>0</v>
      </c>
      <c r="AB233" s="59">
        <f t="shared" si="21"/>
        <v>2500</v>
      </c>
      <c r="AD233" s="59" t="s">
        <v>1470</v>
      </c>
      <c r="AF233" s="59"/>
    </row>
    <row r="234" spans="1:32" ht="12.75" customHeight="1" x14ac:dyDescent="0.3">
      <c r="A234" s="39">
        <v>5</v>
      </c>
      <c r="B234" s="41" t="s">
        <v>515</v>
      </c>
      <c r="C234" s="50" t="s">
        <v>110</v>
      </c>
      <c r="D234" s="50" t="s">
        <v>912</v>
      </c>
      <c r="E234" s="50" t="s">
        <v>25</v>
      </c>
      <c r="F234" s="51" t="s">
        <v>25</v>
      </c>
      <c r="G234" s="50" t="s">
        <v>866</v>
      </c>
      <c r="H234" s="59">
        <v>0</v>
      </c>
      <c r="I234" s="59">
        <v>0</v>
      </c>
      <c r="J234" s="59">
        <v>0</v>
      </c>
      <c r="K234" s="59">
        <v>0</v>
      </c>
      <c r="L234" s="59">
        <v>0</v>
      </c>
      <c r="M234" s="59">
        <v>0</v>
      </c>
      <c r="N234" s="59">
        <v>0</v>
      </c>
      <c r="O234" s="59">
        <f t="shared" si="22"/>
        <v>0</v>
      </c>
      <c r="P234" s="59">
        <v>0</v>
      </c>
      <c r="Q234" s="59">
        <v>0</v>
      </c>
      <c r="R234" s="59">
        <v>0</v>
      </c>
      <c r="S234" s="59">
        <v>0</v>
      </c>
      <c r="T234" s="59">
        <v>-700</v>
      </c>
      <c r="U234" s="59">
        <v>0</v>
      </c>
      <c r="V234" s="59">
        <v>0</v>
      </c>
      <c r="W234" s="59">
        <f t="shared" si="18"/>
        <v>-700</v>
      </c>
      <c r="X234" s="59">
        <f t="shared" si="19"/>
        <v>0</v>
      </c>
      <c r="Y234" s="59">
        <f t="shared" si="20"/>
        <v>-700</v>
      </c>
      <c r="Z234" s="59">
        <v>700</v>
      </c>
      <c r="AA234" s="59">
        <f t="shared" si="23"/>
        <v>0</v>
      </c>
      <c r="AB234" s="59">
        <f t="shared" si="21"/>
        <v>700</v>
      </c>
      <c r="AD234" s="59" t="s">
        <v>1471</v>
      </c>
      <c r="AF234" s="59"/>
    </row>
    <row r="235" spans="1:32" ht="12.75" customHeight="1" x14ac:dyDescent="0.3">
      <c r="A235" s="39">
        <v>5</v>
      </c>
      <c r="B235" s="41" t="s">
        <v>1120</v>
      </c>
      <c r="C235" s="50" t="s">
        <v>1273</v>
      </c>
      <c r="D235" s="50" t="s">
        <v>912</v>
      </c>
      <c r="E235" s="50" t="s">
        <v>25</v>
      </c>
      <c r="F235" s="51" t="s">
        <v>25</v>
      </c>
      <c r="G235" s="50" t="s">
        <v>866</v>
      </c>
      <c r="H235" s="59">
        <v>4606.07</v>
      </c>
      <c r="I235" s="59">
        <v>-1448.0900000000001</v>
      </c>
      <c r="J235" s="59">
        <v>0</v>
      </c>
      <c r="K235" s="59">
        <v>0</v>
      </c>
      <c r="L235" s="59">
        <v>-61.820000000000007</v>
      </c>
      <c r="M235" s="59">
        <v>-79.706475999049005</v>
      </c>
      <c r="N235" s="59">
        <v>0</v>
      </c>
      <c r="O235" s="59">
        <f t="shared" si="22"/>
        <v>3016.4535240009504</v>
      </c>
      <c r="P235" s="59">
        <v>-2700</v>
      </c>
      <c r="Q235" s="59">
        <v>0</v>
      </c>
      <c r="R235" s="59">
        <v>0</v>
      </c>
      <c r="S235" s="59">
        <v>0</v>
      </c>
      <c r="T235" s="59">
        <v>0</v>
      </c>
      <c r="U235" s="59">
        <v>0</v>
      </c>
      <c r="V235" s="59">
        <v>0</v>
      </c>
      <c r="W235" s="59">
        <f t="shared" si="18"/>
        <v>316.45352400095044</v>
      </c>
      <c r="X235" s="59">
        <f t="shared" si="19"/>
        <v>316.45352400095044</v>
      </c>
      <c r="Y235" s="59">
        <f t="shared" si="20"/>
        <v>0</v>
      </c>
      <c r="Z235" s="59">
        <v>0</v>
      </c>
      <c r="AA235" s="59">
        <f t="shared" si="23"/>
        <v>0</v>
      </c>
      <c r="AB235" s="59">
        <f t="shared" si="21"/>
        <v>2700</v>
      </c>
      <c r="AD235" s="59" t="s">
        <v>1472</v>
      </c>
      <c r="AF235" s="59"/>
    </row>
    <row r="236" spans="1:32" ht="12.75" customHeight="1" x14ac:dyDescent="0.3">
      <c r="A236" s="39">
        <v>5</v>
      </c>
      <c r="B236" s="41" t="s">
        <v>922</v>
      </c>
      <c r="C236" s="50" t="s">
        <v>670</v>
      </c>
      <c r="D236" s="50" t="s">
        <v>1221</v>
      </c>
      <c r="E236" s="50" t="s">
        <v>25</v>
      </c>
      <c r="F236" s="51" t="s">
        <v>25</v>
      </c>
      <c r="G236" s="50" t="s">
        <v>737</v>
      </c>
      <c r="H236" s="59">
        <v>0</v>
      </c>
      <c r="I236" s="59">
        <v>0</v>
      </c>
      <c r="J236" s="59">
        <v>0</v>
      </c>
      <c r="K236" s="59">
        <v>0</v>
      </c>
      <c r="L236" s="59">
        <v>0</v>
      </c>
      <c r="M236" s="59">
        <v>0</v>
      </c>
      <c r="N236" s="59">
        <v>0</v>
      </c>
      <c r="O236" s="59">
        <f t="shared" si="22"/>
        <v>0</v>
      </c>
      <c r="P236" s="59">
        <v>-2500</v>
      </c>
      <c r="Q236" s="59">
        <v>31</v>
      </c>
      <c r="R236" s="59">
        <v>0</v>
      </c>
      <c r="S236" s="59">
        <v>0</v>
      </c>
      <c r="T236" s="59">
        <v>0</v>
      </c>
      <c r="U236" s="59">
        <v>0</v>
      </c>
      <c r="V236" s="59">
        <v>0</v>
      </c>
      <c r="W236" s="59">
        <f t="shared" si="18"/>
        <v>-2469</v>
      </c>
      <c r="X236" s="59">
        <f t="shared" si="19"/>
        <v>0</v>
      </c>
      <c r="Y236" s="59">
        <f t="shared" si="20"/>
        <v>-2469</v>
      </c>
      <c r="Z236" s="59">
        <f>2400+31</f>
        <v>2431</v>
      </c>
      <c r="AA236" s="59">
        <f t="shared" si="23"/>
        <v>-38</v>
      </c>
      <c r="AB236" s="59">
        <f t="shared" si="21"/>
        <v>2393</v>
      </c>
      <c r="AD236" s="59" t="s">
        <v>1473</v>
      </c>
      <c r="AF236" s="59"/>
    </row>
    <row r="237" spans="1:32" ht="12.75" customHeight="1" x14ac:dyDescent="0.3">
      <c r="A237" s="39">
        <v>5</v>
      </c>
      <c r="B237" s="41" t="s">
        <v>922</v>
      </c>
      <c r="C237" s="50" t="s">
        <v>104</v>
      </c>
      <c r="D237" s="50" t="s">
        <v>1221</v>
      </c>
      <c r="E237" s="50" t="s">
        <v>25</v>
      </c>
      <c r="F237" s="51" t="s">
        <v>25</v>
      </c>
      <c r="G237" s="50" t="s">
        <v>737</v>
      </c>
      <c r="H237" s="59">
        <v>0</v>
      </c>
      <c r="I237" s="59">
        <v>0</v>
      </c>
      <c r="J237" s="59">
        <v>0</v>
      </c>
      <c r="K237" s="59">
        <v>0</v>
      </c>
      <c r="L237" s="59">
        <v>0</v>
      </c>
      <c r="M237" s="59">
        <v>0</v>
      </c>
      <c r="N237" s="59">
        <v>0</v>
      </c>
      <c r="O237" s="59">
        <f t="shared" si="22"/>
        <v>0</v>
      </c>
      <c r="P237" s="59">
        <v>0</v>
      </c>
      <c r="Q237" s="59">
        <v>0</v>
      </c>
      <c r="R237" s="59">
        <v>0</v>
      </c>
      <c r="S237" s="59">
        <v>0</v>
      </c>
      <c r="T237" s="59">
        <v>-500</v>
      </c>
      <c r="U237" s="59">
        <v>0</v>
      </c>
      <c r="V237" s="59">
        <v>0</v>
      </c>
      <c r="W237" s="59">
        <f t="shared" si="18"/>
        <v>-500</v>
      </c>
      <c r="X237" s="59">
        <f t="shared" si="19"/>
        <v>0</v>
      </c>
      <c r="Y237" s="59">
        <f t="shared" si="20"/>
        <v>-500</v>
      </c>
      <c r="Z237" s="59">
        <v>500</v>
      </c>
      <c r="AA237" s="59">
        <f t="shared" si="23"/>
        <v>0</v>
      </c>
      <c r="AB237" s="59">
        <f t="shared" si="21"/>
        <v>500</v>
      </c>
      <c r="AD237" s="59" t="s">
        <v>1044</v>
      </c>
      <c r="AF237" s="59"/>
    </row>
    <row r="238" spans="1:32" ht="12.75" customHeight="1" x14ac:dyDescent="0.3">
      <c r="A238" s="39">
        <v>5</v>
      </c>
      <c r="B238" s="41" t="s">
        <v>1423</v>
      </c>
      <c r="C238" s="50" t="s">
        <v>55</v>
      </c>
      <c r="E238" s="50" t="s">
        <v>25</v>
      </c>
      <c r="F238" s="51" t="s">
        <v>25</v>
      </c>
      <c r="G238" s="50" t="s">
        <v>866</v>
      </c>
      <c r="H238" s="59">
        <v>3976.24</v>
      </c>
      <c r="I238" s="59">
        <v>-1376.8800000000003</v>
      </c>
      <c r="J238" s="59">
        <v>0</v>
      </c>
      <c r="K238" s="59">
        <v>0</v>
      </c>
      <c r="L238" s="59">
        <v>0</v>
      </c>
      <c r="M238" s="59">
        <v>-238.32805646718799</v>
      </c>
      <c r="N238" s="62">
        <v>0</v>
      </c>
      <c r="O238" s="59">
        <f t="shared" si="22"/>
        <v>2361.0319435328115</v>
      </c>
      <c r="P238" s="59">
        <v>-2500</v>
      </c>
      <c r="Q238" s="59">
        <v>0</v>
      </c>
      <c r="R238" s="59">
        <v>-500</v>
      </c>
      <c r="S238" s="59">
        <v>0</v>
      </c>
      <c r="T238" s="59">
        <v>0</v>
      </c>
      <c r="U238" s="59">
        <v>0</v>
      </c>
      <c r="V238" s="59">
        <v>0</v>
      </c>
      <c r="W238" s="59">
        <f t="shared" si="18"/>
        <v>-638.96805646718849</v>
      </c>
      <c r="X238" s="59">
        <f t="shared" si="19"/>
        <v>0</v>
      </c>
      <c r="Y238" s="59">
        <f t="shared" si="20"/>
        <v>-638.96805646718849</v>
      </c>
      <c r="Z238" s="59">
        <v>639</v>
      </c>
      <c r="AA238" s="59">
        <f t="shared" si="23"/>
        <v>3.1943532811510522E-2</v>
      </c>
      <c r="AB238" s="59">
        <f t="shared" si="21"/>
        <v>3000.063887065623</v>
      </c>
      <c r="AD238" s="62" t="s">
        <v>3276</v>
      </c>
      <c r="AF238" s="59"/>
    </row>
    <row r="239" spans="1:32" ht="12.75" customHeight="1" x14ac:dyDescent="0.3">
      <c r="A239" s="39">
        <v>5</v>
      </c>
      <c r="B239" s="41" t="s">
        <v>1425</v>
      </c>
      <c r="C239" s="50" t="s">
        <v>426</v>
      </c>
      <c r="E239" s="50" t="s">
        <v>25</v>
      </c>
      <c r="F239" s="51" t="s">
        <v>25</v>
      </c>
      <c r="G239" s="50" t="s">
        <v>866</v>
      </c>
      <c r="H239" s="59">
        <v>9178.7900000000009</v>
      </c>
      <c r="I239" s="59">
        <v>0</v>
      </c>
      <c r="J239" s="59">
        <v>-200</v>
      </c>
      <c r="K239" s="59">
        <v>0</v>
      </c>
      <c r="L239" s="59">
        <v>0</v>
      </c>
      <c r="M239" s="59">
        <v>-12.52</v>
      </c>
      <c r="N239" s="59">
        <v>-21</v>
      </c>
      <c r="O239" s="59">
        <f t="shared" si="22"/>
        <v>8945.27</v>
      </c>
      <c r="P239" s="59">
        <v>-2500</v>
      </c>
      <c r="Q239" s="59">
        <v>0</v>
      </c>
      <c r="R239" s="59">
        <v>-500</v>
      </c>
      <c r="S239" s="59">
        <v>0</v>
      </c>
      <c r="T239" s="59">
        <v>0</v>
      </c>
      <c r="U239" s="59">
        <v>-693</v>
      </c>
      <c r="V239" s="59">
        <v>0</v>
      </c>
      <c r="W239" s="59">
        <f t="shared" si="18"/>
        <v>5252.27</v>
      </c>
      <c r="X239" s="59">
        <f t="shared" si="19"/>
        <v>5252.27</v>
      </c>
      <c r="Y239" s="59">
        <f t="shared" si="20"/>
        <v>0</v>
      </c>
      <c r="Z239" s="59">
        <v>0</v>
      </c>
      <c r="AA239" s="59">
        <f t="shared" si="23"/>
        <v>0</v>
      </c>
      <c r="AB239" s="59">
        <f t="shared" si="21"/>
        <v>3693</v>
      </c>
      <c r="AD239" s="59" t="s">
        <v>1474</v>
      </c>
      <c r="AF239" s="59"/>
    </row>
    <row r="240" spans="1:32" ht="12.75" customHeight="1" x14ac:dyDescent="0.3">
      <c r="A240" s="39">
        <v>5</v>
      </c>
      <c r="B240" s="41" t="s">
        <v>1307</v>
      </c>
      <c r="C240" s="50" t="s">
        <v>150</v>
      </c>
      <c r="D240" s="50" t="s">
        <v>1308</v>
      </c>
      <c r="E240" s="50" t="s">
        <v>25</v>
      </c>
      <c r="F240" s="51" t="s">
        <v>25</v>
      </c>
      <c r="G240" s="50" t="s">
        <v>866</v>
      </c>
      <c r="H240" s="59">
        <v>3155.12</v>
      </c>
      <c r="I240" s="59">
        <v>-1056.9300000000003</v>
      </c>
      <c r="J240" s="59">
        <v>0</v>
      </c>
      <c r="K240" s="59">
        <v>0</v>
      </c>
      <c r="L240" s="59">
        <v>0</v>
      </c>
      <c r="M240" s="59">
        <v>-71.682123126100493</v>
      </c>
      <c r="N240" s="59">
        <v>0</v>
      </c>
      <c r="O240" s="59">
        <f t="shared" si="22"/>
        <v>2026.507876873899</v>
      </c>
      <c r="P240" s="59">
        <v>-2500</v>
      </c>
      <c r="Q240" s="59">
        <v>0</v>
      </c>
      <c r="R240" s="59">
        <v>-500</v>
      </c>
      <c r="S240" s="59">
        <v>0</v>
      </c>
      <c r="T240" s="59">
        <v>0</v>
      </c>
      <c r="U240" s="59">
        <v>0</v>
      </c>
      <c r="V240" s="59">
        <v>0</v>
      </c>
      <c r="W240" s="59">
        <f t="shared" si="18"/>
        <v>-973.49212312610098</v>
      </c>
      <c r="X240" s="59">
        <f t="shared" si="19"/>
        <v>0</v>
      </c>
      <c r="Y240" s="59">
        <f t="shared" si="20"/>
        <v>-973.49212312610098</v>
      </c>
      <c r="Z240" s="59">
        <v>973</v>
      </c>
      <c r="AA240" s="59">
        <f t="shared" si="23"/>
        <v>-0.49212312610097797</v>
      </c>
      <c r="AB240" s="59">
        <f t="shared" si="21"/>
        <v>2999.015753747798</v>
      </c>
      <c r="AD240" s="59" t="s">
        <v>1475</v>
      </c>
      <c r="AF240" s="59"/>
    </row>
    <row r="241" spans="1:32" ht="12.75" customHeight="1" x14ac:dyDescent="0.3">
      <c r="A241" s="39">
        <v>5</v>
      </c>
      <c r="B241" s="41" t="s">
        <v>1244</v>
      </c>
      <c r="C241" s="50" t="s">
        <v>1429</v>
      </c>
      <c r="E241" s="50" t="s">
        <v>25</v>
      </c>
      <c r="F241" s="51" t="s">
        <v>25</v>
      </c>
      <c r="G241" s="50" t="s">
        <v>866</v>
      </c>
      <c r="H241" s="59">
        <v>9264.8799999999992</v>
      </c>
      <c r="I241" s="59">
        <v>-5168.8599999999988</v>
      </c>
      <c r="J241" s="59">
        <v>0</v>
      </c>
      <c r="K241" s="59">
        <v>36.21</v>
      </c>
      <c r="L241" s="59">
        <v>0</v>
      </c>
      <c r="M241" s="59">
        <v>-80</v>
      </c>
      <c r="N241" s="59">
        <v>0</v>
      </c>
      <c r="O241" s="59">
        <f t="shared" si="22"/>
        <v>4052.2300000000005</v>
      </c>
      <c r="P241" s="59">
        <v>-2700</v>
      </c>
      <c r="Q241" s="59">
        <v>0</v>
      </c>
      <c r="R241" s="59">
        <v>-500</v>
      </c>
      <c r="S241" s="59">
        <v>0</v>
      </c>
      <c r="T241" s="59">
        <v>0</v>
      </c>
      <c r="U241" s="59">
        <v>0</v>
      </c>
      <c r="V241" s="59">
        <v>0</v>
      </c>
      <c r="W241" s="59">
        <f t="shared" si="18"/>
        <v>852.23000000000047</v>
      </c>
      <c r="X241" s="59">
        <f t="shared" si="19"/>
        <v>852.23000000000047</v>
      </c>
      <c r="Y241" s="59">
        <f t="shared" si="20"/>
        <v>0</v>
      </c>
      <c r="Z241" s="59">
        <v>0</v>
      </c>
      <c r="AA241" s="59">
        <f t="shared" si="23"/>
        <v>0</v>
      </c>
      <c r="AB241" s="59">
        <f t="shared" si="21"/>
        <v>3200</v>
      </c>
      <c r="AD241" s="59" t="s">
        <v>1476</v>
      </c>
      <c r="AF241" s="59"/>
    </row>
    <row r="242" spans="1:32" ht="12.75" customHeight="1" x14ac:dyDescent="0.3">
      <c r="A242" s="39">
        <v>5</v>
      </c>
      <c r="B242" s="41" t="s">
        <v>747</v>
      </c>
      <c r="C242" s="50" t="s">
        <v>1586</v>
      </c>
      <c r="E242" s="50" t="s">
        <v>25</v>
      </c>
      <c r="F242" s="51" t="s">
        <v>25</v>
      </c>
      <c r="G242" s="50" t="s">
        <v>866</v>
      </c>
      <c r="H242" s="59">
        <v>2478.6999999999998</v>
      </c>
      <c r="I242" s="59">
        <v>0</v>
      </c>
      <c r="J242" s="59">
        <v>0</v>
      </c>
      <c r="K242" s="59">
        <v>0</v>
      </c>
      <c r="L242" s="59">
        <v>0</v>
      </c>
      <c r="M242" s="59">
        <v>-10</v>
      </c>
      <c r="N242" s="59">
        <v>0</v>
      </c>
      <c r="O242" s="59">
        <f t="shared" si="22"/>
        <v>2468.6999999999998</v>
      </c>
      <c r="P242" s="59">
        <v>-2700</v>
      </c>
      <c r="Q242" s="59">
        <f>-117*1.12</f>
        <v>-131.04000000000002</v>
      </c>
      <c r="R242" s="59">
        <v>-500</v>
      </c>
      <c r="S242" s="59">
        <v>0</v>
      </c>
      <c r="T242" s="59">
        <v>0</v>
      </c>
      <c r="U242" s="59">
        <v>0</v>
      </c>
      <c r="V242" s="59">
        <v>0</v>
      </c>
      <c r="W242" s="59">
        <f t="shared" si="18"/>
        <v>-862.34000000000015</v>
      </c>
      <c r="X242" s="59">
        <f t="shared" si="19"/>
        <v>0</v>
      </c>
      <c r="Y242" s="59">
        <f t="shared" si="20"/>
        <v>-862.34000000000015</v>
      </c>
      <c r="Z242" s="59">
        <v>500</v>
      </c>
      <c r="AA242" s="59">
        <f t="shared" si="23"/>
        <v>-362.34000000000015</v>
      </c>
      <c r="AB242" s="59">
        <f t="shared" si="21"/>
        <v>2606.3599999999997</v>
      </c>
      <c r="AD242" s="59" t="s">
        <v>1477</v>
      </c>
      <c r="AF242" s="59"/>
    </row>
    <row r="243" spans="1:32" ht="12.75" customHeight="1" x14ac:dyDescent="0.3">
      <c r="A243" s="39">
        <v>5</v>
      </c>
      <c r="B243" s="41" t="s">
        <v>1432</v>
      </c>
      <c r="C243" s="50" t="s">
        <v>183</v>
      </c>
      <c r="E243" s="50" t="s">
        <v>25</v>
      </c>
      <c r="F243" s="51" t="s">
        <v>25</v>
      </c>
      <c r="G243" s="50" t="s">
        <v>866</v>
      </c>
      <c r="H243" s="59">
        <v>1281.68</v>
      </c>
      <c r="I243" s="59">
        <v>-342.78000000000003</v>
      </c>
      <c r="J243" s="59">
        <v>0</v>
      </c>
      <c r="K243" s="59">
        <v>0</v>
      </c>
      <c r="L243" s="59">
        <v>0</v>
      </c>
      <c r="M243" s="59">
        <v>-23</v>
      </c>
      <c r="N243" s="59">
        <v>0</v>
      </c>
      <c r="O243" s="59">
        <f t="shared" si="22"/>
        <v>915.90000000000009</v>
      </c>
      <c r="P243" s="59">
        <v>-2500</v>
      </c>
      <c r="Q243" s="59">
        <v>0</v>
      </c>
      <c r="R243" s="59">
        <v>-500</v>
      </c>
      <c r="S243" s="59">
        <v>0</v>
      </c>
      <c r="T243" s="59">
        <v>0</v>
      </c>
      <c r="U243" s="59">
        <v>0</v>
      </c>
      <c r="V243" s="59">
        <v>0</v>
      </c>
      <c r="W243" s="59">
        <f t="shared" si="18"/>
        <v>-2084.1</v>
      </c>
      <c r="X243" s="59">
        <f t="shared" si="19"/>
        <v>0</v>
      </c>
      <c r="Y243" s="59">
        <f t="shared" si="20"/>
        <v>-2084.1</v>
      </c>
      <c r="Z243" s="59">
        <v>2335.08</v>
      </c>
      <c r="AA243" s="59">
        <f t="shared" si="23"/>
        <v>250.98000000000002</v>
      </c>
      <c r="AB243" s="59">
        <f t="shared" si="21"/>
        <v>3501.96</v>
      </c>
      <c r="AD243" s="59" t="s">
        <v>1478</v>
      </c>
      <c r="AF243" s="59"/>
    </row>
    <row r="244" spans="1:32" ht="12.75" customHeight="1" x14ac:dyDescent="0.3">
      <c r="A244" s="39">
        <v>5</v>
      </c>
      <c r="B244" s="41" t="s">
        <v>484</v>
      </c>
      <c r="C244" s="50" t="s">
        <v>1065</v>
      </c>
      <c r="D244" s="50" t="s">
        <v>1159</v>
      </c>
      <c r="E244" s="50" t="s">
        <v>25</v>
      </c>
      <c r="F244" s="51" t="s">
        <v>25</v>
      </c>
      <c r="G244" s="50" t="s">
        <v>866</v>
      </c>
      <c r="H244" s="59">
        <v>7358.8</v>
      </c>
      <c r="I244" s="59">
        <v>-3046.3399999999997</v>
      </c>
      <c r="J244" s="59">
        <v>-56</v>
      </c>
      <c r="K244" s="59">
        <v>0</v>
      </c>
      <c r="L244" s="59">
        <v>0</v>
      </c>
      <c r="M244" s="59">
        <v>-87.4933713339246</v>
      </c>
      <c r="N244" s="59">
        <v>0</v>
      </c>
      <c r="O244" s="59">
        <f t="shared" si="22"/>
        <v>4168.9666286660768</v>
      </c>
      <c r="P244" s="59">
        <v>-2500</v>
      </c>
      <c r="Q244" s="59">
        <v>0</v>
      </c>
      <c r="R244" s="59">
        <v>0</v>
      </c>
      <c r="S244" s="59">
        <v>0</v>
      </c>
      <c r="T244" s="59">
        <f>VLOOKUP(B244,[1]HOJALATERÍA!$A$4:$BO$49,67,0)</f>
        <v>0</v>
      </c>
      <c r="U244" s="59">
        <v>0</v>
      </c>
      <c r="V244" s="59">
        <v>0</v>
      </c>
      <c r="W244" s="59">
        <f t="shared" si="18"/>
        <v>1668.9666286660768</v>
      </c>
      <c r="X244" s="59">
        <f t="shared" si="19"/>
        <v>1668.9666286660768</v>
      </c>
      <c r="Y244" s="59">
        <f t="shared" si="20"/>
        <v>0</v>
      </c>
      <c r="Z244" s="59">
        <v>0</v>
      </c>
      <c r="AA244" s="59">
        <f t="shared" si="23"/>
        <v>0</v>
      </c>
      <c r="AB244" s="59">
        <f t="shared" si="21"/>
        <v>2500</v>
      </c>
      <c r="AD244" s="59" t="s">
        <v>1479</v>
      </c>
      <c r="AF244" s="59"/>
    </row>
    <row r="245" spans="1:32" ht="12.75" customHeight="1" x14ac:dyDescent="0.3">
      <c r="A245" s="39">
        <v>5</v>
      </c>
      <c r="B245" s="41" t="s">
        <v>1190</v>
      </c>
      <c r="C245" s="50" t="s">
        <v>46</v>
      </c>
      <c r="D245" s="50" t="s">
        <v>915</v>
      </c>
      <c r="E245" s="50" t="s">
        <v>25</v>
      </c>
      <c r="F245" s="51" t="s">
        <v>25</v>
      </c>
      <c r="G245" s="50" t="s">
        <v>866</v>
      </c>
      <c r="H245" s="59">
        <v>4328.72</v>
      </c>
      <c r="I245" s="59">
        <v>-192.05</v>
      </c>
      <c r="J245" s="59">
        <v>0</v>
      </c>
      <c r="K245" s="59">
        <v>0</v>
      </c>
      <c r="L245" s="59">
        <v>-48.11</v>
      </c>
      <c r="M245" s="59">
        <v>-3.9397611444159923</v>
      </c>
      <c r="N245" s="59">
        <v>0</v>
      </c>
      <c r="O245" s="59">
        <f t="shared" si="22"/>
        <v>4084.6202388555839</v>
      </c>
      <c r="P245" s="59">
        <v>-2500</v>
      </c>
      <c r="Q245" s="59">
        <f>-4156*1.12</f>
        <v>-4654.72</v>
      </c>
      <c r="R245" s="59">
        <v>-500</v>
      </c>
      <c r="S245" s="59">
        <v>0</v>
      </c>
      <c r="T245" s="59">
        <v>0</v>
      </c>
      <c r="U245" s="59">
        <v>0</v>
      </c>
      <c r="V245" s="59">
        <v>0</v>
      </c>
      <c r="W245" s="59">
        <f t="shared" si="18"/>
        <v>-3570.0997611444163</v>
      </c>
      <c r="X245" s="59">
        <f t="shared" si="19"/>
        <v>0</v>
      </c>
      <c r="Y245" s="59">
        <f t="shared" si="20"/>
        <v>-3570.0997611444163</v>
      </c>
      <c r="Z245" s="59">
        <v>0</v>
      </c>
      <c r="AA245" s="59">
        <f t="shared" si="23"/>
        <v>-3570.0997611444163</v>
      </c>
      <c r="AB245" s="59">
        <f t="shared" si="21"/>
        <v>514.52047771116759</v>
      </c>
      <c r="AD245" s="59"/>
      <c r="AF245" s="59"/>
    </row>
    <row r="246" spans="1:32" ht="12.75" customHeight="1" x14ac:dyDescent="0.3">
      <c r="A246" s="39">
        <v>5</v>
      </c>
      <c r="B246" s="41" t="s">
        <v>1190</v>
      </c>
      <c r="C246" s="50" t="s">
        <v>169</v>
      </c>
      <c r="E246" s="50" t="s">
        <v>871</v>
      </c>
      <c r="F246" s="51" t="s">
        <v>39</v>
      </c>
      <c r="G246" s="50" t="s">
        <v>866</v>
      </c>
      <c r="H246" s="59">
        <v>0</v>
      </c>
      <c r="I246" s="59">
        <v>0</v>
      </c>
      <c r="J246" s="59">
        <v>0</v>
      </c>
      <c r="K246" s="59">
        <v>0</v>
      </c>
      <c r="L246" s="59">
        <v>0</v>
      </c>
      <c r="M246" s="59">
        <v>-13.939761144415989</v>
      </c>
      <c r="N246" s="59">
        <v>0</v>
      </c>
      <c r="O246" s="59">
        <f t="shared" si="22"/>
        <v>-13.939761144415989</v>
      </c>
      <c r="P246" s="59">
        <v>0</v>
      </c>
      <c r="Q246" s="59">
        <v>0</v>
      </c>
      <c r="R246" s="59">
        <v>0</v>
      </c>
      <c r="S246" s="59">
        <v>0</v>
      </c>
      <c r="T246" s="59">
        <v>-700</v>
      </c>
      <c r="U246" s="59">
        <v>0</v>
      </c>
      <c r="V246" s="59">
        <v>0</v>
      </c>
      <c r="W246" s="59">
        <f t="shared" si="18"/>
        <v>-713.93976114441602</v>
      </c>
      <c r="X246" s="59">
        <f t="shared" si="19"/>
        <v>0</v>
      </c>
      <c r="Y246" s="59">
        <f t="shared" si="20"/>
        <v>-713.93976114441602</v>
      </c>
      <c r="Z246" s="59">
        <v>200</v>
      </c>
      <c r="AA246" s="59">
        <f t="shared" si="23"/>
        <v>-513.93976114441602</v>
      </c>
      <c r="AB246" s="59">
        <f t="shared" si="21"/>
        <v>-327.87952228883205</v>
      </c>
      <c r="AD246" s="59" t="s">
        <v>1480</v>
      </c>
      <c r="AF246" s="59"/>
    </row>
    <row r="247" spans="1:32" ht="12.75" customHeight="1" x14ac:dyDescent="0.3">
      <c r="A247" s="39">
        <v>5</v>
      </c>
      <c r="B247" s="41" t="s">
        <v>1312</v>
      </c>
      <c r="C247" s="207" t="s">
        <v>426</v>
      </c>
      <c r="D247" s="50" t="s">
        <v>949</v>
      </c>
      <c r="E247" s="50" t="s">
        <v>25</v>
      </c>
      <c r="F247" s="51" t="s">
        <v>25</v>
      </c>
      <c r="G247" s="50" t="s">
        <v>866</v>
      </c>
      <c r="H247" s="59">
        <v>3254.52</v>
      </c>
      <c r="I247" s="59">
        <v>-89.91</v>
      </c>
      <c r="J247" s="59">
        <v>0</v>
      </c>
      <c r="K247" s="59">
        <v>0</v>
      </c>
      <c r="L247" s="59">
        <v>0</v>
      </c>
      <c r="M247" s="59">
        <v>-1.8444359515461695</v>
      </c>
      <c r="N247" s="59">
        <v>0</v>
      </c>
      <c r="O247" s="59">
        <f t="shared" si="22"/>
        <v>3162.7655640484541</v>
      </c>
      <c r="P247" s="59">
        <v>-2700</v>
      </c>
      <c r="Q247" s="59">
        <v>0</v>
      </c>
      <c r="R247" s="59">
        <v>0</v>
      </c>
      <c r="S247" s="59">
        <v>0</v>
      </c>
      <c r="T247" s="59">
        <v>0</v>
      </c>
      <c r="U247" s="59">
        <v>0</v>
      </c>
      <c r="V247" s="59">
        <v>0</v>
      </c>
      <c r="W247" s="59">
        <f t="shared" si="18"/>
        <v>462.76556404845405</v>
      </c>
      <c r="X247" s="59">
        <f t="shared" si="19"/>
        <v>462.76556404845405</v>
      </c>
      <c r="Y247" s="59">
        <f t="shared" si="20"/>
        <v>0</v>
      </c>
      <c r="Z247" s="59">
        <v>463</v>
      </c>
      <c r="AA247" s="59">
        <f t="shared" si="23"/>
        <v>463</v>
      </c>
      <c r="AB247" s="59">
        <f t="shared" si="21"/>
        <v>3626</v>
      </c>
      <c r="AD247" s="59" t="s">
        <v>1481</v>
      </c>
      <c r="AF247" s="59"/>
    </row>
    <row r="248" spans="1:32" ht="12.75" customHeight="1" x14ac:dyDescent="0.3">
      <c r="A248" s="39">
        <v>5</v>
      </c>
      <c r="B248" s="41" t="s">
        <v>1312</v>
      </c>
      <c r="C248" s="50" t="s">
        <v>1439</v>
      </c>
      <c r="E248" s="50" t="s">
        <v>25</v>
      </c>
      <c r="F248" s="51" t="s">
        <v>25</v>
      </c>
      <c r="G248" s="50" t="s">
        <v>866</v>
      </c>
      <c r="H248" s="59">
        <v>0</v>
      </c>
      <c r="I248" s="59">
        <v>0</v>
      </c>
      <c r="J248" s="59">
        <v>0</v>
      </c>
      <c r="K248" s="59">
        <v>0</v>
      </c>
      <c r="L248" s="59">
        <v>0</v>
      </c>
      <c r="M248" s="59">
        <v>-11.844435951546171</v>
      </c>
      <c r="N248" s="59">
        <v>0</v>
      </c>
      <c r="O248" s="59">
        <f t="shared" si="22"/>
        <v>-11.844435951546171</v>
      </c>
      <c r="P248" s="59">
        <v>0</v>
      </c>
      <c r="Q248" s="59">
        <v>0</v>
      </c>
      <c r="R248" s="59">
        <v>-500</v>
      </c>
      <c r="S248" s="59">
        <v>0</v>
      </c>
      <c r="T248" s="59">
        <v>0</v>
      </c>
      <c r="U248" s="59">
        <v>0</v>
      </c>
      <c r="V248" s="59">
        <v>0</v>
      </c>
      <c r="W248" s="59">
        <f t="shared" si="18"/>
        <v>-511.84443595154619</v>
      </c>
      <c r="X248" s="59">
        <f t="shared" si="19"/>
        <v>0</v>
      </c>
      <c r="Y248" s="59">
        <f t="shared" si="20"/>
        <v>-511.84443595154619</v>
      </c>
      <c r="Z248" s="59">
        <v>50</v>
      </c>
      <c r="AA248" s="59">
        <f t="shared" si="23"/>
        <v>-461.84443595154619</v>
      </c>
      <c r="AB248" s="59">
        <f t="shared" si="21"/>
        <v>-423.68887190309238</v>
      </c>
      <c r="AD248" s="59" t="s">
        <v>1482</v>
      </c>
      <c r="AF248" s="59"/>
    </row>
    <row r="249" spans="1:32" ht="12.75" customHeight="1" x14ac:dyDescent="0.3">
      <c r="A249" s="39">
        <v>5</v>
      </c>
      <c r="B249" s="41" t="s">
        <v>1157</v>
      </c>
      <c r="C249" s="50" t="s">
        <v>1265</v>
      </c>
      <c r="D249" s="50" t="s">
        <v>912</v>
      </c>
      <c r="E249" s="50" t="s">
        <v>25</v>
      </c>
      <c r="F249" s="51" t="s">
        <v>25</v>
      </c>
      <c r="G249" s="50" t="s">
        <v>866</v>
      </c>
      <c r="H249" s="59">
        <v>11158.34</v>
      </c>
      <c r="I249" s="59">
        <v>-5843.4199999999955</v>
      </c>
      <c r="J249" s="59">
        <v>-67.2</v>
      </c>
      <c r="K249" s="59">
        <v>0</v>
      </c>
      <c r="L249" s="59">
        <v>0</v>
      </c>
      <c r="M249" s="59">
        <v>-174.87336145016002</v>
      </c>
      <c r="N249" s="59">
        <v>0</v>
      </c>
      <c r="O249" s="59">
        <f t="shared" si="22"/>
        <v>5072.846638549845</v>
      </c>
      <c r="P249" s="59">
        <v>-2700</v>
      </c>
      <c r="Q249" s="59">
        <v>0</v>
      </c>
      <c r="R249" s="59">
        <v>-500</v>
      </c>
      <c r="S249" s="59">
        <v>0</v>
      </c>
      <c r="T249" s="59">
        <v>0</v>
      </c>
      <c r="U249" s="59">
        <v>0</v>
      </c>
      <c r="V249" s="59">
        <v>0</v>
      </c>
      <c r="W249" s="59">
        <f t="shared" si="18"/>
        <v>1872.846638549845</v>
      </c>
      <c r="X249" s="59">
        <f t="shared" si="19"/>
        <v>1872.846638549845</v>
      </c>
      <c r="Y249" s="59">
        <f t="shared" si="20"/>
        <v>0</v>
      </c>
      <c r="Z249" s="59">
        <v>0</v>
      </c>
      <c r="AA249" s="59">
        <f t="shared" si="23"/>
        <v>0</v>
      </c>
      <c r="AB249" s="59">
        <f t="shared" si="21"/>
        <v>3200</v>
      </c>
      <c r="AD249" s="59" t="s">
        <v>1483</v>
      </c>
      <c r="AF249" s="59"/>
    </row>
    <row r="250" spans="1:32" ht="12.75" customHeight="1" x14ac:dyDescent="0.3">
      <c r="A250" s="39">
        <v>5</v>
      </c>
      <c r="B250" s="41" t="s">
        <v>874</v>
      </c>
      <c r="C250" s="50" t="s">
        <v>100</v>
      </c>
      <c r="D250" s="50" t="s">
        <v>1300</v>
      </c>
      <c r="E250" s="50" t="s">
        <v>25</v>
      </c>
      <c r="F250" s="51" t="s">
        <v>25</v>
      </c>
      <c r="G250" s="50" t="s">
        <v>737</v>
      </c>
      <c r="H250" s="59">
        <v>0</v>
      </c>
      <c r="I250" s="59">
        <v>0</v>
      </c>
      <c r="J250" s="59">
        <v>0</v>
      </c>
      <c r="K250" s="59">
        <v>0</v>
      </c>
      <c r="L250" s="59">
        <v>0</v>
      </c>
      <c r="M250" s="59">
        <v>0</v>
      </c>
      <c r="N250" s="59">
        <v>0</v>
      </c>
      <c r="O250" s="59">
        <f t="shared" si="22"/>
        <v>0</v>
      </c>
      <c r="P250" s="59">
        <v>-2500</v>
      </c>
      <c r="Q250" s="59">
        <v>0</v>
      </c>
      <c r="R250" s="59">
        <v>0</v>
      </c>
      <c r="S250" s="59">
        <v>0</v>
      </c>
      <c r="T250" s="59">
        <v>0</v>
      </c>
      <c r="U250" s="59">
        <v>0</v>
      </c>
      <c r="V250" s="59">
        <v>0</v>
      </c>
      <c r="W250" s="59">
        <f t="shared" si="18"/>
        <v>-2500</v>
      </c>
      <c r="X250" s="59">
        <f t="shared" si="19"/>
        <v>0</v>
      </c>
      <c r="Y250" s="59">
        <f t="shared" si="20"/>
        <v>-2500</v>
      </c>
      <c r="Z250" s="59">
        <f>2500+100</f>
        <v>2600</v>
      </c>
      <c r="AA250" s="59">
        <f t="shared" si="23"/>
        <v>100</v>
      </c>
      <c r="AB250" s="59">
        <f t="shared" si="21"/>
        <v>2700</v>
      </c>
      <c r="AD250" s="59" t="s">
        <v>1484</v>
      </c>
      <c r="AF250" s="59"/>
    </row>
    <row r="251" spans="1:32" ht="12.75" customHeight="1" x14ac:dyDescent="0.3">
      <c r="A251" s="39">
        <v>5</v>
      </c>
      <c r="B251" s="41" t="s">
        <v>1314</v>
      </c>
      <c r="C251" s="50" t="s">
        <v>334</v>
      </c>
      <c r="D251" s="50" t="s">
        <v>1169</v>
      </c>
      <c r="E251" s="50" t="s">
        <v>25</v>
      </c>
      <c r="F251" s="51" t="s">
        <v>25</v>
      </c>
      <c r="G251" s="50" t="s">
        <v>866</v>
      </c>
      <c r="H251" s="59">
        <v>6242.19</v>
      </c>
      <c r="I251" s="59">
        <v>-4240.6399999999994</v>
      </c>
      <c r="J251" s="59">
        <v>0</v>
      </c>
      <c r="K251" s="59">
        <v>0</v>
      </c>
      <c r="L251" s="59">
        <v>0</v>
      </c>
      <c r="M251" s="59">
        <v>-126.9935365761845</v>
      </c>
      <c r="N251" s="59">
        <v>0</v>
      </c>
      <c r="O251" s="59">
        <f t="shared" si="22"/>
        <v>1874.5564634238158</v>
      </c>
      <c r="P251" s="59">
        <v>-2500</v>
      </c>
      <c r="Q251" s="59">
        <v>0</v>
      </c>
      <c r="R251" s="59">
        <v>-500</v>
      </c>
      <c r="S251" s="59">
        <v>0</v>
      </c>
      <c r="T251" s="59">
        <v>0</v>
      </c>
      <c r="U251" s="59">
        <v>0</v>
      </c>
      <c r="V251" s="59">
        <v>0</v>
      </c>
      <c r="W251" s="59">
        <f t="shared" si="18"/>
        <v>-1125.4435365761842</v>
      </c>
      <c r="X251" s="59">
        <f t="shared" si="19"/>
        <v>0</v>
      </c>
      <c r="Y251" s="59">
        <f t="shared" si="20"/>
        <v>-1125.4435365761842</v>
      </c>
      <c r="Z251" s="59">
        <v>0</v>
      </c>
      <c r="AA251" s="59">
        <f t="shared" si="23"/>
        <v>-1125.4435365761842</v>
      </c>
      <c r="AB251" s="59">
        <f t="shared" si="21"/>
        <v>749.11292684763157</v>
      </c>
      <c r="AD251" s="59"/>
      <c r="AF251" s="59"/>
    </row>
    <row r="252" spans="1:32" ht="12.75" customHeight="1" x14ac:dyDescent="0.3">
      <c r="A252" s="39">
        <v>5</v>
      </c>
      <c r="B252" s="41" t="s">
        <v>872</v>
      </c>
      <c r="C252" s="50" t="s">
        <v>256</v>
      </c>
      <c r="D252" s="50" t="s">
        <v>997</v>
      </c>
      <c r="E252" s="50" t="s">
        <v>871</v>
      </c>
      <c r="F252" s="51" t="s">
        <v>39</v>
      </c>
      <c r="G252" s="50" t="s">
        <v>866</v>
      </c>
      <c r="H252" s="59">
        <v>11593.49</v>
      </c>
      <c r="I252" s="59">
        <v>-4869.9399999999996</v>
      </c>
      <c r="J252" s="59">
        <v>-107.2</v>
      </c>
      <c r="K252" s="59">
        <v>0</v>
      </c>
      <c r="L252" s="59">
        <v>-110.11000000000004</v>
      </c>
      <c r="M252" s="59">
        <v>-250</v>
      </c>
      <c r="N252" s="59">
        <v>-73</v>
      </c>
      <c r="O252" s="59">
        <f t="shared" si="22"/>
        <v>6183.2400000000007</v>
      </c>
      <c r="P252" s="59">
        <v>-2500</v>
      </c>
      <c r="Q252" s="59">
        <v>0</v>
      </c>
      <c r="R252" s="59">
        <v>0</v>
      </c>
      <c r="S252" s="59">
        <v>-700</v>
      </c>
      <c r="T252" s="59">
        <f>VLOOKUP(B252,[1]HOJALATERÍA!$A$4:$BO$49,67,0)</f>
        <v>0</v>
      </c>
      <c r="U252" s="59">
        <v>0</v>
      </c>
      <c r="V252" s="59">
        <v>0</v>
      </c>
      <c r="W252" s="59">
        <f t="shared" si="18"/>
        <v>2983.2400000000007</v>
      </c>
      <c r="X252" s="59">
        <f t="shared" si="19"/>
        <v>2983.2400000000007</v>
      </c>
      <c r="Y252" s="59">
        <f t="shared" si="20"/>
        <v>0</v>
      </c>
      <c r="Z252" s="59">
        <v>0</v>
      </c>
      <c r="AA252" s="59">
        <f t="shared" si="23"/>
        <v>0</v>
      </c>
      <c r="AB252" s="59">
        <f t="shared" si="21"/>
        <v>3200</v>
      </c>
      <c r="AD252" s="59" t="s">
        <v>1485</v>
      </c>
      <c r="AF252" s="59"/>
    </row>
    <row r="253" spans="1:32" ht="12.75" customHeight="1" x14ac:dyDescent="0.3">
      <c r="A253" s="39">
        <v>5</v>
      </c>
      <c r="B253" s="41" t="s">
        <v>1405</v>
      </c>
      <c r="C253" s="50" t="s">
        <v>1316</v>
      </c>
      <c r="D253" s="50" t="s">
        <v>1317</v>
      </c>
      <c r="E253" s="50" t="s">
        <v>25</v>
      </c>
      <c r="F253" s="51" t="s">
        <v>25</v>
      </c>
      <c r="G253" s="50" t="s">
        <v>737</v>
      </c>
      <c r="H253" s="59">
        <v>0</v>
      </c>
      <c r="I253" s="59">
        <v>0</v>
      </c>
      <c r="J253" s="59">
        <v>0</v>
      </c>
      <c r="K253" s="59">
        <v>0</v>
      </c>
      <c r="L253" s="59">
        <v>0</v>
      </c>
      <c r="M253" s="59">
        <v>0</v>
      </c>
      <c r="N253" s="59">
        <v>0</v>
      </c>
      <c r="O253" s="59">
        <f t="shared" si="22"/>
        <v>0</v>
      </c>
      <c r="P253" s="59">
        <v>-2700</v>
      </c>
      <c r="Q253" s="59">
        <v>0</v>
      </c>
      <c r="R253" s="59">
        <v>-500</v>
      </c>
      <c r="S253" s="59">
        <v>0</v>
      </c>
      <c r="T253" s="59">
        <v>0</v>
      </c>
      <c r="U253" s="59">
        <v>0</v>
      </c>
      <c r="V253" s="59">
        <v>0</v>
      </c>
      <c r="W253" s="59">
        <f t="shared" si="18"/>
        <v>-3200</v>
      </c>
      <c r="X253" s="59">
        <f t="shared" si="19"/>
        <v>0</v>
      </c>
      <c r="Y253" s="59">
        <f t="shared" si="20"/>
        <v>-3200</v>
      </c>
      <c r="Z253" s="59">
        <v>2000</v>
      </c>
      <c r="AA253" s="59">
        <f t="shared" si="23"/>
        <v>-1200</v>
      </c>
      <c r="AB253" s="59">
        <f t="shared" si="21"/>
        <v>800</v>
      </c>
      <c r="AD253" s="59" t="s">
        <v>1486</v>
      </c>
      <c r="AF253" s="59"/>
    </row>
    <row r="254" spans="1:32" ht="12.75" customHeight="1" x14ac:dyDescent="0.3">
      <c r="A254" s="39">
        <v>5</v>
      </c>
      <c r="B254" s="41" t="s">
        <v>1487</v>
      </c>
      <c r="C254" s="50" t="s">
        <v>347</v>
      </c>
      <c r="E254" s="50" t="s">
        <v>25</v>
      </c>
      <c r="F254" s="51" t="s">
        <v>25</v>
      </c>
      <c r="G254" s="50" t="s">
        <v>866</v>
      </c>
      <c r="H254" s="59">
        <v>3413.12</v>
      </c>
      <c r="I254" s="59">
        <v>-1984.63</v>
      </c>
      <c r="J254" s="59">
        <v>0</v>
      </c>
      <c r="K254" s="59">
        <v>0</v>
      </c>
      <c r="L254" s="59">
        <v>0</v>
      </c>
      <c r="M254" s="59">
        <v>-112.9931901069634</v>
      </c>
      <c r="N254" s="59">
        <v>-269</v>
      </c>
      <c r="O254" s="59">
        <f t="shared" si="22"/>
        <v>1046.4968098930365</v>
      </c>
      <c r="P254" s="59">
        <f>(-2500/7)*4.5</f>
        <v>-1607.1428571428573</v>
      </c>
      <c r="Q254" s="59">
        <v>0</v>
      </c>
      <c r="R254" s="59">
        <f>(-500/7)*4.5</f>
        <v>-321.42857142857144</v>
      </c>
      <c r="S254" s="59">
        <v>0</v>
      </c>
      <c r="T254" s="59">
        <v>0</v>
      </c>
      <c r="U254" s="59">
        <v>0</v>
      </c>
      <c r="V254" s="59">
        <v>0</v>
      </c>
      <c r="W254" s="59">
        <f t="shared" si="18"/>
        <v>-882.07461867839231</v>
      </c>
      <c r="X254" s="59">
        <f t="shared" si="19"/>
        <v>0</v>
      </c>
      <c r="Y254" s="59">
        <f t="shared" si="20"/>
        <v>-882.07461867839231</v>
      </c>
      <c r="Z254" s="59">
        <v>0</v>
      </c>
      <c r="AA254" s="59">
        <f t="shared" si="23"/>
        <v>-882.07461867839231</v>
      </c>
      <c r="AB254" s="59">
        <f t="shared" si="21"/>
        <v>164.42219121464416</v>
      </c>
      <c r="AC254" s="59">
        <v>2000</v>
      </c>
      <c r="AD254" s="59"/>
      <c r="AF254" s="59"/>
    </row>
    <row r="255" spans="1:32" ht="12.75" customHeight="1" x14ac:dyDescent="0.3">
      <c r="A255" s="39">
        <v>5</v>
      </c>
      <c r="B255" s="41" t="s">
        <v>1153</v>
      </c>
      <c r="C255" s="50" t="s">
        <v>1328</v>
      </c>
      <c r="D255" s="50" t="s">
        <v>912</v>
      </c>
      <c r="E255" s="50" t="s">
        <v>25</v>
      </c>
      <c r="F255" s="51" t="s">
        <v>25</v>
      </c>
      <c r="G255" s="50" t="s">
        <v>866</v>
      </c>
      <c r="H255" s="59">
        <v>2055.96</v>
      </c>
      <c r="I255" s="59">
        <v>-244.57999999999998</v>
      </c>
      <c r="J255" s="59">
        <v>0</v>
      </c>
      <c r="K255" s="59">
        <v>0</v>
      </c>
      <c r="L255" s="59">
        <v>0</v>
      </c>
      <c r="M255" s="59">
        <v>-50.816574541532212</v>
      </c>
      <c r="N255" s="59">
        <v>-381.65999999999997</v>
      </c>
      <c r="O255" s="59">
        <f t="shared" si="22"/>
        <v>1378.9034254584681</v>
      </c>
      <c r="P255" s="59">
        <v>-2700</v>
      </c>
      <c r="Q255" s="59">
        <v>0</v>
      </c>
      <c r="R255" s="59">
        <v>-500</v>
      </c>
      <c r="S255" s="59">
        <v>0</v>
      </c>
      <c r="T255" s="59">
        <v>0</v>
      </c>
      <c r="U255" s="59">
        <v>0</v>
      </c>
      <c r="V255" s="59">
        <v>0</v>
      </c>
      <c r="W255" s="59">
        <f t="shared" si="18"/>
        <v>-1821.0965745415319</v>
      </c>
      <c r="X255" s="59">
        <f t="shared" si="19"/>
        <v>0</v>
      </c>
      <c r="Y255" s="59">
        <f>IF(W255&lt;=0,W255,0)-879</f>
        <v>-2700.0965745415319</v>
      </c>
      <c r="Z255" s="59">
        <f>2318+382</f>
        <v>2700</v>
      </c>
      <c r="AA255" s="59">
        <f t="shared" si="23"/>
        <v>-9.657454153193612E-2</v>
      </c>
      <c r="AB255" s="59">
        <f t="shared" si="21"/>
        <v>4078.8068509169361</v>
      </c>
      <c r="AD255" s="59" t="s">
        <v>1488</v>
      </c>
      <c r="AF255" s="59"/>
    </row>
    <row r="256" spans="1:32" ht="12.75" customHeight="1" x14ac:dyDescent="0.3">
      <c r="A256" s="39">
        <v>5</v>
      </c>
      <c r="B256" s="41" t="s">
        <v>1056</v>
      </c>
      <c r="C256" s="50" t="s">
        <v>760</v>
      </c>
      <c r="D256" s="50" t="s">
        <v>1239</v>
      </c>
      <c r="E256" s="50" t="s">
        <v>25</v>
      </c>
      <c r="F256" s="143" t="s">
        <v>39</v>
      </c>
      <c r="G256" s="50" t="s">
        <v>866</v>
      </c>
      <c r="H256" s="59">
        <v>0</v>
      </c>
      <c r="I256" s="59">
        <v>0</v>
      </c>
      <c r="J256" s="59">
        <v>0</v>
      </c>
      <c r="K256" s="59">
        <v>0</v>
      </c>
      <c r="L256" s="59">
        <v>0</v>
      </c>
      <c r="M256" s="59">
        <v>0</v>
      </c>
      <c r="N256" s="59">
        <v>0</v>
      </c>
      <c r="O256" s="59">
        <f t="shared" si="22"/>
        <v>0</v>
      </c>
      <c r="P256" s="59">
        <v>0</v>
      </c>
      <c r="Q256" s="59">
        <v>0</v>
      </c>
      <c r="R256" s="59">
        <v>0</v>
      </c>
      <c r="S256" s="59">
        <v>0</v>
      </c>
      <c r="T256" s="59">
        <v>0</v>
      </c>
      <c r="U256" s="59">
        <v>0</v>
      </c>
      <c r="V256" s="59">
        <v>0</v>
      </c>
      <c r="W256" s="59">
        <f t="shared" si="18"/>
        <v>0</v>
      </c>
      <c r="X256" s="59">
        <f t="shared" si="19"/>
        <v>0</v>
      </c>
      <c r="Y256" s="59">
        <f t="shared" si="20"/>
        <v>0</v>
      </c>
      <c r="Z256" s="59">
        <v>0</v>
      </c>
      <c r="AA256" s="59">
        <f t="shared" si="23"/>
        <v>0</v>
      </c>
      <c r="AB256" s="59">
        <f t="shared" si="21"/>
        <v>0</v>
      </c>
      <c r="AD256" s="59"/>
      <c r="AF256" s="59"/>
    </row>
    <row r="257" spans="1:43" ht="12.75" customHeight="1" x14ac:dyDescent="0.3">
      <c r="A257" s="39">
        <v>5</v>
      </c>
      <c r="B257" s="41" t="s">
        <v>620</v>
      </c>
      <c r="C257" s="50" t="s">
        <v>571</v>
      </c>
      <c r="D257" s="50" t="s">
        <v>974</v>
      </c>
      <c r="E257" s="50" t="s">
        <v>25</v>
      </c>
      <c r="F257" s="51" t="s">
        <v>25</v>
      </c>
      <c r="G257" s="50" t="s">
        <v>737</v>
      </c>
      <c r="H257" s="59">
        <v>0</v>
      </c>
      <c r="I257" s="59">
        <v>-30</v>
      </c>
      <c r="J257" s="59">
        <v>0</v>
      </c>
      <c r="K257" s="59">
        <v>0</v>
      </c>
      <c r="L257" s="59">
        <v>0</v>
      </c>
      <c r="M257" s="59">
        <v>0</v>
      </c>
      <c r="N257" s="59">
        <v>0</v>
      </c>
      <c r="O257" s="59">
        <f>IF(H257+I257&lt;0,SUM(J257:N257),SUM(H257:N257))</f>
        <v>0</v>
      </c>
      <c r="P257" s="59">
        <f>(-2600/7)*5</f>
        <v>-1857.1428571428573</v>
      </c>
      <c r="Q257" s="59">
        <v>918</v>
      </c>
      <c r="R257" s="59">
        <v>0</v>
      </c>
      <c r="S257" s="59">
        <v>0</v>
      </c>
      <c r="T257" s="59">
        <v>-700</v>
      </c>
      <c r="U257" s="59">
        <v>0</v>
      </c>
      <c r="V257" s="59">
        <v>0</v>
      </c>
      <c r="W257" s="59">
        <f t="shared" si="18"/>
        <v>-1639.1428571428573</v>
      </c>
      <c r="X257" s="59">
        <f t="shared" si="19"/>
        <v>0</v>
      </c>
      <c r="Y257" s="59">
        <f t="shared" si="20"/>
        <v>-1639.1428571428573</v>
      </c>
      <c r="Z257" s="59">
        <f>500+710+429</f>
        <v>1639</v>
      </c>
      <c r="AA257" s="59">
        <f t="shared" si="23"/>
        <v>-0.14285714285733775</v>
      </c>
      <c r="AB257" s="59">
        <f t="shared" si="21"/>
        <v>1638.8571428571427</v>
      </c>
      <c r="AD257" s="59" t="s">
        <v>1489</v>
      </c>
      <c r="AF257" s="59"/>
    </row>
    <row r="258" spans="1:43" ht="12.75" customHeight="1" x14ac:dyDescent="0.3">
      <c r="A258" s="39">
        <v>5</v>
      </c>
      <c r="B258" s="41" t="s">
        <v>612</v>
      </c>
      <c r="C258" s="50" t="s">
        <v>1443</v>
      </c>
      <c r="E258" s="50" t="s">
        <v>25</v>
      </c>
      <c r="F258" s="51" t="s">
        <v>25</v>
      </c>
      <c r="G258" s="50" t="s">
        <v>866</v>
      </c>
      <c r="H258" s="59">
        <v>4133.72</v>
      </c>
      <c r="I258" s="59">
        <v>-925.11000000000035</v>
      </c>
      <c r="J258" s="59">
        <v>0</v>
      </c>
      <c r="K258" s="59">
        <v>0</v>
      </c>
      <c r="L258" s="59">
        <v>0</v>
      </c>
      <c r="M258" s="59">
        <v>-32</v>
      </c>
      <c r="N258" s="59">
        <v>0</v>
      </c>
      <c r="O258" s="59">
        <f t="shared" si="22"/>
        <v>3176.6099999999997</v>
      </c>
      <c r="P258" s="59">
        <f>(-2700/7)*4</f>
        <v>-1542.8571428571429</v>
      </c>
      <c r="Q258" s="59">
        <v>0</v>
      </c>
      <c r="R258" s="59">
        <v>0</v>
      </c>
      <c r="S258" s="59">
        <v>0</v>
      </c>
      <c r="T258" s="59">
        <v>0</v>
      </c>
      <c r="U258" s="59">
        <v>0</v>
      </c>
      <c r="V258" s="59">
        <v>0</v>
      </c>
      <c r="W258" s="59">
        <f t="shared" ref="W258:W321" si="24">SUM(O258:V258)</f>
        <v>1633.7528571428568</v>
      </c>
      <c r="X258" s="59">
        <f t="shared" ref="X258:X281" si="25">IF(W258&gt;=0,W258,0)</f>
        <v>1633.7528571428568</v>
      </c>
      <c r="Y258" s="59">
        <f t="shared" ref="Y258:Y281" si="26">IF(W258&lt;=0,W258,0)</f>
        <v>0</v>
      </c>
      <c r="Z258" s="59">
        <v>0</v>
      </c>
      <c r="AA258" s="59">
        <f t="shared" si="23"/>
        <v>0</v>
      </c>
      <c r="AB258" s="59">
        <f t="shared" ref="AB258:AB321" si="27">+O258-X258+Z258+AA258</f>
        <v>1542.8571428571429</v>
      </c>
      <c r="AD258" s="59" t="s">
        <v>1490</v>
      </c>
      <c r="AF258" s="59"/>
    </row>
    <row r="259" spans="1:43" ht="12.75" customHeight="1" x14ac:dyDescent="0.3">
      <c r="A259" s="39">
        <v>5</v>
      </c>
      <c r="B259" s="41" t="s">
        <v>1106</v>
      </c>
      <c r="C259" s="50" t="s">
        <v>36</v>
      </c>
      <c r="D259" s="50" t="s">
        <v>904</v>
      </c>
      <c r="E259" s="50" t="s">
        <v>25</v>
      </c>
      <c r="F259" s="51" t="s">
        <v>25</v>
      </c>
      <c r="G259" s="50" t="s">
        <v>866</v>
      </c>
      <c r="H259" s="59">
        <v>0</v>
      </c>
      <c r="I259" s="59">
        <v>0</v>
      </c>
      <c r="J259" s="59">
        <v>0</v>
      </c>
      <c r="K259" s="59">
        <v>0</v>
      </c>
      <c r="L259" s="59">
        <v>0</v>
      </c>
      <c r="M259" s="59">
        <v>0</v>
      </c>
      <c r="N259" s="59">
        <v>0</v>
      </c>
      <c r="O259" s="59">
        <f t="shared" si="22"/>
        <v>0</v>
      </c>
      <c r="P259" s="59">
        <v>0</v>
      </c>
      <c r="Q259" s="59">
        <v>0</v>
      </c>
      <c r="R259" s="59">
        <v>500</v>
      </c>
      <c r="S259" s="59">
        <v>0</v>
      </c>
      <c r="T259" s="59">
        <v>0</v>
      </c>
      <c r="U259" s="59">
        <v>0</v>
      </c>
      <c r="V259" s="59">
        <v>0</v>
      </c>
      <c r="W259" s="59">
        <f t="shared" si="24"/>
        <v>500</v>
      </c>
      <c r="X259" s="59">
        <f t="shared" si="25"/>
        <v>500</v>
      </c>
      <c r="Y259" s="59">
        <f t="shared" si="26"/>
        <v>0</v>
      </c>
      <c r="Z259" s="59">
        <v>0</v>
      </c>
      <c r="AA259" s="59">
        <f t="shared" si="23"/>
        <v>0</v>
      </c>
      <c r="AB259" s="59">
        <f t="shared" si="27"/>
        <v>-500</v>
      </c>
      <c r="AD259" s="59" t="s">
        <v>1491</v>
      </c>
      <c r="AF259" s="59"/>
    </row>
    <row r="260" spans="1:43" ht="12.75" customHeight="1" x14ac:dyDescent="0.3">
      <c r="A260" s="39">
        <v>5</v>
      </c>
      <c r="B260" s="41" t="s">
        <v>457</v>
      </c>
      <c r="C260" s="50" t="s">
        <v>672</v>
      </c>
      <c r="D260" s="50" t="s">
        <v>1226</v>
      </c>
      <c r="E260" s="50" t="s">
        <v>25</v>
      </c>
      <c r="F260" s="51" t="s">
        <v>25</v>
      </c>
      <c r="G260" s="50" t="s">
        <v>866</v>
      </c>
      <c r="H260" s="59">
        <v>2735.45</v>
      </c>
      <c r="I260" s="59">
        <v>0</v>
      </c>
      <c r="J260" s="59">
        <v>0</v>
      </c>
      <c r="K260" s="59">
        <v>0</v>
      </c>
      <c r="L260" s="59">
        <v>0</v>
      </c>
      <c r="M260" s="59">
        <v>-10</v>
      </c>
      <c r="N260" s="59">
        <v>0</v>
      </c>
      <c r="O260" s="59">
        <f t="shared" si="22"/>
        <v>2725.45</v>
      </c>
      <c r="P260" s="59">
        <v>-2500</v>
      </c>
      <c r="Q260" s="59">
        <f>-945*1.15</f>
        <v>-1086.75</v>
      </c>
      <c r="R260" s="59">
        <v>0</v>
      </c>
      <c r="S260" s="59">
        <v>0</v>
      </c>
      <c r="T260" s="59">
        <v>0</v>
      </c>
      <c r="U260" s="59">
        <v>0</v>
      </c>
      <c r="V260" s="59">
        <v>0</v>
      </c>
      <c r="W260" s="59">
        <f t="shared" si="24"/>
        <v>-861.30000000000018</v>
      </c>
      <c r="X260" s="59">
        <f t="shared" si="25"/>
        <v>0</v>
      </c>
      <c r="Y260" s="59">
        <f t="shared" si="26"/>
        <v>-861.30000000000018</v>
      </c>
      <c r="Z260" s="59">
        <v>861</v>
      </c>
      <c r="AA260" s="59">
        <f t="shared" si="23"/>
        <v>-0.3000000000001819</v>
      </c>
      <c r="AB260" s="59">
        <f t="shared" si="27"/>
        <v>3586.1499999999996</v>
      </c>
      <c r="AD260" s="59" t="s">
        <v>1492</v>
      </c>
      <c r="AF260" s="59"/>
    </row>
    <row r="261" spans="1:43" ht="12.75" customHeight="1" x14ac:dyDescent="0.3">
      <c r="A261" s="39">
        <v>5</v>
      </c>
      <c r="B261" s="41" t="s">
        <v>457</v>
      </c>
      <c r="C261" s="50" t="s">
        <v>573</v>
      </c>
      <c r="D261" s="50" t="s">
        <v>1160</v>
      </c>
      <c r="E261" s="50" t="s">
        <v>25</v>
      </c>
      <c r="F261" s="51" t="s">
        <v>25</v>
      </c>
      <c r="G261" s="50" t="s">
        <v>866</v>
      </c>
      <c r="H261" s="59">
        <v>0</v>
      </c>
      <c r="I261" s="59">
        <v>0</v>
      </c>
      <c r="J261" s="59">
        <v>0</v>
      </c>
      <c r="K261" s="59">
        <v>0</v>
      </c>
      <c r="L261" s="59">
        <v>0</v>
      </c>
      <c r="M261" s="59">
        <v>0</v>
      </c>
      <c r="N261" s="59">
        <v>0</v>
      </c>
      <c r="O261" s="59">
        <f t="shared" si="22"/>
        <v>0</v>
      </c>
      <c r="P261" s="59">
        <v>0</v>
      </c>
      <c r="Q261" s="59">
        <v>0</v>
      </c>
      <c r="R261" s="59">
        <v>0</v>
      </c>
      <c r="S261" s="59">
        <v>0</v>
      </c>
      <c r="T261" s="59">
        <v>-500</v>
      </c>
      <c r="U261" s="59">
        <v>0</v>
      </c>
      <c r="V261" s="59">
        <v>0</v>
      </c>
      <c r="W261" s="59">
        <f t="shared" si="24"/>
        <v>-500</v>
      </c>
      <c r="X261" s="59">
        <f t="shared" si="25"/>
        <v>0</v>
      </c>
      <c r="Y261" s="59">
        <f t="shared" si="26"/>
        <v>-500</v>
      </c>
      <c r="Z261" s="59">
        <v>159</v>
      </c>
      <c r="AA261" s="59">
        <f t="shared" si="23"/>
        <v>-341</v>
      </c>
      <c r="AB261" s="59">
        <f t="shared" si="27"/>
        <v>-182</v>
      </c>
      <c r="AD261" s="59"/>
      <c r="AF261" s="59"/>
    </row>
    <row r="262" spans="1:43" ht="12.75" customHeight="1" x14ac:dyDescent="0.3">
      <c r="A262" s="39">
        <v>5</v>
      </c>
      <c r="B262" s="41" t="s">
        <v>742</v>
      </c>
      <c r="C262" s="50" t="s">
        <v>573</v>
      </c>
      <c r="D262" s="50" t="s">
        <v>1160</v>
      </c>
      <c r="E262" s="50" t="s">
        <v>25</v>
      </c>
      <c r="F262" s="51" t="s">
        <v>25</v>
      </c>
      <c r="G262" s="50" t="s">
        <v>866</v>
      </c>
      <c r="H262" s="59">
        <v>5321.58</v>
      </c>
      <c r="I262" s="59">
        <v>-3685.2099999999996</v>
      </c>
      <c r="J262" s="59">
        <v>-41.599999999999994</v>
      </c>
      <c r="K262" s="59">
        <v>0</v>
      </c>
      <c r="L262" s="59">
        <v>-55.4</v>
      </c>
      <c r="M262" s="59">
        <v>-135.59930834164669</v>
      </c>
      <c r="N262" s="59">
        <v>0</v>
      </c>
      <c r="O262" s="59">
        <f t="shared" si="22"/>
        <v>1403.7706916583536</v>
      </c>
      <c r="P262" s="59">
        <v>-2500</v>
      </c>
      <c r="Q262" s="59">
        <v>-994</v>
      </c>
      <c r="R262" s="59">
        <v>-500</v>
      </c>
      <c r="S262" s="59">
        <v>0</v>
      </c>
      <c r="T262" s="59">
        <v>0</v>
      </c>
      <c r="U262" s="59">
        <v>0</v>
      </c>
      <c r="V262" s="59">
        <v>0</v>
      </c>
      <c r="W262" s="59">
        <f t="shared" si="24"/>
        <v>-2590.2293083416462</v>
      </c>
      <c r="X262" s="59">
        <f t="shared" si="25"/>
        <v>0</v>
      </c>
      <c r="Y262" s="59">
        <f t="shared" si="26"/>
        <v>-2590.2293083416462</v>
      </c>
      <c r="Z262" s="59">
        <v>2590</v>
      </c>
      <c r="AA262" s="59">
        <f t="shared" si="23"/>
        <v>-0.22930834164617409</v>
      </c>
      <c r="AB262" s="59">
        <f t="shared" si="27"/>
        <v>3993.5413833167077</v>
      </c>
      <c r="AD262" s="59" t="s">
        <v>1493</v>
      </c>
      <c r="AF262" s="59"/>
    </row>
    <row r="263" spans="1:43" ht="12.75" customHeight="1" x14ac:dyDescent="0.3">
      <c r="A263" s="39">
        <v>5</v>
      </c>
      <c r="B263" s="41" t="s">
        <v>1295</v>
      </c>
      <c r="C263" s="50" t="s">
        <v>53</v>
      </c>
      <c r="D263" s="50" t="s">
        <v>1167</v>
      </c>
      <c r="E263" s="50" t="s">
        <v>25</v>
      </c>
      <c r="F263" s="51" t="s">
        <v>25</v>
      </c>
      <c r="G263" s="50" t="s">
        <v>866</v>
      </c>
      <c r="H263" s="59">
        <v>3659.82</v>
      </c>
      <c r="I263" s="59">
        <v>-1477.75</v>
      </c>
      <c r="J263" s="59">
        <v>0</v>
      </c>
      <c r="K263" s="59">
        <v>0</v>
      </c>
      <c r="L263" s="59">
        <v>0</v>
      </c>
      <c r="M263" s="59">
        <v>-80.314928566314705</v>
      </c>
      <c r="N263" s="59">
        <v>0</v>
      </c>
      <c r="O263" s="59">
        <f t="shared" ref="O263:O281" si="28">IF(H263+I263&lt;0,SUM(J263:N263),SUM(H263:N263))</f>
        <v>2101.7550714336853</v>
      </c>
      <c r="P263" s="59">
        <v>-2500</v>
      </c>
      <c r="Q263" s="59">
        <v>0</v>
      </c>
      <c r="R263" s="59">
        <v>-500</v>
      </c>
      <c r="S263" s="59">
        <v>0</v>
      </c>
      <c r="T263" s="59">
        <v>0</v>
      </c>
      <c r="U263" s="59">
        <v>0</v>
      </c>
      <c r="V263" s="59">
        <v>0</v>
      </c>
      <c r="W263" s="59">
        <f t="shared" si="24"/>
        <v>-898.24492856631468</v>
      </c>
      <c r="X263" s="59">
        <f t="shared" si="25"/>
        <v>0</v>
      </c>
      <c r="Y263" s="59">
        <f t="shared" si="26"/>
        <v>-898.24492856631468</v>
      </c>
      <c r="Z263" s="59">
        <v>898</v>
      </c>
      <c r="AA263" s="59">
        <f t="shared" ref="AA263:AA281" si="29">+Y263+Z263</f>
        <v>-0.24492856631468385</v>
      </c>
      <c r="AB263" s="59">
        <f t="shared" si="27"/>
        <v>2999.5101428673706</v>
      </c>
      <c r="AD263" s="59" t="s">
        <v>1494</v>
      </c>
      <c r="AF263" s="59"/>
    </row>
    <row r="264" spans="1:43" ht="12.75" customHeight="1" x14ac:dyDescent="0.3">
      <c r="A264" s="39">
        <v>5</v>
      </c>
      <c r="B264" s="41" t="s">
        <v>1403</v>
      </c>
      <c r="C264" s="50" t="s">
        <v>195</v>
      </c>
      <c r="D264" s="50" t="s">
        <v>1404</v>
      </c>
      <c r="E264" s="50" t="s">
        <v>871</v>
      </c>
      <c r="F264" s="51" t="s">
        <v>39</v>
      </c>
      <c r="G264" s="50" t="s">
        <v>866</v>
      </c>
      <c r="H264" s="59">
        <v>8153.08</v>
      </c>
      <c r="I264" s="59">
        <v>-2240.77</v>
      </c>
      <c r="J264" s="59">
        <v>-240</v>
      </c>
      <c r="K264" s="59">
        <v>0</v>
      </c>
      <c r="L264" s="59">
        <v>0</v>
      </c>
      <c r="M264" s="59">
        <v>-86.088433152635361</v>
      </c>
      <c r="N264" s="59">
        <v>0</v>
      </c>
      <c r="O264" s="59">
        <f t="shared" si="28"/>
        <v>5586.2215668473646</v>
      </c>
      <c r="P264" s="59">
        <v>-2500</v>
      </c>
      <c r="Q264" s="59">
        <v>0</v>
      </c>
      <c r="R264" s="59">
        <v>-500</v>
      </c>
      <c r="S264" s="59">
        <v>0</v>
      </c>
      <c r="T264" s="59">
        <v>-700</v>
      </c>
      <c r="U264" s="59">
        <v>0</v>
      </c>
      <c r="V264" s="59">
        <v>0</v>
      </c>
      <c r="W264" s="59">
        <f t="shared" si="24"/>
        <v>1886.2215668473646</v>
      </c>
      <c r="X264" s="59">
        <f t="shared" si="25"/>
        <v>1886.2215668473646</v>
      </c>
      <c r="Y264" s="59">
        <f t="shared" si="26"/>
        <v>0</v>
      </c>
      <c r="Z264" s="59">
        <v>0</v>
      </c>
      <c r="AA264" s="59">
        <f t="shared" si="29"/>
        <v>0</v>
      </c>
      <c r="AB264" s="59">
        <f t="shared" si="27"/>
        <v>3700</v>
      </c>
      <c r="AD264" s="59" t="s">
        <v>1495</v>
      </c>
      <c r="AF264" s="59"/>
    </row>
    <row r="265" spans="1:43" ht="12.75" customHeight="1" x14ac:dyDescent="0.3">
      <c r="A265" s="39">
        <v>5</v>
      </c>
      <c r="B265" s="41" t="s">
        <v>913</v>
      </c>
      <c r="C265" s="50" t="s">
        <v>361</v>
      </c>
      <c r="D265" s="50" t="s">
        <v>1164</v>
      </c>
      <c r="E265" s="50" t="s">
        <v>25</v>
      </c>
      <c r="F265" s="51" t="s">
        <v>25</v>
      </c>
      <c r="G265" s="50" t="s">
        <v>866</v>
      </c>
      <c r="H265" s="59">
        <v>3273.57</v>
      </c>
      <c r="I265" s="59">
        <v>-2067.02</v>
      </c>
      <c r="J265" s="59">
        <v>0</v>
      </c>
      <c r="K265" s="59">
        <v>0</v>
      </c>
      <c r="L265" s="59">
        <v>0</v>
      </c>
      <c r="M265" s="59">
        <v>-203.862558920754</v>
      </c>
      <c r="N265" s="59">
        <v>-887.16000000000008</v>
      </c>
      <c r="O265" s="59">
        <f t="shared" si="28"/>
        <v>115.52744107924605</v>
      </c>
      <c r="P265" s="59">
        <v>-2700</v>
      </c>
      <c r="Q265" s="59">
        <f>-2280*1.12</f>
        <v>-2553.6000000000004</v>
      </c>
      <c r="R265" s="59">
        <v>0</v>
      </c>
      <c r="S265" s="59">
        <v>0</v>
      </c>
      <c r="T265" s="59">
        <v>0</v>
      </c>
      <c r="U265" s="59">
        <v>0</v>
      </c>
      <c r="V265" s="59">
        <v>0</v>
      </c>
      <c r="W265" s="59">
        <f t="shared" si="24"/>
        <v>-5138.0725589207541</v>
      </c>
      <c r="X265" s="59">
        <f t="shared" si="25"/>
        <v>0</v>
      </c>
      <c r="Y265" s="59">
        <f t="shared" si="26"/>
        <v>-5138.0725589207541</v>
      </c>
      <c r="Z265" s="59">
        <f>1500+1000+1000+800</f>
        <v>4300</v>
      </c>
      <c r="AA265" s="59">
        <f t="shared" si="29"/>
        <v>-838.07255892075409</v>
      </c>
      <c r="AB265" s="59">
        <f t="shared" si="27"/>
        <v>3577.4548821584922</v>
      </c>
      <c r="AD265" s="59" t="s">
        <v>1496</v>
      </c>
      <c r="AF265" s="59"/>
    </row>
    <row r="266" spans="1:43" ht="12.75" customHeight="1" x14ac:dyDescent="0.3">
      <c r="A266" s="39">
        <v>5</v>
      </c>
      <c r="B266" s="41" t="s">
        <v>913</v>
      </c>
      <c r="C266" s="50" t="s">
        <v>120</v>
      </c>
      <c r="D266" s="50" t="s">
        <v>950</v>
      </c>
      <c r="E266" s="50" t="s">
        <v>25</v>
      </c>
      <c r="F266" s="51" t="s">
        <v>25</v>
      </c>
      <c r="G266" s="50" t="s">
        <v>866</v>
      </c>
      <c r="H266" s="59">
        <v>0</v>
      </c>
      <c r="I266" s="59">
        <v>0</v>
      </c>
      <c r="J266" s="59">
        <v>0</v>
      </c>
      <c r="K266" s="59">
        <v>0</v>
      </c>
      <c r="L266" s="59">
        <v>0</v>
      </c>
      <c r="M266" s="59">
        <v>0</v>
      </c>
      <c r="N266" s="59">
        <v>0</v>
      </c>
      <c r="O266" s="59">
        <f t="shared" si="28"/>
        <v>0</v>
      </c>
      <c r="P266" s="59">
        <v>0</v>
      </c>
      <c r="Q266" s="59">
        <v>0</v>
      </c>
      <c r="R266" s="59">
        <v>0</v>
      </c>
      <c r="S266" s="59">
        <v>0</v>
      </c>
      <c r="T266" s="59">
        <v>-700</v>
      </c>
      <c r="U266" s="59">
        <v>0</v>
      </c>
      <c r="V266" s="59">
        <v>0</v>
      </c>
      <c r="W266" s="59">
        <f t="shared" si="24"/>
        <v>-700</v>
      </c>
      <c r="X266" s="59">
        <f t="shared" si="25"/>
        <v>0</v>
      </c>
      <c r="Y266" s="59">
        <f t="shared" si="26"/>
        <v>-700</v>
      </c>
      <c r="Z266" s="59">
        <v>700</v>
      </c>
      <c r="AA266" s="59">
        <f t="shared" si="29"/>
        <v>0</v>
      </c>
      <c r="AB266" s="59">
        <f t="shared" si="27"/>
        <v>700</v>
      </c>
      <c r="AD266" s="59"/>
      <c r="AF266" s="59"/>
    </row>
    <row r="267" spans="1:43" ht="12.75" customHeight="1" x14ac:dyDescent="0.3">
      <c r="A267" s="39">
        <v>5</v>
      </c>
      <c r="B267" s="41" t="s">
        <v>1310</v>
      </c>
      <c r="C267" s="50" t="s">
        <v>101</v>
      </c>
      <c r="D267" s="50" t="s">
        <v>945</v>
      </c>
      <c r="E267" s="50" t="s">
        <v>25</v>
      </c>
      <c r="F267" s="51" t="s">
        <v>25</v>
      </c>
      <c r="G267" s="50" t="s">
        <v>866</v>
      </c>
      <c r="H267" s="59">
        <v>8122.56</v>
      </c>
      <c r="I267" s="59">
        <v>-2971.78</v>
      </c>
      <c r="J267" s="59">
        <v>-75.2</v>
      </c>
      <c r="K267" s="59">
        <v>-5.67</v>
      </c>
      <c r="L267" s="59">
        <v>0</v>
      </c>
      <c r="M267" s="59">
        <v>-119.3202290744731</v>
      </c>
      <c r="N267" s="59">
        <v>-27.970000000000013</v>
      </c>
      <c r="O267" s="59">
        <f t="shared" si="28"/>
        <v>4922.6197709255275</v>
      </c>
      <c r="P267" s="59">
        <v>-2500</v>
      </c>
      <c r="Q267" s="59">
        <v>0</v>
      </c>
      <c r="R267" s="59">
        <v>-500</v>
      </c>
      <c r="S267" s="59">
        <v>0</v>
      </c>
      <c r="T267" s="59">
        <v>0</v>
      </c>
      <c r="U267" s="59">
        <v>0</v>
      </c>
      <c r="V267" s="59">
        <v>0</v>
      </c>
      <c r="W267" s="59">
        <f t="shared" si="24"/>
        <v>1922.6197709255275</v>
      </c>
      <c r="X267" s="59">
        <f t="shared" si="25"/>
        <v>1922.6197709255275</v>
      </c>
      <c r="Y267" s="59">
        <f t="shared" si="26"/>
        <v>0</v>
      </c>
      <c r="Z267" s="59">
        <v>0</v>
      </c>
      <c r="AA267" s="59">
        <f t="shared" si="29"/>
        <v>0</v>
      </c>
      <c r="AB267" s="59">
        <f t="shared" si="27"/>
        <v>3000</v>
      </c>
      <c r="AD267" s="59" t="s">
        <v>1497</v>
      </c>
      <c r="AF267" s="59"/>
    </row>
    <row r="268" spans="1:43" ht="12.75" customHeight="1" x14ac:dyDescent="0.3">
      <c r="A268" s="39">
        <v>5</v>
      </c>
      <c r="B268" s="41" t="s">
        <v>1151</v>
      </c>
      <c r="C268" s="50" t="s">
        <v>1285</v>
      </c>
      <c r="D268" s="50" t="s">
        <v>1340</v>
      </c>
      <c r="E268" s="50" t="s">
        <v>25</v>
      </c>
      <c r="F268" s="51" t="s">
        <v>25</v>
      </c>
      <c r="G268" s="50" t="s">
        <v>866</v>
      </c>
      <c r="H268" s="59">
        <v>4654.03</v>
      </c>
      <c r="I268" s="59">
        <v>0</v>
      </c>
      <c r="J268" s="59">
        <v>-40</v>
      </c>
      <c r="K268" s="59">
        <v>0</v>
      </c>
      <c r="L268" s="59">
        <v>0</v>
      </c>
      <c r="M268" s="59">
        <v>-10</v>
      </c>
      <c r="N268" s="59">
        <v>0</v>
      </c>
      <c r="O268" s="59">
        <f t="shared" si="28"/>
        <v>4604.03</v>
      </c>
      <c r="P268" s="59">
        <v>-2700</v>
      </c>
      <c r="Q268" s="59">
        <v>0</v>
      </c>
      <c r="R268" s="59">
        <v>-500</v>
      </c>
      <c r="S268" s="59">
        <v>0</v>
      </c>
      <c r="T268" s="59">
        <v>0</v>
      </c>
      <c r="U268" s="59">
        <v>0</v>
      </c>
      <c r="V268" s="59">
        <v>0</v>
      </c>
      <c r="W268" s="59">
        <f t="shared" si="24"/>
        <v>1404.0299999999997</v>
      </c>
      <c r="X268" s="59">
        <f t="shared" si="25"/>
        <v>1404.0299999999997</v>
      </c>
      <c r="Y268" s="59">
        <f t="shared" si="26"/>
        <v>0</v>
      </c>
      <c r="Z268" s="59">
        <v>0</v>
      </c>
      <c r="AA268" s="59">
        <f t="shared" si="29"/>
        <v>0</v>
      </c>
      <c r="AB268" s="59">
        <f t="shared" si="27"/>
        <v>3200</v>
      </c>
      <c r="AD268" s="59" t="s">
        <v>1498</v>
      </c>
      <c r="AF268" s="59"/>
    </row>
    <row r="269" spans="1:43" ht="12.75" customHeight="1" x14ac:dyDescent="0.3">
      <c r="A269" s="39">
        <v>5</v>
      </c>
      <c r="B269" s="41" t="s">
        <v>1141</v>
      </c>
      <c r="C269" s="50" t="s">
        <v>120</v>
      </c>
      <c r="D269" s="50" t="s">
        <v>950</v>
      </c>
      <c r="E269" s="50" t="s">
        <v>25</v>
      </c>
      <c r="F269" s="51" t="s">
        <v>25</v>
      </c>
      <c r="G269" s="50" t="s">
        <v>866</v>
      </c>
      <c r="H269" s="59">
        <v>3220.84</v>
      </c>
      <c r="I269" s="59">
        <v>-779.63000000000011</v>
      </c>
      <c r="J269" s="59">
        <v>0</v>
      </c>
      <c r="K269" s="59">
        <v>0</v>
      </c>
      <c r="L269" s="59">
        <v>0</v>
      </c>
      <c r="M269" s="59">
        <v>-42</v>
      </c>
      <c r="N269" s="59">
        <v>0</v>
      </c>
      <c r="O269" s="59">
        <f t="shared" si="28"/>
        <v>2399.21</v>
      </c>
      <c r="P269" s="59">
        <v>-2500</v>
      </c>
      <c r="Q269" s="59">
        <v>0</v>
      </c>
      <c r="R269" s="59">
        <v>-500</v>
      </c>
      <c r="S269" s="59">
        <v>0</v>
      </c>
      <c r="T269" s="59">
        <v>0</v>
      </c>
      <c r="U269" s="59">
        <v>0</v>
      </c>
      <c r="V269" s="59">
        <v>0</v>
      </c>
      <c r="W269" s="59">
        <f t="shared" si="24"/>
        <v>-600.79</v>
      </c>
      <c r="X269" s="59">
        <f t="shared" si="25"/>
        <v>0</v>
      </c>
      <c r="Y269" s="59">
        <f t="shared" si="26"/>
        <v>-600.79</v>
      </c>
      <c r="Z269" s="59">
        <v>0</v>
      </c>
      <c r="AA269" s="59">
        <f t="shared" si="29"/>
        <v>-600.79</v>
      </c>
      <c r="AB269" s="59">
        <f t="shared" si="27"/>
        <v>1798.42</v>
      </c>
      <c r="AD269" s="59"/>
      <c r="AF269" s="59"/>
    </row>
    <row r="270" spans="1:43" ht="12.75" customHeight="1" x14ac:dyDescent="0.3">
      <c r="A270" s="39">
        <v>5</v>
      </c>
      <c r="B270" s="41" t="s">
        <v>1449</v>
      </c>
      <c r="C270" s="50" t="s">
        <v>123</v>
      </c>
      <c r="D270" s="50" t="s">
        <v>1450</v>
      </c>
      <c r="E270" s="50" t="s">
        <v>871</v>
      </c>
      <c r="F270" s="51" t="s">
        <v>39</v>
      </c>
      <c r="G270" s="50" t="s">
        <v>866</v>
      </c>
      <c r="H270" s="59">
        <v>8065.95</v>
      </c>
      <c r="I270" s="59">
        <v>-1994.8500000000004</v>
      </c>
      <c r="J270" s="59">
        <v>-45.6</v>
      </c>
      <c r="K270" s="59">
        <v>129.79</v>
      </c>
      <c r="L270" s="59">
        <v>0</v>
      </c>
      <c r="M270" s="59">
        <v>-76.640400788360552</v>
      </c>
      <c r="N270" s="59">
        <v>0</v>
      </c>
      <c r="O270" s="59">
        <f t="shared" si="28"/>
        <v>6078.6495992116388</v>
      </c>
      <c r="P270" s="59">
        <v>-2500</v>
      </c>
      <c r="Q270" s="59">
        <v>0</v>
      </c>
      <c r="R270" s="59">
        <v>-500</v>
      </c>
      <c r="S270" s="59">
        <v>0</v>
      </c>
      <c r="T270" s="59">
        <v>0</v>
      </c>
      <c r="U270" s="59">
        <v>0</v>
      </c>
      <c r="V270" s="59">
        <v>0</v>
      </c>
      <c r="W270" s="59">
        <f t="shared" si="24"/>
        <v>3078.6495992116388</v>
      </c>
      <c r="X270" s="59">
        <f t="shared" si="25"/>
        <v>3078.6495992116388</v>
      </c>
      <c r="Y270" s="59">
        <f t="shared" si="26"/>
        <v>0</v>
      </c>
      <c r="Z270" s="59">
        <v>0</v>
      </c>
      <c r="AA270" s="59">
        <f t="shared" si="29"/>
        <v>0</v>
      </c>
      <c r="AB270" s="59">
        <f t="shared" si="27"/>
        <v>3000</v>
      </c>
      <c r="AD270" s="59" t="s">
        <v>1499</v>
      </c>
      <c r="AF270" s="59"/>
      <c r="AQ270" s="50">
        <f>1968-2026</f>
        <v>-58</v>
      </c>
    </row>
    <row r="271" spans="1:43" ht="12.75" customHeight="1" x14ac:dyDescent="0.3">
      <c r="A271" s="39">
        <v>5</v>
      </c>
      <c r="B271" s="41" t="s">
        <v>1029</v>
      </c>
      <c r="C271" s="50" t="s">
        <v>68</v>
      </c>
      <c r="D271" s="50" t="s">
        <v>869</v>
      </c>
      <c r="E271" s="50" t="s">
        <v>25</v>
      </c>
      <c r="F271" s="51" t="s">
        <v>25</v>
      </c>
      <c r="G271" s="50" t="s">
        <v>866</v>
      </c>
      <c r="H271" s="59">
        <v>5508.33</v>
      </c>
      <c r="I271" s="59">
        <v>-870.83</v>
      </c>
      <c r="J271" s="59">
        <v>-24</v>
      </c>
      <c r="K271" s="59">
        <v>0</v>
      </c>
      <c r="L271" s="59">
        <v>-46.47</v>
      </c>
      <c r="M271" s="59">
        <v>-42.92</v>
      </c>
      <c r="N271" s="59">
        <v>-41</v>
      </c>
      <c r="O271" s="59">
        <f t="shared" si="28"/>
        <v>4483.1099999999997</v>
      </c>
      <c r="P271" s="59">
        <v>-2500</v>
      </c>
      <c r="Q271" s="59">
        <v>0</v>
      </c>
      <c r="R271" s="59">
        <v>0</v>
      </c>
      <c r="S271" s="59">
        <v>0</v>
      </c>
      <c r="T271" s="59">
        <f>VLOOKUP(B271,[1]HOJALATERÍA!$A$4:$BO$49,67,0)</f>
        <v>-600</v>
      </c>
      <c r="U271" s="59">
        <v>0</v>
      </c>
      <c r="V271" s="59">
        <v>0</v>
      </c>
      <c r="W271" s="59">
        <f t="shared" si="24"/>
        <v>1383.1099999999997</v>
      </c>
      <c r="X271" s="59">
        <f t="shared" si="25"/>
        <v>1383.1099999999997</v>
      </c>
      <c r="Y271" s="59">
        <f t="shared" si="26"/>
        <v>0</v>
      </c>
      <c r="Z271" s="59">
        <v>0</v>
      </c>
      <c r="AA271" s="59">
        <f t="shared" si="29"/>
        <v>0</v>
      </c>
      <c r="AB271" s="59">
        <f t="shared" si="27"/>
        <v>3100</v>
      </c>
      <c r="AD271" s="59" t="s">
        <v>1500</v>
      </c>
      <c r="AF271" s="59"/>
    </row>
    <row r="272" spans="1:43" ht="12.75" customHeight="1" x14ac:dyDescent="0.3">
      <c r="A272" s="39">
        <v>5</v>
      </c>
      <c r="B272" s="41" t="s">
        <v>604</v>
      </c>
      <c r="C272" s="50" t="s">
        <v>605</v>
      </c>
      <c r="D272" s="50" t="s">
        <v>1223</v>
      </c>
      <c r="E272" s="50" t="s">
        <v>25</v>
      </c>
      <c r="F272" s="51" t="s">
        <v>25</v>
      </c>
      <c r="G272" s="50" t="s">
        <v>866</v>
      </c>
      <c r="H272" s="59">
        <v>2882.63</v>
      </c>
      <c r="I272" s="59">
        <v>-590.6</v>
      </c>
      <c r="J272" s="59">
        <v>0</v>
      </c>
      <c r="K272" s="59">
        <v>0</v>
      </c>
      <c r="L272" s="59">
        <v>0</v>
      </c>
      <c r="M272" s="59">
        <v>-38</v>
      </c>
      <c r="N272" s="59">
        <v>0</v>
      </c>
      <c r="O272" s="59">
        <f t="shared" si="28"/>
        <v>2254.0300000000002</v>
      </c>
      <c r="P272" s="59">
        <v>-2700</v>
      </c>
      <c r="Q272" s="59">
        <f>-1985*1.12</f>
        <v>-2223.2000000000003</v>
      </c>
      <c r="R272" s="59">
        <v>0</v>
      </c>
      <c r="S272" s="59">
        <v>0</v>
      </c>
      <c r="T272" s="59">
        <v>0</v>
      </c>
      <c r="U272" s="59">
        <v>0</v>
      </c>
      <c r="V272" s="59">
        <v>0</v>
      </c>
      <c r="W272" s="59">
        <f t="shared" si="24"/>
        <v>-2669.17</v>
      </c>
      <c r="X272" s="59">
        <f t="shared" si="25"/>
        <v>0</v>
      </c>
      <c r="Y272" s="59">
        <f t="shared" si="26"/>
        <v>-2669.17</v>
      </c>
      <c r="Z272" s="59">
        <v>2000</v>
      </c>
      <c r="AA272" s="59">
        <f t="shared" si="29"/>
        <v>-669.17000000000007</v>
      </c>
      <c r="AB272" s="59">
        <f t="shared" si="27"/>
        <v>3584.8600000000006</v>
      </c>
      <c r="AD272" s="59" t="s">
        <v>1501</v>
      </c>
      <c r="AF272" s="59"/>
    </row>
    <row r="273" spans="1:33" ht="12.75" customHeight="1" x14ac:dyDescent="0.3">
      <c r="A273" s="39">
        <v>5</v>
      </c>
      <c r="B273" s="41" t="s">
        <v>1453</v>
      </c>
      <c r="C273" s="50" t="s">
        <v>814</v>
      </c>
      <c r="D273" s="50" t="s">
        <v>1564</v>
      </c>
      <c r="E273" s="50" t="s">
        <v>25</v>
      </c>
      <c r="F273" s="51" t="s">
        <v>25</v>
      </c>
      <c r="G273" s="50" t="s">
        <v>866</v>
      </c>
      <c r="H273" s="59">
        <v>6732.66</v>
      </c>
      <c r="I273" s="59">
        <v>-1123.46</v>
      </c>
      <c r="J273" s="59">
        <v>-35.200000000000003</v>
      </c>
      <c r="K273" s="59">
        <v>0</v>
      </c>
      <c r="L273" s="59">
        <v>0</v>
      </c>
      <c r="M273" s="59">
        <v>-73.046935981804694</v>
      </c>
      <c r="N273" s="59">
        <v>0</v>
      </c>
      <c r="O273" s="59">
        <f t="shared" si="28"/>
        <v>5500.9530640181956</v>
      </c>
      <c r="P273" s="59">
        <v>-2600</v>
      </c>
      <c r="Q273" s="59">
        <v>0</v>
      </c>
      <c r="R273" s="59">
        <v>-500</v>
      </c>
      <c r="S273" s="59">
        <v>0</v>
      </c>
      <c r="T273" s="59">
        <v>0</v>
      </c>
      <c r="U273" s="59">
        <v>0</v>
      </c>
      <c r="V273" s="59">
        <v>0</v>
      </c>
      <c r="W273" s="59">
        <f t="shared" si="24"/>
        <v>2400.9530640181956</v>
      </c>
      <c r="X273" s="59">
        <f t="shared" si="25"/>
        <v>2400.9530640181956</v>
      </c>
      <c r="Y273" s="59">
        <f t="shared" si="26"/>
        <v>0</v>
      </c>
      <c r="Z273" s="59">
        <v>0</v>
      </c>
      <c r="AA273" s="59">
        <f t="shared" si="29"/>
        <v>0</v>
      </c>
      <c r="AB273" s="59">
        <f t="shared" si="27"/>
        <v>3100</v>
      </c>
      <c r="AD273" s="59" t="s">
        <v>1502</v>
      </c>
      <c r="AF273" s="59"/>
    </row>
    <row r="274" spans="1:33" ht="12.75" customHeight="1" x14ac:dyDescent="0.3">
      <c r="A274" s="39">
        <v>5</v>
      </c>
      <c r="B274" s="41" t="s">
        <v>944</v>
      </c>
      <c r="C274" s="50" t="s">
        <v>372</v>
      </c>
      <c r="D274" s="50" t="s">
        <v>1004</v>
      </c>
      <c r="E274" s="50" t="s">
        <v>39</v>
      </c>
      <c r="F274" s="51" t="s">
        <v>39</v>
      </c>
      <c r="G274" s="50" t="s">
        <v>866</v>
      </c>
      <c r="H274" s="59">
        <v>6194.76</v>
      </c>
      <c r="I274" s="59">
        <v>-2675.09</v>
      </c>
      <c r="J274" s="59">
        <v>0</v>
      </c>
      <c r="K274" s="59">
        <v>0</v>
      </c>
      <c r="L274" s="59">
        <v>0</v>
      </c>
      <c r="M274" s="59">
        <v>-200</v>
      </c>
      <c r="N274" s="59">
        <v>0</v>
      </c>
      <c r="O274" s="59">
        <f t="shared" si="28"/>
        <v>3319.67</v>
      </c>
      <c r="P274" s="59">
        <v>-2500</v>
      </c>
      <c r="Q274" s="59">
        <v>0</v>
      </c>
      <c r="R274" s="59">
        <v>0</v>
      </c>
      <c r="S274" s="59">
        <v>0</v>
      </c>
      <c r="T274" s="59">
        <f>VLOOKUP(B274,[1]HOJALATERÍA!$A$4:$BO$49,67,0)</f>
        <v>0</v>
      </c>
      <c r="U274" s="59">
        <v>0</v>
      </c>
      <c r="V274" s="59">
        <v>0</v>
      </c>
      <c r="W274" s="59">
        <f t="shared" si="24"/>
        <v>819.67000000000007</v>
      </c>
      <c r="X274" s="59">
        <f t="shared" si="25"/>
        <v>819.67000000000007</v>
      </c>
      <c r="Y274" s="59">
        <f t="shared" si="26"/>
        <v>0</v>
      </c>
      <c r="Z274" s="59">
        <v>0</v>
      </c>
      <c r="AA274" s="59">
        <f t="shared" si="29"/>
        <v>0</v>
      </c>
      <c r="AB274" s="59">
        <f t="shared" si="27"/>
        <v>2500</v>
      </c>
      <c r="AD274" s="59" t="s">
        <v>1503</v>
      </c>
      <c r="AF274" s="59"/>
    </row>
    <row r="275" spans="1:33" ht="12.75" customHeight="1" x14ac:dyDescent="0.3">
      <c r="A275" s="39">
        <v>5</v>
      </c>
      <c r="B275" s="41" t="s">
        <v>1454</v>
      </c>
      <c r="C275" s="50" t="s">
        <v>152</v>
      </c>
      <c r="E275" s="50" t="s">
        <v>25</v>
      </c>
      <c r="F275" s="51" t="s">
        <v>25</v>
      </c>
      <c r="G275" s="50" t="s">
        <v>866</v>
      </c>
      <c r="H275" s="59">
        <v>4016.34</v>
      </c>
      <c r="I275" s="59">
        <v>-292.07</v>
      </c>
      <c r="J275" s="59">
        <v>-138.4</v>
      </c>
      <c r="K275" s="59">
        <v>0</v>
      </c>
      <c r="L275" s="59">
        <v>0</v>
      </c>
      <c r="M275" s="59">
        <v>-5.9915961335567758</v>
      </c>
      <c r="N275" s="59">
        <v>0</v>
      </c>
      <c r="O275" s="59">
        <f t="shared" si="28"/>
        <v>3579.878403866443</v>
      </c>
      <c r="P275" s="59">
        <v>-2500</v>
      </c>
      <c r="Q275" s="59">
        <v>0</v>
      </c>
      <c r="R275" s="59">
        <v>-500</v>
      </c>
      <c r="S275" s="59">
        <v>0</v>
      </c>
      <c r="T275" s="59">
        <v>0</v>
      </c>
      <c r="U275" s="59">
        <v>0</v>
      </c>
      <c r="V275" s="59">
        <v>0</v>
      </c>
      <c r="W275" s="59">
        <f t="shared" si="24"/>
        <v>579.87840386644302</v>
      </c>
      <c r="X275" s="59">
        <f t="shared" si="25"/>
        <v>579.87840386644302</v>
      </c>
      <c r="Y275" s="59">
        <f t="shared" si="26"/>
        <v>0</v>
      </c>
      <c r="Z275" s="59">
        <v>0</v>
      </c>
      <c r="AA275" s="59">
        <f t="shared" si="29"/>
        <v>0</v>
      </c>
      <c r="AB275" s="59">
        <f t="shared" si="27"/>
        <v>3000</v>
      </c>
      <c r="AD275" s="59" t="s">
        <v>1504</v>
      </c>
      <c r="AF275" s="59"/>
    </row>
    <row r="276" spans="1:33" ht="12.75" customHeight="1" x14ac:dyDescent="0.3">
      <c r="A276" s="39">
        <v>5</v>
      </c>
      <c r="B276" s="41" t="s">
        <v>1456</v>
      </c>
      <c r="C276" s="50" t="s">
        <v>563</v>
      </c>
      <c r="E276" s="50" t="s">
        <v>25</v>
      </c>
      <c r="F276" s="51" t="s">
        <v>25</v>
      </c>
      <c r="G276" s="50" t="s">
        <v>866</v>
      </c>
      <c r="H276" s="59">
        <v>1546.18</v>
      </c>
      <c r="I276" s="59">
        <v>-1125.5</v>
      </c>
      <c r="J276" s="59">
        <v>0</v>
      </c>
      <c r="K276" s="59">
        <v>0</v>
      </c>
      <c r="L276" s="59">
        <v>0</v>
      </c>
      <c r="M276" s="59">
        <v>-89.728785045770394</v>
      </c>
      <c r="N276" s="59">
        <v>-222</v>
      </c>
      <c r="O276" s="59">
        <f t="shared" si="28"/>
        <v>108.95121495422967</v>
      </c>
      <c r="P276" s="59">
        <v>-2500</v>
      </c>
      <c r="Q276" s="59">
        <f>-57*1.12</f>
        <v>-63.84</v>
      </c>
      <c r="R276" s="59">
        <v>0</v>
      </c>
      <c r="S276" s="59">
        <v>0</v>
      </c>
      <c r="T276" s="59">
        <v>0</v>
      </c>
      <c r="U276" s="59">
        <v>0</v>
      </c>
      <c r="V276" s="59">
        <v>0</v>
      </c>
      <c r="W276" s="59">
        <f t="shared" si="24"/>
        <v>-2454.8887850457704</v>
      </c>
      <c r="X276" s="59">
        <f t="shared" si="25"/>
        <v>0</v>
      </c>
      <c r="Y276" s="59">
        <f t="shared" si="26"/>
        <v>-2454.8887850457704</v>
      </c>
      <c r="Z276" s="59">
        <v>2564</v>
      </c>
      <c r="AA276" s="59">
        <f t="shared" si="29"/>
        <v>109.11121495422958</v>
      </c>
      <c r="AB276" s="59">
        <f t="shared" si="27"/>
        <v>2782.0624299084593</v>
      </c>
      <c r="AD276" s="59" t="s">
        <v>1505</v>
      </c>
      <c r="AF276" s="59"/>
    </row>
    <row r="277" spans="1:33" ht="12.75" customHeight="1" x14ac:dyDescent="0.3">
      <c r="A277" s="39">
        <v>5</v>
      </c>
      <c r="B277" s="41" t="s">
        <v>837</v>
      </c>
      <c r="C277" s="50" t="s">
        <v>357</v>
      </c>
      <c r="D277" s="50" t="s">
        <v>1150</v>
      </c>
      <c r="E277" s="50" t="s">
        <v>25</v>
      </c>
      <c r="F277" s="51" t="s">
        <v>25</v>
      </c>
      <c r="G277" s="50" t="s">
        <v>866</v>
      </c>
      <c r="H277" s="59">
        <v>5763.66</v>
      </c>
      <c r="I277" s="59">
        <v>0</v>
      </c>
      <c r="J277" s="59">
        <v>0</v>
      </c>
      <c r="K277" s="59">
        <v>0</v>
      </c>
      <c r="L277" s="59">
        <v>0</v>
      </c>
      <c r="M277" s="59">
        <v>-27.88</v>
      </c>
      <c r="N277" s="59">
        <v>-149.00000000000003</v>
      </c>
      <c r="O277" s="59">
        <f t="shared" si="28"/>
        <v>5586.78</v>
      </c>
      <c r="P277" s="59">
        <v>-2700</v>
      </c>
      <c r="Q277" s="59">
        <v>0</v>
      </c>
      <c r="R277" s="59">
        <v>0</v>
      </c>
      <c r="S277" s="59">
        <v>0</v>
      </c>
      <c r="T277" s="59">
        <v>0</v>
      </c>
      <c r="U277" s="59">
        <v>0</v>
      </c>
      <c r="V277" s="59">
        <v>0</v>
      </c>
      <c r="W277" s="59">
        <f t="shared" si="24"/>
        <v>2886.7799999999997</v>
      </c>
      <c r="X277" s="59">
        <f t="shared" si="25"/>
        <v>2886.7799999999997</v>
      </c>
      <c r="Y277" s="59">
        <f t="shared" si="26"/>
        <v>0</v>
      </c>
      <c r="Z277" s="59">
        <v>0</v>
      </c>
      <c r="AA277" s="59">
        <f t="shared" si="29"/>
        <v>0</v>
      </c>
      <c r="AB277" s="59">
        <f t="shared" si="27"/>
        <v>2700</v>
      </c>
      <c r="AD277" s="59" t="s">
        <v>1506</v>
      </c>
      <c r="AF277" s="59"/>
    </row>
    <row r="278" spans="1:33" ht="12.75" customHeight="1" x14ac:dyDescent="0.3">
      <c r="A278" s="39">
        <v>5</v>
      </c>
      <c r="B278" s="41" t="s">
        <v>585</v>
      </c>
      <c r="C278" s="50" t="s">
        <v>42</v>
      </c>
      <c r="D278" s="50" t="s">
        <v>948</v>
      </c>
      <c r="E278" s="50" t="s">
        <v>25</v>
      </c>
      <c r="F278" s="51" t="s">
        <v>25</v>
      </c>
      <c r="G278" s="50" t="s">
        <v>866</v>
      </c>
      <c r="H278" s="59">
        <v>0</v>
      </c>
      <c r="I278" s="59">
        <v>0</v>
      </c>
      <c r="J278" s="59">
        <v>0</v>
      </c>
      <c r="K278" s="59">
        <v>0</v>
      </c>
      <c r="L278" s="59">
        <v>0</v>
      </c>
      <c r="M278" s="59">
        <v>0</v>
      </c>
      <c r="N278" s="59">
        <v>0</v>
      </c>
      <c r="O278" s="59">
        <f t="shared" si="28"/>
        <v>0</v>
      </c>
      <c r="P278" s="59">
        <v>-2500</v>
      </c>
      <c r="Q278" s="59">
        <v>0</v>
      </c>
      <c r="R278" s="59">
        <v>0</v>
      </c>
      <c r="S278" s="59">
        <v>0</v>
      </c>
      <c r="T278" s="59">
        <f>VLOOKUP(B278,[1]HOJALATERÍA!$A$4:$BO$49,67,0)</f>
        <v>0</v>
      </c>
      <c r="U278" s="59">
        <v>0</v>
      </c>
      <c r="V278" s="59">
        <v>0</v>
      </c>
      <c r="W278" s="59">
        <f t="shared" si="24"/>
        <v>-2500</v>
      </c>
      <c r="X278" s="59">
        <f t="shared" si="25"/>
        <v>0</v>
      </c>
      <c r="Y278" s="59">
        <f t="shared" si="26"/>
        <v>-2500</v>
      </c>
      <c r="Z278" s="59">
        <v>2500</v>
      </c>
      <c r="AA278" s="59">
        <f t="shared" si="29"/>
        <v>0</v>
      </c>
      <c r="AB278" s="59">
        <f t="shared" si="27"/>
        <v>2500</v>
      </c>
      <c r="AD278" s="59" t="s">
        <v>1507</v>
      </c>
      <c r="AF278" s="59"/>
    </row>
    <row r="279" spans="1:33" ht="12.75" customHeight="1" x14ac:dyDescent="0.3">
      <c r="A279" s="39">
        <v>5</v>
      </c>
      <c r="B279" s="41" t="s">
        <v>1062</v>
      </c>
      <c r="C279" s="50" t="s">
        <v>360</v>
      </c>
      <c r="D279" s="50" t="s">
        <v>1158</v>
      </c>
      <c r="E279" s="50" t="s">
        <v>25</v>
      </c>
      <c r="F279" s="51" t="s">
        <v>25</v>
      </c>
      <c r="G279" s="50" t="s">
        <v>866</v>
      </c>
      <c r="H279" s="59">
        <v>7751.88</v>
      </c>
      <c r="I279" s="59">
        <v>-2871.59</v>
      </c>
      <c r="J279" s="59">
        <v>0</v>
      </c>
      <c r="K279" s="59">
        <v>-7.16</v>
      </c>
      <c r="L279" s="59">
        <v>0</v>
      </c>
      <c r="M279" s="59">
        <v>-79.960000000000008</v>
      </c>
      <c r="N279" s="59">
        <v>-107.99999999999994</v>
      </c>
      <c r="O279" s="59">
        <f t="shared" si="28"/>
        <v>4685.17</v>
      </c>
      <c r="P279" s="59">
        <f>+(-385.714285714286)*6.5</f>
        <v>-2507.1428571428592</v>
      </c>
      <c r="Q279" s="59">
        <v>0</v>
      </c>
      <c r="R279" s="59">
        <v>0</v>
      </c>
      <c r="S279" s="59">
        <v>0</v>
      </c>
      <c r="T279" s="59">
        <v>0</v>
      </c>
      <c r="U279" s="59">
        <v>0</v>
      </c>
      <c r="V279" s="59">
        <v>0</v>
      </c>
      <c r="W279" s="59">
        <f t="shared" si="24"/>
        <v>2178.0271428571409</v>
      </c>
      <c r="X279" s="59">
        <f t="shared" si="25"/>
        <v>2178.0271428571409</v>
      </c>
      <c r="Y279" s="59">
        <f t="shared" si="26"/>
        <v>0</v>
      </c>
      <c r="Z279" s="59">
        <v>0</v>
      </c>
      <c r="AA279" s="59">
        <f t="shared" si="29"/>
        <v>0</v>
      </c>
      <c r="AB279" s="59">
        <f t="shared" si="27"/>
        <v>2507.1428571428592</v>
      </c>
      <c r="AD279" s="59" t="s">
        <v>1508</v>
      </c>
      <c r="AF279" s="59"/>
    </row>
    <row r="280" spans="1:33" ht="12.75" customHeight="1" x14ac:dyDescent="0.3">
      <c r="A280" s="39">
        <v>5</v>
      </c>
      <c r="B280" s="41" t="s">
        <v>1509</v>
      </c>
      <c r="C280" s="50" t="s">
        <v>798</v>
      </c>
      <c r="E280" s="50" t="s">
        <v>39</v>
      </c>
      <c r="F280" s="51" t="s">
        <v>39</v>
      </c>
      <c r="G280" s="50" t="s">
        <v>866</v>
      </c>
      <c r="H280" s="59">
        <v>1562.9</v>
      </c>
      <c r="I280" s="59">
        <v>-479.14000000000004</v>
      </c>
      <c r="J280" s="59">
        <v>0</v>
      </c>
      <c r="K280" s="59">
        <v>0</v>
      </c>
      <c r="L280" s="59">
        <v>0</v>
      </c>
      <c r="M280" s="59">
        <v>-18.408141781956072</v>
      </c>
      <c r="N280" s="59">
        <v>0</v>
      </c>
      <c r="O280" s="59">
        <f t="shared" si="28"/>
        <v>1065.3518582180438</v>
      </c>
      <c r="P280" s="59">
        <f>(-2500/7)*1.15</f>
        <v>-410.71428571428572</v>
      </c>
      <c r="Q280" s="59">
        <v>0</v>
      </c>
      <c r="R280" s="59">
        <f>(-500/7)*1.5</f>
        <v>-107.14285714285714</v>
      </c>
      <c r="S280" s="59">
        <v>0</v>
      </c>
      <c r="T280" s="59">
        <v>0</v>
      </c>
      <c r="U280" s="59">
        <v>0</v>
      </c>
      <c r="V280" s="59">
        <v>0</v>
      </c>
      <c r="W280" s="59">
        <f t="shared" si="24"/>
        <v>547.49471536090095</v>
      </c>
      <c r="X280" s="59">
        <f t="shared" si="25"/>
        <v>547.49471536090095</v>
      </c>
      <c r="Y280" s="59">
        <f t="shared" si="26"/>
        <v>0</v>
      </c>
      <c r="Z280" s="59">
        <v>0</v>
      </c>
      <c r="AA280" s="59">
        <f t="shared" si="29"/>
        <v>0</v>
      </c>
      <c r="AB280" s="59">
        <f t="shared" si="27"/>
        <v>517.85714285714289</v>
      </c>
      <c r="AC280" s="59">
        <v>2000</v>
      </c>
      <c r="AD280" s="59" t="s">
        <v>1510</v>
      </c>
      <c r="AF280" s="59"/>
    </row>
    <row r="281" spans="1:33" ht="12.75" customHeight="1" x14ac:dyDescent="0.3">
      <c r="A281" s="39">
        <v>5</v>
      </c>
      <c r="B281" s="41" t="s">
        <v>1070</v>
      </c>
      <c r="C281" s="50" t="s">
        <v>64</v>
      </c>
      <c r="E281" s="50" t="s">
        <v>25</v>
      </c>
      <c r="F281" s="51" t="s">
        <v>25</v>
      </c>
      <c r="G281" s="50" t="s">
        <v>866</v>
      </c>
      <c r="H281" s="59">
        <v>0</v>
      </c>
      <c r="I281" s="59">
        <v>0</v>
      </c>
      <c r="J281" s="59">
        <v>0</v>
      </c>
      <c r="K281" s="59">
        <v>0</v>
      </c>
      <c r="L281" s="59">
        <v>0</v>
      </c>
      <c r="M281" s="59">
        <v>0</v>
      </c>
      <c r="N281" s="59">
        <v>0</v>
      </c>
      <c r="O281" s="59">
        <f t="shared" si="28"/>
        <v>0</v>
      </c>
      <c r="P281" s="59">
        <f>(-2500/7)*1.15</f>
        <v>-410.71428571428572</v>
      </c>
      <c r="Q281" s="59">
        <v>0</v>
      </c>
      <c r="R281" s="59">
        <f>(-500/7)*1.5</f>
        <v>-107.14285714285714</v>
      </c>
      <c r="S281" s="59">
        <v>0</v>
      </c>
      <c r="T281" s="59">
        <v>0</v>
      </c>
      <c r="U281" s="59">
        <v>0</v>
      </c>
      <c r="V281" s="59">
        <v>0</v>
      </c>
      <c r="W281" s="59">
        <f t="shared" si="24"/>
        <v>-517.85714285714289</v>
      </c>
      <c r="X281" s="59">
        <f t="shared" si="25"/>
        <v>0</v>
      </c>
      <c r="Y281" s="59">
        <f t="shared" si="26"/>
        <v>-517.85714285714289</v>
      </c>
      <c r="Z281" s="59">
        <v>580</v>
      </c>
      <c r="AA281" s="59">
        <f t="shared" si="29"/>
        <v>62.14285714285711</v>
      </c>
      <c r="AB281" s="59">
        <f t="shared" si="27"/>
        <v>642.14285714285711</v>
      </c>
      <c r="AD281" s="59" t="s">
        <v>1511</v>
      </c>
      <c r="AF281" s="59"/>
    </row>
    <row r="282" spans="1:33" ht="12.75" customHeight="1" x14ac:dyDescent="0.3">
      <c r="A282" s="39">
        <v>5</v>
      </c>
      <c r="B282" s="41" t="s">
        <v>1418</v>
      </c>
      <c r="C282" s="50" t="s">
        <v>104</v>
      </c>
      <c r="D282" s="50" t="s">
        <v>1419</v>
      </c>
      <c r="E282" s="50" t="s">
        <v>25</v>
      </c>
      <c r="F282" s="51" t="s">
        <v>25</v>
      </c>
      <c r="G282" s="50" t="s">
        <v>866</v>
      </c>
      <c r="H282" s="59">
        <v>5606.09</v>
      </c>
      <c r="I282" s="59">
        <v>-820.67000000000007</v>
      </c>
      <c r="J282" s="59">
        <v>-24</v>
      </c>
      <c r="K282" s="59">
        <v>0</v>
      </c>
      <c r="L282" s="59">
        <v>0</v>
      </c>
      <c r="M282" s="59">
        <v>-23</v>
      </c>
      <c r="N282" s="59">
        <v>0</v>
      </c>
      <c r="O282" s="59">
        <f>IF(H282+I282&lt;0,SUM(J282:N282),SUM(H282:N282))</f>
        <v>4738.42</v>
      </c>
      <c r="P282" s="59">
        <f>(-2500/7)*6</f>
        <v>-2142.8571428571431</v>
      </c>
      <c r="Q282" s="59">
        <v>0</v>
      </c>
      <c r="R282" s="59">
        <v>-500</v>
      </c>
      <c r="S282" s="59">
        <v>0</v>
      </c>
      <c r="T282" s="59">
        <v>0</v>
      </c>
      <c r="U282" s="59">
        <v>0</v>
      </c>
      <c r="V282" s="59">
        <v>0</v>
      </c>
      <c r="W282" s="59">
        <f t="shared" si="24"/>
        <v>2095.562857142857</v>
      </c>
      <c r="X282" s="59">
        <f>IF(W282&gt;=0,W282,0)</f>
        <v>2095.562857142857</v>
      </c>
      <c r="Y282" s="59">
        <f>IF(W282&lt;=0,W282,0)</f>
        <v>0</v>
      </c>
      <c r="Z282" s="59">
        <v>0</v>
      </c>
      <c r="AA282" s="59">
        <f>+Y282+Z282</f>
        <v>0</v>
      </c>
      <c r="AB282" s="59">
        <f t="shared" si="27"/>
        <v>2642.8571428571431</v>
      </c>
      <c r="AD282" s="59" t="s">
        <v>1469</v>
      </c>
      <c r="AF282" s="59"/>
    </row>
    <row r="283" spans="1:33" ht="12.75" customHeight="1" x14ac:dyDescent="0.3">
      <c r="A283" s="39">
        <v>5</v>
      </c>
      <c r="B283" s="41" t="s">
        <v>1067</v>
      </c>
      <c r="C283" s="50" t="s">
        <v>46</v>
      </c>
      <c r="D283" s="50" t="s">
        <v>915</v>
      </c>
      <c r="E283" s="50" t="s">
        <v>25</v>
      </c>
      <c r="F283" s="51" t="s">
        <v>25</v>
      </c>
      <c r="G283" s="50" t="s">
        <v>866</v>
      </c>
      <c r="H283" s="59">
        <v>0</v>
      </c>
      <c r="I283" s="59">
        <v>0</v>
      </c>
      <c r="J283" s="59">
        <v>0</v>
      </c>
      <c r="K283" s="59">
        <v>0</v>
      </c>
      <c r="L283" s="59">
        <v>0</v>
      </c>
      <c r="M283" s="59">
        <v>0</v>
      </c>
      <c r="N283" s="59">
        <v>0</v>
      </c>
      <c r="O283" s="59">
        <f>IF(H283+I283&lt;0,SUM(J283:N283),SUM(H283:N283))</f>
        <v>0</v>
      </c>
      <c r="P283" s="59">
        <v>0</v>
      </c>
      <c r="Q283" s="59">
        <v>0</v>
      </c>
      <c r="R283" s="59">
        <v>0</v>
      </c>
      <c r="S283" s="59">
        <v>0</v>
      </c>
      <c r="T283" s="59">
        <v>250</v>
      </c>
      <c r="U283" s="59">
        <v>0</v>
      </c>
      <c r="V283" s="59">
        <v>0</v>
      </c>
      <c r="W283" s="59">
        <f t="shared" si="24"/>
        <v>250</v>
      </c>
      <c r="X283" s="59">
        <f>IF(W283&gt;=0,W283,0)</f>
        <v>250</v>
      </c>
      <c r="Y283" s="59">
        <f>IF(W283&lt;=0,W283,0)</f>
        <v>0</v>
      </c>
      <c r="Z283" s="59">
        <v>0</v>
      </c>
      <c r="AA283" s="59">
        <f>+Y283+Z283</f>
        <v>0</v>
      </c>
      <c r="AB283" s="59">
        <f t="shared" si="27"/>
        <v>-250</v>
      </c>
      <c r="AD283" s="59" t="s">
        <v>1512</v>
      </c>
      <c r="AF283" s="59"/>
    </row>
    <row r="284" spans="1:33" ht="12.75" customHeight="1" x14ac:dyDescent="0.3">
      <c r="A284" s="39">
        <v>5</v>
      </c>
      <c r="B284" s="41" t="s">
        <v>1513</v>
      </c>
      <c r="C284" s="50" t="s">
        <v>110</v>
      </c>
      <c r="D284" s="50" t="s">
        <v>912</v>
      </c>
      <c r="E284" s="50" t="s">
        <v>25</v>
      </c>
      <c r="F284" s="51" t="s">
        <v>25</v>
      </c>
      <c r="G284" s="50" t="s">
        <v>737</v>
      </c>
      <c r="H284" s="59">
        <v>0</v>
      </c>
      <c r="I284" s="59">
        <v>0</v>
      </c>
      <c r="J284" s="59">
        <v>0</v>
      </c>
      <c r="K284" s="59">
        <v>0</v>
      </c>
      <c r="L284" s="59">
        <v>0</v>
      </c>
      <c r="M284" s="59">
        <v>0</v>
      </c>
      <c r="N284" s="59">
        <v>0</v>
      </c>
      <c r="O284" s="59">
        <f>IF(H284+I284&lt;0,SUM(J284:N284),SUM(H284:N284))</f>
        <v>0</v>
      </c>
      <c r="P284" s="59">
        <v>-357</v>
      </c>
      <c r="Q284" s="59">
        <v>0</v>
      </c>
      <c r="R284" s="59">
        <v>-71</v>
      </c>
      <c r="S284" s="59">
        <v>0</v>
      </c>
      <c r="T284" s="59">
        <v>0</v>
      </c>
      <c r="U284" s="59">
        <v>0</v>
      </c>
      <c r="V284" s="59">
        <v>0</v>
      </c>
      <c r="W284" s="59">
        <f t="shared" si="24"/>
        <v>-428</v>
      </c>
      <c r="X284" s="59">
        <f>IF(W284&gt;=0,W284,0)</f>
        <v>0</v>
      </c>
      <c r="Y284" s="59">
        <f>IF(W284&lt;=0,W284,0)</f>
        <v>-428</v>
      </c>
      <c r="Z284" s="59">
        <v>357</v>
      </c>
      <c r="AA284" s="59">
        <f>+Y284+Z284</f>
        <v>-71</v>
      </c>
      <c r="AB284" s="59">
        <f t="shared" si="27"/>
        <v>286</v>
      </c>
      <c r="AC284" s="59">
        <v>1000</v>
      </c>
      <c r="AD284" s="59" t="s">
        <v>1514</v>
      </c>
      <c r="AF284" s="59"/>
    </row>
    <row r="285" spans="1:33" ht="12.75" customHeight="1" x14ac:dyDescent="0.3">
      <c r="A285" s="39">
        <v>6</v>
      </c>
      <c r="B285" s="41" t="s">
        <v>1515</v>
      </c>
      <c r="C285" s="50" t="s">
        <v>257</v>
      </c>
      <c r="E285" s="50" t="s">
        <v>25</v>
      </c>
      <c r="F285" s="51" t="s">
        <v>25</v>
      </c>
      <c r="G285" s="50" t="s">
        <v>866</v>
      </c>
      <c r="H285" s="59">
        <v>3774.54</v>
      </c>
      <c r="I285" s="59">
        <v>-122.54</v>
      </c>
      <c r="J285" s="59">
        <v>-54.4</v>
      </c>
      <c r="K285" s="59">
        <v>0</v>
      </c>
      <c r="L285" s="59">
        <v>0</v>
      </c>
      <c r="M285" s="59">
        <v>-15</v>
      </c>
      <c r="N285" s="59">
        <v>0</v>
      </c>
      <c r="O285" s="59">
        <f>IF(H285+I285&lt;0,SUM(J285:N285),SUM(H285:N285))</f>
        <v>3582.6</v>
      </c>
      <c r="P285" s="59">
        <f>(-2500/7)*6</f>
        <v>-2142.8571428571431</v>
      </c>
      <c r="Q285" s="59">
        <v>0</v>
      </c>
      <c r="R285" s="59">
        <f>(-500/7)*6</f>
        <v>-428.57142857142856</v>
      </c>
      <c r="S285" s="59">
        <v>0</v>
      </c>
      <c r="T285" s="59">
        <v>0</v>
      </c>
      <c r="U285" s="59">
        <v>-1031.02</v>
      </c>
      <c r="V285" s="59">
        <v>0</v>
      </c>
      <c r="W285" s="59">
        <f>SUM(O285:V285)</f>
        <v>-19.848571428571745</v>
      </c>
      <c r="X285" s="59">
        <f>IF(W285&gt;=0,W285,0)</f>
        <v>0</v>
      </c>
      <c r="Y285" s="59">
        <f t="shared" ref="Y285:Y345" si="30">IF(W285&lt;=0,W285,0)</f>
        <v>-19.848571428571745</v>
      </c>
      <c r="Z285" s="59">
        <f>1000+20</f>
        <v>1020</v>
      </c>
      <c r="AA285" s="59">
        <f t="shared" ref="AA285:AA345" si="31">+Y285+Z285</f>
        <v>1000.1514285714283</v>
      </c>
      <c r="AB285" s="59">
        <f t="shared" si="27"/>
        <v>5602.7514285714287</v>
      </c>
      <c r="AD285" s="62" t="s">
        <v>1516</v>
      </c>
      <c r="AE285" s="235"/>
      <c r="AF285" s="59"/>
      <c r="AG285" s="50" t="s">
        <v>3277</v>
      </c>
    </row>
    <row r="286" spans="1:33" x14ac:dyDescent="0.3">
      <c r="A286" s="39">
        <v>6</v>
      </c>
      <c r="B286" s="41" t="s">
        <v>742</v>
      </c>
      <c r="C286" s="50" t="s">
        <v>573</v>
      </c>
      <c r="D286" s="50" t="s">
        <v>1160</v>
      </c>
      <c r="E286" s="50" t="s">
        <v>25</v>
      </c>
      <c r="F286" s="51" t="s">
        <v>25</v>
      </c>
      <c r="G286" s="50" t="s">
        <v>866</v>
      </c>
      <c r="H286" s="59">
        <v>383.32</v>
      </c>
      <c r="I286" s="59">
        <v>-124.59</v>
      </c>
      <c r="J286" s="59">
        <v>0</v>
      </c>
      <c r="K286" s="59">
        <v>0</v>
      </c>
      <c r="L286" s="59">
        <v>-3.08</v>
      </c>
      <c r="M286" s="59">
        <v>-15</v>
      </c>
      <c r="N286" s="59">
        <v>0</v>
      </c>
      <c r="O286" s="59">
        <f>IF(H286+I286&lt;0,SUM(J286:N286),SUM(H286:N286))</f>
        <v>240.65</v>
      </c>
      <c r="P286" s="59">
        <f>(-2500/7)*2.5</f>
        <v>-892.85714285714289</v>
      </c>
      <c r="Q286" s="59">
        <f>-2590*1.12</f>
        <v>-2900.8</v>
      </c>
      <c r="R286" s="59">
        <v>4179</v>
      </c>
      <c r="S286" s="59">
        <v>0</v>
      </c>
      <c r="T286" s="59">
        <v>0</v>
      </c>
      <c r="U286" s="59">
        <v>-835.8</v>
      </c>
      <c r="V286" s="59">
        <v>0</v>
      </c>
      <c r="W286" s="59">
        <f t="shared" si="24"/>
        <v>-209.80714285714316</v>
      </c>
      <c r="X286" s="59">
        <v>0</v>
      </c>
      <c r="Y286" s="59">
        <f t="shared" si="30"/>
        <v>-209.80714285714316</v>
      </c>
      <c r="Z286" s="59">
        <v>0</v>
      </c>
      <c r="AA286" s="59">
        <f t="shared" si="31"/>
        <v>-209.80714285714316</v>
      </c>
      <c r="AB286" s="59">
        <f t="shared" si="27"/>
        <v>30.842857142856843</v>
      </c>
      <c r="AD286" s="59" t="s">
        <v>1517</v>
      </c>
      <c r="AE286" s="235"/>
      <c r="AF286" s="59"/>
    </row>
    <row r="287" spans="1:33" x14ac:dyDescent="0.3">
      <c r="A287" s="39">
        <v>6</v>
      </c>
      <c r="B287" s="41" t="s">
        <v>1518</v>
      </c>
      <c r="C287" s="50" t="s">
        <v>571</v>
      </c>
      <c r="D287" s="50" t="s">
        <v>974</v>
      </c>
      <c r="E287" s="50" t="s">
        <v>25</v>
      </c>
      <c r="F287" s="51" t="s">
        <v>25</v>
      </c>
      <c r="G287" s="50" t="s">
        <v>866</v>
      </c>
      <c r="H287" s="59">
        <v>4309.24</v>
      </c>
      <c r="I287" s="59">
        <v>-2152.4100000000003</v>
      </c>
      <c r="J287" s="59">
        <v>-54.4</v>
      </c>
      <c r="K287" s="59">
        <v>0</v>
      </c>
      <c r="L287" s="59">
        <v>0</v>
      </c>
      <c r="M287" s="59">
        <v>-180</v>
      </c>
      <c r="N287" s="59">
        <v>0</v>
      </c>
      <c r="O287" s="59">
        <f t="shared" ref="O287:O345" si="32">IF(H287+I287&lt;0,SUM(J287:N287),SUM(H287:N287))</f>
        <v>1922.4299999999994</v>
      </c>
      <c r="P287" s="59">
        <f>(-2500/7)*4.5</f>
        <v>-1607.1428571428573</v>
      </c>
      <c r="Q287" s="59">
        <v>0</v>
      </c>
      <c r="R287" s="59">
        <f>(-500/7)*4.5</f>
        <v>-321.42857142857144</v>
      </c>
      <c r="S287" s="59">
        <v>0</v>
      </c>
      <c r="T287" s="59">
        <v>0</v>
      </c>
      <c r="U287" s="59">
        <v>0</v>
      </c>
      <c r="V287" s="59">
        <v>0</v>
      </c>
      <c r="W287" s="59">
        <f t="shared" si="24"/>
        <v>-6.141428571429401</v>
      </c>
      <c r="X287" s="59">
        <v>0</v>
      </c>
      <c r="Y287" s="59">
        <f t="shared" si="30"/>
        <v>-6.141428571429401</v>
      </c>
      <c r="Z287" s="59">
        <v>6</v>
      </c>
      <c r="AA287" s="59">
        <f t="shared" si="31"/>
        <v>-0.14142857142940102</v>
      </c>
      <c r="AB287" s="59">
        <f t="shared" si="27"/>
        <v>1928.2885714285699</v>
      </c>
      <c r="AC287" s="59">
        <v>2000</v>
      </c>
      <c r="AD287" s="59" t="s">
        <v>1519</v>
      </c>
      <c r="AE287" s="235"/>
      <c r="AF287" s="59"/>
    </row>
    <row r="288" spans="1:33" x14ac:dyDescent="0.3">
      <c r="A288" s="39">
        <v>6</v>
      </c>
      <c r="B288" s="41" t="s">
        <v>1190</v>
      </c>
      <c r="C288" s="50" t="s">
        <v>573</v>
      </c>
      <c r="D288" s="50" t="s">
        <v>1149</v>
      </c>
      <c r="E288" s="50" t="s">
        <v>25</v>
      </c>
      <c r="F288" s="51" t="s">
        <v>25</v>
      </c>
      <c r="G288" s="50" t="s">
        <v>866</v>
      </c>
      <c r="H288" s="59">
        <v>3370.8</v>
      </c>
      <c r="I288" s="59">
        <v>-565.26</v>
      </c>
      <c r="J288" s="59">
        <v>0</v>
      </c>
      <c r="K288" s="59">
        <v>0</v>
      </c>
      <c r="L288" s="59">
        <v>-35.700000000000003</v>
      </c>
      <c r="M288" s="59">
        <f>-75-8.28</f>
        <v>-83.28</v>
      </c>
      <c r="N288" s="59">
        <v>-69</v>
      </c>
      <c r="O288" s="59">
        <f t="shared" si="32"/>
        <v>2617.56</v>
      </c>
      <c r="P288" s="59">
        <f>(-2500/7)*4.5</f>
        <v>-1607.1428571428573</v>
      </c>
      <c r="Q288" s="59">
        <v>-4084</v>
      </c>
      <c r="R288" s="59">
        <v>-500</v>
      </c>
      <c r="S288" s="59">
        <v>0</v>
      </c>
      <c r="T288" s="59">
        <v>0</v>
      </c>
      <c r="U288" s="59">
        <v>0</v>
      </c>
      <c r="V288" s="59">
        <v>0</v>
      </c>
      <c r="W288" s="59">
        <f t="shared" si="24"/>
        <v>-3573.5828571428574</v>
      </c>
      <c r="X288" s="59">
        <f t="shared" ref="X288:X345" si="33">IF(W288&gt;=0,W288,0)</f>
        <v>0</v>
      </c>
      <c r="Y288" s="59">
        <f t="shared" si="30"/>
        <v>-3573.5828571428574</v>
      </c>
      <c r="Z288" s="59">
        <v>0</v>
      </c>
      <c r="AA288" s="59">
        <f t="shared" si="31"/>
        <v>-3573.5828571428574</v>
      </c>
      <c r="AB288" s="59">
        <f t="shared" si="27"/>
        <v>-956.02285714285745</v>
      </c>
      <c r="AD288" s="59" t="s">
        <v>1520</v>
      </c>
      <c r="AE288" s="235"/>
      <c r="AF288" s="59"/>
    </row>
    <row r="289" spans="1:32" x14ac:dyDescent="0.3">
      <c r="A289" s="39">
        <v>6</v>
      </c>
      <c r="B289" s="41" t="s">
        <v>1454</v>
      </c>
      <c r="C289" s="50" t="s">
        <v>152</v>
      </c>
      <c r="E289" s="50" t="s">
        <v>25</v>
      </c>
      <c r="F289" s="51" t="s">
        <v>25</v>
      </c>
      <c r="G289" s="50" t="s">
        <v>866</v>
      </c>
      <c r="H289" s="59">
        <v>0</v>
      </c>
      <c r="I289" s="59">
        <v>0</v>
      </c>
      <c r="J289" s="59">
        <v>0</v>
      </c>
      <c r="K289" s="59">
        <v>0</v>
      </c>
      <c r="L289" s="59">
        <v>0</v>
      </c>
      <c r="M289" s="59">
        <v>0</v>
      </c>
      <c r="N289" s="59">
        <v>0</v>
      </c>
      <c r="O289" s="59">
        <f t="shared" si="32"/>
        <v>0</v>
      </c>
      <c r="P289" s="59">
        <f>(-2500/7)*0.5</f>
        <v>-178.57142857142858</v>
      </c>
      <c r="Q289" s="59">
        <v>0</v>
      </c>
      <c r="R289" s="59">
        <v>0</v>
      </c>
      <c r="S289" s="59">
        <v>0</v>
      </c>
      <c r="T289" s="59">
        <v>0</v>
      </c>
      <c r="U289" s="59">
        <v>0</v>
      </c>
      <c r="V289" s="59">
        <v>0</v>
      </c>
      <c r="W289" s="59">
        <f t="shared" si="24"/>
        <v>-178.57142857142858</v>
      </c>
      <c r="X289" s="59">
        <f t="shared" si="33"/>
        <v>0</v>
      </c>
      <c r="Y289" s="59">
        <f t="shared" si="30"/>
        <v>-178.57142857142858</v>
      </c>
      <c r="Z289" s="59">
        <v>179</v>
      </c>
      <c r="AA289" s="59">
        <f t="shared" si="31"/>
        <v>0.42857142857141639</v>
      </c>
      <c r="AB289" s="59">
        <f t="shared" si="27"/>
        <v>179.42857142857142</v>
      </c>
      <c r="AD289" s="59" t="s">
        <v>1521</v>
      </c>
      <c r="AE289" s="235"/>
      <c r="AF289" s="59"/>
    </row>
    <row r="290" spans="1:32" x14ac:dyDescent="0.3">
      <c r="A290" s="39">
        <v>6</v>
      </c>
      <c r="B290" s="41" t="s">
        <v>1454</v>
      </c>
      <c r="C290" s="50" t="s">
        <v>563</v>
      </c>
      <c r="E290" s="50" t="s">
        <v>25</v>
      </c>
      <c r="F290" s="51" t="s">
        <v>25</v>
      </c>
      <c r="G290" s="50" t="s">
        <v>866</v>
      </c>
      <c r="H290" s="59">
        <v>3605.3</v>
      </c>
      <c r="I290" s="59">
        <v>-997.6400000000001</v>
      </c>
      <c r="J290" s="59">
        <v>-108</v>
      </c>
      <c r="K290" s="59">
        <v>0</v>
      </c>
      <c r="L290" s="59">
        <v>0</v>
      </c>
      <c r="M290" s="59">
        <f>-85-39.12</f>
        <v>-124.12</v>
      </c>
      <c r="N290" s="59">
        <v>-326</v>
      </c>
      <c r="O290" s="59">
        <f t="shared" si="32"/>
        <v>2049.54</v>
      </c>
      <c r="P290" s="59">
        <f>(-2500/7)*6.5</f>
        <v>-2321.4285714285716</v>
      </c>
      <c r="Q290" s="59">
        <v>0</v>
      </c>
      <c r="R290" s="59">
        <v>-500</v>
      </c>
      <c r="S290" s="59">
        <v>0</v>
      </c>
      <c r="T290" s="59">
        <v>0</v>
      </c>
      <c r="U290" s="59">
        <v>0</v>
      </c>
      <c r="V290" s="59">
        <v>0</v>
      </c>
      <c r="W290" s="59">
        <f t="shared" si="24"/>
        <v>-771.88857142857159</v>
      </c>
      <c r="X290" s="59">
        <f t="shared" si="33"/>
        <v>0</v>
      </c>
      <c r="Y290" s="59">
        <f t="shared" si="30"/>
        <v>-771.88857142857159</v>
      </c>
      <c r="Z290" s="59">
        <f>621+151</f>
        <v>772</v>
      </c>
      <c r="AA290" s="59">
        <f t="shared" si="31"/>
        <v>0.11142857142840512</v>
      </c>
      <c r="AB290" s="59">
        <f t="shared" si="27"/>
        <v>2821.6514285714284</v>
      </c>
      <c r="AD290" s="59"/>
      <c r="AE290" s="235"/>
      <c r="AF290" s="59"/>
    </row>
    <row r="291" spans="1:32" x14ac:dyDescent="0.3">
      <c r="A291" s="39">
        <v>6</v>
      </c>
      <c r="B291" s="41" t="s">
        <v>1190</v>
      </c>
      <c r="C291" s="50" t="s">
        <v>46</v>
      </c>
      <c r="E291" s="50" t="s">
        <v>25</v>
      </c>
      <c r="F291" s="51" t="s">
        <v>25</v>
      </c>
      <c r="G291" s="50" t="s">
        <v>866</v>
      </c>
      <c r="H291" s="59">
        <v>0</v>
      </c>
      <c r="I291" s="59">
        <v>0</v>
      </c>
      <c r="J291" s="59">
        <v>0</v>
      </c>
      <c r="K291" s="59">
        <v>0</v>
      </c>
      <c r="L291" s="59">
        <v>0</v>
      </c>
      <c r="M291" s="59">
        <v>0</v>
      </c>
      <c r="N291" s="59">
        <v>0</v>
      </c>
      <c r="O291" s="59">
        <f t="shared" si="32"/>
        <v>0</v>
      </c>
      <c r="P291" s="59">
        <f>(-2500/7)*2.5</f>
        <v>-892.85714285714289</v>
      </c>
      <c r="Q291" s="59">
        <v>0</v>
      </c>
      <c r="R291" s="59">
        <v>0</v>
      </c>
      <c r="S291" s="59">
        <v>0</v>
      </c>
      <c r="T291" s="59">
        <v>0</v>
      </c>
      <c r="U291" s="59">
        <v>0</v>
      </c>
      <c r="V291" s="59">
        <v>0</v>
      </c>
      <c r="W291" s="59">
        <f t="shared" si="24"/>
        <v>-892.85714285714289</v>
      </c>
      <c r="X291" s="59">
        <f t="shared" si="33"/>
        <v>0</v>
      </c>
      <c r="Y291" s="59">
        <f t="shared" si="30"/>
        <v>-892.85714285714289</v>
      </c>
      <c r="Z291" s="59">
        <v>500</v>
      </c>
      <c r="AA291" s="59">
        <f t="shared" si="31"/>
        <v>-392.85714285714289</v>
      </c>
      <c r="AB291" s="59">
        <f t="shared" si="27"/>
        <v>107.14285714285711</v>
      </c>
      <c r="AD291" s="59"/>
      <c r="AE291" s="235"/>
      <c r="AF291" s="59"/>
    </row>
    <row r="292" spans="1:32" x14ac:dyDescent="0.3">
      <c r="A292" s="39">
        <v>6</v>
      </c>
      <c r="B292" s="41" t="s">
        <v>1522</v>
      </c>
      <c r="C292" s="50" t="s">
        <v>169</v>
      </c>
      <c r="E292" s="50" t="s">
        <v>871</v>
      </c>
      <c r="F292" s="51" t="s">
        <v>39</v>
      </c>
      <c r="G292" s="50" t="s">
        <v>866</v>
      </c>
      <c r="H292" s="59">
        <v>7030.31</v>
      </c>
      <c r="I292" s="59">
        <v>-2922.15</v>
      </c>
      <c r="J292" s="59">
        <v>-246.4</v>
      </c>
      <c r="K292" s="59">
        <v>0</v>
      </c>
      <c r="L292" s="59">
        <v>0</v>
      </c>
      <c r="M292" s="59">
        <v>-101</v>
      </c>
      <c r="N292" s="59">
        <v>0</v>
      </c>
      <c r="O292" s="59">
        <f t="shared" si="32"/>
        <v>3760.7599999999998</v>
      </c>
      <c r="P292" s="59">
        <f>(-2500/7)*4</f>
        <v>-1428.5714285714287</v>
      </c>
      <c r="Q292" s="59">
        <v>0</v>
      </c>
      <c r="R292" s="59">
        <f>+(-500/7)*4</f>
        <v>-285.71428571428572</v>
      </c>
      <c r="S292" s="59">
        <v>0</v>
      </c>
      <c r="T292" s="59">
        <v>0</v>
      </c>
      <c r="U292" s="59">
        <v>0</v>
      </c>
      <c r="V292" s="59">
        <v>0</v>
      </c>
      <c r="W292" s="59">
        <f t="shared" si="24"/>
        <v>2046.4742857142851</v>
      </c>
      <c r="X292" s="59">
        <f t="shared" si="33"/>
        <v>2046.4742857142851</v>
      </c>
      <c r="Y292" s="59">
        <f t="shared" si="30"/>
        <v>0</v>
      </c>
      <c r="Z292" s="59">
        <v>0</v>
      </c>
      <c r="AA292" s="59">
        <f t="shared" si="31"/>
        <v>0</v>
      </c>
      <c r="AB292" s="59">
        <f t="shared" si="27"/>
        <v>1714.2857142857147</v>
      </c>
      <c r="AC292" s="59">
        <v>2000</v>
      </c>
      <c r="AD292" s="59" t="s">
        <v>1523</v>
      </c>
      <c r="AE292" s="235"/>
      <c r="AF292" s="59"/>
    </row>
    <row r="293" spans="1:32" x14ac:dyDescent="0.3">
      <c r="A293" s="39">
        <v>6</v>
      </c>
      <c r="B293" s="41" t="s">
        <v>408</v>
      </c>
      <c r="C293" s="50" t="s">
        <v>361</v>
      </c>
      <c r="E293" s="50" t="s">
        <v>25</v>
      </c>
      <c r="F293" s="51" t="s">
        <v>25</v>
      </c>
      <c r="G293" s="50" t="s">
        <v>866</v>
      </c>
      <c r="H293" s="59">
        <v>3405.77</v>
      </c>
      <c r="I293" s="59">
        <v>-1044.8399999999999</v>
      </c>
      <c r="J293" s="59">
        <v>0</v>
      </c>
      <c r="K293" s="59">
        <v>0</v>
      </c>
      <c r="L293" s="59">
        <v>0</v>
      </c>
      <c r="M293" s="59">
        <v>-98</v>
      </c>
      <c r="N293" s="59">
        <v>0</v>
      </c>
      <c r="O293" s="59">
        <f t="shared" si="32"/>
        <v>2262.9300000000003</v>
      </c>
      <c r="P293" s="59">
        <f>(-2500/7)*4</f>
        <v>-1428.5714285714287</v>
      </c>
      <c r="Q293" s="59">
        <v>0</v>
      </c>
      <c r="R293" s="59">
        <v>0</v>
      </c>
      <c r="S293" s="59">
        <v>0</v>
      </c>
      <c r="T293" s="59">
        <v>0</v>
      </c>
      <c r="U293" s="59">
        <v>0</v>
      </c>
      <c r="V293" s="59">
        <v>0</v>
      </c>
      <c r="W293" s="59">
        <f t="shared" si="24"/>
        <v>834.35857142857162</v>
      </c>
      <c r="X293" s="59">
        <f t="shared" si="33"/>
        <v>834.35857142857162</v>
      </c>
      <c r="Y293" s="59">
        <f t="shared" si="30"/>
        <v>0</v>
      </c>
      <c r="Z293" s="59">
        <v>0</v>
      </c>
      <c r="AA293" s="59">
        <f t="shared" si="31"/>
        <v>0</v>
      </c>
      <c r="AB293" s="59">
        <f t="shared" si="27"/>
        <v>1428.5714285714287</v>
      </c>
      <c r="AD293" s="59" t="s">
        <v>1524</v>
      </c>
      <c r="AE293" s="235"/>
      <c r="AF293" s="59"/>
    </row>
    <row r="294" spans="1:32" x14ac:dyDescent="0.3">
      <c r="A294" s="39">
        <v>6</v>
      </c>
      <c r="B294" s="41" t="s">
        <v>1062</v>
      </c>
      <c r="C294" s="50" t="s">
        <v>360</v>
      </c>
      <c r="D294" s="50" t="s">
        <v>1158</v>
      </c>
      <c r="E294" s="50" t="s">
        <v>25</v>
      </c>
      <c r="F294" s="51" t="s">
        <v>25</v>
      </c>
      <c r="G294" s="50" t="s">
        <v>866</v>
      </c>
      <c r="H294" s="59">
        <v>6054.92</v>
      </c>
      <c r="I294" s="59">
        <v>-1875.88</v>
      </c>
      <c r="J294" s="59">
        <v>0</v>
      </c>
      <c r="K294" s="59">
        <v>0</v>
      </c>
      <c r="L294" s="59">
        <v>0</v>
      </c>
      <c r="M294" s="59">
        <v>-98</v>
      </c>
      <c r="N294" s="59">
        <v>0</v>
      </c>
      <c r="O294" s="59">
        <f t="shared" si="32"/>
        <v>4081.04</v>
      </c>
      <c r="P294" s="59">
        <v>-2700</v>
      </c>
      <c r="Q294" s="59">
        <v>0</v>
      </c>
      <c r="R294" s="59">
        <v>0</v>
      </c>
      <c r="S294" s="59">
        <v>0</v>
      </c>
      <c r="T294" s="59">
        <v>0</v>
      </c>
      <c r="U294" s="59">
        <v>0</v>
      </c>
      <c r="V294" s="59">
        <v>0</v>
      </c>
      <c r="W294" s="59">
        <f t="shared" si="24"/>
        <v>1381.04</v>
      </c>
      <c r="X294" s="59">
        <f t="shared" si="33"/>
        <v>1381.04</v>
      </c>
      <c r="Y294" s="59">
        <f t="shared" si="30"/>
        <v>0</v>
      </c>
      <c r="Z294" s="59">
        <v>0</v>
      </c>
      <c r="AA294" s="59">
        <f t="shared" si="31"/>
        <v>0</v>
      </c>
      <c r="AB294" s="59">
        <f t="shared" si="27"/>
        <v>2700</v>
      </c>
      <c r="AD294" s="59"/>
      <c r="AE294" s="235"/>
      <c r="AF294" s="59"/>
    </row>
    <row r="295" spans="1:32" x14ac:dyDescent="0.3">
      <c r="A295" s="39">
        <v>6</v>
      </c>
      <c r="B295" s="41" t="s">
        <v>585</v>
      </c>
      <c r="C295" s="50" t="s">
        <v>42</v>
      </c>
      <c r="D295" s="50" t="s">
        <v>948</v>
      </c>
      <c r="E295" s="50" t="s">
        <v>25</v>
      </c>
      <c r="F295" s="51" t="s">
        <v>25</v>
      </c>
      <c r="G295" s="50" t="s">
        <v>866</v>
      </c>
      <c r="H295" s="59">
        <v>0</v>
      </c>
      <c r="I295" s="59">
        <v>0</v>
      </c>
      <c r="J295" s="59">
        <v>0</v>
      </c>
      <c r="K295" s="59">
        <v>0</v>
      </c>
      <c r="L295" s="59">
        <v>0</v>
      </c>
      <c r="M295" s="59">
        <v>0</v>
      </c>
      <c r="N295" s="59">
        <v>0</v>
      </c>
      <c r="O295" s="59">
        <f t="shared" si="32"/>
        <v>0</v>
      </c>
      <c r="P295" s="59">
        <v>-2500</v>
      </c>
      <c r="Q295" s="59">
        <v>0</v>
      </c>
      <c r="R295" s="59">
        <v>0</v>
      </c>
      <c r="S295" s="59">
        <v>0</v>
      </c>
      <c r="T295" s="59">
        <v>0</v>
      </c>
      <c r="U295" s="59">
        <v>0</v>
      </c>
      <c r="V295" s="59">
        <v>0</v>
      </c>
      <c r="W295" s="59">
        <f t="shared" si="24"/>
        <v>-2500</v>
      </c>
      <c r="X295" s="59">
        <f t="shared" si="33"/>
        <v>0</v>
      </c>
      <c r="Y295" s="59">
        <f t="shared" si="30"/>
        <v>-2500</v>
      </c>
      <c r="Z295" s="59">
        <v>2500</v>
      </c>
      <c r="AA295" s="59">
        <f t="shared" si="31"/>
        <v>0</v>
      </c>
      <c r="AB295" s="59">
        <f t="shared" si="27"/>
        <v>2500</v>
      </c>
      <c r="AD295" s="59" t="s">
        <v>1525</v>
      </c>
      <c r="AE295" s="235"/>
      <c r="AF295" s="59"/>
    </row>
    <row r="296" spans="1:32" x14ac:dyDescent="0.3">
      <c r="A296" s="39">
        <v>6</v>
      </c>
      <c r="B296" s="41" t="s">
        <v>837</v>
      </c>
      <c r="C296" s="50" t="s">
        <v>357</v>
      </c>
      <c r="D296" s="50" t="s">
        <v>1150</v>
      </c>
      <c r="E296" s="50" t="s">
        <v>25</v>
      </c>
      <c r="F296" s="51" t="s">
        <v>25</v>
      </c>
      <c r="G296" s="50" t="s">
        <v>866</v>
      </c>
      <c r="H296" s="59">
        <v>5664.12</v>
      </c>
      <c r="I296" s="59">
        <v>0</v>
      </c>
      <c r="J296" s="59">
        <v>0</v>
      </c>
      <c r="K296" s="59">
        <v>0</v>
      </c>
      <c r="L296" s="59">
        <v>0</v>
      </c>
      <c r="M296" s="59">
        <v>-5</v>
      </c>
      <c r="N296" s="59">
        <v>-35</v>
      </c>
      <c r="O296" s="59">
        <f t="shared" si="32"/>
        <v>5624.12</v>
      </c>
      <c r="P296" s="59">
        <v>-2700</v>
      </c>
      <c r="Q296" s="59">
        <v>0</v>
      </c>
      <c r="R296" s="59">
        <v>0</v>
      </c>
      <c r="S296" s="59">
        <v>0</v>
      </c>
      <c r="T296" s="59">
        <v>0</v>
      </c>
      <c r="U296" s="59">
        <v>0</v>
      </c>
      <c r="V296" s="59">
        <v>0</v>
      </c>
      <c r="W296" s="59">
        <f t="shared" si="24"/>
        <v>2924.12</v>
      </c>
      <c r="X296" s="59">
        <f t="shared" si="33"/>
        <v>2924.12</v>
      </c>
      <c r="Y296" s="59">
        <f t="shared" si="30"/>
        <v>0</v>
      </c>
      <c r="Z296" s="59">
        <v>0</v>
      </c>
      <c r="AA296" s="59">
        <f t="shared" si="31"/>
        <v>0</v>
      </c>
      <c r="AB296" s="59">
        <f t="shared" si="27"/>
        <v>2700</v>
      </c>
      <c r="AD296" s="59"/>
      <c r="AE296" s="235"/>
      <c r="AF296" s="59"/>
    </row>
    <row r="297" spans="1:32" x14ac:dyDescent="0.3">
      <c r="A297" s="39">
        <v>6</v>
      </c>
      <c r="B297" s="41" t="s">
        <v>944</v>
      </c>
      <c r="C297" s="50" t="s">
        <v>372</v>
      </c>
      <c r="D297" s="50" t="s">
        <v>1004</v>
      </c>
      <c r="E297" s="50" t="s">
        <v>39</v>
      </c>
      <c r="F297" s="51" t="s">
        <v>39</v>
      </c>
      <c r="G297" s="50" t="s">
        <v>866</v>
      </c>
      <c r="H297" s="59">
        <v>3380.53</v>
      </c>
      <c r="I297" s="59">
        <v>-771.51</v>
      </c>
      <c r="J297" s="59">
        <v>0</v>
      </c>
      <c r="K297" s="59">
        <v>14.68</v>
      </c>
      <c r="L297" s="59">
        <v>0</v>
      </c>
      <c r="M297" s="59">
        <f>I297*0.05</f>
        <v>-38.575500000000005</v>
      </c>
      <c r="N297" s="59">
        <v>0</v>
      </c>
      <c r="O297" s="59">
        <f t="shared" si="32"/>
        <v>2585.1245000000004</v>
      </c>
      <c r="P297" s="59">
        <v>-2500</v>
      </c>
      <c r="Q297" s="59">
        <v>0</v>
      </c>
      <c r="R297" s="59">
        <v>0</v>
      </c>
      <c r="S297" s="59">
        <v>0</v>
      </c>
      <c r="T297" s="59">
        <v>0</v>
      </c>
      <c r="U297" s="59">
        <v>0</v>
      </c>
      <c r="V297" s="59">
        <v>0</v>
      </c>
      <c r="W297" s="59">
        <f t="shared" si="24"/>
        <v>85.124500000000353</v>
      </c>
      <c r="X297" s="59">
        <f t="shared" si="33"/>
        <v>85.124500000000353</v>
      </c>
      <c r="Y297" s="59">
        <f t="shared" si="30"/>
        <v>0</v>
      </c>
      <c r="Z297" s="59">
        <v>0</v>
      </c>
      <c r="AA297" s="59">
        <f t="shared" si="31"/>
        <v>0</v>
      </c>
      <c r="AB297" s="59">
        <f t="shared" si="27"/>
        <v>2500</v>
      </c>
      <c r="AD297" s="59"/>
      <c r="AE297" s="235"/>
      <c r="AF297" s="59"/>
    </row>
    <row r="298" spans="1:32" x14ac:dyDescent="0.3">
      <c r="A298" s="39">
        <v>6</v>
      </c>
      <c r="B298" s="41" t="s">
        <v>1453</v>
      </c>
      <c r="C298" s="50" t="s">
        <v>814</v>
      </c>
      <c r="D298" s="50" t="s">
        <v>1564</v>
      </c>
      <c r="E298" s="50" t="s">
        <v>25</v>
      </c>
      <c r="F298" s="51" t="s">
        <v>25</v>
      </c>
      <c r="G298" s="50" t="s">
        <v>866</v>
      </c>
      <c r="H298" s="59">
        <v>6658.97</v>
      </c>
      <c r="I298" s="59">
        <v>-2135.2600000000002</v>
      </c>
      <c r="J298" s="59">
        <v>0</v>
      </c>
      <c r="K298" s="59">
        <v>0</v>
      </c>
      <c r="L298" s="59">
        <v>0</v>
      </c>
      <c r="M298" s="59">
        <v>-180</v>
      </c>
      <c r="N298" s="59">
        <v>0</v>
      </c>
      <c r="O298" s="59">
        <f t="shared" si="32"/>
        <v>4343.71</v>
      </c>
      <c r="P298" s="59">
        <v>-2600</v>
      </c>
      <c r="Q298" s="59">
        <v>0</v>
      </c>
      <c r="R298" s="59">
        <v>-500</v>
      </c>
      <c r="S298" s="59">
        <v>0</v>
      </c>
      <c r="T298" s="59">
        <v>0</v>
      </c>
      <c r="U298" s="59">
        <v>0</v>
      </c>
      <c r="V298" s="59">
        <v>0</v>
      </c>
      <c r="W298" s="59">
        <f t="shared" si="24"/>
        <v>1243.71</v>
      </c>
      <c r="X298" s="59">
        <f t="shared" si="33"/>
        <v>1243.71</v>
      </c>
      <c r="Y298" s="59">
        <f t="shared" si="30"/>
        <v>0</v>
      </c>
      <c r="Z298" s="59">
        <v>0</v>
      </c>
      <c r="AA298" s="59">
        <f t="shared" si="31"/>
        <v>0</v>
      </c>
      <c r="AB298" s="59">
        <f t="shared" si="27"/>
        <v>3100</v>
      </c>
      <c r="AD298" s="59"/>
      <c r="AE298" s="235"/>
      <c r="AF298" s="59"/>
    </row>
    <row r="299" spans="1:32" x14ac:dyDescent="0.3">
      <c r="A299" s="39">
        <v>6</v>
      </c>
      <c r="B299" s="41" t="s">
        <v>604</v>
      </c>
      <c r="C299" s="50" t="s">
        <v>605</v>
      </c>
      <c r="D299" s="50" t="s">
        <v>1223</v>
      </c>
      <c r="E299" s="50" t="s">
        <v>25</v>
      </c>
      <c r="F299" s="51" t="s">
        <v>25</v>
      </c>
      <c r="G299" s="50" t="s">
        <v>866</v>
      </c>
      <c r="H299" s="59">
        <v>3765.16</v>
      </c>
      <c r="I299" s="59">
        <v>-1645.28</v>
      </c>
      <c r="J299" s="59">
        <v>0</v>
      </c>
      <c r="K299" s="59">
        <v>0</v>
      </c>
      <c r="L299" s="59">
        <v>0</v>
      </c>
      <c r="M299" s="59">
        <v>-98</v>
      </c>
      <c r="N299" s="59">
        <v>0</v>
      </c>
      <c r="O299" s="59">
        <f t="shared" si="32"/>
        <v>2021.88</v>
      </c>
      <c r="P299" s="59">
        <v>-2700</v>
      </c>
      <c r="Q299" s="59">
        <f>-669*1.12</f>
        <v>-749.28000000000009</v>
      </c>
      <c r="R299" s="59">
        <v>0</v>
      </c>
      <c r="S299" s="59">
        <v>0</v>
      </c>
      <c r="T299" s="59">
        <v>0</v>
      </c>
      <c r="U299" s="59">
        <v>0</v>
      </c>
      <c r="V299" s="59">
        <v>0</v>
      </c>
      <c r="W299" s="59">
        <f t="shared" si="24"/>
        <v>-1427.4</v>
      </c>
      <c r="X299" s="59">
        <f t="shared" si="33"/>
        <v>0</v>
      </c>
      <c r="Y299" s="59">
        <f t="shared" si="30"/>
        <v>-1427.4</v>
      </c>
      <c r="Z299" s="59">
        <v>1427</v>
      </c>
      <c r="AA299" s="59">
        <f t="shared" si="31"/>
        <v>-0.40000000000009095</v>
      </c>
      <c r="AB299" s="59">
        <f t="shared" si="27"/>
        <v>3448.48</v>
      </c>
      <c r="AD299" s="59" t="s">
        <v>1526</v>
      </c>
      <c r="AE299" s="235"/>
      <c r="AF299" s="59"/>
    </row>
    <row r="300" spans="1:32" x14ac:dyDescent="0.3">
      <c r="A300" s="39">
        <v>6</v>
      </c>
      <c r="B300" s="41" t="s">
        <v>1029</v>
      </c>
      <c r="C300" s="50" t="s">
        <v>68</v>
      </c>
      <c r="D300" s="50" t="s">
        <v>869</v>
      </c>
      <c r="E300" s="50" t="s">
        <v>25</v>
      </c>
      <c r="F300" s="51" t="s">
        <v>25</v>
      </c>
      <c r="G300" s="50" t="s">
        <v>866</v>
      </c>
      <c r="H300" s="59">
        <v>4909</v>
      </c>
      <c r="I300" s="59">
        <v>-379.97</v>
      </c>
      <c r="J300" s="59">
        <v>0</v>
      </c>
      <c r="K300" s="59">
        <v>0</v>
      </c>
      <c r="L300" s="59">
        <v>-46.84</v>
      </c>
      <c r="M300" s="59">
        <v>-25</v>
      </c>
      <c r="N300" s="59">
        <v>0</v>
      </c>
      <c r="O300" s="59">
        <f t="shared" si="32"/>
        <v>4457.1899999999996</v>
      </c>
      <c r="P300" s="59">
        <v>-2500</v>
      </c>
      <c r="Q300" s="59">
        <v>0</v>
      </c>
      <c r="R300" s="59">
        <v>0</v>
      </c>
      <c r="S300" s="59">
        <v>0</v>
      </c>
      <c r="T300" s="59">
        <v>0</v>
      </c>
      <c r="U300" s="59">
        <v>0</v>
      </c>
      <c r="V300" s="59">
        <v>0</v>
      </c>
      <c r="W300" s="59">
        <f t="shared" si="24"/>
        <v>1957.1899999999996</v>
      </c>
      <c r="X300" s="59">
        <f t="shared" si="33"/>
        <v>1957.1899999999996</v>
      </c>
      <c r="Y300" s="59">
        <f t="shared" si="30"/>
        <v>0</v>
      </c>
      <c r="Z300" s="59">
        <v>0</v>
      </c>
      <c r="AA300" s="59">
        <f t="shared" si="31"/>
        <v>0</v>
      </c>
      <c r="AB300" s="59">
        <f t="shared" si="27"/>
        <v>2500</v>
      </c>
      <c r="AD300" s="59"/>
      <c r="AE300" s="235"/>
      <c r="AF300" s="59"/>
    </row>
    <row r="301" spans="1:32" x14ac:dyDescent="0.3">
      <c r="A301" s="39">
        <v>6</v>
      </c>
      <c r="B301" s="41" t="s">
        <v>1449</v>
      </c>
      <c r="C301" s="50" t="s">
        <v>123</v>
      </c>
      <c r="D301" s="50" t="s">
        <v>1450</v>
      </c>
      <c r="E301" s="50" t="s">
        <v>871</v>
      </c>
      <c r="F301" s="51" t="s">
        <v>39</v>
      </c>
      <c r="G301" s="50" t="s">
        <v>866</v>
      </c>
      <c r="H301" s="59">
        <v>4886.0600000000004</v>
      </c>
      <c r="I301" s="59">
        <v>-1847.09</v>
      </c>
      <c r="J301" s="59">
        <v>-48.8</v>
      </c>
      <c r="K301" s="59">
        <v>0</v>
      </c>
      <c r="L301" s="59">
        <v>0</v>
      </c>
      <c r="M301" s="59">
        <v>-100</v>
      </c>
      <c r="N301" s="59">
        <v>0</v>
      </c>
      <c r="O301" s="59">
        <f t="shared" si="32"/>
        <v>2890.17</v>
      </c>
      <c r="P301" s="59">
        <f>(-2500/7)*4</f>
        <v>-1428.5714285714287</v>
      </c>
      <c r="Q301" s="59">
        <v>0</v>
      </c>
      <c r="R301" s="59">
        <v>-500</v>
      </c>
      <c r="S301" s="59">
        <v>0</v>
      </c>
      <c r="T301" s="59">
        <v>0</v>
      </c>
      <c r="U301" s="59">
        <v>0</v>
      </c>
      <c r="V301" s="59">
        <v>0</v>
      </c>
      <c r="W301" s="59">
        <f t="shared" si="24"/>
        <v>961.5985714285714</v>
      </c>
      <c r="X301" s="59">
        <f t="shared" si="33"/>
        <v>961.5985714285714</v>
      </c>
      <c r="Y301" s="59">
        <f t="shared" si="30"/>
        <v>0</v>
      </c>
      <c r="Z301" s="59">
        <v>0</v>
      </c>
      <c r="AA301" s="59">
        <f t="shared" si="31"/>
        <v>0</v>
      </c>
      <c r="AB301" s="59">
        <f t="shared" si="27"/>
        <v>1928.5714285714287</v>
      </c>
      <c r="AD301" s="59"/>
      <c r="AE301" s="235"/>
      <c r="AF301" s="59"/>
    </row>
    <row r="302" spans="1:32" x14ac:dyDescent="0.3">
      <c r="A302" s="39">
        <v>6</v>
      </c>
      <c r="B302" s="41" t="s">
        <v>1141</v>
      </c>
      <c r="C302" s="50" t="s">
        <v>120</v>
      </c>
      <c r="D302" s="50" t="s">
        <v>950</v>
      </c>
      <c r="E302" s="50" t="s">
        <v>25</v>
      </c>
      <c r="F302" s="51" t="s">
        <v>25</v>
      </c>
      <c r="G302" s="50" t="s">
        <v>866</v>
      </c>
      <c r="H302" s="59">
        <v>3078.45</v>
      </c>
      <c r="I302" s="59">
        <v>-671.76</v>
      </c>
      <c r="J302" s="59">
        <v>0</v>
      </c>
      <c r="K302" s="59">
        <v>0</v>
      </c>
      <c r="L302" s="59">
        <v>0</v>
      </c>
      <c r="M302" s="59">
        <v>-75</v>
      </c>
      <c r="N302" s="59">
        <v>0</v>
      </c>
      <c r="O302" s="59">
        <f t="shared" si="32"/>
        <v>2331.6899999999996</v>
      </c>
      <c r="P302" s="59">
        <v>-2500</v>
      </c>
      <c r="Q302" s="59">
        <f>-601*1.12</f>
        <v>-673.12000000000012</v>
      </c>
      <c r="R302" s="59">
        <v>-286</v>
      </c>
      <c r="S302" s="59">
        <v>0</v>
      </c>
      <c r="T302" s="59">
        <v>0</v>
      </c>
      <c r="U302" s="59">
        <v>0</v>
      </c>
      <c r="V302" s="59">
        <v>0</v>
      </c>
      <c r="W302" s="59">
        <f t="shared" si="24"/>
        <v>-1127.4300000000005</v>
      </c>
      <c r="X302" s="59">
        <f t="shared" si="33"/>
        <v>0</v>
      </c>
      <c r="Y302" s="59">
        <f t="shared" si="30"/>
        <v>-1127.4300000000005</v>
      </c>
      <c r="Z302" s="59">
        <v>1127</v>
      </c>
      <c r="AA302" s="59">
        <f t="shared" si="31"/>
        <v>-0.43000000000051841</v>
      </c>
      <c r="AB302" s="59">
        <f t="shared" si="27"/>
        <v>3458.2599999999993</v>
      </c>
      <c r="AD302" s="59" t="s">
        <v>1527</v>
      </c>
      <c r="AE302" s="235"/>
      <c r="AF302" s="59"/>
    </row>
    <row r="303" spans="1:32" x14ac:dyDescent="0.3">
      <c r="A303" s="39">
        <v>6</v>
      </c>
      <c r="B303" s="41" t="s">
        <v>1151</v>
      </c>
      <c r="C303" s="50" t="s">
        <v>1285</v>
      </c>
      <c r="D303" s="50" t="s">
        <v>1340</v>
      </c>
      <c r="E303" s="50" t="s">
        <v>25</v>
      </c>
      <c r="F303" s="51" t="s">
        <v>25</v>
      </c>
      <c r="G303" s="50" t="s">
        <v>866</v>
      </c>
      <c r="H303" s="59">
        <v>5094.16</v>
      </c>
      <c r="I303" s="59">
        <v>-309.61</v>
      </c>
      <c r="J303" s="59">
        <v>-53.6</v>
      </c>
      <c r="K303" s="59">
        <v>0</v>
      </c>
      <c r="L303" s="59">
        <v>0</v>
      </c>
      <c r="M303" s="59">
        <v>-25</v>
      </c>
      <c r="N303" s="59">
        <v>0</v>
      </c>
      <c r="O303" s="59">
        <f t="shared" si="32"/>
        <v>4705.95</v>
      </c>
      <c r="P303" s="59">
        <v>-2700</v>
      </c>
      <c r="Q303" s="59">
        <v>0</v>
      </c>
      <c r="R303" s="59">
        <v>-500</v>
      </c>
      <c r="S303" s="59">
        <v>0</v>
      </c>
      <c r="T303" s="59">
        <v>0</v>
      </c>
      <c r="U303" s="59">
        <v>0</v>
      </c>
      <c r="V303" s="59">
        <v>0</v>
      </c>
      <c r="W303" s="59">
        <f t="shared" si="24"/>
        <v>1505.9499999999998</v>
      </c>
      <c r="X303" s="59">
        <f t="shared" si="33"/>
        <v>1505.9499999999998</v>
      </c>
      <c r="Y303" s="59">
        <f t="shared" si="30"/>
        <v>0</v>
      </c>
      <c r="Z303" s="59">
        <v>0</v>
      </c>
      <c r="AA303" s="59">
        <f t="shared" si="31"/>
        <v>0</v>
      </c>
      <c r="AB303" s="59">
        <f t="shared" si="27"/>
        <v>3200</v>
      </c>
      <c r="AD303" s="59"/>
      <c r="AE303" s="235"/>
      <c r="AF303" s="59"/>
    </row>
    <row r="304" spans="1:32" x14ac:dyDescent="0.3">
      <c r="A304" s="39">
        <v>6</v>
      </c>
      <c r="B304" s="41" t="s">
        <v>1310</v>
      </c>
      <c r="C304" s="50" t="s">
        <v>101</v>
      </c>
      <c r="D304" s="50" t="s">
        <v>945</v>
      </c>
      <c r="E304" s="50" t="s">
        <v>25</v>
      </c>
      <c r="F304" s="51" t="s">
        <v>25</v>
      </c>
      <c r="G304" s="50" t="s">
        <v>866</v>
      </c>
      <c r="H304" s="59">
        <v>4990.8900000000003</v>
      </c>
      <c r="I304" s="59">
        <v>-2582.1500000000005</v>
      </c>
      <c r="J304" s="59">
        <v>-38.4</v>
      </c>
      <c r="K304" s="59">
        <v>0</v>
      </c>
      <c r="L304" s="59">
        <v>0</v>
      </c>
      <c r="M304" s="59">
        <v>-180</v>
      </c>
      <c r="N304" s="59">
        <v>0</v>
      </c>
      <c r="O304" s="59">
        <f t="shared" si="32"/>
        <v>2190.3399999999997</v>
      </c>
      <c r="P304" s="59">
        <v>-2500</v>
      </c>
      <c r="Q304" s="59">
        <v>0</v>
      </c>
      <c r="R304" s="59">
        <v>-500</v>
      </c>
      <c r="S304" s="59">
        <v>0</v>
      </c>
      <c r="T304" s="59">
        <v>0</v>
      </c>
      <c r="U304" s="59">
        <v>0</v>
      </c>
      <c r="V304" s="59">
        <v>0</v>
      </c>
      <c r="W304" s="59">
        <f t="shared" si="24"/>
        <v>-809.66000000000031</v>
      </c>
      <c r="X304" s="59">
        <f t="shared" si="33"/>
        <v>0</v>
      </c>
      <c r="Y304" s="59">
        <f t="shared" si="30"/>
        <v>-809.66000000000031</v>
      </c>
      <c r="Z304" s="59">
        <v>810</v>
      </c>
      <c r="AA304" s="59">
        <f t="shared" si="31"/>
        <v>0.33999999999969077</v>
      </c>
      <c r="AB304" s="59">
        <f t="shared" si="27"/>
        <v>3000.6799999999994</v>
      </c>
      <c r="AD304" s="59" t="s">
        <v>1528</v>
      </c>
      <c r="AE304" s="235"/>
      <c r="AF304" s="59"/>
    </row>
    <row r="305" spans="1:32" x14ac:dyDescent="0.3">
      <c r="A305" s="39">
        <v>6</v>
      </c>
      <c r="B305" s="41" t="s">
        <v>913</v>
      </c>
      <c r="C305" s="50" t="s">
        <v>361</v>
      </c>
      <c r="D305" s="50" t="s">
        <v>1164</v>
      </c>
      <c r="E305" s="50" t="s">
        <v>25</v>
      </c>
      <c r="F305" s="51" t="s">
        <v>25</v>
      </c>
      <c r="G305" s="50" t="s">
        <v>866</v>
      </c>
      <c r="H305" s="59">
        <v>4768.46</v>
      </c>
      <c r="I305" s="59">
        <v>-4518.7199999999984</v>
      </c>
      <c r="J305" s="59">
        <v>0</v>
      </c>
      <c r="K305" s="59">
        <v>0</v>
      </c>
      <c r="L305" s="59">
        <v>0</v>
      </c>
      <c r="M305" s="59">
        <v>-200</v>
      </c>
      <c r="N305" s="59">
        <v>0</v>
      </c>
      <c r="O305" s="59">
        <f t="shared" si="32"/>
        <v>49.740000000001601</v>
      </c>
      <c r="P305" s="59">
        <v>-2700</v>
      </c>
      <c r="Q305" s="59">
        <f>-838*1.12</f>
        <v>-938.56000000000006</v>
      </c>
      <c r="R305" s="59">
        <v>0</v>
      </c>
      <c r="S305" s="59">
        <v>0</v>
      </c>
      <c r="T305" s="59">
        <v>0</v>
      </c>
      <c r="U305" s="59">
        <v>0</v>
      </c>
      <c r="V305" s="59">
        <v>0</v>
      </c>
      <c r="W305" s="59">
        <f t="shared" si="24"/>
        <v>-3588.8199999999983</v>
      </c>
      <c r="X305" s="59">
        <f t="shared" si="33"/>
        <v>0</v>
      </c>
      <c r="Y305" s="59">
        <f t="shared" si="30"/>
        <v>-3588.8199999999983</v>
      </c>
      <c r="Z305" s="59">
        <f>1500+1300</f>
        <v>2800</v>
      </c>
      <c r="AA305" s="59">
        <f t="shared" si="31"/>
        <v>-788.81999999999834</v>
      </c>
      <c r="AB305" s="59">
        <f t="shared" si="27"/>
        <v>2060.9200000000033</v>
      </c>
      <c r="AD305" s="59" t="s">
        <v>1529</v>
      </c>
      <c r="AE305" s="235"/>
      <c r="AF305" s="59"/>
    </row>
    <row r="306" spans="1:32" x14ac:dyDescent="0.3">
      <c r="A306" s="39">
        <v>6</v>
      </c>
      <c r="B306" s="41" t="s">
        <v>913</v>
      </c>
      <c r="C306" s="50" t="s">
        <v>120</v>
      </c>
      <c r="D306" s="50" t="s">
        <v>950</v>
      </c>
      <c r="E306" s="50" t="s">
        <v>25</v>
      </c>
      <c r="F306" s="51" t="s">
        <v>25</v>
      </c>
      <c r="G306" s="50" t="s">
        <v>866</v>
      </c>
      <c r="H306" s="59">
        <v>0</v>
      </c>
      <c r="I306" s="59">
        <v>0</v>
      </c>
      <c r="J306" s="59">
        <v>0</v>
      </c>
      <c r="K306" s="59">
        <v>0</v>
      </c>
      <c r="L306" s="59">
        <v>0</v>
      </c>
      <c r="M306" s="59">
        <v>0</v>
      </c>
      <c r="N306" s="59">
        <v>0</v>
      </c>
      <c r="O306" s="59">
        <f t="shared" si="32"/>
        <v>0</v>
      </c>
      <c r="P306" s="59">
        <v>0</v>
      </c>
      <c r="Q306" s="59">
        <v>0</v>
      </c>
      <c r="R306" s="59">
        <v>0</v>
      </c>
      <c r="S306" s="59">
        <v>0</v>
      </c>
      <c r="T306" s="59">
        <v>-500</v>
      </c>
      <c r="U306" s="59">
        <v>0</v>
      </c>
      <c r="V306" s="59">
        <v>0</v>
      </c>
      <c r="W306" s="59">
        <f t="shared" si="24"/>
        <v>-500</v>
      </c>
      <c r="X306" s="59">
        <f t="shared" si="33"/>
        <v>0</v>
      </c>
      <c r="Y306" s="59">
        <f t="shared" si="30"/>
        <v>-500</v>
      </c>
      <c r="Z306" s="59">
        <v>500</v>
      </c>
      <c r="AA306" s="59">
        <f t="shared" si="31"/>
        <v>0</v>
      </c>
      <c r="AB306" s="59">
        <f t="shared" si="27"/>
        <v>500</v>
      </c>
      <c r="AD306" s="59"/>
      <c r="AE306" s="235"/>
      <c r="AF306" s="59"/>
    </row>
    <row r="307" spans="1:32" x14ac:dyDescent="0.3">
      <c r="A307" s="39">
        <v>6</v>
      </c>
      <c r="B307" s="41" t="s">
        <v>1403</v>
      </c>
      <c r="C307" s="50" t="s">
        <v>195</v>
      </c>
      <c r="D307" s="50" t="s">
        <v>1404</v>
      </c>
      <c r="E307" s="50" t="s">
        <v>871</v>
      </c>
      <c r="F307" s="51" t="s">
        <v>39</v>
      </c>
      <c r="G307" s="50" t="s">
        <v>866</v>
      </c>
      <c r="H307" s="59">
        <v>6346.28</v>
      </c>
      <c r="I307" s="59">
        <v>-2466.37</v>
      </c>
      <c r="J307" s="59">
        <v>0</v>
      </c>
      <c r="K307" s="59">
        <v>0</v>
      </c>
      <c r="L307" s="59">
        <v>0</v>
      </c>
      <c r="M307" s="59">
        <f>I307*0.05</f>
        <v>-123.3185</v>
      </c>
      <c r="N307" s="59">
        <v>0</v>
      </c>
      <c r="O307" s="59">
        <f t="shared" si="32"/>
        <v>3756.5915</v>
      </c>
      <c r="P307" s="59">
        <v>-2500</v>
      </c>
      <c r="Q307" s="59">
        <v>0</v>
      </c>
      <c r="R307" s="59">
        <v>-500</v>
      </c>
      <c r="S307" s="59">
        <v>0</v>
      </c>
      <c r="T307" s="59">
        <v>-700</v>
      </c>
      <c r="U307" s="59">
        <v>0</v>
      </c>
      <c r="V307" s="59">
        <v>0</v>
      </c>
      <c r="W307" s="59">
        <f t="shared" si="24"/>
        <v>56.591499999999996</v>
      </c>
      <c r="X307" s="59">
        <f t="shared" si="33"/>
        <v>56.591499999999996</v>
      </c>
      <c r="Y307" s="59">
        <f t="shared" si="30"/>
        <v>0</v>
      </c>
      <c r="Z307" s="59">
        <v>0</v>
      </c>
      <c r="AA307" s="59">
        <f t="shared" si="31"/>
        <v>0</v>
      </c>
      <c r="AB307" s="59">
        <f t="shared" si="27"/>
        <v>3700</v>
      </c>
      <c r="AD307" s="59"/>
      <c r="AE307" s="235"/>
      <c r="AF307" s="59"/>
    </row>
    <row r="308" spans="1:32" x14ac:dyDescent="0.3">
      <c r="A308" s="39">
        <v>6</v>
      </c>
      <c r="B308" s="41" t="s">
        <v>1295</v>
      </c>
      <c r="C308" s="50" t="s">
        <v>53</v>
      </c>
      <c r="D308" s="50" t="s">
        <v>1167</v>
      </c>
      <c r="E308" s="50" t="s">
        <v>25</v>
      </c>
      <c r="F308" s="51" t="s">
        <v>25</v>
      </c>
      <c r="G308" s="50" t="s">
        <v>866</v>
      </c>
      <c r="H308" s="59">
        <v>5195.1499999999996</v>
      </c>
      <c r="I308" s="59">
        <v>-3121.97</v>
      </c>
      <c r="J308" s="59">
        <v>-48</v>
      </c>
      <c r="K308" s="59">
        <v>0</v>
      </c>
      <c r="L308" s="59">
        <v>0</v>
      </c>
      <c r="M308" s="59">
        <v>-180</v>
      </c>
      <c r="N308" s="59">
        <v>0</v>
      </c>
      <c r="O308" s="59">
        <f t="shared" si="32"/>
        <v>1845.1799999999998</v>
      </c>
      <c r="P308" s="59">
        <v>-2500</v>
      </c>
      <c r="Q308" s="59">
        <v>0</v>
      </c>
      <c r="R308" s="59">
        <v>-500</v>
      </c>
      <c r="S308" s="59">
        <v>0</v>
      </c>
      <c r="T308" s="59">
        <v>0</v>
      </c>
      <c r="U308" s="59">
        <v>0</v>
      </c>
      <c r="V308" s="59">
        <v>0</v>
      </c>
      <c r="W308" s="59">
        <f t="shared" si="24"/>
        <v>-1154.8200000000002</v>
      </c>
      <c r="X308" s="59">
        <f t="shared" si="33"/>
        <v>0</v>
      </c>
      <c r="Y308" s="59">
        <f t="shared" si="30"/>
        <v>-1154.8200000000002</v>
      </c>
      <c r="Z308" s="59">
        <v>1155</v>
      </c>
      <c r="AA308" s="59">
        <f t="shared" si="31"/>
        <v>0.17999999999983629</v>
      </c>
      <c r="AB308" s="59">
        <f t="shared" si="27"/>
        <v>3000.3599999999997</v>
      </c>
      <c r="AD308" s="59" t="s">
        <v>1530</v>
      </c>
      <c r="AE308" s="235"/>
      <c r="AF308" s="59"/>
    </row>
    <row r="309" spans="1:32" x14ac:dyDescent="0.3">
      <c r="A309" s="39">
        <v>6</v>
      </c>
      <c r="B309" s="41" t="s">
        <v>457</v>
      </c>
      <c r="C309" s="50" t="s">
        <v>672</v>
      </c>
      <c r="D309" s="50" t="s">
        <v>1226</v>
      </c>
      <c r="E309" s="50" t="s">
        <v>25</v>
      </c>
      <c r="F309" s="51" t="s">
        <v>25</v>
      </c>
      <c r="G309" s="50" t="s">
        <v>866</v>
      </c>
      <c r="H309" s="59">
        <v>1416.03</v>
      </c>
      <c r="I309" s="59">
        <v>0</v>
      </c>
      <c r="J309" s="59">
        <v>0</v>
      </c>
      <c r="K309" s="59">
        <v>0</v>
      </c>
      <c r="L309" s="59">
        <v>0</v>
      </c>
      <c r="M309" s="59">
        <v>-5</v>
      </c>
      <c r="N309" s="59">
        <v>0</v>
      </c>
      <c r="O309" s="59">
        <f t="shared" si="32"/>
        <v>1411.03</v>
      </c>
      <c r="P309" s="59">
        <v>-2500</v>
      </c>
      <c r="Q309" s="59">
        <f>-341*1.12</f>
        <v>-381.92</v>
      </c>
      <c r="R309" s="59">
        <v>0</v>
      </c>
      <c r="S309" s="59">
        <v>0</v>
      </c>
      <c r="T309" s="59">
        <v>0</v>
      </c>
      <c r="U309" s="59">
        <v>0</v>
      </c>
      <c r="V309" s="59">
        <v>0</v>
      </c>
      <c r="W309" s="59">
        <f t="shared" si="24"/>
        <v>-1470.89</v>
      </c>
      <c r="X309" s="59">
        <f t="shared" si="33"/>
        <v>0</v>
      </c>
      <c r="Y309" s="59">
        <f t="shared" si="30"/>
        <v>-1470.89</v>
      </c>
      <c r="Z309" s="59">
        <f>500+840+131</f>
        <v>1471</v>
      </c>
      <c r="AA309" s="59">
        <f t="shared" si="31"/>
        <v>0.10999999999989996</v>
      </c>
      <c r="AB309" s="59">
        <f t="shared" si="27"/>
        <v>2882.1399999999994</v>
      </c>
      <c r="AD309" s="59" t="s">
        <v>1531</v>
      </c>
      <c r="AE309" s="235"/>
      <c r="AF309" s="59"/>
    </row>
    <row r="310" spans="1:32" x14ac:dyDescent="0.3">
      <c r="A310" s="39">
        <v>6</v>
      </c>
      <c r="B310" s="41" t="s">
        <v>457</v>
      </c>
      <c r="C310" s="50" t="s">
        <v>573</v>
      </c>
      <c r="D310" s="50" t="s">
        <v>1160</v>
      </c>
      <c r="E310" s="50" t="s">
        <v>25</v>
      </c>
      <c r="F310" s="51" t="s">
        <v>25</v>
      </c>
      <c r="G310" s="50" t="s">
        <v>866</v>
      </c>
      <c r="H310" s="59">
        <v>0</v>
      </c>
      <c r="I310" s="59">
        <v>0</v>
      </c>
      <c r="J310" s="59">
        <v>0</v>
      </c>
      <c r="K310" s="59">
        <v>0</v>
      </c>
      <c r="L310" s="59">
        <v>0</v>
      </c>
      <c r="M310" s="59">
        <v>0</v>
      </c>
      <c r="N310" s="59">
        <v>0</v>
      </c>
      <c r="O310" s="59">
        <f t="shared" si="32"/>
        <v>0</v>
      </c>
      <c r="P310" s="59">
        <v>0</v>
      </c>
      <c r="Q310" s="59">
        <v>0</v>
      </c>
      <c r="R310" s="59">
        <v>0</v>
      </c>
      <c r="S310" s="59">
        <v>0</v>
      </c>
      <c r="T310" s="59">
        <v>0</v>
      </c>
      <c r="U310" s="59">
        <v>0</v>
      </c>
      <c r="V310" s="59">
        <v>0</v>
      </c>
      <c r="W310" s="59">
        <f t="shared" si="24"/>
        <v>0</v>
      </c>
      <c r="X310" s="59">
        <f t="shared" si="33"/>
        <v>0</v>
      </c>
      <c r="Y310" s="59">
        <f t="shared" si="30"/>
        <v>0</v>
      </c>
      <c r="Z310" s="59">
        <v>0</v>
      </c>
      <c r="AA310" s="59">
        <f t="shared" si="31"/>
        <v>0</v>
      </c>
      <c r="AB310" s="59">
        <f t="shared" si="27"/>
        <v>0</v>
      </c>
      <c r="AD310" s="59" t="s">
        <v>1532</v>
      </c>
      <c r="AE310" s="235"/>
      <c r="AF310" s="59"/>
    </row>
    <row r="311" spans="1:32" x14ac:dyDescent="0.3">
      <c r="A311" s="39">
        <v>6</v>
      </c>
      <c r="B311" s="41" t="s">
        <v>612</v>
      </c>
      <c r="C311" s="50" t="s">
        <v>1443</v>
      </c>
      <c r="E311" s="50" t="s">
        <v>25</v>
      </c>
      <c r="F311" s="51" t="s">
        <v>25</v>
      </c>
      <c r="G311" s="50" t="s">
        <v>866</v>
      </c>
      <c r="H311" s="59">
        <v>0</v>
      </c>
      <c r="I311" s="59">
        <v>0</v>
      </c>
      <c r="J311" s="59">
        <v>0</v>
      </c>
      <c r="K311" s="59">
        <v>0</v>
      </c>
      <c r="L311" s="59">
        <v>0</v>
      </c>
      <c r="M311" s="59">
        <v>0</v>
      </c>
      <c r="N311" s="59">
        <v>0</v>
      </c>
      <c r="O311" s="59">
        <f t="shared" si="32"/>
        <v>0</v>
      </c>
      <c r="P311" s="59">
        <v>0</v>
      </c>
      <c r="Q311" s="59">
        <v>0</v>
      </c>
      <c r="R311" s="59">
        <v>0</v>
      </c>
      <c r="S311" s="59">
        <v>0</v>
      </c>
      <c r="T311" s="59">
        <v>0</v>
      </c>
      <c r="U311" s="59">
        <v>0</v>
      </c>
      <c r="V311" s="59">
        <v>0</v>
      </c>
      <c r="W311" s="59">
        <f t="shared" si="24"/>
        <v>0</v>
      </c>
      <c r="X311" s="59">
        <f t="shared" si="33"/>
        <v>0</v>
      </c>
      <c r="Y311" s="59">
        <f t="shared" si="30"/>
        <v>0</v>
      </c>
      <c r="Z311" s="59">
        <v>0</v>
      </c>
      <c r="AA311" s="59">
        <f t="shared" si="31"/>
        <v>0</v>
      </c>
      <c r="AB311" s="59">
        <f t="shared" si="27"/>
        <v>0</v>
      </c>
      <c r="AD311" s="59" t="s">
        <v>1533</v>
      </c>
      <c r="AE311" s="235"/>
      <c r="AF311" s="59"/>
    </row>
    <row r="312" spans="1:32" x14ac:dyDescent="0.3">
      <c r="A312" s="39">
        <v>6</v>
      </c>
      <c r="B312" s="41" t="s">
        <v>620</v>
      </c>
      <c r="C312" s="50" t="s">
        <v>571</v>
      </c>
      <c r="D312" s="50" t="s">
        <v>974</v>
      </c>
      <c r="E312" s="50" t="s">
        <v>25</v>
      </c>
      <c r="F312" s="51" t="s">
        <v>25</v>
      </c>
      <c r="G312" s="50" t="s">
        <v>737</v>
      </c>
      <c r="H312" s="59">
        <v>0</v>
      </c>
      <c r="I312" s="59">
        <v>0</v>
      </c>
      <c r="J312" s="59">
        <v>0</v>
      </c>
      <c r="K312" s="59">
        <v>0</v>
      </c>
      <c r="L312" s="59">
        <v>0</v>
      </c>
      <c r="M312" s="59">
        <v>0</v>
      </c>
      <c r="N312" s="59">
        <v>0</v>
      </c>
      <c r="O312" s="59">
        <f t="shared" si="32"/>
        <v>0</v>
      </c>
      <c r="P312" s="59">
        <v>0</v>
      </c>
      <c r="Q312" s="59">
        <v>0</v>
      </c>
      <c r="R312" s="59">
        <v>0</v>
      </c>
      <c r="S312" s="59">
        <v>0</v>
      </c>
      <c r="T312" s="59">
        <v>-700</v>
      </c>
      <c r="U312" s="59">
        <v>0</v>
      </c>
      <c r="V312" s="59">
        <v>0</v>
      </c>
      <c r="W312" s="59">
        <f t="shared" si="24"/>
        <v>-700</v>
      </c>
      <c r="X312" s="59">
        <f t="shared" si="33"/>
        <v>0</v>
      </c>
      <c r="Y312" s="59">
        <f t="shared" si="30"/>
        <v>-700</v>
      </c>
      <c r="Z312" s="59">
        <v>700</v>
      </c>
      <c r="AA312" s="59">
        <f t="shared" si="31"/>
        <v>0</v>
      </c>
      <c r="AB312" s="59">
        <f t="shared" si="27"/>
        <v>700</v>
      </c>
      <c r="AD312" s="59" t="s">
        <v>1534</v>
      </c>
      <c r="AE312" s="235"/>
      <c r="AF312" s="59"/>
    </row>
    <row r="313" spans="1:32" x14ac:dyDescent="0.3">
      <c r="A313" s="39">
        <v>6</v>
      </c>
      <c r="B313" s="41" t="s">
        <v>1056</v>
      </c>
      <c r="C313" s="50" t="s">
        <v>760</v>
      </c>
      <c r="D313" s="50" t="s">
        <v>1239</v>
      </c>
      <c r="E313" s="50" t="s">
        <v>25</v>
      </c>
      <c r="F313" s="144" t="s">
        <v>25</v>
      </c>
      <c r="G313" s="50" t="s">
        <v>866</v>
      </c>
      <c r="H313" s="59">
        <v>2473.52</v>
      </c>
      <c r="I313" s="59">
        <v>0</v>
      </c>
      <c r="J313" s="59">
        <v>-28.8</v>
      </c>
      <c r="K313" s="59">
        <v>0</v>
      </c>
      <c r="L313" s="59">
        <v>0</v>
      </c>
      <c r="M313" s="59">
        <v>0</v>
      </c>
      <c r="N313" s="59">
        <v>0</v>
      </c>
      <c r="O313" s="59">
        <f t="shared" si="32"/>
        <v>2444.7199999999998</v>
      </c>
      <c r="P313" s="59">
        <v>-2445</v>
      </c>
      <c r="Q313" s="59">
        <v>0</v>
      </c>
      <c r="R313" s="59">
        <v>0</v>
      </c>
      <c r="S313" s="59">
        <v>0</v>
      </c>
      <c r="T313" s="59">
        <v>0</v>
      </c>
      <c r="U313" s="59">
        <v>0</v>
      </c>
      <c r="V313" s="59">
        <v>0</v>
      </c>
      <c r="W313" s="59">
        <f t="shared" si="24"/>
        <v>-0.28000000000020009</v>
      </c>
      <c r="X313" s="59">
        <f t="shared" si="33"/>
        <v>0</v>
      </c>
      <c r="Y313" s="59">
        <f t="shared" si="30"/>
        <v>-0.28000000000020009</v>
      </c>
      <c r="Z313" s="59">
        <v>0</v>
      </c>
      <c r="AA313" s="59">
        <f t="shared" si="31"/>
        <v>-0.28000000000020009</v>
      </c>
      <c r="AB313" s="59">
        <f t="shared" si="27"/>
        <v>2444.4399999999996</v>
      </c>
      <c r="AD313" s="59"/>
      <c r="AE313" s="235"/>
      <c r="AF313" s="59"/>
    </row>
    <row r="314" spans="1:32" x14ac:dyDescent="0.3">
      <c r="A314" s="39">
        <v>6</v>
      </c>
      <c r="B314" s="41" t="s">
        <v>1153</v>
      </c>
      <c r="C314" s="50" t="s">
        <v>1328</v>
      </c>
      <c r="D314" s="50" t="s">
        <v>912</v>
      </c>
      <c r="E314" s="50" t="s">
        <v>25</v>
      </c>
      <c r="F314" s="51" t="s">
        <v>25</v>
      </c>
      <c r="G314" s="50" t="s">
        <v>866</v>
      </c>
      <c r="H314" s="59">
        <v>2805.07</v>
      </c>
      <c r="I314" s="59">
        <v>-185.25</v>
      </c>
      <c r="J314" s="59">
        <v>0</v>
      </c>
      <c r="K314" s="59">
        <v>0</v>
      </c>
      <c r="L314" s="59">
        <v>0</v>
      </c>
      <c r="M314" s="59">
        <v>-15</v>
      </c>
      <c r="N314" s="59">
        <v>0</v>
      </c>
      <c r="O314" s="59">
        <f t="shared" si="32"/>
        <v>2604.8200000000002</v>
      </c>
      <c r="P314" s="59">
        <v>-2700</v>
      </c>
      <c r="Q314" s="59">
        <v>0</v>
      </c>
      <c r="R314" s="59">
        <v>-500</v>
      </c>
      <c r="S314" s="59">
        <v>0</v>
      </c>
      <c r="T314" s="59">
        <v>0</v>
      </c>
      <c r="U314" s="59">
        <v>0</v>
      </c>
      <c r="V314" s="59">
        <v>0</v>
      </c>
      <c r="W314" s="59">
        <f t="shared" si="24"/>
        <v>-595.17999999999984</v>
      </c>
      <c r="X314" s="59">
        <f t="shared" si="33"/>
        <v>0</v>
      </c>
      <c r="Y314" s="59">
        <f t="shared" si="30"/>
        <v>-595.17999999999984</v>
      </c>
      <c r="Z314" s="59">
        <v>238</v>
      </c>
      <c r="AA314" s="59">
        <f t="shared" si="31"/>
        <v>-357.17999999999984</v>
      </c>
      <c r="AB314" s="59">
        <f t="shared" si="27"/>
        <v>2485.6400000000003</v>
      </c>
      <c r="AD314" s="59" t="s">
        <v>1535</v>
      </c>
      <c r="AE314" s="235"/>
      <c r="AF314" s="59"/>
    </row>
    <row r="315" spans="1:32" x14ac:dyDescent="0.3">
      <c r="A315" s="39">
        <v>6</v>
      </c>
      <c r="B315" s="41" t="s">
        <v>1487</v>
      </c>
      <c r="C315" s="50" t="s">
        <v>347</v>
      </c>
      <c r="E315" s="50" t="s">
        <v>25</v>
      </c>
      <c r="F315" s="51" t="s">
        <v>25</v>
      </c>
      <c r="G315" s="50" t="s">
        <v>866</v>
      </c>
      <c r="H315" s="59">
        <v>3310.63</v>
      </c>
      <c r="I315" s="59">
        <v>-1735.8600000000001</v>
      </c>
      <c r="J315" s="59">
        <v>0</v>
      </c>
      <c r="K315" s="59">
        <v>0</v>
      </c>
      <c r="L315" s="59">
        <v>0</v>
      </c>
      <c r="M315" s="59">
        <v>-98</v>
      </c>
      <c r="N315" s="59">
        <v>-80</v>
      </c>
      <c r="O315" s="59">
        <f t="shared" si="32"/>
        <v>1396.77</v>
      </c>
      <c r="P315" s="59">
        <v>-2500</v>
      </c>
      <c r="Q315" s="59">
        <f>-882*1.12</f>
        <v>-987.84000000000015</v>
      </c>
      <c r="R315" s="59">
        <v>-500</v>
      </c>
      <c r="S315" s="59">
        <v>0</v>
      </c>
      <c r="T315" s="59">
        <v>0</v>
      </c>
      <c r="U315" s="59">
        <v>0</v>
      </c>
      <c r="V315" s="59">
        <v>0</v>
      </c>
      <c r="W315" s="59">
        <f t="shared" si="24"/>
        <v>-2591.0700000000002</v>
      </c>
      <c r="X315" s="59">
        <f t="shared" si="33"/>
        <v>0</v>
      </c>
      <c r="Y315" s="59">
        <f t="shared" si="30"/>
        <v>-2591.0700000000002</v>
      </c>
      <c r="Z315" s="59">
        <v>0</v>
      </c>
      <c r="AA315" s="59">
        <f t="shared" si="31"/>
        <v>-2591.0700000000002</v>
      </c>
      <c r="AB315" s="59">
        <f t="shared" si="27"/>
        <v>-1194.3000000000002</v>
      </c>
      <c r="AD315" s="59" t="s">
        <v>1517</v>
      </c>
      <c r="AE315" s="235"/>
      <c r="AF315" s="59"/>
    </row>
    <row r="316" spans="1:32" x14ac:dyDescent="0.3">
      <c r="A316" s="39">
        <v>6</v>
      </c>
      <c r="B316" s="41" t="s">
        <v>1405</v>
      </c>
      <c r="C316" s="50" t="s">
        <v>1316</v>
      </c>
      <c r="D316" s="50" t="s">
        <v>1317</v>
      </c>
      <c r="E316" s="50" t="s">
        <v>25</v>
      </c>
      <c r="F316" s="51" t="s">
        <v>25</v>
      </c>
      <c r="G316" s="50" t="s">
        <v>737</v>
      </c>
      <c r="H316" s="59">
        <v>0</v>
      </c>
      <c r="I316" s="59">
        <v>0</v>
      </c>
      <c r="J316" s="59">
        <v>0</v>
      </c>
      <c r="K316" s="59">
        <v>0</v>
      </c>
      <c r="L316" s="59">
        <v>0</v>
      </c>
      <c r="M316" s="59">
        <v>0</v>
      </c>
      <c r="N316" s="59">
        <v>0</v>
      </c>
      <c r="O316" s="59">
        <f t="shared" si="32"/>
        <v>0</v>
      </c>
      <c r="P316" s="59">
        <v>-2700</v>
      </c>
      <c r="Q316" s="59">
        <f>-1200*1.12</f>
        <v>-1344.0000000000002</v>
      </c>
      <c r="R316" s="59">
        <v>-500</v>
      </c>
      <c r="S316" s="59">
        <v>0</v>
      </c>
      <c r="T316" s="59">
        <v>0</v>
      </c>
      <c r="U316" s="59">
        <v>0</v>
      </c>
      <c r="V316" s="59">
        <v>0</v>
      </c>
      <c r="W316" s="59">
        <f t="shared" si="24"/>
        <v>-4544</v>
      </c>
      <c r="X316" s="59">
        <f t="shared" si="33"/>
        <v>0</v>
      </c>
      <c r="Y316" s="59">
        <f t="shared" si="30"/>
        <v>-4544</v>
      </c>
      <c r="Z316" s="59">
        <f>2000+1000+1300+244</f>
        <v>4544</v>
      </c>
      <c r="AA316" s="59">
        <f t="shared" si="31"/>
        <v>0</v>
      </c>
      <c r="AB316" s="59">
        <f t="shared" si="27"/>
        <v>4544</v>
      </c>
      <c r="AD316" s="59" t="s">
        <v>1536</v>
      </c>
      <c r="AE316" s="235"/>
      <c r="AF316" s="59"/>
    </row>
    <row r="317" spans="1:32" x14ac:dyDescent="0.3">
      <c r="A317" s="39">
        <v>6</v>
      </c>
      <c r="B317" s="41" t="s">
        <v>872</v>
      </c>
      <c r="C317" s="50" t="s">
        <v>256</v>
      </c>
      <c r="D317" s="50" t="s">
        <v>997</v>
      </c>
      <c r="E317" s="50" t="s">
        <v>871</v>
      </c>
      <c r="F317" s="51" t="s">
        <v>39</v>
      </c>
      <c r="G317" s="50" t="s">
        <v>866</v>
      </c>
      <c r="H317" s="59">
        <v>10768.41</v>
      </c>
      <c r="I317" s="59">
        <v>-5443.9</v>
      </c>
      <c r="J317" s="59">
        <v>-108</v>
      </c>
      <c r="K317" s="59">
        <v>0</v>
      </c>
      <c r="L317" s="59">
        <v>-118.13</v>
      </c>
      <c r="M317" s="59">
        <f>-191</f>
        <v>-191</v>
      </c>
      <c r="N317" s="59">
        <v>-36</v>
      </c>
      <c r="O317" s="59">
        <f t="shared" si="32"/>
        <v>4871.38</v>
      </c>
      <c r="P317" s="59">
        <v>-2500</v>
      </c>
      <c r="Q317" s="59">
        <v>0</v>
      </c>
      <c r="R317" s="59">
        <v>0</v>
      </c>
      <c r="S317" s="59">
        <v>0</v>
      </c>
      <c r="T317" s="59">
        <v>0</v>
      </c>
      <c r="U317" s="59">
        <v>0</v>
      </c>
      <c r="V317" s="59">
        <v>0</v>
      </c>
      <c r="W317" s="59">
        <f t="shared" si="24"/>
        <v>2371.38</v>
      </c>
      <c r="X317" s="59">
        <f t="shared" si="33"/>
        <v>2371.38</v>
      </c>
      <c r="Y317" s="59">
        <f t="shared" si="30"/>
        <v>0</v>
      </c>
      <c r="Z317" s="59">
        <v>0</v>
      </c>
      <c r="AA317" s="59">
        <f t="shared" si="31"/>
        <v>0</v>
      </c>
      <c r="AB317" s="59">
        <f t="shared" si="27"/>
        <v>2500</v>
      </c>
      <c r="AD317" s="59"/>
      <c r="AE317" s="235"/>
      <c r="AF317" s="59"/>
    </row>
    <row r="318" spans="1:32" x14ac:dyDescent="0.3">
      <c r="A318" s="39">
        <v>6</v>
      </c>
      <c r="B318" s="41" t="s">
        <v>1314</v>
      </c>
      <c r="C318" s="50" t="s">
        <v>334</v>
      </c>
      <c r="D318" s="50" t="s">
        <v>1169</v>
      </c>
      <c r="E318" s="50" t="s">
        <v>25</v>
      </c>
      <c r="F318" s="51" t="s">
        <v>25</v>
      </c>
      <c r="G318" s="50" t="s">
        <v>866</v>
      </c>
      <c r="H318" s="59">
        <v>6439.1</v>
      </c>
      <c r="I318" s="59">
        <v>-1588.8800000000006</v>
      </c>
      <c r="J318" s="59">
        <v>0</v>
      </c>
      <c r="K318" s="59">
        <v>0</v>
      </c>
      <c r="L318" s="59">
        <v>0</v>
      </c>
      <c r="M318" s="59">
        <v>-98</v>
      </c>
      <c r="N318" s="59">
        <v>0</v>
      </c>
      <c r="O318" s="59">
        <f t="shared" si="32"/>
        <v>4752.2199999999993</v>
      </c>
      <c r="P318" s="59">
        <v>-2500</v>
      </c>
      <c r="Q318" s="59">
        <f>-1125*1.12</f>
        <v>-1260.0000000000002</v>
      </c>
      <c r="R318" s="59">
        <v>-500</v>
      </c>
      <c r="S318" s="59">
        <v>0</v>
      </c>
      <c r="T318" s="59">
        <v>0</v>
      </c>
      <c r="U318" s="59">
        <v>0</v>
      </c>
      <c r="V318" s="59">
        <v>0</v>
      </c>
      <c r="W318" s="59">
        <f t="shared" si="24"/>
        <v>492.21999999999912</v>
      </c>
      <c r="X318" s="59">
        <f t="shared" si="33"/>
        <v>492.21999999999912</v>
      </c>
      <c r="Y318" s="59">
        <f t="shared" si="30"/>
        <v>0</v>
      </c>
      <c r="Z318" s="59">
        <v>0</v>
      </c>
      <c r="AA318" s="59">
        <f t="shared" si="31"/>
        <v>0</v>
      </c>
      <c r="AB318" s="59">
        <f t="shared" si="27"/>
        <v>4260</v>
      </c>
      <c r="AD318" s="59"/>
      <c r="AE318" s="235"/>
      <c r="AF318" s="59"/>
    </row>
    <row r="319" spans="1:32" x14ac:dyDescent="0.3">
      <c r="A319" s="39">
        <v>6</v>
      </c>
      <c r="B319" s="41" t="s">
        <v>874</v>
      </c>
      <c r="C319" s="50" t="s">
        <v>100</v>
      </c>
      <c r="D319" s="50" t="s">
        <v>1300</v>
      </c>
      <c r="E319" s="50" t="s">
        <v>25</v>
      </c>
      <c r="F319" s="51" t="s">
        <v>25</v>
      </c>
      <c r="G319" s="50" t="s">
        <v>737</v>
      </c>
      <c r="H319" s="59">
        <v>0</v>
      </c>
      <c r="I319" s="59">
        <v>0</v>
      </c>
      <c r="J319" s="59">
        <v>0</v>
      </c>
      <c r="K319" s="59">
        <v>0</v>
      </c>
      <c r="L319" s="59">
        <v>0</v>
      </c>
      <c r="M319" s="59">
        <v>0</v>
      </c>
      <c r="N319" s="59">
        <v>0</v>
      </c>
      <c r="O319" s="59">
        <f t="shared" si="32"/>
        <v>0</v>
      </c>
      <c r="P319" s="59">
        <v>-2500</v>
      </c>
      <c r="Q319" s="59">
        <v>0</v>
      </c>
      <c r="R319" s="59">
        <v>0</v>
      </c>
      <c r="S319" s="59">
        <v>0</v>
      </c>
      <c r="T319" s="59">
        <v>0</v>
      </c>
      <c r="U319" s="59">
        <v>0</v>
      </c>
      <c r="V319" s="59">
        <v>0</v>
      </c>
      <c r="W319" s="59">
        <f t="shared" si="24"/>
        <v>-2500</v>
      </c>
      <c r="X319" s="59">
        <f t="shared" si="33"/>
        <v>0</v>
      </c>
      <c r="Y319" s="59">
        <f t="shared" si="30"/>
        <v>-2500</v>
      </c>
      <c r="Z319" s="59">
        <v>2500</v>
      </c>
      <c r="AA319" s="59">
        <f t="shared" si="31"/>
        <v>0</v>
      </c>
      <c r="AB319" s="59">
        <f t="shared" si="27"/>
        <v>2500</v>
      </c>
      <c r="AD319" s="59" t="s">
        <v>1525</v>
      </c>
      <c r="AE319" s="235"/>
      <c r="AF319" s="59"/>
    </row>
    <row r="320" spans="1:32" x14ac:dyDescent="0.3">
      <c r="A320" s="39">
        <v>6</v>
      </c>
      <c r="B320" s="41" t="s">
        <v>1157</v>
      </c>
      <c r="C320" s="50" t="s">
        <v>1265</v>
      </c>
      <c r="D320" s="50" t="s">
        <v>912</v>
      </c>
      <c r="E320" s="50" t="s">
        <v>25</v>
      </c>
      <c r="F320" s="51" t="s">
        <v>25</v>
      </c>
      <c r="G320" s="50" t="s">
        <v>866</v>
      </c>
      <c r="H320" s="59">
        <v>10373.81</v>
      </c>
      <c r="I320" s="59">
        <v>-5315.5499999999993</v>
      </c>
      <c r="J320" s="59">
        <v>-124.80000000000001</v>
      </c>
      <c r="K320" s="59">
        <v>0</v>
      </c>
      <c r="L320" s="59">
        <v>0</v>
      </c>
      <c r="M320" s="59">
        <v>-200</v>
      </c>
      <c r="N320" s="59">
        <v>0</v>
      </c>
      <c r="O320" s="59">
        <f t="shared" si="32"/>
        <v>4733.46</v>
      </c>
      <c r="P320" s="59">
        <v>-2700</v>
      </c>
      <c r="Q320" s="59">
        <v>0</v>
      </c>
      <c r="R320" s="59">
        <v>357</v>
      </c>
      <c r="S320" s="59">
        <v>0</v>
      </c>
      <c r="T320" s="59">
        <v>0</v>
      </c>
      <c r="U320" s="59">
        <v>0</v>
      </c>
      <c r="V320" s="59">
        <v>0</v>
      </c>
      <c r="W320" s="59">
        <f t="shared" si="24"/>
        <v>2390.46</v>
      </c>
      <c r="X320" s="59">
        <f t="shared" si="33"/>
        <v>2390.46</v>
      </c>
      <c r="Y320" s="59">
        <f t="shared" si="30"/>
        <v>0</v>
      </c>
      <c r="Z320" s="59">
        <v>0</v>
      </c>
      <c r="AA320" s="59">
        <f t="shared" si="31"/>
        <v>0</v>
      </c>
      <c r="AB320" s="59">
        <f t="shared" si="27"/>
        <v>2343</v>
      </c>
      <c r="AD320" s="59" t="s">
        <v>1537</v>
      </c>
      <c r="AE320" s="235"/>
      <c r="AF320" s="59"/>
    </row>
    <row r="321" spans="1:32" x14ac:dyDescent="0.3">
      <c r="A321" s="39">
        <v>6</v>
      </c>
      <c r="B321" s="41" t="s">
        <v>1312</v>
      </c>
      <c r="C321" s="50" t="s">
        <v>1439</v>
      </c>
      <c r="E321" s="50" t="s">
        <v>25</v>
      </c>
      <c r="F321" s="51" t="s">
        <v>25</v>
      </c>
      <c r="G321" s="50" t="s">
        <v>866</v>
      </c>
      <c r="H321" s="59">
        <v>2805.06</v>
      </c>
      <c r="I321" s="59">
        <v>0</v>
      </c>
      <c r="J321" s="59">
        <v>0</v>
      </c>
      <c r="K321" s="59">
        <v>0</v>
      </c>
      <c r="L321" s="59">
        <v>0</v>
      </c>
      <c r="M321" s="59">
        <v>-5</v>
      </c>
      <c r="N321" s="59">
        <v>0</v>
      </c>
      <c r="O321" s="59">
        <f t="shared" si="32"/>
        <v>2800.06</v>
      </c>
      <c r="P321" s="59">
        <v>-2700</v>
      </c>
      <c r="Q321" s="59">
        <v>0</v>
      </c>
      <c r="R321" s="59">
        <v>-500</v>
      </c>
      <c r="S321" s="59">
        <v>0</v>
      </c>
      <c r="T321" s="59">
        <v>0</v>
      </c>
      <c r="U321" s="59">
        <v>0</v>
      </c>
      <c r="V321" s="59">
        <v>0</v>
      </c>
      <c r="W321" s="59">
        <f t="shared" si="24"/>
        <v>-399.94000000000005</v>
      </c>
      <c r="X321" s="59">
        <f t="shared" si="33"/>
        <v>0</v>
      </c>
      <c r="Y321" s="59">
        <f t="shared" si="30"/>
        <v>-399.94000000000005</v>
      </c>
      <c r="Z321" s="59">
        <v>400</v>
      </c>
      <c r="AA321" s="59">
        <f t="shared" si="31"/>
        <v>5.999999999994543E-2</v>
      </c>
      <c r="AB321" s="59">
        <f t="shared" si="27"/>
        <v>3200.12</v>
      </c>
      <c r="AD321" s="59" t="s">
        <v>1538</v>
      </c>
      <c r="AE321" s="235"/>
      <c r="AF321" s="59"/>
    </row>
    <row r="322" spans="1:32" x14ac:dyDescent="0.3">
      <c r="A322" s="39">
        <v>6</v>
      </c>
      <c r="B322" s="41" t="s">
        <v>484</v>
      </c>
      <c r="C322" s="50" t="s">
        <v>1065</v>
      </c>
      <c r="D322" s="50" t="s">
        <v>1159</v>
      </c>
      <c r="E322" s="50" t="s">
        <v>25</v>
      </c>
      <c r="F322" s="51" t="s">
        <v>25</v>
      </c>
      <c r="G322" s="50" t="s">
        <v>866</v>
      </c>
      <c r="H322" s="59">
        <v>7565.14</v>
      </c>
      <c r="I322" s="59">
        <v>-3977.7099999999996</v>
      </c>
      <c r="J322" s="59">
        <v>-124.80000000000001</v>
      </c>
      <c r="K322" s="59">
        <v>0</v>
      </c>
      <c r="L322" s="59">
        <v>0</v>
      </c>
      <c r="M322" s="59">
        <v>-180</v>
      </c>
      <c r="N322" s="59">
        <v>0</v>
      </c>
      <c r="O322" s="59">
        <f t="shared" si="32"/>
        <v>3282.6300000000006</v>
      </c>
      <c r="P322" s="59">
        <v>-2500</v>
      </c>
      <c r="Q322" s="59">
        <v>0</v>
      </c>
      <c r="R322" s="59">
        <v>0</v>
      </c>
      <c r="S322" s="59">
        <v>0</v>
      </c>
      <c r="T322" s="59">
        <v>0</v>
      </c>
      <c r="U322" s="59">
        <v>0</v>
      </c>
      <c r="V322" s="59">
        <v>0</v>
      </c>
      <c r="W322" s="59">
        <f t="shared" ref="W322:W385" si="34">SUM(O322:V322)</f>
        <v>782.63000000000056</v>
      </c>
      <c r="X322" s="59">
        <f t="shared" si="33"/>
        <v>782.63000000000056</v>
      </c>
      <c r="Y322" s="59">
        <f t="shared" si="30"/>
        <v>0</v>
      </c>
      <c r="Z322" s="59">
        <v>0</v>
      </c>
      <c r="AA322" s="59">
        <f t="shared" si="31"/>
        <v>0</v>
      </c>
      <c r="AB322" s="59">
        <f t="shared" ref="AB322:AB385" si="35">+O322-X322+Z322+AA322</f>
        <v>2500</v>
      </c>
      <c r="AD322" s="59"/>
      <c r="AE322" s="235"/>
      <c r="AF322" s="59"/>
    </row>
    <row r="323" spans="1:32" x14ac:dyDescent="0.3">
      <c r="A323" s="39">
        <v>6</v>
      </c>
      <c r="B323" s="41" t="s">
        <v>1432</v>
      </c>
      <c r="C323" s="50" t="s">
        <v>183</v>
      </c>
      <c r="E323" s="50" t="s">
        <v>25</v>
      </c>
      <c r="F323" s="51" t="s">
        <v>25</v>
      </c>
      <c r="G323" s="50" t="s">
        <v>866</v>
      </c>
      <c r="H323" s="59">
        <v>0</v>
      </c>
      <c r="I323" s="59">
        <v>0</v>
      </c>
      <c r="J323" s="59">
        <v>0</v>
      </c>
      <c r="K323" s="59">
        <v>0</v>
      </c>
      <c r="L323" s="59">
        <v>0</v>
      </c>
      <c r="M323" s="59">
        <v>0</v>
      </c>
      <c r="N323" s="59">
        <v>0</v>
      </c>
      <c r="O323" s="59">
        <f t="shared" si="32"/>
        <v>0</v>
      </c>
      <c r="P323" s="59">
        <v>-2500</v>
      </c>
      <c r="Q323" s="59">
        <v>0</v>
      </c>
      <c r="R323" s="59">
        <v>-500</v>
      </c>
      <c r="S323" s="59">
        <v>0</v>
      </c>
      <c r="T323" s="59">
        <v>0</v>
      </c>
      <c r="U323" s="59">
        <v>0</v>
      </c>
      <c r="V323" s="59">
        <v>0</v>
      </c>
      <c r="W323" s="59">
        <f t="shared" si="34"/>
        <v>-3000</v>
      </c>
      <c r="X323" s="59">
        <f t="shared" si="33"/>
        <v>0</v>
      </c>
      <c r="Y323" s="59">
        <f t="shared" si="30"/>
        <v>-3000</v>
      </c>
      <c r="Z323" s="59">
        <f>2900+100</f>
        <v>3000</v>
      </c>
      <c r="AA323" s="59">
        <f t="shared" si="31"/>
        <v>0</v>
      </c>
      <c r="AB323" s="59">
        <f t="shared" si="35"/>
        <v>3000</v>
      </c>
      <c r="AD323" s="59" t="s">
        <v>1539</v>
      </c>
      <c r="AE323" s="235"/>
      <c r="AF323" s="59"/>
    </row>
    <row r="324" spans="1:32" x14ac:dyDescent="0.3">
      <c r="A324" s="39">
        <v>6</v>
      </c>
      <c r="B324" s="41" t="s">
        <v>747</v>
      </c>
      <c r="C324" s="50" t="s">
        <v>1586</v>
      </c>
      <c r="E324" s="50" t="s">
        <v>25</v>
      </c>
      <c r="F324" s="51" t="s">
        <v>25</v>
      </c>
      <c r="G324" s="50" t="s">
        <v>866</v>
      </c>
      <c r="H324" s="59">
        <v>1014.82</v>
      </c>
      <c r="I324" s="59">
        <v>0</v>
      </c>
      <c r="J324" s="59">
        <v>-7.88</v>
      </c>
      <c r="K324" s="59">
        <v>57.13</v>
      </c>
      <c r="L324" s="59">
        <v>0</v>
      </c>
      <c r="M324" s="59">
        <v>-5</v>
      </c>
      <c r="N324" s="59">
        <v>0</v>
      </c>
      <c r="O324" s="59">
        <f t="shared" si="32"/>
        <v>1059.0700000000002</v>
      </c>
      <c r="P324" s="59">
        <v>-2700</v>
      </c>
      <c r="Q324" s="59">
        <f>-362*1.12</f>
        <v>-405.44000000000005</v>
      </c>
      <c r="R324" s="59">
        <v>-500</v>
      </c>
      <c r="S324" s="59">
        <v>0</v>
      </c>
      <c r="T324" s="59">
        <v>0</v>
      </c>
      <c r="U324" s="59">
        <v>0</v>
      </c>
      <c r="V324" s="59">
        <v>0</v>
      </c>
      <c r="W324" s="59">
        <f t="shared" si="34"/>
        <v>-2546.37</v>
      </c>
      <c r="X324" s="59">
        <f t="shared" si="33"/>
        <v>0</v>
      </c>
      <c r="Y324" s="59">
        <f t="shared" si="30"/>
        <v>-2546.37</v>
      </c>
      <c r="Z324" s="59">
        <f>1000+1300+246</f>
        <v>2546</v>
      </c>
      <c r="AA324" s="59">
        <f t="shared" si="31"/>
        <v>-0.36999999999989086</v>
      </c>
      <c r="AB324" s="59">
        <f t="shared" si="35"/>
        <v>3604.7000000000003</v>
      </c>
      <c r="AD324" s="59" t="s">
        <v>1540</v>
      </c>
      <c r="AE324" s="235"/>
      <c r="AF324" s="59"/>
    </row>
    <row r="325" spans="1:32" x14ac:dyDescent="0.3">
      <c r="A325" s="39">
        <v>6</v>
      </c>
      <c r="B325" s="41" t="s">
        <v>1244</v>
      </c>
      <c r="C325" s="50" t="s">
        <v>1429</v>
      </c>
      <c r="E325" s="50" t="s">
        <v>25</v>
      </c>
      <c r="F325" s="51" t="s">
        <v>25</v>
      </c>
      <c r="G325" s="50" t="s">
        <v>866</v>
      </c>
      <c r="H325" s="59">
        <v>7435.78</v>
      </c>
      <c r="I325" s="59">
        <v>-5725.5099999999975</v>
      </c>
      <c r="J325" s="59">
        <v>0</v>
      </c>
      <c r="K325" s="59">
        <v>0</v>
      </c>
      <c r="L325" s="59">
        <v>0</v>
      </c>
      <c r="M325" s="59">
        <v>-200</v>
      </c>
      <c r="N325" s="59">
        <v>0</v>
      </c>
      <c r="O325" s="59">
        <f t="shared" si="32"/>
        <v>1510.2700000000023</v>
      </c>
      <c r="P325" s="59">
        <v>-2700</v>
      </c>
      <c r="Q325" s="59">
        <v>0</v>
      </c>
      <c r="R325" s="59">
        <v>-500</v>
      </c>
      <c r="S325" s="59">
        <v>0</v>
      </c>
      <c r="T325" s="59">
        <v>0</v>
      </c>
      <c r="U325" s="59">
        <v>0</v>
      </c>
      <c r="V325" s="59">
        <v>0</v>
      </c>
      <c r="W325" s="59">
        <f t="shared" si="34"/>
        <v>-1689.7299999999977</v>
      </c>
      <c r="X325" s="59">
        <f t="shared" si="33"/>
        <v>0</v>
      </c>
      <c r="Y325" s="59">
        <f t="shared" si="30"/>
        <v>-1689.7299999999977</v>
      </c>
      <c r="Z325" s="59">
        <f>700+700+250</f>
        <v>1650</v>
      </c>
      <c r="AA325" s="59">
        <f t="shared" si="31"/>
        <v>-39.729999999997744</v>
      </c>
      <c r="AB325" s="59">
        <f t="shared" si="35"/>
        <v>3120.5400000000045</v>
      </c>
      <c r="AD325" s="59" t="s">
        <v>1541</v>
      </c>
      <c r="AE325" s="235"/>
      <c r="AF325" s="59"/>
    </row>
    <row r="326" spans="1:32" x14ac:dyDescent="0.3">
      <c r="A326" s="39">
        <v>6</v>
      </c>
      <c r="B326" s="41" t="s">
        <v>1307</v>
      </c>
      <c r="C326" s="50" t="s">
        <v>150</v>
      </c>
      <c r="D326" s="50" t="s">
        <v>1308</v>
      </c>
      <c r="E326" s="50" t="s">
        <v>25</v>
      </c>
      <c r="F326" s="51" t="s">
        <v>25</v>
      </c>
      <c r="G326" s="50" t="s">
        <v>866</v>
      </c>
      <c r="H326" s="59">
        <v>3388.71</v>
      </c>
      <c r="I326" s="59">
        <v>-1677.8500000000008</v>
      </c>
      <c r="J326" s="59">
        <v>0</v>
      </c>
      <c r="K326" s="59">
        <v>0</v>
      </c>
      <c r="L326" s="59">
        <v>0</v>
      </c>
      <c r="M326" s="59">
        <v>-98</v>
      </c>
      <c r="N326" s="59">
        <v>0</v>
      </c>
      <c r="O326" s="59">
        <f t="shared" si="32"/>
        <v>1612.8599999999992</v>
      </c>
      <c r="P326" s="59">
        <v>-2500</v>
      </c>
      <c r="Q326" s="59">
        <v>0</v>
      </c>
      <c r="R326" s="59">
        <v>-500</v>
      </c>
      <c r="S326" s="59">
        <v>0</v>
      </c>
      <c r="T326" s="59">
        <v>0</v>
      </c>
      <c r="U326" s="59">
        <v>0</v>
      </c>
      <c r="V326" s="59">
        <v>0</v>
      </c>
      <c r="W326" s="59">
        <f t="shared" si="34"/>
        <v>-1387.1400000000008</v>
      </c>
      <c r="X326" s="59">
        <f t="shared" si="33"/>
        <v>0</v>
      </c>
      <c r="Y326" s="59">
        <f t="shared" si="30"/>
        <v>-1387.1400000000008</v>
      </c>
      <c r="Z326" s="59">
        <v>1387</v>
      </c>
      <c r="AA326" s="59">
        <f t="shared" si="31"/>
        <v>-0.14000000000078217</v>
      </c>
      <c r="AB326" s="59">
        <f t="shared" si="35"/>
        <v>2999.7199999999984</v>
      </c>
      <c r="AD326" s="59" t="s">
        <v>1542</v>
      </c>
      <c r="AE326" s="235"/>
      <c r="AF326" s="59"/>
    </row>
    <row r="327" spans="1:32" x14ac:dyDescent="0.3">
      <c r="A327" s="39">
        <v>6</v>
      </c>
      <c r="B327" s="41" t="s">
        <v>1425</v>
      </c>
      <c r="C327" s="50" t="s">
        <v>426</v>
      </c>
      <c r="E327" s="50" t="s">
        <v>25</v>
      </c>
      <c r="F327" s="51" t="s">
        <v>25</v>
      </c>
      <c r="G327" s="50" t="s">
        <v>866</v>
      </c>
      <c r="H327" s="59">
        <v>8611.85</v>
      </c>
      <c r="I327" s="59">
        <v>0</v>
      </c>
      <c r="J327" s="59">
        <v>-270.39999999999998</v>
      </c>
      <c r="K327" s="59">
        <v>0</v>
      </c>
      <c r="L327" s="59">
        <v>0</v>
      </c>
      <c r="M327" s="59">
        <f>-7.32-5</f>
        <v>-12.32</v>
      </c>
      <c r="N327" s="59">
        <v>-61</v>
      </c>
      <c r="O327" s="59">
        <f t="shared" si="32"/>
        <v>8268.130000000001</v>
      </c>
      <c r="P327" s="59">
        <v>-2500</v>
      </c>
      <c r="Q327" s="59">
        <v>0</v>
      </c>
      <c r="R327" s="59">
        <v>-500</v>
      </c>
      <c r="S327" s="59">
        <v>0</v>
      </c>
      <c r="T327" s="59">
        <v>0</v>
      </c>
      <c r="U327" s="59">
        <v>0</v>
      </c>
      <c r="V327" s="59">
        <v>0</v>
      </c>
      <c r="W327" s="59">
        <f t="shared" si="34"/>
        <v>5268.130000000001</v>
      </c>
      <c r="X327" s="59">
        <f t="shared" si="33"/>
        <v>5268.130000000001</v>
      </c>
      <c r="Y327" s="59">
        <f t="shared" si="30"/>
        <v>0</v>
      </c>
      <c r="Z327" s="59">
        <v>0</v>
      </c>
      <c r="AA327" s="59">
        <f t="shared" si="31"/>
        <v>0</v>
      </c>
      <c r="AB327" s="59">
        <f t="shared" si="35"/>
        <v>3000</v>
      </c>
      <c r="AD327" s="59"/>
      <c r="AE327" s="235"/>
      <c r="AF327" s="59"/>
    </row>
    <row r="328" spans="1:32" x14ac:dyDescent="0.3">
      <c r="A328" s="39">
        <v>6</v>
      </c>
      <c r="B328" s="41" t="s">
        <v>1423</v>
      </c>
      <c r="C328" s="50" t="s">
        <v>55</v>
      </c>
      <c r="E328" s="50" t="s">
        <v>25</v>
      </c>
      <c r="F328" s="51" t="s">
        <v>25</v>
      </c>
      <c r="G328" s="50" t="s">
        <v>866</v>
      </c>
      <c r="H328" s="59">
        <v>4008.6</v>
      </c>
      <c r="I328" s="59">
        <v>-2351.2200000000007</v>
      </c>
      <c r="J328" s="59">
        <v>0</v>
      </c>
      <c r="K328" s="59">
        <v>0</v>
      </c>
      <c r="L328" s="59">
        <v>0</v>
      </c>
      <c r="M328" s="59">
        <v>-180</v>
      </c>
      <c r="N328" s="59">
        <v>0</v>
      </c>
      <c r="O328" s="59">
        <f t="shared" si="32"/>
        <v>1477.3799999999992</v>
      </c>
      <c r="P328" s="59">
        <v>-2500</v>
      </c>
      <c r="Q328" s="59">
        <v>0</v>
      </c>
      <c r="R328" s="59">
        <v>-500</v>
      </c>
      <c r="S328" s="59">
        <v>0</v>
      </c>
      <c r="T328" s="59">
        <v>0</v>
      </c>
      <c r="U328" s="59">
        <v>0</v>
      </c>
      <c r="V328" s="59">
        <v>0</v>
      </c>
      <c r="W328" s="59">
        <f t="shared" si="34"/>
        <v>-1522.6200000000008</v>
      </c>
      <c r="X328" s="59">
        <f t="shared" si="33"/>
        <v>0</v>
      </c>
      <c r="Y328" s="59">
        <f t="shared" si="30"/>
        <v>-1522.6200000000008</v>
      </c>
      <c r="Z328" s="59">
        <v>1523</v>
      </c>
      <c r="AA328" s="59">
        <f t="shared" si="31"/>
        <v>0.37999999999919964</v>
      </c>
      <c r="AB328" s="59">
        <f t="shared" si="35"/>
        <v>3000.7599999999984</v>
      </c>
      <c r="AD328" s="59" t="s">
        <v>1543</v>
      </c>
      <c r="AE328" s="235"/>
      <c r="AF328" s="59"/>
    </row>
    <row r="329" spans="1:32" x14ac:dyDescent="0.3">
      <c r="A329" s="39">
        <v>6</v>
      </c>
      <c r="B329" s="41" t="s">
        <v>922</v>
      </c>
      <c r="C329" s="50" t="s">
        <v>670</v>
      </c>
      <c r="D329" s="50" t="s">
        <v>1221</v>
      </c>
      <c r="E329" s="50" t="s">
        <v>25</v>
      </c>
      <c r="F329" s="51" t="s">
        <v>25</v>
      </c>
      <c r="G329" s="50" t="s">
        <v>737</v>
      </c>
      <c r="H329" s="59">
        <v>0</v>
      </c>
      <c r="I329" s="59">
        <v>0</v>
      </c>
      <c r="J329" s="59">
        <v>0</v>
      </c>
      <c r="K329" s="59">
        <v>0</v>
      </c>
      <c r="L329" s="59">
        <v>0</v>
      </c>
      <c r="M329" s="59">
        <v>0</v>
      </c>
      <c r="N329" s="59">
        <v>0</v>
      </c>
      <c r="O329" s="59">
        <f t="shared" si="32"/>
        <v>0</v>
      </c>
      <c r="P329" s="59">
        <v>-2500</v>
      </c>
      <c r="Q329" s="59">
        <f>-38*1.12</f>
        <v>-42.56</v>
      </c>
      <c r="R329" s="59">
        <v>0</v>
      </c>
      <c r="S329" s="59">
        <v>0</v>
      </c>
      <c r="T329" s="59">
        <v>0</v>
      </c>
      <c r="U329" s="59">
        <v>0</v>
      </c>
      <c r="V329" s="59">
        <v>0</v>
      </c>
      <c r="W329" s="59">
        <f t="shared" si="34"/>
        <v>-2542.56</v>
      </c>
      <c r="X329" s="59">
        <f t="shared" si="33"/>
        <v>0</v>
      </c>
      <c r="Y329" s="59">
        <f t="shared" si="30"/>
        <v>-2542.56</v>
      </c>
      <c r="Z329" s="59">
        <f>1200+1243+800</f>
        <v>3243</v>
      </c>
      <c r="AA329" s="59">
        <f t="shared" si="31"/>
        <v>700.44</v>
      </c>
      <c r="AB329" s="59">
        <f t="shared" si="35"/>
        <v>3943.44</v>
      </c>
      <c r="AD329" s="59" t="s">
        <v>1544</v>
      </c>
      <c r="AE329" s="235"/>
      <c r="AF329" s="59"/>
    </row>
    <row r="330" spans="1:32" x14ac:dyDescent="0.3">
      <c r="A330" s="39">
        <v>6</v>
      </c>
      <c r="B330" s="41" t="s">
        <v>922</v>
      </c>
      <c r="C330" s="50" t="s">
        <v>104</v>
      </c>
      <c r="D330" s="50" t="s">
        <v>1221</v>
      </c>
      <c r="E330" s="50" t="s">
        <v>25</v>
      </c>
      <c r="F330" s="51" t="s">
        <v>25</v>
      </c>
      <c r="G330" s="50" t="s">
        <v>737</v>
      </c>
      <c r="H330" s="59">
        <v>0</v>
      </c>
      <c r="I330" s="59">
        <v>0</v>
      </c>
      <c r="J330" s="59">
        <v>0</v>
      </c>
      <c r="K330" s="59">
        <v>0</v>
      </c>
      <c r="L330" s="59">
        <v>0</v>
      </c>
      <c r="M330" s="59">
        <v>0</v>
      </c>
      <c r="N330" s="59">
        <v>0</v>
      </c>
      <c r="O330" s="59">
        <f t="shared" si="32"/>
        <v>0</v>
      </c>
      <c r="P330" s="59">
        <v>0</v>
      </c>
      <c r="Q330" s="59">
        <v>0</v>
      </c>
      <c r="R330" s="59">
        <v>0</v>
      </c>
      <c r="S330" s="59">
        <v>0</v>
      </c>
      <c r="T330" s="59">
        <v>-500</v>
      </c>
      <c r="U330" s="59">
        <v>0</v>
      </c>
      <c r="V330" s="59">
        <v>0</v>
      </c>
      <c r="W330" s="59">
        <f t="shared" si="34"/>
        <v>-500</v>
      </c>
      <c r="X330" s="59">
        <f t="shared" si="33"/>
        <v>0</v>
      </c>
      <c r="Y330" s="59">
        <f t="shared" si="30"/>
        <v>-500</v>
      </c>
      <c r="Z330" s="59">
        <v>500</v>
      </c>
      <c r="AA330" s="59">
        <f t="shared" si="31"/>
        <v>0</v>
      </c>
      <c r="AB330" s="59">
        <f t="shared" si="35"/>
        <v>500</v>
      </c>
      <c r="AD330" s="59"/>
      <c r="AE330" s="235"/>
      <c r="AF330" s="59"/>
    </row>
    <row r="331" spans="1:32" x14ac:dyDescent="0.3">
      <c r="A331" s="39">
        <v>6</v>
      </c>
      <c r="B331" s="41" t="s">
        <v>1120</v>
      </c>
      <c r="C331" s="50" t="s">
        <v>1273</v>
      </c>
      <c r="D331" s="50" t="s">
        <v>912</v>
      </c>
      <c r="E331" s="50" t="s">
        <v>25</v>
      </c>
      <c r="F331" s="51" t="s">
        <v>25</v>
      </c>
      <c r="G331" s="50" t="s">
        <v>866</v>
      </c>
      <c r="H331" s="59">
        <v>4076.18</v>
      </c>
      <c r="I331" s="59">
        <v>-1617.44</v>
      </c>
      <c r="J331" s="59">
        <v>0</v>
      </c>
      <c r="K331" s="59">
        <v>744.06</v>
      </c>
      <c r="L331" s="59">
        <v>-54.380000000000017</v>
      </c>
      <c r="M331" s="59">
        <f>-17.1348-98</f>
        <v>-115.1348</v>
      </c>
      <c r="N331" s="59">
        <v>-142.79</v>
      </c>
      <c r="O331" s="59">
        <f t="shared" si="32"/>
        <v>2890.4951999999998</v>
      </c>
      <c r="P331" s="59">
        <v>-2700</v>
      </c>
      <c r="Q331" s="59">
        <v>0</v>
      </c>
      <c r="R331" s="59">
        <v>0</v>
      </c>
      <c r="S331" s="59">
        <v>0</v>
      </c>
      <c r="T331" s="59">
        <v>0</v>
      </c>
      <c r="U331" s="59">
        <v>0</v>
      </c>
      <c r="V331" s="59">
        <v>0</v>
      </c>
      <c r="W331" s="59">
        <f t="shared" si="34"/>
        <v>190.49519999999984</v>
      </c>
      <c r="X331" s="59">
        <f t="shared" si="33"/>
        <v>190.49519999999984</v>
      </c>
      <c r="Y331" s="59">
        <f t="shared" si="30"/>
        <v>0</v>
      </c>
      <c r="Z331" s="59">
        <v>0</v>
      </c>
      <c r="AA331" s="59">
        <f t="shared" si="31"/>
        <v>0</v>
      </c>
      <c r="AB331" s="59">
        <f t="shared" si="35"/>
        <v>2700</v>
      </c>
      <c r="AD331" s="59"/>
      <c r="AE331" s="235"/>
      <c r="AF331" s="59"/>
    </row>
    <row r="332" spans="1:32" x14ac:dyDescent="0.3">
      <c r="A332" s="39">
        <v>6</v>
      </c>
      <c r="B332" s="41" t="s">
        <v>515</v>
      </c>
      <c r="C332" s="50" t="s">
        <v>645</v>
      </c>
      <c r="D332" s="50" t="s">
        <v>1122</v>
      </c>
      <c r="E332" s="50" t="s">
        <v>25</v>
      </c>
      <c r="F332" s="51" t="s">
        <v>25</v>
      </c>
      <c r="G332" s="50" t="s">
        <v>866</v>
      </c>
      <c r="H332" s="59">
        <v>6482.85</v>
      </c>
      <c r="I332" s="59">
        <v>-512.12</v>
      </c>
      <c r="J332" s="59">
        <v>-35.200000000000003</v>
      </c>
      <c r="K332" s="59">
        <v>0</v>
      </c>
      <c r="L332" s="59">
        <v>0</v>
      </c>
      <c r="M332" s="59">
        <v>-75</v>
      </c>
      <c r="N332" s="59">
        <v>0</v>
      </c>
      <c r="O332" s="59">
        <f t="shared" si="32"/>
        <v>5860.5300000000007</v>
      </c>
      <c r="P332" s="59">
        <v>-2500</v>
      </c>
      <c r="Q332" s="59">
        <v>0</v>
      </c>
      <c r="R332" s="59">
        <v>0</v>
      </c>
      <c r="S332" s="59">
        <v>0</v>
      </c>
      <c r="T332" s="59">
        <v>0</v>
      </c>
      <c r="U332" s="59">
        <v>0</v>
      </c>
      <c r="V332" s="59">
        <v>0</v>
      </c>
      <c r="W332" s="59">
        <f t="shared" si="34"/>
        <v>3360.5300000000007</v>
      </c>
      <c r="X332" s="59">
        <f t="shared" si="33"/>
        <v>3360.5300000000007</v>
      </c>
      <c r="Y332" s="59">
        <f t="shared" si="30"/>
        <v>0</v>
      </c>
      <c r="Z332" s="59">
        <v>0</v>
      </c>
      <c r="AA332" s="59">
        <f t="shared" si="31"/>
        <v>0</v>
      </c>
      <c r="AB332" s="59">
        <f t="shared" si="35"/>
        <v>2500</v>
      </c>
      <c r="AD332" s="59"/>
      <c r="AE332" s="235"/>
      <c r="AF332" s="59"/>
    </row>
    <row r="333" spans="1:32" x14ac:dyDescent="0.3">
      <c r="A333" s="39">
        <v>6</v>
      </c>
      <c r="B333" s="41" t="s">
        <v>515</v>
      </c>
      <c r="C333" s="50" t="s">
        <v>110</v>
      </c>
      <c r="D333" s="50" t="s">
        <v>912</v>
      </c>
      <c r="E333" s="50" t="s">
        <v>25</v>
      </c>
      <c r="F333" s="51" t="s">
        <v>25</v>
      </c>
      <c r="G333" s="50" t="s">
        <v>866</v>
      </c>
      <c r="H333" s="59">
        <v>0</v>
      </c>
      <c r="I333" s="59">
        <v>0</v>
      </c>
      <c r="J333" s="59">
        <v>0</v>
      </c>
      <c r="K333" s="59">
        <v>0</v>
      </c>
      <c r="L333" s="59">
        <v>0</v>
      </c>
      <c r="M333" s="59">
        <v>0</v>
      </c>
      <c r="N333" s="59">
        <v>0</v>
      </c>
      <c r="O333" s="59">
        <f t="shared" si="32"/>
        <v>0</v>
      </c>
      <c r="P333" s="59">
        <v>0</v>
      </c>
      <c r="Q333" s="59">
        <v>0</v>
      </c>
      <c r="R333" s="59">
        <v>0</v>
      </c>
      <c r="S333" s="59">
        <v>0</v>
      </c>
      <c r="T333" s="59">
        <v>-700</v>
      </c>
      <c r="U333" s="59">
        <v>0</v>
      </c>
      <c r="V333" s="59">
        <v>0</v>
      </c>
      <c r="W333" s="59">
        <f t="shared" si="34"/>
        <v>-700</v>
      </c>
      <c r="X333" s="59">
        <f t="shared" si="33"/>
        <v>0</v>
      </c>
      <c r="Y333" s="59">
        <f t="shared" si="30"/>
        <v>-700</v>
      </c>
      <c r="Z333" s="59">
        <v>700</v>
      </c>
      <c r="AA333" s="59">
        <f t="shared" si="31"/>
        <v>0</v>
      </c>
      <c r="AB333" s="59">
        <f t="shared" si="35"/>
        <v>700</v>
      </c>
      <c r="AD333" s="59" t="s">
        <v>1545</v>
      </c>
      <c r="AE333" s="235"/>
      <c r="AF333" s="59"/>
    </row>
    <row r="334" spans="1:32" x14ac:dyDescent="0.3">
      <c r="A334" s="39">
        <v>6</v>
      </c>
      <c r="B334" s="41" t="s">
        <v>1418</v>
      </c>
      <c r="C334" s="50" t="s">
        <v>104</v>
      </c>
      <c r="D334" s="50" t="s">
        <v>1419</v>
      </c>
      <c r="E334" s="50" t="s">
        <v>25</v>
      </c>
      <c r="F334" s="51" t="s">
        <v>25</v>
      </c>
      <c r="G334" s="50" t="s">
        <v>866</v>
      </c>
      <c r="H334" s="59">
        <v>5118.72</v>
      </c>
      <c r="I334" s="59">
        <v>-2384.02</v>
      </c>
      <c r="J334" s="59">
        <v>0</v>
      </c>
      <c r="K334" s="59">
        <v>0</v>
      </c>
      <c r="L334" s="59">
        <v>0</v>
      </c>
      <c r="M334" s="59">
        <v>-180</v>
      </c>
      <c r="N334" s="59">
        <v>0</v>
      </c>
      <c r="O334" s="59">
        <f t="shared" si="32"/>
        <v>2554.7000000000003</v>
      </c>
      <c r="P334" s="59">
        <v>-2500</v>
      </c>
      <c r="Q334" s="59">
        <v>0</v>
      </c>
      <c r="R334" s="59">
        <v>-500</v>
      </c>
      <c r="S334" s="59">
        <v>0</v>
      </c>
      <c r="T334" s="59">
        <v>0</v>
      </c>
      <c r="U334" s="59">
        <v>0</v>
      </c>
      <c r="V334" s="59">
        <v>0</v>
      </c>
      <c r="W334" s="59">
        <f t="shared" si="34"/>
        <v>-445.29999999999973</v>
      </c>
      <c r="X334" s="59">
        <f t="shared" si="33"/>
        <v>0</v>
      </c>
      <c r="Y334" s="59">
        <f t="shared" si="30"/>
        <v>-445.29999999999973</v>
      </c>
      <c r="Z334" s="59">
        <v>445</v>
      </c>
      <c r="AA334" s="59">
        <f t="shared" si="31"/>
        <v>-0.29999999999972715</v>
      </c>
      <c r="AB334" s="59">
        <f t="shared" si="35"/>
        <v>2999.4000000000005</v>
      </c>
      <c r="AD334" s="59" t="s">
        <v>1546</v>
      </c>
      <c r="AE334" s="235"/>
      <c r="AF334" s="59"/>
    </row>
    <row r="335" spans="1:32" x14ac:dyDescent="0.3">
      <c r="A335" s="39">
        <v>6</v>
      </c>
      <c r="B335" s="41" t="s">
        <v>1025</v>
      </c>
      <c r="C335" s="50" t="s">
        <v>51</v>
      </c>
      <c r="D335" s="50" t="s">
        <v>1115</v>
      </c>
      <c r="E335" s="50" t="s">
        <v>25</v>
      </c>
      <c r="F335" s="51" t="s">
        <v>25</v>
      </c>
      <c r="G335" s="50" t="s">
        <v>866</v>
      </c>
      <c r="H335" s="59">
        <v>87.78</v>
      </c>
      <c r="I335" s="59">
        <v>-148.47</v>
      </c>
      <c r="J335" s="59">
        <v>0</v>
      </c>
      <c r="K335" s="59">
        <v>0</v>
      </c>
      <c r="L335" s="59">
        <v>0</v>
      </c>
      <c r="M335" s="59">
        <v>-15</v>
      </c>
      <c r="N335" s="59">
        <v>0</v>
      </c>
      <c r="O335" s="59">
        <f t="shared" si="32"/>
        <v>-15</v>
      </c>
      <c r="P335" s="59">
        <v>-2500</v>
      </c>
      <c r="Q335" s="59">
        <v>-1730</v>
      </c>
      <c r="R335" s="59">
        <v>0</v>
      </c>
      <c r="S335" s="59">
        <v>0</v>
      </c>
      <c r="T335" s="59">
        <v>0</v>
      </c>
      <c r="U335" s="59">
        <v>0</v>
      </c>
      <c r="V335" s="59">
        <v>0</v>
      </c>
      <c r="W335" s="59">
        <f t="shared" si="34"/>
        <v>-4245</v>
      </c>
      <c r="X335" s="59">
        <f t="shared" si="33"/>
        <v>0</v>
      </c>
      <c r="Y335" s="59">
        <f t="shared" si="30"/>
        <v>-4245</v>
      </c>
      <c r="Z335" s="59">
        <v>0</v>
      </c>
      <c r="AA335" s="59">
        <f t="shared" si="31"/>
        <v>-4245</v>
      </c>
      <c r="AB335" s="59">
        <f t="shared" si="35"/>
        <v>-4260</v>
      </c>
      <c r="AD335" s="59"/>
      <c r="AE335" s="235"/>
      <c r="AF335" s="59"/>
    </row>
    <row r="336" spans="1:32" x14ac:dyDescent="0.3">
      <c r="A336" s="39">
        <v>6</v>
      </c>
      <c r="B336" s="41" t="s">
        <v>1070</v>
      </c>
      <c r="C336" s="50" t="s">
        <v>64</v>
      </c>
      <c r="E336" s="50" t="s">
        <v>25</v>
      </c>
      <c r="F336" s="51" t="s">
        <v>25</v>
      </c>
      <c r="G336" s="50" t="s">
        <v>866</v>
      </c>
      <c r="H336" s="59">
        <v>718.06</v>
      </c>
      <c r="I336" s="59">
        <v>0</v>
      </c>
      <c r="J336" s="59">
        <v>0</v>
      </c>
      <c r="K336" s="59">
        <v>128.37</v>
      </c>
      <c r="L336" s="59">
        <v>0</v>
      </c>
      <c r="M336" s="59">
        <v>-5</v>
      </c>
      <c r="N336" s="59">
        <v>0</v>
      </c>
      <c r="O336" s="59">
        <f t="shared" si="32"/>
        <v>841.43</v>
      </c>
      <c r="P336" s="59">
        <v>-2500</v>
      </c>
      <c r="Q336" s="59">
        <v>0</v>
      </c>
      <c r="R336" s="59">
        <v>-500</v>
      </c>
      <c r="S336" s="59">
        <v>0</v>
      </c>
      <c r="T336" s="59">
        <v>0</v>
      </c>
      <c r="U336" s="59">
        <v>0</v>
      </c>
      <c r="V336" s="59">
        <v>0</v>
      </c>
      <c r="W336" s="59">
        <f t="shared" si="34"/>
        <v>-2158.5700000000002</v>
      </c>
      <c r="X336" s="59">
        <f t="shared" si="33"/>
        <v>0</v>
      </c>
      <c r="Y336" s="59">
        <f t="shared" si="30"/>
        <v>-2158.5700000000002</v>
      </c>
      <c r="Z336" s="59">
        <v>2159</v>
      </c>
      <c r="AA336" s="59">
        <f t="shared" si="31"/>
        <v>0.42999999999983629</v>
      </c>
      <c r="AB336" s="59">
        <f t="shared" si="35"/>
        <v>3000.8599999999997</v>
      </c>
      <c r="AD336" s="59" t="s">
        <v>1547</v>
      </c>
      <c r="AE336" s="235"/>
      <c r="AF336" s="59"/>
    </row>
    <row r="337" spans="1:33" x14ac:dyDescent="0.3">
      <c r="A337" s="39">
        <v>6</v>
      </c>
      <c r="B337" s="41" t="s">
        <v>1088</v>
      </c>
      <c r="C337" s="50" t="s">
        <v>257</v>
      </c>
      <c r="D337" s="50" t="s">
        <v>943</v>
      </c>
      <c r="E337" s="50" t="s">
        <v>25</v>
      </c>
      <c r="F337" s="51" t="s">
        <v>25</v>
      </c>
      <c r="G337" s="50" t="s">
        <v>866</v>
      </c>
      <c r="H337" s="59">
        <v>3838.81</v>
      </c>
      <c r="I337" s="59">
        <v>-346.14</v>
      </c>
      <c r="J337" s="59">
        <v>-26.88</v>
      </c>
      <c r="K337" s="59">
        <v>194.88</v>
      </c>
      <c r="L337" s="59">
        <v>-28.909999999999997</v>
      </c>
      <c r="M337" s="59">
        <v>-25</v>
      </c>
      <c r="N337" s="59">
        <v>0</v>
      </c>
      <c r="O337" s="59">
        <f t="shared" si="32"/>
        <v>3606.76</v>
      </c>
      <c r="P337" s="59">
        <v>-2500</v>
      </c>
      <c r="Q337" s="59">
        <v>0</v>
      </c>
      <c r="R337" s="59">
        <v>0</v>
      </c>
      <c r="S337" s="59">
        <v>0</v>
      </c>
      <c r="T337" s="59">
        <v>0</v>
      </c>
      <c r="U337" s="59">
        <v>0</v>
      </c>
      <c r="V337" s="59">
        <v>0</v>
      </c>
      <c r="W337" s="59">
        <f t="shared" si="34"/>
        <v>1106.7600000000002</v>
      </c>
      <c r="X337" s="59">
        <f t="shared" si="33"/>
        <v>1106.7600000000002</v>
      </c>
      <c r="Y337" s="59">
        <f t="shared" si="30"/>
        <v>0</v>
      </c>
      <c r="Z337" s="59">
        <v>0</v>
      </c>
      <c r="AA337" s="59">
        <f t="shared" si="31"/>
        <v>0</v>
      </c>
      <c r="AB337" s="59">
        <f t="shared" si="35"/>
        <v>2500</v>
      </c>
      <c r="AD337" s="59"/>
      <c r="AE337" s="235"/>
      <c r="AF337" s="59"/>
    </row>
    <row r="338" spans="1:33" x14ac:dyDescent="0.3">
      <c r="A338" s="39">
        <v>6</v>
      </c>
      <c r="B338" s="41" t="s">
        <v>1509</v>
      </c>
      <c r="C338" s="50" t="s">
        <v>798</v>
      </c>
      <c r="E338" s="50" t="s">
        <v>39</v>
      </c>
      <c r="F338" s="51" t="s">
        <v>39</v>
      </c>
      <c r="G338" s="50" t="s">
        <v>866</v>
      </c>
      <c r="H338" s="59">
        <v>5490.62</v>
      </c>
      <c r="I338" s="59">
        <v>-1332.3</v>
      </c>
      <c r="J338" s="59">
        <v>0</v>
      </c>
      <c r="K338" s="59">
        <v>16.89</v>
      </c>
      <c r="L338" s="59">
        <v>0</v>
      </c>
      <c r="M338" s="59">
        <f>I338*0.05</f>
        <v>-66.614999999999995</v>
      </c>
      <c r="N338" s="59">
        <v>0</v>
      </c>
      <c r="O338" s="59">
        <f t="shared" si="32"/>
        <v>4108.5950000000003</v>
      </c>
      <c r="P338" s="59">
        <v>-2500</v>
      </c>
      <c r="Q338" s="59">
        <v>0</v>
      </c>
      <c r="R338" s="59">
        <v>-500</v>
      </c>
      <c r="S338" s="59">
        <v>0</v>
      </c>
      <c r="T338" s="59">
        <v>0</v>
      </c>
      <c r="U338" s="59">
        <v>0</v>
      </c>
      <c r="V338" s="59">
        <v>0</v>
      </c>
      <c r="W338" s="59">
        <f t="shared" si="34"/>
        <v>1108.5950000000003</v>
      </c>
      <c r="X338" s="59">
        <f t="shared" si="33"/>
        <v>1108.5950000000003</v>
      </c>
      <c r="Y338" s="59">
        <f t="shared" si="30"/>
        <v>0</v>
      </c>
      <c r="Z338" s="59">
        <v>0</v>
      </c>
      <c r="AA338" s="59">
        <f t="shared" si="31"/>
        <v>0</v>
      </c>
      <c r="AB338" s="59">
        <f t="shared" si="35"/>
        <v>3000</v>
      </c>
      <c r="AD338" s="59"/>
      <c r="AE338" s="235"/>
      <c r="AF338" s="59"/>
    </row>
    <row r="339" spans="1:33" x14ac:dyDescent="0.3">
      <c r="A339" s="39">
        <v>6</v>
      </c>
      <c r="B339" s="41" t="s">
        <v>1100</v>
      </c>
      <c r="C339" s="50" t="s">
        <v>213</v>
      </c>
      <c r="D339" s="50" t="s">
        <v>1116</v>
      </c>
      <c r="E339" s="50" t="s">
        <v>39</v>
      </c>
      <c r="F339" s="51" t="s">
        <v>39</v>
      </c>
      <c r="G339" s="50" t="s">
        <v>866</v>
      </c>
      <c r="H339" s="59">
        <v>1966.27</v>
      </c>
      <c r="I339" s="59">
        <v>-133.78</v>
      </c>
      <c r="J339" s="59">
        <v>0</v>
      </c>
      <c r="K339" s="59">
        <v>0</v>
      </c>
      <c r="L339" s="59">
        <v>-20.059999999999999</v>
      </c>
      <c r="M339" s="59">
        <v>-16</v>
      </c>
      <c r="N339" s="59">
        <v>0</v>
      </c>
      <c r="O339" s="59">
        <f t="shared" si="32"/>
        <v>1796.43</v>
      </c>
      <c r="P339" s="59">
        <v>-2500</v>
      </c>
      <c r="Q339" s="59">
        <v>-3051</v>
      </c>
      <c r="R339" s="59">
        <v>0</v>
      </c>
      <c r="S339" s="59">
        <v>0</v>
      </c>
      <c r="T339" s="59">
        <v>0</v>
      </c>
      <c r="U339" s="59">
        <v>0</v>
      </c>
      <c r="V339" s="59">
        <v>0</v>
      </c>
      <c r="W339" s="59">
        <f t="shared" si="34"/>
        <v>-3754.5699999999997</v>
      </c>
      <c r="X339" s="59">
        <f t="shared" si="33"/>
        <v>0</v>
      </c>
      <c r="Y339" s="59">
        <f t="shared" si="30"/>
        <v>-3754.5699999999997</v>
      </c>
      <c r="Z339" s="59">
        <v>1207</v>
      </c>
      <c r="AA339" s="59">
        <f t="shared" si="31"/>
        <v>-2547.5699999999997</v>
      </c>
      <c r="AB339" s="59">
        <f t="shared" si="35"/>
        <v>455.86000000000058</v>
      </c>
      <c r="AD339" s="59" t="s">
        <v>1548</v>
      </c>
      <c r="AE339" s="235"/>
      <c r="AF339" s="59"/>
    </row>
    <row r="340" spans="1:33" x14ac:dyDescent="0.3">
      <c r="A340" s="39">
        <v>6</v>
      </c>
      <c r="B340" s="41" t="s">
        <v>1401</v>
      </c>
      <c r="C340" s="50" t="s">
        <v>1464</v>
      </c>
      <c r="E340" s="50" t="s">
        <v>25</v>
      </c>
      <c r="F340" s="51" t="s">
        <v>25</v>
      </c>
      <c r="G340" s="50" t="s">
        <v>866</v>
      </c>
      <c r="H340" s="59">
        <v>3802.8</v>
      </c>
      <c r="I340" s="59">
        <v>-2243.91</v>
      </c>
      <c r="J340" s="59">
        <v>0</v>
      </c>
      <c r="K340" s="59">
        <v>0</v>
      </c>
      <c r="L340" s="59">
        <v>0</v>
      </c>
      <c r="M340" s="59">
        <v>-180</v>
      </c>
      <c r="N340" s="59">
        <v>-138</v>
      </c>
      <c r="O340" s="59">
        <f t="shared" si="32"/>
        <v>1240.8900000000003</v>
      </c>
      <c r="P340" s="59">
        <v>-2700</v>
      </c>
      <c r="Q340" s="59">
        <v>0</v>
      </c>
      <c r="R340" s="59">
        <v>-500</v>
      </c>
      <c r="S340" s="59">
        <v>0</v>
      </c>
      <c r="T340" s="59">
        <v>0</v>
      </c>
      <c r="U340" s="59">
        <v>0</v>
      </c>
      <c r="V340" s="59">
        <v>0</v>
      </c>
      <c r="W340" s="59">
        <f t="shared" si="34"/>
        <v>-1959.1099999999997</v>
      </c>
      <c r="X340" s="59">
        <f t="shared" si="33"/>
        <v>0</v>
      </c>
      <c r="Y340" s="59">
        <f t="shared" si="30"/>
        <v>-1959.1099999999997</v>
      </c>
      <c r="Z340" s="59">
        <v>1959</v>
      </c>
      <c r="AA340" s="59">
        <f t="shared" si="31"/>
        <v>-0.10999999999967258</v>
      </c>
      <c r="AB340" s="59">
        <f t="shared" si="35"/>
        <v>3199.7800000000007</v>
      </c>
      <c r="AD340" s="59" t="s">
        <v>1549</v>
      </c>
      <c r="AE340" s="235"/>
      <c r="AF340" s="59"/>
    </row>
    <row r="341" spans="1:33" x14ac:dyDescent="0.3">
      <c r="A341" s="39">
        <v>6</v>
      </c>
      <c r="B341" s="41" t="s">
        <v>1010</v>
      </c>
      <c r="C341" s="50" t="s">
        <v>80</v>
      </c>
      <c r="E341" s="50" t="s">
        <v>25</v>
      </c>
      <c r="F341" s="51" t="s">
        <v>25</v>
      </c>
      <c r="G341" s="50" t="s">
        <v>866</v>
      </c>
      <c r="H341" s="59">
        <v>0</v>
      </c>
      <c r="I341" s="59">
        <v>0</v>
      </c>
      <c r="J341" s="59">
        <v>0</v>
      </c>
      <c r="K341" s="59">
        <v>0</v>
      </c>
      <c r="L341" s="59">
        <v>0</v>
      </c>
      <c r="M341" s="59">
        <v>0</v>
      </c>
      <c r="N341" s="59">
        <v>0</v>
      </c>
      <c r="O341" s="59">
        <f t="shared" si="32"/>
        <v>0</v>
      </c>
      <c r="P341" s="59">
        <v>0</v>
      </c>
      <c r="Q341" s="62">
        <v>0</v>
      </c>
      <c r="R341" s="59">
        <v>0</v>
      </c>
      <c r="S341" s="59">
        <v>0</v>
      </c>
      <c r="T341" s="59">
        <v>0</v>
      </c>
      <c r="U341" s="59">
        <v>0</v>
      </c>
      <c r="V341" s="59">
        <v>0</v>
      </c>
      <c r="W341" s="59">
        <f t="shared" si="34"/>
        <v>0</v>
      </c>
      <c r="X341" s="59">
        <f t="shared" si="33"/>
        <v>0</v>
      </c>
      <c r="Y341" s="59">
        <f t="shared" si="30"/>
        <v>0</v>
      </c>
      <c r="Z341" s="59">
        <v>0</v>
      </c>
      <c r="AA341" s="59">
        <f t="shared" si="31"/>
        <v>0</v>
      </c>
      <c r="AB341" s="59">
        <f t="shared" si="35"/>
        <v>0</v>
      </c>
      <c r="AD341" s="59"/>
      <c r="AE341" s="235"/>
      <c r="AF341" s="59"/>
    </row>
    <row r="342" spans="1:33" x14ac:dyDescent="0.3">
      <c r="A342" s="39">
        <v>6</v>
      </c>
      <c r="B342" s="41" t="s">
        <v>1297</v>
      </c>
      <c r="C342" s="50" t="s">
        <v>480</v>
      </c>
      <c r="D342" s="50" t="s">
        <v>1243</v>
      </c>
      <c r="E342" s="50" t="s">
        <v>25</v>
      </c>
      <c r="F342" s="51" t="s">
        <v>25</v>
      </c>
      <c r="G342" s="50" t="s">
        <v>866</v>
      </c>
      <c r="H342" s="59">
        <v>2670.08</v>
      </c>
      <c r="I342" s="59">
        <v>-1162.7900000000002</v>
      </c>
      <c r="J342" s="59">
        <v>-19.2</v>
      </c>
      <c r="K342" s="59">
        <v>0</v>
      </c>
      <c r="L342" s="59">
        <v>0</v>
      </c>
      <c r="M342" s="59">
        <v>-98</v>
      </c>
      <c r="N342" s="59">
        <v>0</v>
      </c>
      <c r="O342" s="59">
        <f t="shared" si="32"/>
        <v>1390.0899999999997</v>
      </c>
      <c r="P342" s="59">
        <v>-2700</v>
      </c>
      <c r="Q342" s="59">
        <v>0</v>
      </c>
      <c r="R342" s="59">
        <v>0</v>
      </c>
      <c r="S342" s="59">
        <v>0</v>
      </c>
      <c r="T342" s="59">
        <v>0</v>
      </c>
      <c r="U342" s="59">
        <v>-700</v>
      </c>
      <c r="V342" s="59">
        <v>0</v>
      </c>
      <c r="W342" s="59">
        <f t="shared" si="34"/>
        <v>-2009.9100000000003</v>
      </c>
      <c r="X342" s="59">
        <f t="shared" si="33"/>
        <v>0</v>
      </c>
      <c r="Y342" s="59">
        <f t="shared" si="30"/>
        <v>-2009.9100000000003</v>
      </c>
      <c r="Z342" s="59">
        <f>1310+400</f>
        <v>1710</v>
      </c>
      <c r="AA342" s="59">
        <f t="shared" si="31"/>
        <v>-299.91000000000031</v>
      </c>
      <c r="AB342" s="59">
        <f t="shared" si="35"/>
        <v>2800.1799999999994</v>
      </c>
      <c r="AD342" s="59" t="s">
        <v>1550</v>
      </c>
      <c r="AE342" s="235"/>
      <c r="AF342" s="59"/>
    </row>
    <row r="343" spans="1:33" x14ac:dyDescent="0.3">
      <c r="A343" s="39">
        <v>6</v>
      </c>
      <c r="B343" s="41" t="s">
        <v>1412</v>
      </c>
      <c r="C343" s="50" t="s">
        <v>774</v>
      </c>
      <c r="E343" s="50" t="s">
        <v>25</v>
      </c>
      <c r="F343" s="51" t="s">
        <v>25</v>
      </c>
      <c r="G343" s="50" t="s">
        <v>866</v>
      </c>
      <c r="H343" s="59">
        <v>5244.36</v>
      </c>
      <c r="I343" s="59">
        <v>-2330.5700000000006</v>
      </c>
      <c r="J343" s="59">
        <v>0</v>
      </c>
      <c r="K343" s="59">
        <v>0</v>
      </c>
      <c r="L343" s="59">
        <v>-64.12</v>
      </c>
      <c r="M343" s="59">
        <v>-180</v>
      </c>
      <c r="N343" s="59">
        <v>-347</v>
      </c>
      <c r="O343" s="59">
        <f t="shared" si="32"/>
        <v>2322.6699999999992</v>
      </c>
      <c r="P343" s="59">
        <v>-2500</v>
      </c>
      <c r="Q343" s="59">
        <v>0</v>
      </c>
      <c r="R343" s="59">
        <v>-500</v>
      </c>
      <c r="S343" s="59">
        <v>0</v>
      </c>
      <c r="T343" s="59">
        <v>0</v>
      </c>
      <c r="U343" s="59">
        <v>0</v>
      </c>
      <c r="V343" s="59">
        <v>0</v>
      </c>
      <c r="W343" s="59">
        <f t="shared" si="34"/>
        <v>-677.33000000000084</v>
      </c>
      <c r="X343" s="59">
        <f t="shared" si="33"/>
        <v>0</v>
      </c>
      <c r="Y343" s="59">
        <f t="shared" si="30"/>
        <v>-677.33000000000084</v>
      </c>
      <c r="Z343" s="59">
        <v>677</v>
      </c>
      <c r="AA343" s="59">
        <f t="shared" si="31"/>
        <v>-0.33000000000083674</v>
      </c>
      <c r="AB343" s="59">
        <f t="shared" si="35"/>
        <v>2999.3399999999983</v>
      </c>
      <c r="AD343" s="59" t="s">
        <v>1551</v>
      </c>
      <c r="AE343" s="235"/>
      <c r="AF343" s="59"/>
    </row>
    <row r="344" spans="1:33" x14ac:dyDescent="0.3">
      <c r="A344" s="39">
        <v>6</v>
      </c>
      <c r="B344" s="41" t="s">
        <v>1003</v>
      </c>
      <c r="C344" s="50" t="s">
        <v>1409</v>
      </c>
      <c r="D344" s="50" t="s">
        <v>967</v>
      </c>
      <c r="E344" s="50" t="s">
        <v>25</v>
      </c>
      <c r="F344" s="51" t="s">
        <v>25</v>
      </c>
      <c r="G344" s="50" t="s">
        <v>866</v>
      </c>
      <c r="H344" s="59">
        <v>622.07000000000005</v>
      </c>
      <c r="I344" s="59">
        <v>0</v>
      </c>
      <c r="J344" s="59">
        <v>0</v>
      </c>
      <c r="K344" s="59">
        <v>0</v>
      </c>
      <c r="L344" s="59">
        <v>0</v>
      </c>
      <c r="M344" s="59">
        <f>-2.0472-5</f>
        <v>-7.0472000000000001</v>
      </c>
      <c r="N344" s="59">
        <v>-17.059999999999999</v>
      </c>
      <c r="O344" s="59">
        <f t="shared" si="32"/>
        <v>597.96280000000013</v>
      </c>
      <c r="P344" s="59">
        <v>-2500</v>
      </c>
      <c r="Q344" s="59">
        <v>0</v>
      </c>
      <c r="R344" s="59">
        <v>0</v>
      </c>
      <c r="S344" s="59">
        <v>0</v>
      </c>
      <c r="T344" s="59">
        <v>-2500</v>
      </c>
      <c r="U344" s="59">
        <v>458</v>
      </c>
      <c r="V344" s="59">
        <v>0</v>
      </c>
      <c r="W344" s="59">
        <f t="shared" si="34"/>
        <v>-3944.0371999999998</v>
      </c>
      <c r="X344" s="59">
        <f t="shared" si="33"/>
        <v>0</v>
      </c>
      <c r="Y344" s="59">
        <f t="shared" si="30"/>
        <v>-3944.0371999999998</v>
      </c>
      <c r="Z344" s="59">
        <f>1500</f>
        <v>1500</v>
      </c>
      <c r="AA344" s="59">
        <f t="shared" si="31"/>
        <v>-2444.0371999999998</v>
      </c>
      <c r="AB344" s="59">
        <f t="shared" si="35"/>
        <v>-346.07439999999951</v>
      </c>
      <c r="AD344" s="59" t="s">
        <v>1552</v>
      </c>
      <c r="AE344" s="235"/>
      <c r="AF344" s="59"/>
    </row>
    <row r="345" spans="1:33" x14ac:dyDescent="0.3">
      <c r="A345" s="39">
        <v>6</v>
      </c>
      <c r="B345" s="41" t="s">
        <v>1449</v>
      </c>
      <c r="C345" s="50" t="s">
        <v>152</v>
      </c>
      <c r="E345" s="50" t="s">
        <v>25</v>
      </c>
      <c r="F345" s="51" t="s">
        <v>25</v>
      </c>
      <c r="G345" s="50" t="s">
        <v>866</v>
      </c>
      <c r="H345" s="59">
        <v>4291.1899999999996</v>
      </c>
      <c r="I345" s="59">
        <v>-1661.2300000000002</v>
      </c>
      <c r="J345" s="59">
        <v>-48</v>
      </c>
      <c r="K345" s="59">
        <v>0</v>
      </c>
      <c r="L345" s="59">
        <v>0</v>
      </c>
      <c r="M345" s="59">
        <v>-98</v>
      </c>
      <c r="N345" s="59">
        <v>0</v>
      </c>
      <c r="O345" s="59">
        <f t="shared" si="32"/>
        <v>2483.9599999999991</v>
      </c>
      <c r="P345" s="59">
        <f>(-2500/7)*3</f>
        <v>-1071.4285714285716</v>
      </c>
      <c r="Q345" s="59">
        <v>0</v>
      </c>
      <c r="R345" s="59">
        <v>0</v>
      </c>
      <c r="S345" s="59">
        <v>0</v>
      </c>
      <c r="T345" s="59">
        <v>0</v>
      </c>
      <c r="U345" s="59">
        <v>0</v>
      </c>
      <c r="V345" s="59">
        <v>0</v>
      </c>
      <c r="W345" s="59">
        <f t="shared" si="34"/>
        <v>1412.5314285714276</v>
      </c>
      <c r="X345" s="59">
        <f t="shared" si="33"/>
        <v>1412.5314285714276</v>
      </c>
      <c r="Y345" s="59">
        <f t="shared" si="30"/>
        <v>0</v>
      </c>
      <c r="Z345" s="59">
        <v>0</v>
      </c>
      <c r="AA345" s="59">
        <f t="shared" si="31"/>
        <v>0</v>
      </c>
      <c r="AB345" s="59">
        <f t="shared" si="35"/>
        <v>1071.4285714285716</v>
      </c>
      <c r="AD345" s="59"/>
      <c r="AE345" s="235"/>
      <c r="AF345" s="59"/>
    </row>
    <row r="346" spans="1:33" x14ac:dyDescent="0.3">
      <c r="A346" s="39">
        <v>6</v>
      </c>
      <c r="B346" s="41" t="s">
        <v>1056</v>
      </c>
      <c r="C346" s="50" t="s">
        <v>760</v>
      </c>
      <c r="D346" s="50" t="s">
        <v>1239</v>
      </c>
      <c r="E346" s="50" t="s">
        <v>25</v>
      </c>
      <c r="F346" s="143" t="s">
        <v>39</v>
      </c>
      <c r="G346" s="50" t="s">
        <v>866</v>
      </c>
      <c r="H346" s="59">
        <v>1463.68</v>
      </c>
      <c r="I346" s="59">
        <v>0</v>
      </c>
      <c r="J346" s="59">
        <v>0</v>
      </c>
      <c r="K346" s="59">
        <v>0</v>
      </c>
      <c r="L346" s="59">
        <v>0</v>
      </c>
      <c r="M346" s="59">
        <v>0</v>
      </c>
      <c r="N346" s="59">
        <v>0</v>
      </c>
      <c r="O346" s="59">
        <f>IF(H346+I346&lt;0,SUM(J346:N346),SUM(H346:N346))</f>
        <v>1463.68</v>
      </c>
      <c r="P346" s="59">
        <v>0</v>
      </c>
      <c r="Q346" s="59">
        <v>0</v>
      </c>
      <c r="R346" s="59">
        <v>0</v>
      </c>
      <c r="S346" s="59">
        <v>0</v>
      </c>
      <c r="T346" s="59">
        <v>0</v>
      </c>
      <c r="U346" s="59">
        <v>0</v>
      </c>
      <c r="V346" s="59">
        <v>0</v>
      </c>
      <c r="W346" s="59">
        <f t="shared" si="34"/>
        <v>1463.68</v>
      </c>
      <c r="X346" s="59">
        <f>IF(W346&gt;=0,W346,0)</f>
        <v>1463.68</v>
      </c>
      <c r="Y346" s="59">
        <f>IF(W346&lt;=0,W346,0)</f>
        <v>0</v>
      </c>
      <c r="Z346" s="59">
        <v>0</v>
      </c>
      <c r="AA346" s="59">
        <f>+Y346+Z346</f>
        <v>0</v>
      </c>
      <c r="AB346" s="59">
        <f t="shared" si="35"/>
        <v>0</v>
      </c>
      <c r="AD346" s="59"/>
      <c r="AE346" s="235"/>
      <c r="AF346" s="59"/>
    </row>
    <row r="347" spans="1:33" x14ac:dyDescent="0.3">
      <c r="A347" s="39">
        <v>6</v>
      </c>
      <c r="B347" s="41" t="s">
        <v>1513</v>
      </c>
      <c r="C347" s="50" t="s">
        <v>110</v>
      </c>
      <c r="D347" s="50" t="s">
        <v>912</v>
      </c>
      <c r="E347" s="50" t="s">
        <v>18</v>
      </c>
      <c r="F347" s="51" t="s">
        <v>25</v>
      </c>
      <c r="G347" s="50" t="s">
        <v>737</v>
      </c>
      <c r="H347" s="59">
        <v>0</v>
      </c>
      <c r="I347" s="59">
        <v>0</v>
      </c>
      <c r="J347" s="59">
        <v>0</v>
      </c>
      <c r="K347" s="59">
        <v>0</v>
      </c>
      <c r="L347" s="59">
        <v>0</v>
      </c>
      <c r="M347" s="59">
        <v>0</v>
      </c>
      <c r="N347" s="59">
        <v>0</v>
      </c>
      <c r="O347" s="59">
        <f>IF(H347+I347&lt;0,SUM(J347:N347),SUM(H347:N347))</f>
        <v>0</v>
      </c>
      <c r="P347" s="59">
        <v>-2500</v>
      </c>
      <c r="Q347" s="59">
        <v>0</v>
      </c>
      <c r="R347" s="59">
        <v>-500</v>
      </c>
      <c r="S347" s="59">
        <v>0</v>
      </c>
      <c r="T347" s="59">
        <v>0</v>
      </c>
      <c r="U347" s="59">
        <v>0</v>
      </c>
      <c r="V347" s="59">
        <v>0</v>
      </c>
      <c r="W347" s="59">
        <f t="shared" si="34"/>
        <v>-3000</v>
      </c>
      <c r="X347" s="59">
        <f>IF(W347&gt;=0,W347,0)</f>
        <v>0</v>
      </c>
      <c r="Y347" s="59">
        <f>IF(W347&lt;=0,W347,0)</f>
        <v>-3000</v>
      </c>
      <c r="Z347" s="59">
        <v>3000</v>
      </c>
      <c r="AA347" s="59">
        <f>+Y347+Z347</f>
        <v>0</v>
      </c>
      <c r="AB347" s="59">
        <f t="shared" si="35"/>
        <v>3000</v>
      </c>
      <c r="AD347" s="59" t="s">
        <v>1553</v>
      </c>
      <c r="AE347" s="235"/>
      <c r="AF347" s="59"/>
    </row>
    <row r="348" spans="1:33" x14ac:dyDescent="0.3">
      <c r="A348" s="39">
        <v>7</v>
      </c>
      <c r="B348" s="41" t="s">
        <v>1010</v>
      </c>
      <c r="C348" s="50" t="s">
        <v>409</v>
      </c>
      <c r="D348" s="50" t="s">
        <v>946</v>
      </c>
      <c r="E348" s="50" t="s">
        <v>25</v>
      </c>
      <c r="F348" s="51" t="s">
        <v>25</v>
      </c>
      <c r="G348" s="50" t="s">
        <v>866</v>
      </c>
      <c r="H348" s="59">
        <v>3470.74</v>
      </c>
      <c r="I348" s="59">
        <v>-1584.3200000000002</v>
      </c>
      <c r="J348" s="59">
        <v>-14.4</v>
      </c>
      <c r="K348" s="59">
        <v>0</v>
      </c>
      <c r="L348" s="59">
        <v>-38.56</v>
      </c>
      <c r="M348" s="59">
        <v>-70</v>
      </c>
      <c r="N348" s="59">
        <v>0</v>
      </c>
      <c r="O348" s="59">
        <f t="shared" ref="O348:O411" si="36">IF(H348+I348&lt;0,SUM(J348:N348),SUM(H348:N348))</f>
        <v>1763.4599999999996</v>
      </c>
      <c r="P348" s="59">
        <f>(-2500/7)*6.5</f>
        <v>-2321.4285714285716</v>
      </c>
      <c r="Q348" s="59">
        <v>0</v>
      </c>
      <c r="R348" s="59">
        <v>0</v>
      </c>
      <c r="S348" s="59">
        <v>0</v>
      </c>
      <c r="T348" s="59">
        <v>0</v>
      </c>
      <c r="U348" s="59">
        <v>0</v>
      </c>
      <c r="V348" s="59">
        <v>0</v>
      </c>
      <c r="W348" s="59">
        <f t="shared" si="34"/>
        <v>-557.96857142857198</v>
      </c>
      <c r="X348" s="59">
        <f>IF(W348&gt;=0,W348,0)</f>
        <v>0</v>
      </c>
      <c r="Y348" s="59">
        <f t="shared" ref="Y348:Y355" si="37">IF(W348&lt;=0,W348,0)</f>
        <v>-557.96857142857198</v>
      </c>
      <c r="Z348" s="59">
        <v>0</v>
      </c>
      <c r="AA348" s="59">
        <f t="shared" ref="AA348:AA355" si="38">+Y348+Z348</f>
        <v>-557.96857142857198</v>
      </c>
      <c r="AB348" s="59">
        <f t="shared" si="35"/>
        <v>1205.4914285714276</v>
      </c>
      <c r="AD348" s="59" t="s">
        <v>3278</v>
      </c>
      <c r="AF348" s="59"/>
      <c r="AG348" s="50" t="s">
        <v>1044</v>
      </c>
    </row>
    <row r="349" spans="1:33" x14ac:dyDescent="0.3">
      <c r="A349" s="39">
        <v>7</v>
      </c>
      <c r="B349" s="41" t="s">
        <v>1142</v>
      </c>
      <c r="C349" s="50" t="s">
        <v>1443</v>
      </c>
      <c r="D349" s="50" t="s">
        <v>1554</v>
      </c>
      <c r="E349" s="50" t="s">
        <v>25</v>
      </c>
      <c r="F349" s="51" t="s">
        <v>25</v>
      </c>
      <c r="G349" s="50" t="s">
        <v>866</v>
      </c>
      <c r="H349" s="59">
        <v>2299.9499999999998</v>
      </c>
      <c r="I349" s="59">
        <v>-665.41</v>
      </c>
      <c r="J349" s="59">
        <v>0</v>
      </c>
      <c r="K349" s="59">
        <v>0</v>
      </c>
      <c r="L349" s="59">
        <v>0</v>
      </c>
      <c r="M349" s="59">
        <v>-40</v>
      </c>
      <c r="N349" s="59">
        <v>0</v>
      </c>
      <c r="O349" s="59">
        <f t="shared" si="36"/>
        <v>1594.54</v>
      </c>
      <c r="P349" s="59">
        <f>(-2700/7)*6.5</f>
        <v>-2507.1428571428573</v>
      </c>
      <c r="Q349" s="59">
        <v>0</v>
      </c>
      <c r="R349" s="59">
        <v>-464.28571428571428</v>
      </c>
      <c r="S349" s="59">
        <v>0</v>
      </c>
      <c r="T349" s="59">
        <v>0</v>
      </c>
      <c r="U349" s="59">
        <v>0</v>
      </c>
      <c r="V349" s="59">
        <v>0</v>
      </c>
      <c r="W349" s="59">
        <f t="shared" si="34"/>
        <v>-1376.8885714285716</v>
      </c>
      <c r="X349" s="59">
        <f t="shared" ref="X349:X355" si="39">IF(W349&gt;=0,W349,0)</f>
        <v>0</v>
      </c>
      <c r="Y349" s="59">
        <f t="shared" si="37"/>
        <v>-1376.8885714285716</v>
      </c>
      <c r="Z349" s="59">
        <v>1050</v>
      </c>
      <c r="AA349" s="59">
        <f t="shared" si="38"/>
        <v>-326.88857142857159</v>
      </c>
      <c r="AB349" s="59">
        <f t="shared" si="35"/>
        <v>2317.6514285714284</v>
      </c>
      <c r="AD349" s="59" t="s">
        <v>1555</v>
      </c>
      <c r="AF349" s="59"/>
    </row>
    <row r="350" spans="1:33" x14ac:dyDescent="0.3">
      <c r="A350" s="39">
        <v>7</v>
      </c>
      <c r="B350" s="41" t="s">
        <v>1556</v>
      </c>
      <c r="C350" s="50" t="s">
        <v>347</v>
      </c>
      <c r="D350" s="50" t="s">
        <v>1122</v>
      </c>
      <c r="E350" s="50" t="s">
        <v>25</v>
      </c>
      <c r="F350" s="51" t="s">
        <v>25</v>
      </c>
      <c r="G350" s="50" t="s">
        <v>866</v>
      </c>
      <c r="H350" s="59">
        <v>6460.55</v>
      </c>
      <c r="I350" s="59">
        <v>-2843.32</v>
      </c>
      <c r="J350" s="59">
        <v>-138.4</v>
      </c>
      <c r="K350" s="59">
        <v>0</v>
      </c>
      <c r="L350" s="59">
        <v>0</v>
      </c>
      <c r="M350" s="59">
        <v>-80</v>
      </c>
      <c r="N350" s="59">
        <v>0</v>
      </c>
      <c r="O350" s="59">
        <f t="shared" si="36"/>
        <v>3398.83</v>
      </c>
      <c r="P350" s="59">
        <f>(-2500/7)*5.5</f>
        <v>-1964.2857142857144</v>
      </c>
      <c r="Q350" s="59">
        <v>0</v>
      </c>
      <c r="R350" s="59">
        <v>-392.85714285714289</v>
      </c>
      <c r="S350" s="59">
        <v>0</v>
      </c>
      <c r="T350" s="59">
        <v>0</v>
      </c>
      <c r="U350" s="59">
        <v>0</v>
      </c>
      <c r="V350" s="59">
        <v>0</v>
      </c>
      <c r="W350" s="59">
        <f t="shared" si="34"/>
        <v>1041.6871428571426</v>
      </c>
      <c r="X350" s="59">
        <f t="shared" si="39"/>
        <v>1041.6871428571426</v>
      </c>
      <c r="Y350" s="59">
        <f t="shared" si="37"/>
        <v>0</v>
      </c>
      <c r="Z350" s="59">
        <v>0</v>
      </c>
      <c r="AA350" s="59">
        <f t="shared" si="38"/>
        <v>0</v>
      </c>
      <c r="AB350" s="59">
        <f t="shared" si="35"/>
        <v>2357.1428571428573</v>
      </c>
      <c r="AD350" s="59" t="s">
        <v>1557</v>
      </c>
      <c r="AF350" s="59"/>
    </row>
    <row r="351" spans="1:33" x14ac:dyDescent="0.3">
      <c r="A351" s="39">
        <v>7</v>
      </c>
      <c r="B351" s="41" t="s">
        <v>1558</v>
      </c>
      <c r="C351" s="50" t="s">
        <v>571</v>
      </c>
      <c r="D351" s="50" t="s">
        <v>974</v>
      </c>
      <c r="E351" s="50" t="s">
        <v>25</v>
      </c>
      <c r="F351" s="51" t="s">
        <v>25</v>
      </c>
      <c r="G351" s="50" t="s">
        <v>866</v>
      </c>
      <c r="H351" s="59">
        <v>4210.82</v>
      </c>
      <c r="I351" s="59">
        <v>-946.90000000000009</v>
      </c>
      <c r="J351" s="59">
        <v>0</v>
      </c>
      <c r="K351" s="59">
        <v>0</v>
      </c>
      <c r="L351" s="59">
        <v>0</v>
      </c>
      <c r="M351" s="59">
        <v>-50</v>
      </c>
      <c r="N351" s="59">
        <v>0</v>
      </c>
      <c r="O351" s="59">
        <f t="shared" si="36"/>
        <v>3213.9199999999996</v>
      </c>
      <c r="P351" s="59">
        <f>(-2500/7)*5.5</f>
        <v>-1964.2857142857144</v>
      </c>
      <c r="Q351" s="59">
        <v>0</v>
      </c>
      <c r="R351" s="59">
        <v>-392.85714285714289</v>
      </c>
      <c r="S351" s="59">
        <v>0</v>
      </c>
      <c r="T351" s="59">
        <v>0</v>
      </c>
      <c r="U351" s="59">
        <v>0</v>
      </c>
      <c r="V351" s="59">
        <v>0</v>
      </c>
      <c r="W351" s="59">
        <f t="shared" si="34"/>
        <v>856.77714285714228</v>
      </c>
      <c r="X351" s="59">
        <f t="shared" si="39"/>
        <v>856.77714285714228</v>
      </c>
      <c r="Y351" s="59">
        <f t="shared" si="37"/>
        <v>0</v>
      </c>
      <c r="Z351" s="59">
        <v>0</v>
      </c>
      <c r="AA351" s="59">
        <f t="shared" si="38"/>
        <v>0</v>
      </c>
      <c r="AB351" s="59">
        <f t="shared" si="35"/>
        <v>2357.1428571428573</v>
      </c>
      <c r="AC351" s="59">
        <v>2000</v>
      </c>
      <c r="AD351" s="59" t="s">
        <v>1559</v>
      </c>
      <c r="AF351" s="59"/>
    </row>
    <row r="352" spans="1:33" x14ac:dyDescent="0.3">
      <c r="A352" s="39">
        <v>7</v>
      </c>
      <c r="B352" s="41" t="s">
        <v>1062</v>
      </c>
      <c r="C352" s="50" t="s">
        <v>360</v>
      </c>
      <c r="D352" s="50" t="s">
        <v>1158</v>
      </c>
      <c r="E352" s="50" t="s">
        <v>25</v>
      </c>
      <c r="F352" s="51" t="s">
        <v>25</v>
      </c>
      <c r="G352" s="50" t="s">
        <v>866</v>
      </c>
      <c r="H352" s="59">
        <v>6152.48</v>
      </c>
      <c r="I352" s="59">
        <v>-1316.92</v>
      </c>
      <c r="J352" s="59">
        <v>0</v>
      </c>
      <c r="K352" s="59">
        <v>0</v>
      </c>
      <c r="L352" s="59">
        <v>0</v>
      </c>
      <c r="M352" s="59">
        <v>-70</v>
      </c>
      <c r="N352" s="59">
        <v>0</v>
      </c>
      <c r="O352" s="59">
        <f t="shared" si="36"/>
        <v>4765.5599999999995</v>
      </c>
      <c r="P352" s="59">
        <f>-2700/7*6.5</f>
        <v>-2507.1428571428573</v>
      </c>
      <c r="Q352" s="59">
        <v>0</v>
      </c>
      <c r="R352" s="59">
        <v>0</v>
      </c>
      <c r="S352" s="59">
        <v>0</v>
      </c>
      <c r="T352" s="59">
        <v>0</v>
      </c>
      <c r="U352" s="59">
        <v>0</v>
      </c>
      <c r="V352" s="59">
        <v>0</v>
      </c>
      <c r="W352" s="59">
        <f t="shared" si="34"/>
        <v>2258.4171428571422</v>
      </c>
      <c r="X352" s="59">
        <f t="shared" si="39"/>
        <v>2258.4171428571422</v>
      </c>
      <c r="Y352" s="59">
        <f t="shared" si="37"/>
        <v>0</v>
      </c>
      <c r="Z352" s="59">
        <v>0</v>
      </c>
      <c r="AA352" s="59">
        <f t="shared" si="38"/>
        <v>0</v>
      </c>
      <c r="AB352" s="59">
        <f t="shared" si="35"/>
        <v>2507.1428571428573</v>
      </c>
      <c r="AD352" s="59" t="s">
        <v>1560</v>
      </c>
      <c r="AF352" s="59"/>
    </row>
    <row r="353" spans="1:32" x14ac:dyDescent="0.3">
      <c r="A353" s="39">
        <v>7</v>
      </c>
      <c r="B353" s="41" t="s">
        <v>585</v>
      </c>
      <c r="C353" s="50" t="s">
        <v>42</v>
      </c>
      <c r="D353" s="50" t="s">
        <v>948</v>
      </c>
      <c r="E353" s="50" t="s">
        <v>25</v>
      </c>
      <c r="F353" s="51" t="s">
        <v>25</v>
      </c>
      <c r="G353" s="50" t="s">
        <v>866</v>
      </c>
      <c r="H353" s="59">
        <v>0</v>
      </c>
      <c r="I353" s="59">
        <v>0</v>
      </c>
      <c r="J353" s="59">
        <v>0</v>
      </c>
      <c r="K353" s="59">
        <v>0</v>
      </c>
      <c r="L353" s="59">
        <v>0</v>
      </c>
      <c r="M353" s="59">
        <v>0</v>
      </c>
      <c r="N353" s="59">
        <v>0</v>
      </c>
      <c r="O353" s="59">
        <f t="shared" si="36"/>
        <v>0</v>
      </c>
      <c r="P353" s="59">
        <v>-2500</v>
      </c>
      <c r="Q353" s="59">
        <v>0</v>
      </c>
      <c r="R353" s="59">
        <v>0</v>
      </c>
      <c r="S353" s="59">
        <v>0</v>
      </c>
      <c r="T353" s="59">
        <v>0</v>
      </c>
      <c r="U353" s="59">
        <v>0</v>
      </c>
      <c r="V353" s="59">
        <v>0</v>
      </c>
      <c r="W353" s="59">
        <f t="shared" si="34"/>
        <v>-2500</v>
      </c>
      <c r="X353" s="59">
        <f t="shared" si="39"/>
        <v>0</v>
      </c>
      <c r="Y353" s="59">
        <f t="shared" si="37"/>
        <v>-2500</v>
      </c>
      <c r="Z353" s="59">
        <v>2500</v>
      </c>
      <c r="AA353" s="59">
        <f t="shared" si="38"/>
        <v>0</v>
      </c>
      <c r="AB353" s="59">
        <f t="shared" si="35"/>
        <v>2500</v>
      </c>
      <c r="AD353" s="59" t="s">
        <v>1561</v>
      </c>
      <c r="AF353" s="59"/>
    </row>
    <row r="354" spans="1:32" x14ac:dyDescent="0.3">
      <c r="A354" s="39">
        <v>7</v>
      </c>
      <c r="B354" s="41" t="s">
        <v>837</v>
      </c>
      <c r="C354" s="50" t="s">
        <v>357</v>
      </c>
      <c r="D354" s="50" t="s">
        <v>1150</v>
      </c>
      <c r="E354" s="50" t="s">
        <v>25</v>
      </c>
      <c r="F354" s="51" t="s">
        <v>25</v>
      </c>
      <c r="G354" s="50" t="s">
        <v>866</v>
      </c>
      <c r="H354" s="59">
        <v>7802.41</v>
      </c>
      <c r="I354" s="59">
        <v>0</v>
      </c>
      <c r="J354" s="59">
        <v>0</v>
      </c>
      <c r="K354" s="59">
        <v>0</v>
      </c>
      <c r="L354" s="59">
        <v>0</v>
      </c>
      <c r="M354" s="59">
        <v>-17.88</v>
      </c>
      <c r="N354" s="59">
        <v>-149</v>
      </c>
      <c r="O354" s="59">
        <f t="shared" si="36"/>
        <v>7635.53</v>
      </c>
      <c r="P354" s="59">
        <v>-2700</v>
      </c>
      <c r="Q354" s="59">
        <v>0</v>
      </c>
      <c r="R354" s="59">
        <v>0</v>
      </c>
      <c r="S354" s="59">
        <v>0</v>
      </c>
      <c r="T354" s="59">
        <v>0</v>
      </c>
      <c r="U354" s="59">
        <v>0</v>
      </c>
      <c r="V354" s="59">
        <v>0</v>
      </c>
      <c r="W354" s="59">
        <f t="shared" si="34"/>
        <v>4935.53</v>
      </c>
      <c r="X354" s="59">
        <f t="shared" si="39"/>
        <v>4935.53</v>
      </c>
      <c r="Y354" s="59">
        <f t="shared" si="37"/>
        <v>0</v>
      </c>
      <c r="Z354" s="59">
        <v>0</v>
      </c>
      <c r="AA354" s="59">
        <f t="shared" si="38"/>
        <v>0</v>
      </c>
      <c r="AB354" s="59">
        <f t="shared" si="35"/>
        <v>2700</v>
      </c>
      <c r="AD354" s="59" t="s">
        <v>1562</v>
      </c>
      <c r="AF354" s="59"/>
    </row>
    <row r="355" spans="1:32" x14ac:dyDescent="0.3">
      <c r="A355" s="39">
        <v>7</v>
      </c>
      <c r="B355" s="41" t="s">
        <v>1454</v>
      </c>
      <c r="C355" s="50" t="s">
        <v>563</v>
      </c>
      <c r="D355" s="50" t="s">
        <v>1230</v>
      </c>
      <c r="E355" s="50" t="s">
        <v>25</v>
      </c>
      <c r="F355" s="51" t="s">
        <v>25</v>
      </c>
      <c r="G355" s="50" t="s">
        <v>866</v>
      </c>
      <c r="H355" s="59">
        <v>4632.8599999999997</v>
      </c>
      <c r="I355" s="59">
        <v>-325.16000000000003</v>
      </c>
      <c r="J355" s="59">
        <v>-132</v>
      </c>
      <c r="K355" s="59">
        <v>9.7899999999999991</v>
      </c>
      <c r="L355" s="59">
        <v>0</v>
      </c>
      <c r="M355" s="59">
        <v>-39.277999999999999</v>
      </c>
      <c r="N355" s="59">
        <v>-160.65</v>
      </c>
      <c r="O355" s="59">
        <f t="shared" si="36"/>
        <v>3985.5619999999994</v>
      </c>
      <c r="P355" s="59">
        <v>-2500</v>
      </c>
      <c r="Q355" s="59">
        <v>0</v>
      </c>
      <c r="R355" s="59">
        <v>-500</v>
      </c>
      <c r="S355" s="59">
        <v>0</v>
      </c>
      <c r="T355" s="59">
        <v>0</v>
      </c>
      <c r="U355" s="59">
        <v>0</v>
      </c>
      <c r="V355" s="59">
        <v>0</v>
      </c>
      <c r="W355" s="59">
        <f t="shared" si="34"/>
        <v>985.56199999999944</v>
      </c>
      <c r="X355" s="59">
        <f t="shared" si="39"/>
        <v>985.56199999999944</v>
      </c>
      <c r="Y355" s="59">
        <f t="shared" si="37"/>
        <v>0</v>
      </c>
      <c r="Z355" s="59">
        <v>0</v>
      </c>
      <c r="AA355" s="59">
        <f t="shared" si="38"/>
        <v>0</v>
      </c>
      <c r="AB355" s="59">
        <f t="shared" si="35"/>
        <v>3000</v>
      </c>
      <c r="AD355" s="59" t="s">
        <v>1563</v>
      </c>
      <c r="AF355" s="59"/>
    </row>
    <row r="356" spans="1:32" x14ac:dyDescent="0.3">
      <c r="A356" s="39">
        <v>7</v>
      </c>
      <c r="B356" s="41" t="s">
        <v>944</v>
      </c>
      <c r="C356" s="50" t="s">
        <v>372</v>
      </c>
      <c r="D356" s="50" t="s">
        <v>1004</v>
      </c>
      <c r="E356" s="50" t="s">
        <v>39</v>
      </c>
      <c r="F356" s="51" t="s">
        <v>39</v>
      </c>
      <c r="G356" s="50" t="s">
        <v>866</v>
      </c>
      <c r="H356" s="59">
        <v>2822.17</v>
      </c>
      <c r="I356" s="59">
        <v>-746.5</v>
      </c>
      <c r="J356" s="59">
        <v>0</v>
      </c>
      <c r="K356" s="59">
        <v>0</v>
      </c>
      <c r="L356" s="59">
        <v>0</v>
      </c>
      <c r="M356" s="59">
        <v>-50</v>
      </c>
      <c r="N356" s="59">
        <v>0</v>
      </c>
      <c r="O356" s="59">
        <f t="shared" si="36"/>
        <v>2025.67</v>
      </c>
      <c r="P356" s="59">
        <v>-2500</v>
      </c>
      <c r="Q356" s="59">
        <v>0</v>
      </c>
      <c r="R356" s="59">
        <v>0</v>
      </c>
      <c r="S356" s="59">
        <v>0</v>
      </c>
      <c r="T356" s="59">
        <v>0</v>
      </c>
      <c r="U356" s="59">
        <v>0</v>
      </c>
      <c r="V356" s="59">
        <v>0</v>
      </c>
      <c r="W356" s="59">
        <f t="shared" si="34"/>
        <v>-474.32999999999993</v>
      </c>
      <c r="X356" s="59">
        <f>IF(W356&gt;=0,W356,0)</f>
        <v>0</v>
      </c>
      <c r="Y356" s="59">
        <f>IF(W356&lt;=0,W356,0)</f>
        <v>-474.32999999999993</v>
      </c>
      <c r="Z356" s="59">
        <v>0</v>
      </c>
      <c r="AA356" s="59">
        <f>+Y356+Z356</f>
        <v>-474.32999999999993</v>
      </c>
      <c r="AB356" s="59">
        <f t="shared" si="35"/>
        <v>1551.3400000000001</v>
      </c>
      <c r="AD356" s="59"/>
      <c r="AF356" s="59"/>
    </row>
    <row r="357" spans="1:32" x14ac:dyDescent="0.3">
      <c r="A357" s="39">
        <v>7</v>
      </c>
      <c r="B357" s="41" t="s">
        <v>1453</v>
      </c>
      <c r="C357" s="50" t="s">
        <v>814</v>
      </c>
      <c r="D357" s="50" t="s">
        <v>1564</v>
      </c>
      <c r="E357" s="50" t="s">
        <v>25</v>
      </c>
      <c r="F357" s="51" t="s">
        <v>25</v>
      </c>
      <c r="G357" s="50" t="s">
        <v>866</v>
      </c>
      <c r="H357" s="59">
        <v>8115.42</v>
      </c>
      <c r="I357" s="59">
        <v>-3203.7</v>
      </c>
      <c r="J357" s="59">
        <v>-88.800000000000011</v>
      </c>
      <c r="K357" s="59">
        <v>14.68</v>
      </c>
      <c r="L357" s="59">
        <v>0</v>
      </c>
      <c r="M357" s="59">
        <v>-26.16</v>
      </c>
      <c r="N357" s="59">
        <v>-93</v>
      </c>
      <c r="O357" s="59">
        <f t="shared" si="36"/>
        <v>4718.4400000000005</v>
      </c>
      <c r="P357" s="59">
        <v>-2600</v>
      </c>
      <c r="Q357" s="59">
        <v>0</v>
      </c>
      <c r="R357" s="59">
        <v>-500</v>
      </c>
      <c r="S357" s="59">
        <v>0</v>
      </c>
      <c r="T357" s="59">
        <v>0</v>
      </c>
      <c r="U357" s="59">
        <v>0</v>
      </c>
      <c r="V357" s="59">
        <v>0</v>
      </c>
      <c r="W357" s="59">
        <f t="shared" si="34"/>
        <v>1618.4400000000005</v>
      </c>
      <c r="X357" s="59">
        <f t="shared" ref="X357:X418" si="40">IF(W357&gt;=0,W357,0)</f>
        <v>1618.4400000000005</v>
      </c>
      <c r="Y357" s="59">
        <f t="shared" ref="Y357:Y418" si="41">IF(W357&lt;=0,W357,0)</f>
        <v>0</v>
      </c>
      <c r="Z357" s="59">
        <v>0</v>
      </c>
      <c r="AA357" s="59">
        <f t="shared" ref="AA357:AA418" si="42">+Y357+Z357</f>
        <v>0</v>
      </c>
      <c r="AB357" s="59">
        <f t="shared" si="35"/>
        <v>3100</v>
      </c>
      <c r="AD357" s="59" t="s">
        <v>1565</v>
      </c>
      <c r="AF357" s="59"/>
    </row>
    <row r="358" spans="1:32" x14ac:dyDescent="0.3">
      <c r="A358" s="39">
        <v>7</v>
      </c>
      <c r="B358" s="41" t="s">
        <v>604</v>
      </c>
      <c r="C358" s="50" t="s">
        <v>605</v>
      </c>
      <c r="D358" s="50" t="s">
        <v>1223</v>
      </c>
      <c r="E358" s="50" t="s">
        <v>25</v>
      </c>
      <c r="F358" s="51" t="s">
        <v>25</v>
      </c>
      <c r="G358" s="50" t="s">
        <v>866</v>
      </c>
      <c r="H358" s="59">
        <v>8175.74</v>
      </c>
      <c r="I358" s="59">
        <v>-2553.3200000000002</v>
      </c>
      <c r="J358" s="59">
        <v>0</v>
      </c>
      <c r="K358" s="59">
        <v>0</v>
      </c>
      <c r="L358" s="59">
        <v>0</v>
      </c>
      <c r="M358" s="59">
        <v>-80</v>
      </c>
      <c r="N358" s="59">
        <v>0</v>
      </c>
      <c r="O358" s="59">
        <f t="shared" si="36"/>
        <v>5542.42</v>
      </c>
      <c r="P358" s="59">
        <v>-2700</v>
      </c>
      <c r="Q358" s="59">
        <v>0</v>
      </c>
      <c r="R358" s="59">
        <v>0</v>
      </c>
      <c r="S358" s="59">
        <v>0</v>
      </c>
      <c r="T358" s="59">
        <v>0</v>
      </c>
      <c r="U358" s="59">
        <v>0</v>
      </c>
      <c r="V358" s="59">
        <v>0</v>
      </c>
      <c r="W358" s="59">
        <f t="shared" si="34"/>
        <v>2842.42</v>
      </c>
      <c r="X358" s="59">
        <f t="shared" si="40"/>
        <v>2842.42</v>
      </c>
      <c r="Y358" s="59">
        <f t="shared" si="41"/>
        <v>0</v>
      </c>
      <c r="Z358" s="59">
        <v>0</v>
      </c>
      <c r="AA358" s="59">
        <f t="shared" si="42"/>
        <v>0</v>
      </c>
      <c r="AB358" s="59">
        <f t="shared" si="35"/>
        <v>2700</v>
      </c>
      <c r="AD358" s="59" t="s">
        <v>1566</v>
      </c>
      <c r="AF358" s="59"/>
    </row>
    <row r="359" spans="1:32" x14ac:dyDescent="0.3">
      <c r="A359" s="39">
        <v>7</v>
      </c>
      <c r="B359" s="41" t="s">
        <v>1029</v>
      </c>
      <c r="C359" s="50" t="s">
        <v>68</v>
      </c>
      <c r="D359" s="50" t="s">
        <v>869</v>
      </c>
      <c r="E359" s="50" t="s">
        <v>25</v>
      </c>
      <c r="F359" s="51" t="s">
        <v>25</v>
      </c>
      <c r="G359" s="50" t="s">
        <v>866</v>
      </c>
      <c r="H359" s="59">
        <v>5093.28</v>
      </c>
      <c r="I359" s="59">
        <v>-372.23</v>
      </c>
      <c r="J359" s="59">
        <v>-87.64</v>
      </c>
      <c r="K359" s="59">
        <v>459.6</v>
      </c>
      <c r="L359" s="59">
        <v>-43.449999999999989</v>
      </c>
      <c r="M359" s="59">
        <v>-20</v>
      </c>
      <c r="N359" s="59">
        <v>0</v>
      </c>
      <c r="O359" s="59">
        <f t="shared" si="36"/>
        <v>5029.5599999999995</v>
      </c>
      <c r="P359" s="59">
        <v>-2500</v>
      </c>
      <c r="Q359" s="59">
        <v>0</v>
      </c>
      <c r="R359" s="59">
        <v>0</v>
      </c>
      <c r="S359" s="59">
        <v>0</v>
      </c>
      <c r="T359" s="59">
        <v>0</v>
      </c>
      <c r="U359" s="59">
        <v>0</v>
      </c>
      <c r="V359" s="59">
        <v>0</v>
      </c>
      <c r="W359" s="59">
        <f t="shared" si="34"/>
        <v>2529.5599999999995</v>
      </c>
      <c r="X359" s="59">
        <f t="shared" si="40"/>
        <v>2529.5599999999995</v>
      </c>
      <c r="Y359" s="59">
        <f t="shared" si="41"/>
        <v>0</v>
      </c>
      <c r="Z359" s="59">
        <v>0</v>
      </c>
      <c r="AA359" s="59">
        <f t="shared" si="42"/>
        <v>0</v>
      </c>
      <c r="AB359" s="59">
        <f t="shared" si="35"/>
        <v>2500</v>
      </c>
      <c r="AD359" s="59" t="s">
        <v>1567</v>
      </c>
      <c r="AF359" s="59"/>
    </row>
    <row r="360" spans="1:32" x14ac:dyDescent="0.3">
      <c r="A360" s="39">
        <v>7</v>
      </c>
      <c r="B360" s="41" t="s">
        <v>1449</v>
      </c>
      <c r="C360" s="50" t="s">
        <v>152</v>
      </c>
      <c r="D360" s="50" t="s">
        <v>1108</v>
      </c>
      <c r="E360" s="50" t="s">
        <v>25</v>
      </c>
      <c r="F360" s="51" t="s">
        <v>25</v>
      </c>
      <c r="G360" s="50" t="s">
        <v>866</v>
      </c>
      <c r="H360" s="59">
        <v>9985.2900000000009</v>
      </c>
      <c r="I360" s="59">
        <v>-2674.3100000000004</v>
      </c>
      <c r="J360" s="59">
        <v>-56</v>
      </c>
      <c r="K360" s="59">
        <v>19.579999999999998</v>
      </c>
      <c r="L360" s="59">
        <v>0</v>
      </c>
      <c r="M360" s="59">
        <v>-80</v>
      </c>
      <c r="N360" s="59">
        <v>0</v>
      </c>
      <c r="O360" s="59">
        <f t="shared" si="36"/>
        <v>7194.56</v>
      </c>
      <c r="P360" s="59">
        <v>-2500</v>
      </c>
      <c r="Q360" s="59">
        <v>0</v>
      </c>
      <c r="R360" s="59">
        <v>-500</v>
      </c>
      <c r="S360" s="59">
        <v>0</v>
      </c>
      <c r="T360" s="59">
        <v>-500</v>
      </c>
      <c r="U360" s="59">
        <v>0</v>
      </c>
      <c r="V360" s="59">
        <v>0</v>
      </c>
      <c r="W360" s="59">
        <f t="shared" si="34"/>
        <v>3694.5600000000004</v>
      </c>
      <c r="X360" s="59">
        <f t="shared" si="40"/>
        <v>3694.5600000000004</v>
      </c>
      <c r="Y360" s="59">
        <f t="shared" si="41"/>
        <v>0</v>
      </c>
      <c r="Z360" s="59">
        <v>0</v>
      </c>
      <c r="AA360" s="59">
        <f t="shared" si="42"/>
        <v>0</v>
      </c>
      <c r="AB360" s="59">
        <f t="shared" si="35"/>
        <v>3500</v>
      </c>
      <c r="AD360" s="59" t="s">
        <v>1568</v>
      </c>
      <c r="AF360" s="59"/>
    </row>
    <row r="361" spans="1:32" ht="13.5" customHeight="1" x14ac:dyDescent="0.3">
      <c r="A361" s="39">
        <v>7</v>
      </c>
      <c r="B361" s="41" t="s">
        <v>1141</v>
      </c>
      <c r="C361" s="50" t="s">
        <v>120</v>
      </c>
      <c r="D361" s="50" t="s">
        <v>950</v>
      </c>
      <c r="E361" s="50" t="s">
        <v>25</v>
      </c>
      <c r="F361" s="51" t="s">
        <v>25</v>
      </c>
      <c r="G361" s="50" t="s">
        <v>866</v>
      </c>
      <c r="H361" s="59">
        <v>2432.5300000000002</v>
      </c>
      <c r="I361" s="59">
        <v>-655.59</v>
      </c>
      <c r="J361" s="59">
        <v>0</v>
      </c>
      <c r="K361" s="59">
        <v>0</v>
      </c>
      <c r="L361" s="59">
        <v>0</v>
      </c>
      <c r="M361" s="59">
        <v>-40</v>
      </c>
      <c r="N361" s="59">
        <v>0</v>
      </c>
      <c r="O361" s="59">
        <f t="shared" si="36"/>
        <v>1736.94</v>
      </c>
      <c r="P361" s="59">
        <v>-2500</v>
      </c>
      <c r="Q361" s="59">
        <v>0</v>
      </c>
      <c r="R361" s="59">
        <v>0</v>
      </c>
      <c r="S361" s="59">
        <v>0</v>
      </c>
      <c r="T361" s="59">
        <v>-700</v>
      </c>
      <c r="U361" s="59">
        <v>0</v>
      </c>
      <c r="V361" s="59">
        <v>0</v>
      </c>
      <c r="W361" s="59">
        <f t="shared" si="34"/>
        <v>-1463.06</v>
      </c>
      <c r="X361" s="59">
        <f t="shared" si="40"/>
        <v>0</v>
      </c>
      <c r="Y361" s="59">
        <f t="shared" si="41"/>
        <v>-1463.06</v>
      </c>
      <c r="Z361" s="59">
        <v>1500</v>
      </c>
      <c r="AA361" s="59">
        <f t="shared" si="42"/>
        <v>36.940000000000055</v>
      </c>
      <c r="AB361" s="59">
        <f t="shared" si="35"/>
        <v>3273.88</v>
      </c>
      <c r="AD361" s="59" t="s">
        <v>1946</v>
      </c>
      <c r="AF361" s="59"/>
    </row>
    <row r="362" spans="1:32" x14ac:dyDescent="0.3">
      <c r="A362" s="39">
        <v>7</v>
      </c>
      <c r="B362" s="41" t="s">
        <v>1515</v>
      </c>
      <c r="C362" s="50" t="s">
        <v>257</v>
      </c>
      <c r="D362" s="50" t="s">
        <v>943</v>
      </c>
      <c r="E362" s="50" t="s">
        <v>25</v>
      </c>
      <c r="F362" s="51" t="s">
        <v>25</v>
      </c>
      <c r="G362" s="50" t="s">
        <v>866</v>
      </c>
      <c r="H362" s="59">
        <v>2045.84</v>
      </c>
      <c r="I362" s="59">
        <v>-499.19000000000005</v>
      </c>
      <c r="J362" s="59">
        <v>-84</v>
      </c>
      <c r="K362" s="59">
        <v>9.7899999999999991</v>
      </c>
      <c r="L362" s="59">
        <v>0</v>
      </c>
      <c r="M362" s="59">
        <v>-53.168800000000005</v>
      </c>
      <c r="N362" s="59">
        <v>-109.74000000000001</v>
      </c>
      <c r="O362" s="59">
        <f t="shared" si="36"/>
        <v>1309.5311999999999</v>
      </c>
      <c r="P362" s="59">
        <v>-2500</v>
      </c>
      <c r="Q362" s="59">
        <v>0</v>
      </c>
      <c r="R362" s="59">
        <v>429</v>
      </c>
      <c r="S362" s="59">
        <v>0</v>
      </c>
      <c r="T362" s="59">
        <v>0</v>
      </c>
      <c r="U362" s="59">
        <f>-1069.64+1000</f>
        <v>-69.6400000000001</v>
      </c>
      <c r="V362" s="59">
        <v>0</v>
      </c>
      <c r="W362" s="59">
        <f t="shared" si="34"/>
        <v>-831.1088000000002</v>
      </c>
      <c r="X362" s="59">
        <f t="shared" si="40"/>
        <v>0</v>
      </c>
      <c r="Y362" s="59">
        <f t="shared" si="41"/>
        <v>-831.1088000000002</v>
      </c>
      <c r="Z362" s="59">
        <v>0</v>
      </c>
      <c r="AA362" s="59">
        <f t="shared" si="42"/>
        <v>-831.1088000000002</v>
      </c>
      <c r="AB362" s="59">
        <f t="shared" si="35"/>
        <v>478.4223999999997</v>
      </c>
      <c r="AD362" s="59" t="s">
        <v>1569</v>
      </c>
      <c r="AF362" s="59"/>
    </row>
    <row r="363" spans="1:32" x14ac:dyDescent="0.3">
      <c r="A363" s="39">
        <v>7</v>
      </c>
      <c r="B363" s="41" t="s">
        <v>1151</v>
      </c>
      <c r="C363" s="50" t="s">
        <v>1285</v>
      </c>
      <c r="D363" s="50" t="s">
        <v>1340</v>
      </c>
      <c r="E363" s="50" t="s">
        <v>25</v>
      </c>
      <c r="F363" s="51" t="s">
        <v>25</v>
      </c>
      <c r="G363" s="50" t="s">
        <v>866</v>
      </c>
      <c r="H363" s="59">
        <v>5496.91</v>
      </c>
      <c r="I363" s="59">
        <v>0</v>
      </c>
      <c r="J363" s="59">
        <v>-87.2</v>
      </c>
      <c r="K363" s="59">
        <v>301.04000000000002</v>
      </c>
      <c r="L363" s="59">
        <v>0</v>
      </c>
      <c r="M363" s="59">
        <v>0</v>
      </c>
      <c r="N363" s="59">
        <v>0</v>
      </c>
      <c r="O363" s="59">
        <f t="shared" si="36"/>
        <v>5710.75</v>
      </c>
      <c r="P363" s="59">
        <v>-2700</v>
      </c>
      <c r="Q363" s="59">
        <v>0</v>
      </c>
      <c r="R363" s="59">
        <v>0</v>
      </c>
      <c r="S363" s="59">
        <v>0</v>
      </c>
      <c r="T363" s="59">
        <v>0</v>
      </c>
      <c r="U363" s="59">
        <v>0</v>
      </c>
      <c r="V363" s="59">
        <v>0</v>
      </c>
      <c r="W363" s="59">
        <f t="shared" si="34"/>
        <v>3010.75</v>
      </c>
      <c r="X363" s="59">
        <f t="shared" si="40"/>
        <v>3010.75</v>
      </c>
      <c r="Y363" s="59">
        <f t="shared" si="41"/>
        <v>0</v>
      </c>
      <c r="Z363" s="59">
        <v>0</v>
      </c>
      <c r="AA363" s="59">
        <f t="shared" si="42"/>
        <v>0</v>
      </c>
      <c r="AB363" s="59">
        <f t="shared" si="35"/>
        <v>2700</v>
      </c>
      <c r="AD363" s="59" t="s">
        <v>1570</v>
      </c>
      <c r="AF363" s="59"/>
    </row>
    <row r="364" spans="1:32" x14ac:dyDescent="0.3">
      <c r="A364" s="39">
        <v>7</v>
      </c>
      <c r="B364" s="41" t="s">
        <v>1310</v>
      </c>
      <c r="C364" s="50" t="s">
        <v>101</v>
      </c>
      <c r="D364" s="50" t="s">
        <v>945</v>
      </c>
      <c r="E364" s="50" t="s">
        <v>25</v>
      </c>
      <c r="F364" s="51" t="s">
        <v>25</v>
      </c>
      <c r="G364" s="50" t="s">
        <v>866</v>
      </c>
      <c r="H364" s="59">
        <v>5841.59</v>
      </c>
      <c r="I364" s="59">
        <v>-2420.2500000000005</v>
      </c>
      <c r="J364" s="59">
        <v>0</v>
      </c>
      <c r="K364" s="59">
        <v>0</v>
      </c>
      <c r="L364" s="59">
        <v>0</v>
      </c>
      <c r="M364" s="59">
        <v>-96.154399999999995</v>
      </c>
      <c r="N364" s="59">
        <v>-134.62</v>
      </c>
      <c r="O364" s="59">
        <f t="shared" si="36"/>
        <v>3190.5655999999999</v>
      </c>
      <c r="P364" s="59">
        <v>-2500</v>
      </c>
      <c r="Q364" s="59">
        <v>0</v>
      </c>
      <c r="R364" s="59">
        <v>-500</v>
      </c>
      <c r="S364" s="59">
        <v>0</v>
      </c>
      <c r="T364" s="59">
        <v>0</v>
      </c>
      <c r="U364" s="59">
        <v>0</v>
      </c>
      <c r="V364" s="59">
        <v>0</v>
      </c>
      <c r="W364" s="59">
        <f t="shared" si="34"/>
        <v>190.5655999999999</v>
      </c>
      <c r="X364" s="59">
        <f t="shared" si="40"/>
        <v>190.5655999999999</v>
      </c>
      <c r="Y364" s="59">
        <f t="shared" si="41"/>
        <v>0</v>
      </c>
      <c r="Z364" s="59">
        <v>0</v>
      </c>
      <c r="AA364" s="59">
        <f t="shared" si="42"/>
        <v>0</v>
      </c>
      <c r="AB364" s="59">
        <f t="shared" si="35"/>
        <v>3000</v>
      </c>
      <c r="AD364" s="59" t="s">
        <v>1571</v>
      </c>
      <c r="AF364" s="59"/>
    </row>
    <row r="365" spans="1:32" x14ac:dyDescent="0.3">
      <c r="A365" s="39">
        <v>7</v>
      </c>
      <c r="B365" s="41" t="s">
        <v>913</v>
      </c>
      <c r="C365" s="50" t="s">
        <v>361</v>
      </c>
      <c r="D365" s="50" t="s">
        <v>1164</v>
      </c>
      <c r="E365" s="50" t="s">
        <v>25</v>
      </c>
      <c r="F365" s="51" t="s">
        <v>25</v>
      </c>
      <c r="G365" s="50" t="s">
        <v>866</v>
      </c>
      <c r="H365" s="59">
        <v>3658.05</v>
      </c>
      <c r="I365" s="59">
        <v>-3758.6000000000004</v>
      </c>
      <c r="J365" s="59">
        <v>0</v>
      </c>
      <c r="K365" s="59">
        <v>0</v>
      </c>
      <c r="L365" s="59">
        <v>0</v>
      </c>
      <c r="M365" s="59">
        <v>-92.376800000000003</v>
      </c>
      <c r="N365" s="59">
        <v>-103.14</v>
      </c>
      <c r="O365" s="59">
        <f t="shared" si="36"/>
        <v>-195.51679999999999</v>
      </c>
      <c r="P365" s="59">
        <v>-2700</v>
      </c>
      <c r="Q365" s="59">
        <f>-789*1.12</f>
        <v>-883.68000000000006</v>
      </c>
      <c r="R365" s="59">
        <v>0</v>
      </c>
      <c r="S365" s="59">
        <v>0</v>
      </c>
      <c r="T365" s="59">
        <v>0</v>
      </c>
      <c r="U365" s="59">
        <v>0</v>
      </c>
      <c r="V365" s="59">
        <v>0</v>
      </c>
      <c r="W365" s="59">
        <f t="shared" si="34"/>
        <v>-3779.1967999999997</v>
      </c>
      <c r="X365" s="59">
        <f t="shared" si="40"/>
        <v>0</v>
      </c>
      <c r="Y365" s="59">
        <f t="shared" si="41"/>
        <v>-3779.1967999999997</v>
      </c>
      <c r="Z365" s="59">
        <f>2000+300+500+400</f>
        <v>3200</v>
      </c>
      <c r="AA365" s="59">
        <f t="shared" si="42"/>
        <v>-579.19679999999971</v>
      </c>
      <c r="AB365" s="59">
        <f t="shared" si="35"/>
        <v>2425.2864000000004</v>
      </c>
      <c r="AD365" s="59" t="s">
        <v>1947</v>
      </c>
      <c r="AF365" s="59"/>
    </row>
    <row r="366" spans="1:32" x14ac:dyDescent="0.3">
      <c r="A366" s="39">
        <v>7</v>
      </c>
      <c r="B366" s="41" t="s">
        <v>913</v>
      </c>
      <c r="C366" s="50" t="s">
        <v>120</v>
      </c>
      <c r="D366" s="50" t="s">
        <v>950</v>
      </c>
      <c r="E366" s="50" t="s">
        <v>25</v>
      </c>
      <c r="F366" s="51" t="s">
        <v>25</v>
      </c>
      <c r="G366" s="50" t="s">
        <v>866</v>
      </c>
      <c r="H366" s="59">
        <v>0</v>
      </c>
      <c r="I366" s="59">
        <v>0</v>
      </c>
      <c r="J366" s="59">
        <v>0</v>
      </c>
      <c r="K366" s="59">
        <v>0</v>
      </c>
      <c r="L366" s="59">
        <v>0</v>
      </c>
      <c r="M366" s="59">
        <v>0</v>
      </c>
      <c r="N366" s="59">
        <v>0</v>
      </c>
      <c r="O366" s="59">
        <f t="shared" si="36"/>
        <v>0</v>
      </c>
      <c r="P366" s="59">
        <v>0</v>
      </c>
      <c r="Q366" s="59">
        <v>0</v>
      </c>
      <c r="R366" s="59">
        <v>0</v>
      </c>
      <c r="S366" s="59">
        <v>0</v>
      </c>
      <c r="T366" s="59">
        <v>-700</v>
      </c>
      <c r="U366" s="59">
        <v>0</v>
      </c>
      <c r="V366" s="59">
        <v>0</v>
      </c>
      <c r="W366" s="59">
        <f t="shared" si="34"/>
        <v>-700</v>
      </c>
      <c r="X366" s="59">
        <f t="shared" si="40"/>
        <v>0</v>
      </c>
      <c r="Y366" s="59">
        <f t="shared" si="41"/>
        <v>-700</v>
      </c>
      <c r="Z366" s="59">
        <v>700</v>
      </c>
      <c r="AA366" s="59">
        <f t="shared" si="42"/>
        <v>0</v>
      </c>
      <c r="AB366" s="59">
        <f t="shared" si="35"/>
        <v>700</v>
      </c>
      <c r="AD366" s="59"/>
      <c r="AF366" s="59"/>
    </row>
    <row r="367" spans="1:32" x14ac:dyDescent="0.3">
      <c r="A367" s="39">
        <v>7</v>
      </c>
      <c r="B367" s="41" t="s">
        <v>1403</v>
      </c>
      <c r="C367" s="50" t="s">
        <v>195</v>
      </c>
      <c r="D367" s="50" t="s">
        <v>1404</v>
      </c>
      <c r="E367" s="50" t="s">
        <v>871</v>
      </c>
      <c r="F367" s="51" t="s">
        <v>39</v>
      </c>
      <c r="G367" s="50" t="s">
        <v>866</v>
      </c>
      <c r="H367" s="59">
        <v>6193.86</v>
      </c>
      <c r="I367" s="59">
        <v>-1852.47</v>
      </c>
      <c r="J367" s="59">
        <v>0</v>
      </c>
      <c r="K367" s="59">
        <v>0</v>
      </c>
      <c r="L367" s="59">
        <v>0</v>
      </c>
      <c r="M367" s="59">
        <v>-20</v>
      </c>
      <c r="N367" s="59">
        <v>0</v>
      </c>
      <c r="O367" s="59">
        <f t="shared" si="36"/>
        <v>4321.3899999999994</v>
      </c>
      <c r="P367" s="59">
        <v>-2500</v>
      </c>
      <c r="Q367" s="59">
        <v>0</v>
      </c>
      <c r="R367" s="59">
        <v>-500</v>
      </c>
      <c r="S367" s="59">
        <v>0</v>
      </c>
      <c r="T367" s="59">
        <v>-700</v>
      </c>
      <c r="U367" s="59">
        <v>0</v>
      </c>
      <c r="V367" s="59">
        <v>0</v>
      </c>
      <c r="W367" s="59">
        <f t="shared" si="34"/>
        <v>621.38999999999942</v>
      </c>
      <c r="X367" s="59">
        <f t="shared" si="40"/>
        <v>621.38999999999942</v>
      </c>
      <c r="Y367" s="59">
        <f t="shared" si="41"/>
        <v>0</v>
      </c>
      <c r="Z367" s="59">
        <v>0</v>
      </c>
      <c r="AA367" s="59">
        <f t="shared" si="42"/>
        <v>0</v>
      </c>
      <c r="AB367" s="59">
        <f t="shared" si="35"/>
        <v>3700</v>
      </c>
      <c r="AD367" s="59" t="s">
        <v>1572</v>
      </c>
      <c r="AF367" s="59"/>
    </row>
    <row r="368" spans="1:32" x14ac:dyDescent="0.3">
      <c r="A368" s="39">
        <v>7</v>
      </c>
      <c r="B368" s="41" t="s">
        <v>1295</v>
      </c>
      <c r="C368" s="50" t="s">
        <v>53</v>
      </c>
      <c r="D368" s="50" t="s">
        <v>1167</v>
      </c>
      <c r="E368" s="50" t="s">
        <v>25</v>
      </c>
      <c r="F368" s="51" t="s">
        <v>25</v>
      </c>
      <c r="G368" s="50" t="s">
        <v>866</v>
      </c>
      <c r="H368" s="59">
        <v>4149.68</v>
      </c>
      <c r="I368" s="59">
        <v>-1107.1099999999999</v>
      </c>
      <c r="J368" s="59">
        <v>0</v>
      </c>
      <c r="K368" s="59">
        <v>0</v>
      </c>
      <c r="L368" s="59">
        <v>0</v>
      </c>
      <c r="M368" s="59">
        <v>-70</v>
      </c>
      <c r="N368" s="59">
        <v>0</v>
      </c>
      <c r="O368" s="59">
        <f t="shared" si="36"/>
        <v>2972.5700000000006</v>
      </c>
      <c r="P368" s="59">
        <v>-2500</v>
      </c>
      <c r="Q368" s="59">
        <v>0</v>
      </c>
      <c r="R368" s="59">
        <v>-500</v>
      </c>
      <c r="S368" s="59">
        <v>0</v>
      </c>
      <c r="T368" s="59">
        <v>0</v>
      </c>
      <c r="U368" s="59">
        <v>0</v>
      </c>
      <c r="V368" s="59">
        <v>0</v>
      </c>
      <c r="W368" s="59">
        <f t="shared" si="34"/>
        <v>-27.429999999999382</v>
      </c>
      <c r="X368" s="59">
        <f t="shared" si="40"/>
        <v>0</v>
      </c>
      <c r="Y368" s="59">
        <f t="shared" si="41"/>
        <v>-27.429999999999382</v>
      </c>
      <c r="Z368" s="59">
        <v>27</v>
      </c>
      <c r="AA368" s="59">
        <f t="shared" si="42"/>
        <v>-0.42999999999938154</v>
      </c>
      <c r="AB368" s="59">
        <f t="shared" si="35"/>
        <v>2999.1400000000012</v>
      </c>
      <c r="AD368" s="59" t="s">
        <v>1573</v>
      </c>
      <c r="AF368" s="59"/>
    </row>
    <row r="369" spans="1:32" x14ac:dyDescent="0.3">
      <c r="A369" s="39">
        <v>7</v>
      </c>
      <c r="B369" s="41" t="s">
        <v>1522</v>
      </c>
      <c r="C369" s="50" t="s">
        <v>169</v>
      </c>
      <c r="D369" s="50" t="s">
        <v>967</v>
      </c>
      <c r="E369" s="50" t="s">
        <v>871</v>
      </c>
      <c r="F369" s="51" t="s">
        <v>39</v>
      </c>
      <c r="G369" s="50" t="s">
        <v>866</v>
      </c>
      <c r="H369" s="59">
        <v>3744.81</v>
      </c>
      <c r="I369" s="59">
        <v>-512.54</v>
      </c>
      <c r="J369" s="59">
        <v>-132</v>
      </c>
      <c r="K369" s="59">
        <v>0</v>
      </c>
      <c r="L369" s="59">
        <v>0</v>
      </c>
      <c r="M369" s="59">
        <v>-40</v>
      </c>
      <c r="N369" s="59">
        <v>-31</v>
      </c>
      <c r="O369" s="59">
        <f t="shared" si="36"/>
        <v>3029.27</v>
      </c>
      <c r="P369" s="59">
        <v>-2500</v>
      </c>
      <c r="Q369" s="59">
        <v>0</v>
      </c>
      <c r="R369" s="59">
        <v>-500</v>
      </c>
      <c r="S369" s="59">
        <v>0</v>
      </c>
      <c r="T369" s="59">
        <v>0</v>
      </c>
      <c r="U369" s="59">
        <v>0</v>
      </c>
      <c r="V369" s="59">
        <v>0</v>
      </c>
      <c r="W369" s="59">
        <f t="shared" si="34"/>
        <v>29.269999999999982</v>
      </c>
      <c r="X369" s="59">
        <f t="shared" si="40"/>
        <v>29.269999999999982</v>
      </c>
      <c r="Y369" s="59">
        <f t="shared" si="41"/>
        <v>0</v>
      </c>
      <c r="Z369" s="59">
        <v>0</v>
      </c>
      <c r="AA369" s="59">
        <f t="shared" si="42"/>
        <v>0</v>
      </c>
      <c r="AB369" s="59">
        <f t="shared" si="35"/>
        <v>3000</v>
      </c>
      <c r="AD369" s="59" t="s">
        <v>1574</v>
      </c>
      <c r="AF369" s="59"/>
    </row>
    <row r="370" spans="1:32" x14ac:dyDescent="0.3">
      <c r="A370" s="39">
        <v>7</v>
      </c>
      <c r="B370" s="41" t="s">
        <v>457</v>
      </c>
      <c r="C370" s="50" t="s">
        <v>672</v>
      </c>
      <c r="D370" s="50" t="s">
        <v>1226</v>
      </c>
      <c r="E370" s="50" t="s">
        <v>25</v>
      </c>
      <c r="F370" s="51" t="s">
        <v>25</v>
      </c>
      <c r="G370" s="50" t="s">
        <v>866</v>
      </c>
      <c r="H370" s="59">
        <v>0</v>
      </c>
      <c r="I370" s="59">
        <v>0</v>
      </c>
      <c r="J370" s="59">
        <v>0</v>
      </c>
      <c r="K370" s="59">
        <v>0</v>
      </c>
      <c r="L370" s="59">
        <v>0</v>
      </c>
      <c r="M370" s="59">
        <v>-8.879999999999999</v>
      </c>
      <c r="N370" s="59">
        <v>-74</v>
      </c>
      <c r="O370" s="59">
        <f t="shared" si="36"/>
        <v>-82.88</v>
      </c>
      <c r="P370" s="59">
        <v>-2500</v>
      </c>
      <c r="Q370" s="59">
        <v>0</v>
      </c>
      <c r="R370" s="59">
        <v>0</v>
      </c>
      <c r="S370" s="59">
        <v>0</v>
      </c>
      <c r="T370" s="59">
        <v>0</v>
      </c>
      <c r="U370" s="59">
        <v>0</v>
      </c>
      <c r="V370" s="59">
        <v>0</v>
      </c>
      <c r="W370" s="59">
        <f t="shared" si="34"/>
        <v>-2582.88</v>
      </c>
      <c r="X370" s="59">
        <f t="shared" si="40"/>
        <v>0</v>
      </c>
      <c r="Y370" s="59">
        <f t="shared" si="41"/>
        <v>-2582.88</v>
      </c>
      <c r="Z370" s="59">
        <f>370+1300+445+354+430</f>
        <v>2899</v>
      </c>
      <c r="AA370" s="59">
        <f t="shared" si="42"/>
        <v>316.11999999999989</v>
      </c>
      <c r="AB370" s="59">
        <f t="shared" si="35"/>
        <v>3132.24</v>
      </c>
      <c r="AD370" s="59" t="s">
        <v>1948</v>
      </c>
      <c r="AF370" s="59"/>
    </row>
    <row r="371" spans="1:32" x14ac:dyDescent="0.3">
      <c r="A371" s="39">
        <v>7</v>
      </c>
      <c r="B371" s="41" t="s">
        <v>612</v>
      </c>
      <c r="C371" s="50" t="s">
        <v>1443</v>
      </c>
      <c r="D371" s="50" t="s">
        <v>1554</v>
      </c>
      <c r="E371" s="50" t="s">
        <v>25</v>
      </c>
      <c r="F371" s="51" t="s">
        <v>25</v>
      </c>
      <c r="G371" s="50" t="s">
        <v>866</v>
      </c>
      <c r="H371" s="59">
        <v>0</v>
      </c>
      <c r="I371" s="59">
        <v>0</v>
      </c>
      <c r="J371" s="59">
        <v>0</v>
      </c>
      <c r="K371" s="59">
        <v>0</v>
      </c>
      <c r="L371" s="59">
        <v>0</v>
      </c>
      <c r="M371" s="59">
        <v>0</v>
      </c>
      <c r="N371" s="59">
        <v>0</v>
      </c>
      <c r="O371" s="59">
        <f t="shared" si="36"/>
        <v>0</v>
      </c>
      <c r="P371" s="59">
        <v>0</v>
      </c>
      <c r="Q371" s="59">
        <v>0</v>
      </c>
      <c r="R371" s="59">
        <v>500</v>
      </c>
      <c r="S371" s="59">
        <v>0</v>
      </c>
      <c r="T371" s="59">
        <v>0</v>
      </c>
      <c r="U371" s="59">
        <v>0</v>
      </c>
      <c r="V371" s="59">
        <v>0</v>
      </c>
      <c r="W371" s="59">
        <f t="shared" si="34"/>
        <v>500</v>
      </c>
      <c r="X371" s="59">
        <f t="shared" si="40"/>
        <v>500</v>
      </c>
      <c r="Y371" s="59">
        <f t="shared" si="41"/>
        <v>0</v>
      </c>
      <c r="Z371" s="59">
        <v>0</v>
      </c>
      <c r="AA371" s="59">
        <f t="shared" si="42"/>
        <v>0</v>
      </c>
      <c r="AB371" s="59">
        <f t="shared" si="35"/>
        <v>-500</v>
      </c>
      <c r="AD371" s="59" t="s">
        <v>1575</v>
      </c>
      <c r="AF371" s="59"/>
    </row>
    <row r="372" spans="1:32" x14ac:dyDescent="0.3">
      <c r="A372" s="39">
        <v>7</v>
      </c>
      <c r="B372" s="41" t="s">
        <v>620</v>
      </c>
      <c r="C372" s="50" t="s">
        <v>571</v>
      </c>
      <c r="D372" s="50" t="s">
        <v>974</v>
      </c>
      <c r="E372" s="50" t="s">
        <v>25</v>
      </c>
      <c r="F372" s="51" t="s">
        <v>25</v>
      </c>
      <c r="G372" s="50" t="s">
        <v>737</v>
      </c>
      <c r="H372" s="59">
        <v>0</v>
      </c>
      <c r="I372" s="59">
        <v>0</v>
      </c>
      <c r="J372" s="59">
        <v>0</v>
      </c>
      <c r="K372" s="59">
        <v>0</v>
      </c>
      <c r="L372" s="59">
        <v>0</v>
      </c>
      <c r="M372" s="59">
        <v>0</v>
      </c>
      <c r="N372" s="59">
        <v>0</v>
      </c>
      <c r="O372" s="59">
        <f t="shared" si="36"/>
        <v>0</v>
      </c>
      <c r="P372" s="59">
        <v>0</v>
      </c>
      <c r="Q372" s="59">
        <v>0</v>
      </c>
      <c r="R372" s="59">
        <v>0</v>
      </c>
      <c r="S372" s="59">
        <v>0</v>
      </c>
      <c r="T372" s="59">
        <v>-700</v>
      </c>
      <c r="U372" s="59">
        <v>0</v>
      </c>
      <c r="V372" s="59">
        <v>0</v>
      </c>
      <c r="W372" s="59">
        <f t="shared" si="34"/>
        <v>-700</v>
      </c>
      <c r="X372" s="59">
        <f t="shared" si="40"/>
        <v>0</v>
      </c>
      <c r="Y372" s="59">
        <f t="shared" si="41"/>
        <v>-700</v>
      </c>
      <c r="Z372" s="59">
        <v>0</v>
      </c>
      <c r="AA372" s="59">
        <f t="shared" si="42"/>
        <v>-700</v>
      </c>
      <c r="AB372" s="59">
        <f t="shared" si="35"/>
        <v>-700</v>
      </c>
      <c r="AD372" s="59"/>
      <c r="AF372" s="59"/>
    </row>
    <row r="373" spans="1:32" x14ac:dyDescent="0.3">
      <c r="A373" s="39">
        <v>7</v>
      </c>
      <c r="B373" s="41" t="s">
        <v>1056</v>
      </c>
      <c r="C373" s="50" t="s">
        <v>760</v>
      </c>
      <c r="D373" s="50" t="s">
        <v>1239</v>
      </c>
      <c r="E373" s="50" t="s">
        <v>25</v>
      </c>
      <c r="F373" s="51" t="s">
        <v>25</v>
      </c>
      <c r="G373" s="50" t="s">
        <v>866</v>
      </c>
      <c r="H373" s="59">
        <v>5566.9</v>
      </c>
      <c r="I373" s="59">
        <v>0</v>
      </c>
      <c r="J373" s="59">
        <v>0</v>
      </c>
      <c r="K373" s="59">
        <v>119.11</v>
      </c>
      <c r="L373" s="59">
        <v>0</v>
      </c>
      <c r="M373" s="59">
        <v>0</v>
      </c>
      <c r="N373" s="59">
        <v>0</v>
      </c>
      <c r="O373" s="59">
        <f t="shared" si="36"/>
        <v>5686.0099999999993</v>
      </c>
      <c r="P373" s="59">
        <v>-5538</v>
      </c>
      <c r="Q373" s="59">
        <v>0</v>
      </c>
      <c r="S373" s="59">
        <v>0</v>
      </c>
      <c r="T373" s="59">
        <v>0</v>
      </c>
      <c r="U373" s="59">
        <v>0</v>
      </c>
      <c r="V373" s="59">
        <v>0</v>
      </c>
      <c r="W373" s="59">
        <f t="shared" si="34"/>
        <v>148.00999999999931</v>
      </c>
      <c r="X373" s="59">
        <f t="shared" si="40"/>
        <v>148.00999999999931</v>
      </c>
      <c r="Y373" s="59">
        <f t="shared" si="41"/>
        <v>0</v>
      </c>
      <c r="Z373" s="59">
        <v>0</v>
      </c>
      <c r="AA373" s="59">
        <f t="shared" si="42"/>
        <v>0</v>
      </c>
      <c r="AB373" s="59">
        <f t="shared" si="35"/>
        <v>5538</v>
      </c>
      <c r="AD373" s="59" t="s">
        <v>1949</v>
      </c>
      <c r="AF373" s="59"/>
    </row>
    <row r="374" spans="1:32" x14ac:dyDescent="0.3">
      <c r="A374" s="39">
        <v>7</v>
      </c>
      <c r="B374" s="41" t="s">
        <v>1153</v>
      </c>
      <c r="C374" s="50" t="s">
        <v>1328</v>
      </c>
      <c r="D374" s="50" t="s">
        <v>1576</v>
      </c>
      <c r="E374" s="50" t="s">
        <v>25</v>
      </c>
      <c r="F374" s="51" t="s">
        <v>25</v>
      </c>
      <c r="G374" s="50" t="s">
        <v>866</v>
      </c>
      <c r="H374" s="59">
        <v>2513.4499999999998</v>
      </c>
      <c r="I374" s="59">
        <v>-1732.8600000000001</v>
      </c>
      <c r="J374" s="59">
        <v>0</v>
      </c>
      <c r="K374" s="59">
        <v>218.6</v>
      </c>
      <c r="L374" s="59">
        <v>0</v>
      </c>
      <c r="M374" s="59">
        <v>-73.2196</v>
      </c>
      <c r="N374" s="59">
        <v>-26.83</v>
      </c>
      <c r="O374" s="59">
        <f t="shared" si="36"/>
        <v>899.14039999999966</v>
      </c>
      <c r="P374" s="59">
        <v>-2700</v>
      </c>
      <c r="Q374" s="59">
        <v>0</v>
      </c>
      <c r="R374" s="59">
        <v>0</v>
      </c>
      <c r="S374" s="59">
        <v>0</v>
      </c>
      <c r="T374" s="59">
        <v>0</v>
      </c>
      <c r="U374" s="59">
        <v>0</v>
      </c>
      <c r="V374" s="59">
        <v>0</v>
      </c>
      <c r="W374" s="59">
        <f t="shared" si="34"/>
        <v>-1800.8596000000002</v>
      </c>
      <c r="X374" s="59">
        <f t="shared" si="40"/>
        <v>0</v>
      </c>
      <c r="Y374" s="59">
        <f t="shared" si="41"/>
        <v>-1800.8596000000002</v>
      </c>
      <c r="Z374" s="59">
        <v>1000</v>
      </c>
      <c r="AA374" s="59">
        <f t="shared" si="42"/>
        <v>-800.85960000000023</v>
      </c>
      <c r="AB374" s="59">
        <f t="shared" si="35"/>
        <v>1098.2807999999995</v>
      </c>
      <c r="AD374" s="59" t="s">
        <v>1950</v>
      </c>
      <c r="AF374" s="59"/>
    </row>
    <row r="375" spans="1:32" x14ac:dyDescent="0.3">
      <c r="A375" s="39">
        <v>7</v>
      </c>
      <c r="B375" s="41" t="s">
        <v>1405</v>
      </c>
      <c r="C375" s="50" t="s">
        <v>1316</v>
      </c>
      <c r="D375" s="50" t="s">
        <v>1317</v>
      </c>
      <c r="E375" s="50" t="s">
        <v>25</v>
      </c>
      <c r="F375" s="51" t="s">
        <v>25</v>
      </c>
      <c r="G375" s="50" t="s">
        <v>737</v>
      </c>
      <c r="H375" s="59">
        <v>0</v>
      </c>
      <c r="I375" s="59">
        <v>0</v>
      </c>
      <c r="J375" s="59">
        <v>0</v>
      </c>
      <c r="K375" s="59">
        <v>0</v>
      </c>
      <c r="L375" s="59">
        <v>0</v>
      </c>
      <c r="M375" s="59">
        <v>0</v>
      </c>
      <c r="N375" s="59">
        <v>0</v>
      </c>
      <c r="O375" s="59">
        <f t="shared" si="36"/>
        <v>0</v>
      </c>
      <c r="P375" s="59">
        <v>-2700</v>
      </c>
      <c r="Q375" s="59">
        <v>0</v>
      </c>
      <c r="R375" s="59">
        <v>-500</v>
      </c>
      <c r="S375" s="59">
        <v>0</v>
      </c>
      <c r="T375" s="59">
        <v>0</v>
      </c>
      <c r="U375" s="59">
        <v>0</v>
      </c>
      <c r="V375" s="59">
        <v>0</v>
      </c>
      <c r="W375" s="59">
        <f t="shared" si="34"/>
        <v>-3200</v>
      </c>
      <c r="X375" s="59">
        <f t="shared" si="40"/>
        <v>0</v>
      </c>
      <c r="Y375" s="59">
        <f t="shared" si="41"/>
        <v>-3200</v>
      </c>
      <c r="Z375" s="59">
        <v>1200</v>
      </c>
      <c r="AA375" s="59">
        <f t="shared" si="42"/>
        <v>-2000</v>
      </c>
      <c r="AB375" s="59">
        <f t="shared" si="35"/>
        <v>-800</v>
      </c>
      <c r="AD375" s="59" t="s">
        <v>1951</v>
      </c>
      <c r="AF375" s="59"/>
    </row>
    <row r="376" spans="1:32" x14ac:dyDescent="0.3">
      <c r="A376" s="39">
        <v>7</v>
      </c>
      <c r="B376" s="41" t="s">
        <v>872</v>
      </c>
      <c r="C376" s="50" t="s">
        <v>256</v>
      </c>
      <c r="D376" s="50" t="s">
        <v>997</v>
      </c>
      <c r="E376" s="50" t="s">
        <v>871</v>
      </c>
      <c r="F376" s="51" t="s">
        <v>39</v>
      </c>
      <c r="G376" s="50" t="s">
        <v>866</v>
      </c>
      <c r="H376" s="59">
        <v>9997.02</v>
      </c>
      <c r="I376" s="59">
        <v>-5269.39</v>
      </c>
      <c r="J376" s="59">
        <v>-74.400000000000006</v>
      </c>
      <c r="K376" s="59">
        <v>0</v>
      </c>
      <c r="L376" s="59">
        <v>-94.68</v>
      </c>
      <c r="M376" s="59">
        <v>-100</v>
      </c>
      <c r="N376" s="59">
        <v>-34</v>
      </c>
      <c r="O376" s="59">
        <f>IF(H376+I376&lt;0,SUM(J376:N376),SUM(H376:N376))</f>
        <v>4424.55</v>
      </c>
      <c r="P376" s="59">
        <v>-2500</v>
      </c>
      <c r="Q376" s="59">
        <v>0</v>
      </c>
      <c r="R376" s="59">
        <v>0</v>
      </c>
      <c r="S376" s="59">
        <v>0</v>
      </c>
      <c r="T376" s="59">
        <v>0</v>
      </c>
      <c r="U376" s="59">
        <v>0</v>
      </c>
      <c r="V376" s="59">
        <v>0</v>
      </c>
      <c r="W376" s="59">
        <f t="shared" si="34"/>
        <v>1924.5500000000002</v>
      </c>
      <c r="X376" s="59">
        <f t="shared" si="40"/>
        <v>1924.5500000000002</v>
      </c>
      <c r="Y376" s="59">
        <f t="shared" si="41"/>
        <v>0</v>
      </c>
      <c r="Z376" s="59">
        <v>0</v>
      </c>
      <c r="AA376" s="59">
        <f t="shared" si="42"/>
        <v>0</v>
      </c>
      <c r="AB376" s="59">
        <f t="shared" si="35"/>
        <v>2500</v>
      </c>
      <c r="AD376" s="59" t="s">
        <v>1577</v>
      </c>
      <c r="AF376" s="59"/>
    </row>
    <row r="377" spans="1:32" x14ac:dyDescent="0.3">
      <c r="A377" s="39">
        <v>7</v>
      </c>
      <c r="B377" s="41" t="s">
        <v>1314</v>
      </c>
      <c r="C377" s="50" t="s">
        <v>334</v>
      </c>
      <c r="D377" s="50" t="s">
        <v>1169</v>
      </c>
      <c r="E377" s="50" t="s">
        <v>25</v>
      </c>
      <c r="F377" s="51" t="s">
        <v>25</v>
      </c>
      <c r="G377" s="50" t="s">
        <v>866</v>
      </c>
      <c r="H377" s="59">
        <v>8332.4</v>
      </c>
      <c r="I377" s="59">
        <v>-4573.07</v>
      </c>
      <c r="J377" s="59">
        <v>-56</v>
      </c>
      <c r="K377" s="59">
        <v>0</v>
      </c>
      <c r="L377" s="59">
        <v>0</v>
      </c>
      <c r="M377" s="59">
        <v>-100</v>
      </c>
      <c r="N377" s="59">
        <v>0</v>
      </c>
      <c r="O377" s="59">
        <f t="shared" si="36"/>
        <v>3603.33</v>
      </c>
      <c r="P377" s="59">
        <v>-2500</v>
      </c>
      <c r="Q377" s="59">
        <v>0</v>
      </c>
      <c r="R377" s="59">
        <v>-500</v>
      </c>
      <c r="S377" s="59">
        <v>0</v>
      </c>
      <c r="T377" s="59">
        <v>0</v>
      </c>
      <c r="U377" s="59">
        <v>0</v>
      </c>
      <c r="V377" s="59">
        <v>0</v>
      </c>
      <c r="W377" s="59">
        <f t="shared" si="34"/>
        <v>603.32999999999993</v>
      </c>
      <c r="X377" s="59">
        <f t="shared" si="40"/>
        <v>603.32999999999993</v>
      </c>
      <c r="Y377" s="59">
        <f t="shared" si="41"/>
        <v>0</v>
      </c>
      <c r="Z377" s="59">
        <v>0</v>
      </c>
      <c r="AA377" s="59">
        <f t="shared" si="42"/>
        <v>0</v>
      </c>
      <c r="AB377" s="59">
        <f t="shared" si="35"/>
        <v>3000</v>
      </c>
      <c r="AD377" s="59" t="s">
        <v>1578</v>
      </c>
      <c r="AF377" s="59"/>
    </row>
    <row r="378" spans="1:32" x14ac:dyDescent="0.3">
      <c r="A378" s="39">
        <v>7</v>
      </c>
      <c r="B378" s="41" t="s">
        <v>874</v>
      </c>
      <c r="C378" s="50" t="s">
        <v>100</v>
      </c>
      <c r="D378" s="50" t="s">
        <v>1300</v>
      </c>
      <c r="E378" s="50" t="s">
        <v>25</v>
      </c>
      <c r="F378" s="51" t="s">
        <v>25</v>
      </c>
      <c r="G378" s="50" t="s">
        <v>737</v>
      </c>
      <c r="H378" s="59">
        <v>0</v>
      </c>
      <c r="I378" s="59">
        <v>0</v>
      </c>
      <c r="J378" s="59">
        <v>0</v>
      </c>
      <c r="K378" s="59">
        <v>0</v>
      </c>
      <c r="L378" s="59">
        <v>0</v>
      </c>
      <c r="M378" s="59">
        <v>0</v>
      </c>
      <c r="N378" s="59">
        <v>0</v>
      </c>
      <c r="O378" s="59">
        <f t="shared" si="36"/>
        <v>0</v>
      </c>
      <c r="P378" s="59">
        <v>-2500</v>
      </c>
      <c r="Q378" s="59">
        <v>0</v>
      </c>
      <c r="R378" s="59">
        <v>0</v>
      </c>
      <c r="S378" s="59">
        <v>0</v>
      </c>
      <c r="T378" s="59">
        <v>0</v>
      </c>
      <c r="U378" s="59">
        <v>0</v>
      </c>
      <c r="V378" s="59">
        <v>0</v>
      </c>
      <c r="W378" s="59">
        <f t="shared" si="34"/>
        <v>-2500</v>
      </c>
      <c r="X378" s="59">
        <f t="shared" si="40"/>
        <v>0</v>
      </c>
      <c r="Y378" s="59">
        <f t="shared" si="41"/>
        <v>-2500</v>
      </c>
      <c r="Z378" s="59">
        <v>2500</v>
      </c>
      <c r="AA378" s="59">
        <f t="shared" si="42"/>
        <v>0</v>
      </c>
      <c r="AB378" s="59">
        <f t="shared" si="35"/>
        <v>2500</v>
      </c>
      <c r="AD378" s="59" t="s">
        <v>1579</v>
      </c>
      <c r="AF378" s="59"/>
    </row>
    <row r="379" spans="1:32" x14ac:dyDescent="0.3">
      <c r="A379" s="39">
        <v>7</v>
      </c>
      <c r="B379" s="41" t="s">
        <v>1157</v>
      </c>
      <c r="C379" s="50" t="s">
        <v>1265</v>
      </c>
      <c r="D379" s="50" t="s">
        <v>1580</v>
      </c>
      <c r="E379" s="50" t="s">
        <v>25</v>
      </c>
      <c r="F379" s="51" t="s">
        <v>25</v>
      </c>
      <c r="G379" s="50" t="s">
        <v>866</v>
      </c>
      <c r="H379" s="59">
        <v>12980.3</v>
      </c>
      <c r="I379" s="59">
        <v>-5281.489999999998</v>
      </c>
      <c r="J379" s="59">
        <v>-223.2</v>
      </c>
      <c r="K379" s="59">
        <v>0</v>
      </c>
      <c r="L379" s="59">
        <v>0</v>
      </c>
      <c r="M379" s="59">
        <v>-56.2988</v>
      </c>
      <c r="N379" s="59">
        <v>-52.49</v>
      </c>
      <c r="O379" s="59">
        <f t="shared" si="36"/>
        <v>7366.8212000000021</v>
      </c>
      <c r="P379" s="59">
        <v>-2700</v>
      </c>
      <c r="Q379" s="59">
        <v>0</v>
      </c>
      <c r="R379" s="59">
        <v>0</v>
      </c>
      <c r="S379" s="59">
        <v>0</v>
      </c>
      <c r="T379" s="59">
        <v>0</v>
      </c>
      <c r="U379" s="59">
        <v>0</v>
      </c>
      <c r="V379" s="59">
        <v>0</v>
      </c>
      <c r="W379" s="59">
        <f t="shared" si="34"/>
        <v>4666.8212000000021</v>
      </c>
      <c r="X379" s="59">
        <f t="shared" si="40"/>
        <v>4666.8212000000021</v>
      </c>
      <c r="Y379" s="59">
        <f t="shared" si="41"/>
        <v>0</v>
      </c>
      <c r="Z379" s="59">
        <v>0</v>
      </c>
      <c r="AA379" s="59">
        <f t="shared" si="42"/>
        <v>0</v>
      </c>
      <c r="AB379" s="59">
        <f t="shared" si="35"/>
        <v>2700</v>
      </c>
      <c r="AD379" s="59" t="s">
        <v>1581</v>
      </c>
      <c r="AF379" s="59"/>
    </row>
    <row r="380" spans="1:32" x14ac:dyDescent="0.3">
      <c r="A380" s="39">
        <v>7</v>
      </c>
      <c r="B380" s="41" t="s">
        <v>1312</v>
      </c>
      <c r="C380" s="50" t="s">
        <v>1439</v>
      </c>
      <c r="D380" s="50" t="s">
        <v>1582</v>
      </c>
      <c r="E380" s="50" t="s">
        <v>25</v>
      </c>
      <c r="F380" s="51" t="s">
        <v>25</v>
      </c>
      <c r="G380" s="50" t="s">
        <v>866</v>
      </c>
      <c r="H380" s="59">
        <v>106.64</v>
      </c>
      <c r="I380" s="59">
        <v>0</v>
      </c>
      <c r="J380" s="59">
        <v>0</v>
      </c>
      <c r="K380" s="59">
        <v>0</v>
      </c>
      <c r="L380" s="59">
        <v>0</v>
      </c>
      <c r="M380" s="59">
        <v>-3</v>
      </c>
      <c r="N380" s="59">
        <v>-25</v>
      </c>
      <c r="O380" s="59">
        <f t="shared" si="36"/>
        <v>78.64</v>
      </c>
      <c r="P380" s="59">
        <v>-2700</v>
      </c>
      <c r="Q380" s="59">
        <v>0</v>
      </c>
      <c r="R380" s="59">
        <v>-500</v>
      </c>
      <c r="S380" s="59">
        <v>0</v>
      </c>
      <c r="T380" s="59">
        <v>0</v>
      </c>
      <c r="U380" s="59">
        <v>0</v>
      </c>
      <c r="V380" s="59">
        <v>0</v>
      </c>
      <c r="W380" s="59">
        <f t="shared" si="34"/>
        <v>-3121.36</v>
      </c>
      <c r="X380" s="59">
        <f t="shared" si="40"/>
        <v>0</v>
      </c>
      <c r="Y380" s="59">
        <f t="shared" si="41"/>
        <v>-3121.36</v>
      </c>
      <c r="Z380" s="59">
        <v>0</v>
      </c>
      <c r="AA380" s="59">
        <f t="shared" si="42"/>
        <v>-3121.36</v>
      </c>
      <c r="AB380" s="59">
        <f t="shared" si="35"/>
        <v>-3042.7200000000003</v>
      </c>
      <c r="AD380" s="59"/>
      <c r="AF380" s="59"/>
    </row>
    <row r="381" spans="1:32" x14ac:dyDescent="0.3">
      <c r="A381" s="39">
        <v>7</v>
      </c>
      <c r="B381" s="41" t="s">
        <v>1190</v>
      </c>
      <c r="C381" s="50" t="s">
        <v>573</v>
      </c>
      <c r="D381" s="50" t="s">
        <v>1149</v>
      </c>
      <c r="E381" s="50" t="s">
        <v>25</v>
      </c>
      <c r="F381" s="51" t="s">
        <v>25</v>
      </c>
      <c r="G381" s="50" t="s">
        <v>866</v>
      </c>
      <c r="H381" s="59">
        <v>4058.15</v>
      </c>
      <c r="I381" s="59">
        <v>0</v>
      </c>
      <c r="J381" s="59">
        <v>-24</v>
      </c>
      <c r="K381" s="59">
        <v>0</v>
      </c>
      <c r="L381" s="59">
        <v>0</v>
      </c>
      <c r="M381" s="59">
        <v>0</v>
      </c>
      <c r="N381" s="59">
        <v>0</v>
      </c>
      <c r="O381" s="59">
        <f t="shared" si="36"/>
        <v>4034.15</v>
      </c>
      <c r="P381" s="59">
        <v>-2500</v>
      </c>
      <c r="Q381" s="59">
        <v>-3966</v>
      </c>
      <c r="R381" s="59">
        <v>-500</v>
      </c>
      <c r="S381" s="59">
        <v>0</v>
      </c>
      <c r="T381" s="59">
        <v>0</v>
      </c>
      <c r="U381" s="59">
        <v>0</v>
      </c>
      <c r="V381" s="59">
        <v>0</v>
      </c>
      <c r="W381" s="59">
        <f t="shared" si="34"/>
        <v>-2931.85</v>
      </c>
      <c r="X381" s="59">
        <f t="shared" si="40"/>
        <v>0</v>
      </c>
      <c r="Y381" s="59">
        <f t="shared" si="41"/>
        <v>-2931.85</v>
      </c>
      <c r="Z381" s="59">
        <v>0</v>
      </c>
      <c r="AA381" s="59">
        <f t="shared" si="42"/>
        <v>-2931.85</v>
      </c>
      <c r="AB381" s="59">
        <f t="shared" si="35"/>
        <v>1102.3000000000002</v>
      </c>
      <c r="AD381" s="59"/>
      <c r="AF381" s="59"/>
    </row>
    <row r="382" spans="1:32" x14ac:dyDescent="0.3">
      <c r="A382" s="39">
        <v>7</v>
      </c>
      <c r="B382" s="41" t="s">
        <v>484</v>
      </c>
      <c r="C382" s="50" t="s">
        <v>1065</v>
      </c>
      <c r="D382" s="50" t="s">
        <v>1159</v>
      </c>
      <c r="E382" s="50" t="s">
        <v>25</v>
      </c>
      <c r="F382" s="51" t="s">
        <v>25</v>
      </c>
      <c r="G382" s="50" t="s">
        <v>866</v>
      </c>
      <c r="H382" s="59">
        <v>9159.7099999999991</v>
      </c>
      <c r="I382" s="59">
        <v>-5059.9599999999982</v>
      </c>
      <c r="J382" s="59">
        <v>-223.2</v>
      </c>
      <c r="K382" s="59">
        <v>0</v>
      </c>
      <c r="L382" s="59">
        <v>0</v>
      </c>
      <c r="M382" s="59">
        <v>-50</v>
      </c>
      <c r="N382" s="59">
        <v>0</v>
      </c>
      <c r="O382" s="59">
        <f t="shared" si="36"/>
        <v>3826.5500000000011</v>
      </c>
      <c r="P382" s="59">
        <v>-2500</v>
      </c>
      <c r="Q382" s="59">
        <v>0</v>
      </c>
      <c r="R382" s="59">
        <v>0</v>
      </c>
      <c r="S382" s="59">
        <v>0</v>
      </c>
      <c r="T382" s="59">
        <v>0</v>
      </c>
      <c r="U382" s="59">
        <v>0</v>
      </c>
      <c r="V382" s="59">
        <v>0</v>
      </c>
      <c r="W382" s="59">
        <f t="shared" si="34"/>
        <v>1326.5500000000011</v>
      </c>
      <c r="X382" s="59">
        <f t="shared" si="40"/>
        <v>1326.5500000000011</v>
      </c>
      <c r="Y382" s="59">
        <f t="shared" si="41"/>
        <v>0</v>
      </c>
      <c r="AA382" s="59">
        <f t="shared" si="42"/>
        <v>0</v>
      </c>
      <c r="AB382" s="59">
        <f t="shared" si="35"/>
        <v>2500</v>
      </c>
      <c r="AD382" s="59" t="s">
        <v>1583</v>
      </c>
      <c r="AF382" s="59"/>
    </row>
    <row r="383" spans="1:32" x14ac:dyDescent="0.3">
      <c r="A383" s="39">
        <v>7</v>
      </c>
      <c r="B383" s="41" t="s">
        <v>408</v>
      </c>
      <c r="C383" s="50" t="s">
        <v>361</v>
      </c>
      <c r="D383" s="50" t="s">
        <v>1164</v>
      </c>
      <c r="E383" s="50" t="s">
        <v>25</v>
      </c>
      <c r="F383" s="51" t="s">
        <v>25</v>
      </c>
      <c r="G383" s="50" t="s">
        <v>866</v>
      </c>
      <c r="H383" s="59">
        <v>3341.45</v>
      </c>
      <c r="I383" s="59">
        <v>-289.98</v>
      </c>
      <c r="J383" s="59">
        <v>0</v>
      </c>
      <c r="K383" s="59">
        <v>0</v>
      </c>
      <c r="L383" s="59">
        <v>0</v>
      </c>
      <c r="M383" s="59">
        <v>-20</v>
      </c>
      <c r="N383" s="59">
        <v>0</v>
      </c>
      <c r="O383" s="59">
        <f t="shared" si="36"/>
        <v>3031.47</v>
      </c>
      <c r="P383" s="59">
        <v>-2700</v>
      </c>
      <c r="Q383" s="59">
        <v>0</v>
      </c>
      <c r="R383" s="59">
        <v>-500</v>
      </c>
      <c r="S383" s="59">
        <v>0</v>
      </c>
      <c r="T383" s="59">
        <v>0</v>
      </c>
      <c r="U383" s="59">
        <v>0</v>
      </c>
      <c r="V383" s="59">
        <v>0</v>
      </c>
      <c r="W383" s="59">
        <f t="shared" si="34"/>
        <v>-168.5300000000002</v>
      </c>
      <c r="X383" s="59">
        <f t="shared" si="40"/>
        <v>0</v>
      </c>
      <c r="Y383" s="59">
        <f t="shared" si="41"/>
        <v>-168.5300000000002</v>
      </c>
      <c r="Z383" s="59">
        <v>170</v>
      </c>
      <c r="AA383" s="59">
        <f t="shared" si="42"/>
        <v>1.4699999999997999</v>
      </c>
      <c r="AB383" s="59">
        <f t="shared" si="35"/>
        <v>3202.9399999999996</v>
      </c>
      <c r="AD383" s="59" t="s">
        <v>1584</v>
      </c>
      <c r="AF383" s="59"/>
    </row>
    <row r="384" spans="1:32" x14ac:dyDescent="0.3">
      <c r="A384" s="39">
        <v>7</v>
      </c>
      <c r="B384" s="41" t="s">
        <v>1432</v>
      </c>
      <c r="C384" s="50" t="s">
        <v>183</v>
      </c>
      <c r="D384" s="50" t="s">
        <v>887</v>
      </c>
      <c r="E384" s="50" t="s">
        <v>25</v>
      </c>
      <c r="F384" s="51" t="s">
        <v>25</v>
      </c>
      <c r="G384" s="50" t="s">
        <v>866</v>
      </c>
      <c r="H384" s="59">
        <v>0</v>
      </c>
      <c r="I384" s="59">
        <v>0</v>
      </c>
      <c r="J384" s="59">
        <v>0</v>
      </c>
      <c r="K384" s="59">
        <v>0</v>
      </c>
      <c r="L384" s="59">
        <v>0</v>
      </c>
      <c r="M384" s="59">
        <v>0</v>
      </c>
      <c r="N384" s="59">
        <v>0</v>
      </c>
      <c r="O384" s="59">
        <f t="shared" si="36"/>
        <v>0</v>
      </c>
      <c r="P384" s="59">
        <v>-2500</v>
      </c>
      <c r="Q384" s="59">
        <v>0</v>
      </c>
      <c r="R384" s="59">
        <v>-500</v>
      </c>
      <c r="S384" s="59">
        <v>0</v>
      </c>
      <c r="T384" s="59">
        <v>0</v>
      </c>
      <c r="U384" s="59">
        <v>0</v>
      </c>
      <c r="V384" s="59">
        <v>0</v>
      </c>
      <c r="W384" s="59">
        <f t="shared" si="34"/>
        <v>-3000</v>
      </c>
      <c r="X384" s="59">
        <f t="shared" si="40"/>
        <v>0</v>
      </c>
      <c r="Y384" s="59">
        <f t="shared" si="41"/>
        <v>-3000</v>
      </c>
      <c r="Z384" s="59">
        <f>2000+1000</f>
        <v>3000</v>
      </c>
      <c r="AA384" s="59">
        <f t="shared" si="42"/>
        <v>0</v>
      </c>
      <c r="AB384" s="59">
        <f t="shared" si="35"/>
        <v>3000</v>
      </c>
      <c r="AD384" s="59" t="s">
        <v>1585</v>
      </c>
      <c r="AF384" s="59"/>
    </row>
    <row r="385" spans="1:32" x14ac:dyDescent="0.3">
      <c r="A385" s="39">
        <v>7</v>
      </c>
      <c r="B385" s="41" t="s">
        <v>747</v>
      </c>
      <c r="C385" s="50" t="s">
        <v>1586</v>
      </c>
      <c r="D385" s="50" t="s">
        <v>1587</v>
      </c>
      <c r="E385" s="50" t="s">
        <v>25</v>
      </c>
      <c r="F385" s="51" t="s">
        <v>25</v>
      </c>
      <c r="G385" s="50" t="s">
        <v>866</v>
      </c>
      <c r="H385" s="59">
        <v>1949.21</v>
      </c>
      <c r="I385" s="59">
        <v>0</v>
      </c>
      <c r="J385" s="59">
        <v>-18.95</v>
      </c>
      <c r="K385" s="59">
        <v>47.68</v>
      </c>
      <c r="L385" s="59">
        <v>0</v>
      </c>
      <c r="M385" s="59">
        <v>0</v>
      </c>
      <c r="N385" s="59">
        <v>0</v>
      </c>
      <c r="O385" s="59">
        <f t="shared" si="36"/>
        <v>1977.94</v>
      </c>
      <c r="P385" s="59">
        <v>-2700</v>
      </c>
      <c r="Q385" s="59">
        <v>0</v>
      </c>
      <c r="R385" s="59">
        <v>-500</v>
      </c>
      <c r="S385" s="59">
        <v>0</v>
      </c>
      <c r="T385" s="59">
        <v>0</v>
      </c>
      <c r="U385" s="59">
        <v>0</v>
      </c>
      <c r="V385" s="59">
        <v>0</v>
      </c>
      <c r="W385" s="59">
        <f t="shared" si="34"/>
        <v>-1222.06</v>
      </c>
      <c r="X385" s="59">
        <f t="shared" si="40"/>
        <v>0</v>
      </c>
      <c r="Y385" s="59">
        <f t="shared" si="41"/>
        <v>-1222.06</v>
      </c>
      <c r="Z385" s="59">
        <f>1000+250</f>
        <v>1250</v>
      </c>
      <c r="AA385" s="59">
        <f t="shared" si="42"/>
        <v>27.940000000000055</v>
      </c>
      <c r="AB385" s="59">
        <f t="shared" si="35"/>
        <v>3255.88</v>
      </c>
      <c r="AD385" s="59" t="s">
        <v>1952</v>
      </c>
      <c r="AF385" s="59"/>
    </row>
    <row r="386" spans="1:32" x14ac:dyDescent="0.3">
      <c r="A386" s="39">
        <v>7</v>
      </c>
      <c r="B386" s="41" t="s">
        <v>1244</v>
      </c>
      <c r="C386" s="50" t="s">
        <v>1429</v>
      </c>
      <c r="D386" s="50" t="s">
        <v>1588</v>
      </c>
      <c r="E386" s="50" t="s">
        <v>25</v>
      </c>
      <c r="F386" s="51" t="s">
        <v>25</v>
      </c>
      <c r="G386" s="50" t="s">
        <v>866</v>
      </c>
      <c r="H386" s="59">
        <v>7869.29</v>
      </c>
      <c r="I386" s="59">
        <v>-4883.2499999999982</v>
      </c>
      <c r="J386" s="59">
        <v>0</v>
      </c>
      <c r="K386" s="59">
        <v>0</v>
      </c>
      <c r="L386" s="59">
        <v>0</v>
      </c>
      <c r="M386" s="59">
        <v>-101.44</v>
      </c>
      <c r="N386" s="59">
        <v>-12</v>
      </c>
      <c r="O386" s="59">
        <f t="shared" si="36"/>
        <v>2872.6000000000017</v>
      </c>
      <c r="P386" s="59">
        <v>-2700</v>
      </c>
      <c r="Q386" s="59">
        <v>-40</v>
      </c>
      <c r="R386" s="59">
        <v>-500</v>
      </c>
      <c r="S386" s="59">
        <v>0</v>
      </c>
      <c r="T386" s="59">
        <v>0</v>
      </c>
      <c r="U386" s="59">
        <v>0</v>
      </c>
      <c r="V386" s="59">
        <v>0</v>
      </c>
      <c r="W386" s="59">
        <f t="shared" ref="W386:W449" si="43">SUM(O386:V386)</f>
        <v>-367.39999999999827</v>
      </c>
      <c r="X386" s="59">
        <f t="shared" si="40"/>
        <v>0</v>
      </c>
      <c r="Y386" s="59">
        <f t="shared" si="41"/>
        <v>-367.39999999999827</v>
      </c>
      <c r="Z386" s="59">
        <v>370</v>
      </c>
      <c r="AA386" s="59">
        <f t="shared" si="42"/>
        <v>2.600000000001728</v>
      </c>
      <c r="AB386" s="59">
        <f t="shared" ref="AB386:AB449" si="44">+O386-X386+Z386+AA386</f>
        <v>3245.2000000000035</v>
      </c>
      <c r="AD386" s="59" t="s">
        <v>1953</v>
      </c>
      <c r="AF386" s="59"/>
    </row>
    <row r="387" spans="1:32" x14ac:dyDescent="0.3">
      <c r="A387" s="39">
        <v>7</v>
      </c>
      <c r="B387" s="41" t="s">
        <v>1307</v>
      </c>
      <c r="C387" s="50" t="s">
        <v>150</v>
      </c>
      <c r="D387" s="50" t="s">
        <v>1308</v>
      </c>
      <c r="E387" s="50" t="s">
        <v>25</v>
      </c>
      <c r="F387" s="51" t="s">
        <v>25</v>
      </c>
      <c r="G387" s="50" t="s">
        <v>866</v>
      </c>
      <c r="H387" s="59">
        <v>4701.5600000000004</v>
      </c>
      <c r="I387" s="59">
        <v>-985.36</v>
      </c>
      <c r="J387" s="59">
        <v>0</v>
      </c>
      <c r="K387" s="59">
        <v>0</v>
      </c>
      <c r="L387" s="59">
        <v>0</v>
      </c>
      <c r="M387" s="59">
        <v>-50</v>
      </c>
      <c r="N387" s="59">
        <v>0</v>
      </c>
      <c r="O387" s="59">
        <f t="shared" si="36"/>
        <v>3666.2000000000003</v>
      </c>
      <c r="P387" s="59">
        <v>-2500</v>
      </c>
      <c r="Q387" s="59">
        <v>0</v>
      </c>
      <c r="R387" s="59">
        <v>-500</v>
      </c>
      <c r="S387" s="59">
        <v>0</v>
      </c>
      <c r="T387" s="59">
        <v>0</v>
      </c>
      <c r="U387" s="59">
        <v>0</v>
      </c>
      <c r="V387" s="59">
        <v>0</v>
      </c>
      <c r="W387" s="59">
        <f t="shared" si="43"/>
        <v>666.20000000000027</v>
      </c>
      <c r="X387" s="59">
        <f t="shared" si="40"/>
        <v>666.20000000000027</v>
      </c>
      <c r="Y387" s="59">
        <f t="shared" si="41"/>
        <v>0</v>
      </c>
      <c r="Z387" s="59">
        <v>0</v>
      </c>
      <c r="AA387" s="59">
        <f t="shared" si="42"/>
        <v>0</v>
      </c>
      <c r="AB387" s="59">
        <f t="shared" si="44"/>
        <v>3000</v>
      </c>
      <c r="AD387" s="59" t="s">
        <v>1589</v>
      </c>
      <c r="AF387" s="59"/>
    </row>
    <row r="388" spans="1:32" x14ac:dyDescent="0.3">
      <c r="A388" s="39">
        <v>7</v>
      </c>
      <c r="B388" s="41" t="s">
        <v>1425</v>
      </c>
      <c r="C388" s="50" t="s">
        <v>426</v>
      </c>
      <c r="D388" s="50" t="s">
        <v>903</v>
      </c>
      <c r="E388" s="50" t="s">
        <v>25</v>
      </c>
      <c r="F388" s="51" t="s">
        <v>25</v>
      </c>
      <c r="G388" s="50" t="s">
        <v>866</v>
      </c>
      <c r="H388" s="59">
        <v>8373.7800000000007</v>
      </c>
      <c r="I388" s="59">
        <v>0</v>
      </c>
      <c r="J388" s="59">
        <v>-330.4</v>
      </c>
      <c r="K388" s="59">
        <v>0</v>
      </c>
      <c r="L388" s="59">
        <v>0</v>
      </c>
      <c r="M388" s="59">
        <v>-7.3199999999999994</v>
      </c>
      <c r="N388" s="59">
        <v>-61</v>
      </c>
      <c r="O388" s="59">
        <f t="shared" si="36"/>
        <v>7975.0600000000013</v>
      </c>
      <c r="P388" s="59">
        <v>-2500</v>
      </c>
      <c r="Q388" s="59">
        <v>0</v>
      </c>
      <c r="R388" s="59">
        <v>-500</v>
      </c>
      <c r="S388" s="59">
        <v>0</v>
      </c>
      <c r="T388" s="59">
        <v>0</v>
      </c>
      <c r="U388" s="59">
        <v>0</v>
      </c>
      <c r="V388" s="59">
        <v>0</v>
      </c>
      <c r="W388" s="59">
        <f t="shared" si="43"/>
        <v>4975.0600000000013</v>
      </c>
      <c r="X388" s="59">
        <f t="shared" si="40"/>
        <v>4975.0600000000013</v>
      </c>
      <c r="Y388" s="59">
        <f t="shared" si="41"/>
        <v>0</v>
      </c>
      <c r="Z388" s="59">
        <v>0</v>
      </c>
      <c r="AA388" s="59">
        <f t="shared" si="42"/>
        <v>0</v>
      </c>
      <c r="AB388" s="59">
        <f t="shared" si="44"/>
        <v>3000</v>
      </c>
      <c r="AD388" s="59" t="s">
        <v>1590</v>
      </c>
      <c r="AF388" s="59"/>
    </row>
    <row r="389" spans="1:32" x14ac:dyDescent="0.3">
      <c r="A389" s="39">
        <v>7</v>
      </c>
      <c r="B389" s="41" t="s">
        <v>1423</v>
      </c>
      <c r="C389" s="50" t="s">
        <v>55</v>
      </c>
      <c r="D389" s="50" t="s">
        <v>1147</v>
      </c>
      <c r="E389" s="50" t="s">
        <v>25</v>
      </c>
      <c r="F389" s="51" t="s">
        <v>25</v>
      </c>
      <c r="G389" s="50" t="s">
        <v>866</v>
      </c>
      <c r="H389" s="59">
        <v>5770.3</v>
      </c>
      <c r="I389" s="59">
        <v>-803.74000000000024</v>
      </c>
      <c r="J389" s="59">
        <v>-240</v>
      </c>
      <c r="K389" s="59">
        <v>0</v>
      </c>
      <c r="L389" s="59">
        <v>0</v>
      </c>
      <c r="M389" s="59">
        <v>-50</v>
      </c>
      <c r="N389" s="59">
        <v>0</v>
      </c>
      <c r="O389" s="59">
        <f t="shared" si="36"/>
        <v>4676.5599999999995</v>
      </c>
      <c r="P389" s="59">
        <v>-2500</v>
      </c>
      <c r="Q389" s="59">
        <v>0</v>
      </c>
      <c r="R389" s="59">
        <v>-500</v>
      </c>
      <c r="S389" s="59">
        <v>0</v>
      </c>
      <c r="T389" s="59">
        <v>0</v>
      </c>
      <c r="U389" s="59">
        <v>0</v>
      </c>
      <c r="V389" s="59">
        <v>0</v>
      </c>
      <c r="W389" s="59">
        <f t="shared" si="43"/>
        <v>1676.5599999999995</v>
      </c>
      <c r="X389" s="59">
        <f t="shared" si="40"/>
        <v>1676.5599999999995</v>
      </c>
      <c r="Y389" s="59">
        <f t="shared" si="41"/>
        <v>0</v>
      </c>
      <c r="Z389" s="59">
        <v>0</v>
      </c>
      <c r="AA389" s="59">
        <f t="shared" si="42"/>
        <v>0</v>
      </c>
      <c r="AB389" s="59">
        <f t="shared" si="44"/>
        <v>3000</v>
      </c>
      <c r="AD389" s="59" t="s">
        <v>1591</v>
      </c>
      <c r="AF389" s="59"/>
    </row>
    <row r="390" spans="1:32" x14ac:dyDescent="0.3">
      <c r="A390" s="39">
        <v>7</v>
      </c>
      <c r="B390" s="41" t="s">
        <v>922</v>
      </c>
      <c r="C390" s="50" t="s">
        <v>670</v>
      </c>
      <c r="D390" s="50" t="s">
        <v>1221</v>
      </c>
      <c r="E390" s="50" t="s">
        <v>25</v>
      </c>
      <c r="F390" s="51" t="s">
        <v>25</v>
      </c>
      <c r="G390" s="50" t="s">
        <v>737</v>
      </c>
      <c r="H390" s="59">
        <v>0</v>
      </c>
      <c r="I390" s="59">
        <v>0</v>
      </c>
      <c r="J390" s="59">
        <v>0</v>
      </c>
      <c r="K390" s="59">
        <v>0</v>
      </c>
      <c r="L390" s="59">
        <v>0</v>
      </c>
      <c r="M390" s="59">
        <v>0</v>
      </c>
      <c r="N390" s="59">
        <v>0</v>
      </c>
      <c r="O390" s="59">
        <f t="shared" si="36"/>
        <v>0</v>
      </c>
      <c r="P390" s="59">
        <v>-2500</v>
      </c>
      <c r="Q390" s="59">
        <v>0</v>
      </c>
      <c r="R390" s="59">
        <v>0</v>
      </c>
      <c r="S390" s="59">
        <v>0</v>
      </c>
      <c r="T390" s="59">
        <v>0</v>
      </c>
      <c r="U390" s="59">
        <v>0</v>
      </c>
      <c r="V390" s="59">
        <v>0</v>
      </c>
      <c r="W390" s="59">
        <f t="shared" si="43"/>
        <v>-2500</v>
      </c>
      <c r="X390" s="59">
        <f t="shared" si="40"/>
        <v>0</v>
      </c>
      <c r="Y390" s="59">
        <f t="shared" si="41"/>
        <v>-2500</v>
      </c>
      <c r="Z390" s="59">
        <v>700</v>
      </c>
      <c r="AA390" s="59">
        <f t="shared" si="42"/>
        <v>-1800</v>
      </c>
      <c r="AB390" s="59">
        <f t="shared" si="44"/>
        <v>-1100</v>
      </c>
      <c r="AD390" s="59" t="s">
        <v>1592</v>
      </c>
      <c r="AF390" s="59"/>
    </row>
    <row r="391" spans="1:32" x14ac:dyDescent="0.3">
      <c r="A391" s="39">
        <v>7</v>
      </c>
      <c r="B391" s="41" t="s">
        <v>922</v>
      </c>
      <c r="C391" s="50" t="s">
        <v>104</v>
      </c>
      <c r="D391" s="50" t="s">
        <v>1221</v>
      </c>
      <c r="E391" s="50" t="s">
        <v>25</v>
      </c>
      <c r="F391" s="51" t="s">
        <v>25</v>
      </c>
      <c r="G391" s="50" t="s">
        <v>737</v>
      </c>
      <c r="H391" s="59">
        <v>0</v>
      </c>
      <c r="I391" s="59">
        <v>0</v>
      </c>
      <c r="J391" s="59">
        <v>0</v>
      </c>
      <c r="K391" s="59">
        <v>0</v>
      </c>
      <c r="L391" s="59">
        <v>0</v>
      </c>
      <c r="M391" s="59">
        <v>0</v>
      </c>
      <c r="N391" s="59">
        <v>0</v>
      </c>
      <c r="O391" s="59">
        <f t="shared" si="36"/>
        <v>0</v>
      </c>
      <c r="P391" s="59">
        <v>0</v>
      </c>
      <c r="Q391" s="59">
        <v>0</v>
      </c>
      <c r="R391" s="59">
        <v>0</v>
      </c>
      <c r="S391" s="59">
        <v>0</v>
      </c>
      <c r="T391" s="59">
        <v>-500</v>
      </c>
      <c r="U391" s="59">
        <v>0</v>
      </c>
      <c r="V391" s="59">
        <v>0</v>
      </c>
      <c r="W391" s="59">
        <f t="shared" si="43"/>
        <v>-500</v>
      </c>
      <c r="X391" s="59">
        <f t="shared" si="40"/>
        <v>0</v>
      </c>
      <c r="Y391" s="59">
        <f t="shared" si="41"/>
        <v>-500</v>
      </c>
      <c r="Z391" s="59">
        <v>0</v>
      </c>
      <c r="AA391" s="59">
        <f t="shared" si="42"/>
        <v>-500</v>
      </c>
      <c r="AB391" s="59">
        <f t="shared" si="44"/>
        <v>-500</v>
      </c>
      <c r="AD391" s="59"/>
      <c r="AF391" s="59"/>
    </row>
    <row r="392" spans="1:32" x14ac:dyDescent="0.3">
      <c r="A392" s="39">
        <v>7</v>
      </c>
      <c r="B392" s="41" t="s">
        <v>1120</v>
      </c>
      <c r="C392" s="50" t="s">
        <v>1273</v>
      </c>
      <c r="D392" s="50" t="s">
        <v>1593</v>
      </c>
      <c r="E392" s="50" t="s">
        <v>25</v>
      </c>
      <c r="F392" s="51" t="s">
        <v>25</v>
      </c>
      <c r="G392" s="50" t="s">
        <v>866</v>
      </c>
      <c r="H392" s="59">
        <v>4649.8100000000004</v>
      </c>
      <c r="I392" s="59">
        <v>-1095.6700000000003</v>
      </c>
      <c r="J392" s="59">
        <v>0</v>
      </c>
      <c r="K392" s="59">
        <v>1011.75</v>
      </c>
      <c r="L392" s="59">
        <v>-50.829999999999984</v>
      </c>
      <c r="M392" s="59">
        <v>-50</v>
      </c>
      <c r="N392" s="59">
        <v>0</v>
      </c>
      <c r="O392" s="59">
        <f t="shared" si="36"/>
        <v>4465.0600000000004</v>
      </c>
      <c r="P392" s="59">
        <v>-2700</v>
      </c>
      <c r="Q392" s="59">
        <v>0</v>
      </c>
      <c r="R392" s="59">
        <v>607</v>
      </c>
      <c r="S392" s="59">
        <v>0</v>
      </c>
      <c r="T392" s="59">
        <v>0</v>
      </c>
      <c r="U392" s="59">
        <v>0</v>
      </c>
      <c r="V392" s="59">
        <v>0</v>
      </c>
      <c r="W392" s="59">
        <f t="shared" si="43"/>
        <v>2372.0600000000004</v>
      </c>
      <c r="X392" s="59">
        <f t="shared" si="40"/>
        <v>2372.0600000000004</v>
      </c>
      <c r="Y392" s="59">
        <f t="shared" si="41"/>
        <v>0</v>
      </c>
      <c r="Z392" s="59">
        <v>0</v>
      </c>
      <c r="AA392" s="59">
        <f t="shared" si="42"/>
        <v>0</v>
      </c>
      <c r="AB392" s="59">
        <f t="shared" si="44"/>
        <v>2093</v>
      </c>
      <c r="AD392" s="59" t="s">
        <v>1594</v>
      </c>
      <c r="AF392" s="59"/>
    </row>
    <row r="393" spans="1:32" x14ac:dyDescent="0.3">
      <c r="A393" s="39">
        <v>7</v>
      </c>
      <c r="B393" s="41" t="s">
        <v>515</v>
      </c>
      <c r="C393" s="50" t="s">
        <v>645</v>
      </c>
      <c r="D393" s="50" t="s">
        <v>1122</v>
      </c>
      <c r="E393" s="50" t="s">
        <v>25</v>
      </c>
      <c r="F393" s="51" t="s">
        <v>25</v>
      </c>
      <c r="G393" s="50" t="s">
        <v>866</v>
      </c>
      <c r="H393" s="59">
        <v>9096.01</v>
      </c>
      <c r="I393" s="59">
        <v>-233.98</v>
      </c>
      <c r="J393" s="59">
        <v>-99.2</v>
      </c>
      <c r="K393" s="59">
        <v>145.69999999999999</v>
      </c>
      <c r="L393" s="59">
        <v>0</v>
      </c>
      <c r="M393" s="59">
        <v>-20</v>
      </c>
      <c r="N393" s="59">
        <v>0</v>
      </c>
      <c r="O393" s="59">
        <f t="shared" si="36"/>
        <v>8888.5300000000007</v>
      </c>
      <c r="P393" s="59">
        <v>-2500</v>
      </c>
      <c r="Q393" s="59">
        <v>0</v>
      </c>
      <c r="R393" s="59">
        <v>0</v>
      </c>
      <c r="S393" s="59">
        <v>0</v>
      </c>
      <c r="T393" s="59">
        <v>0</v>
      </c>
      <c r="U393" s="59">
        <v>0</v>
      </c>
      <c r="V393" s="59">
        <v>0</v>
      </c>
      <c r="W393" s="59">
        <f t="shared" si="43"/>
        <v>6388.5300000000007</v>
      </c>
      <c r="X393" s="59">
        <f t="shared" si="40"/>
        <v>6388.5300000000007</v>
      </c>
      <c r="Y393" s="59">
        <f t="shared" si="41"/>
        <v>0</v>
      </c>
      <c r="Z393" s="59">
        <v>0</v>
      </c>
      <c r="AA393" s="59">
        <f t="shared" si="42"/>
        <v>0</v>
      </c>
      <c r="AB393" s="59">
        <f t="shared" si="44"/>
        <v>2500</v>
      </c>
      <c r="AD393" s="59" t="s">
        <v>1595</v>
      </c>
      <c r="AF393" s="59"/>
    </row>
    <row r="394" spans="1:32" x14ac:dyDescent="0.3">
      <c r="A394" s="39">
        <v>7</v>
      </c>
      <c r="B394" s="41" t="s">
        <v>515</v>
      </c>
      <c r="C394" s="50" t="s">
        <v>110</v>
      </c>
      <c r="D394" s="50" t="s">
        <v>912</v>
      </c>
      <c r="E394" s="50" t="s">
        <v>18</v>
      </c>
      <c r="F394" s="51" t="s">
        <v>25</v>
      </c>
      <c r="G394" s="50" t="s">
        <v>866</v>
      </c>
      <c r="H394" s="59">
        <v>0</v>
      </c>
      <c r="I394" s="59">
        <v>0</v>
      </c>
      <c r="J394" s="59">
        <v>0</v>
      </c>
      <c r="K394" s="59">
        <v>0</v>
      </c>
      <c r="L394" s="59">
        <v>0</v>
      </c>
      <c r="M394" s="59">
        <v>0</v>
      </c>
      <c r="N394" s="59">
        <v>0</v>
      </c>
      <c r="O394" s="59">
        <f t="shared" si="36"/>
        <v>0</v>
      </c>
      <c r="P394" s="59">
        <v>0</v>
      </c>
      <c r="Q394" s="59">
        <v>0</v>
      </c>
      <c r="R394" s="59">
        <v>0</v>
      </c>
      <c r="S394" s="59">
        <v>0</v>
      </c>
      <c r="T394" s="59">
        <v>-700</v>
      </c>
      <c r="U394" s="59">
        <v>0</v>
      </c>
      <c r="V394" s="59">
        <v>0</v>
      </c>
      <c r="W394" s="59">
        <f t="shared" si="43"/>
        <v>-700</v>
      </c>
      <c r="X394" s="59">
        <f t="shared" si="40"/>
        <v>0</v>
      </c>
      <c r="Y394" s="59">
        <f t="shared" si="41"/>
        <v>-700</v>
      </c>
      <c r="Z394" s="59">
        <v>0</v>
      </c>
      <c r="AA394" s="59">
        <f t="shared" si="42"/>
        <v>-700</v>
      </c>
      <c r="AB394" s="59">
        <f t="shared" si="44"/>
        <v>-700</v>
      </c>
      <c r="AD394" s="59"/>
      <c r="AF394" s="59"/>
    </row>
    <row r="395" spans="1:32" x14ac:dyDescent="0.3">
      <c r="A395" s="39">
        <v>7</v>
      </c>
      <c r="B395" s="41" t="s">
        <v>1418</v>
      </c>
      <c r="C395" s="50" t="s">
        <v>104</v>
      </c>
      <c r="D395" s="50" t="s">
        <v>1419</v>
      </c>
      <c r="E395" s="50" t="s">
        <v>25</v>
      </c>
      <c r="F395" s="51" t="s">
        <v>25</v>
      </c>
      <c r="G395" s="50" t="s">
        <v>866</v>
      </c>
      <c r="H395" s="59">
        <v>6493.8</v>
      </c>
      <c r="I395" s="59">
        <v>-3218.7000000000003</v>
      </c>
      <c r="J395" s="59">
        <v>0</v>
      </c>
      <c r="K395" s="59">
        <v>0</v>
      </c>
      <c r="L395" s="59">
        <v>0</v>
      </c>
      <c r="M395" s="59">
        <v>-80</v>
      </c>
      <c r="N395" s="59">
        <v>0</v>
      </c>
      <c r="O395" s="59">
        <f t="shared" si="36"/>
        <v>3195.1</v>
      </c>
      <c r="P395" s="59">
        <v>-2500</v>
      </c>
      <c r="Q395" s="59">
        <v>0</v>
      </c>
      <c r="R395" s="59">
        <v>-500</v>
      </c>
      <c r="S395" s="59">
        <v>0</v>
      </c>
      <c r="T395" s="59">
        <v>0</v>
      </c>
      <c r="U395" s="59">
        <v>0</v>
      </c>
      <c r="V395" s="59">
        <v>0</v>
      </c>
      <c r="W395" s="59">
        <f t="shared" si="43"/>
        <v>195.09999999999991</v>
      </c>
      <c r="X395" s="59">
        <f t="shared" si="40"/>
        <v>195.09999999999991</v>
      </c>
      <c r="Y395" s="59">
        <f t="shared" si="41"/>
        <v>0</v>
      </c>
      <c r="Z395" s="59">
        <v>0</v>
      </c>
      <c r="AA395" s="59">
        <f t="shared" si="42"/>
        <v>0</v>
      </c>
      <c r="AB395" s="59">
        <f t="shared" si="44"/>
        <v>3000</v>
      </c>
      <c r="AD395" s="59" t="s">
        <v>1596</v>
      </c>
      <c r="AF395" s="59"/>
    </row>
    <row r="396" spans="1:32" x14ac:dyDescent="0.3">
      <c r="A396" s="39">
        <v>7</v>
      </c>
      <c r="B396" s="41" t="s">
        <v>1025</v>
      </c>
      <c r="C396" s="50" t="s">
        <v>51</v>
      </c>
      <c r="D396" s="50" t="s">
        <v>1115</v>
      </c>
      <c r="E396" s="50" t="s">
        <v>25</v>
      </c>
      <c r="F396" s="51" t="s">
        <v>25</v>
      </c>
      <c r="G396" s="50" t="s">
        <v>866</v>
      </c>
      <c r="H396" s="59">
        <v>224.07</v>
      </c>
      <c r="I396" s="59">
        <v>-39.96</v>
      </c>
      <c r="J396" s="59">
        <v>0</v>
      </c>
      <c r="K396" s="59">
        <v>0</v>
      </c>
      <c r="L396" s="59">
        <v>0</v>
      </c>
      <c r="M396" s="59">
        <v>-10</v>
      </c>
      <c r="N396" s="59">
        <v>0</v>
      </c>
      <c r="O396" s="59">
        <f t="shared" si="36"/>
        <v>174.10999999999999</v>
      </c>
      <c r="P396" s="59">
        <f>(-2500/7)*6.5</f>
        <v>-2321.4285714285716</v>
      </c>
      <c r="Q396" s="59">
        <f>-4245*1.12</f>
        <v>-4754.4000000000005</v>
      </c>
      <c r="R396" s="59">
        <v>0</v>
      </c>
      <c r="S396" s="59">
        <v>0</v>
      </c>
      <c r="T396" s="59">
        <v>0</v>
      </c>
      <c r="U396" s="59">
        <v>0</v>
      </c>
      <c r="V396" s="59">
        <v>0</v>
      </c>
      <c r="W396" s="59">
        <f t="shared" si="43"/>
        <v>-6901.7185714285715</v>
      </c>
      <c r="X396" s="59">
        <f t="shared" si="40"/>
        <v>0</v>
      </c>
      <c r="Y396" s="59">
        <f t="shared" si="41"/>
        <v>-6901.7185714285715</v>
      </c>
      <c r="Z396" s="59">
        <v>0</v>
      </c>
      <c r="AA396" s="59">
        <f t="shared" si="42"/>
        <v>-6901.7185714285715</v>
      </c>
      <c r="AB396" s="59">
        <f t="shared" si="44"/>
        <v>-6727.6085714285718</v>
      </c>
      <c r="AD396" s="59" t="s">
        <v>1597</v>
      </c>
      <c r="AF396" s="59"/>
    </row>
    <row r="397" spans="1:32" x14ac:dyDescent="0.3">
      <c r="A397" s="39">
        <v>7</v>
      </c>
      <c r="B397" s="41" t="s">
        <v>1070</v>
      </c>
      <c r="C397" s="50" t="s">
        <v>64</v>
      </c>
      <c r="D397" s="50" t="s">
        <v>949</v>
      </c>
      <c r="E397" s="50" t="s">
        <v>25</v>
      </c>
      <c r="F397" s="51" t="s">
        <v>25</v>
      </c>
      <c r="G397" s="50" t="s">
        <v>866</v>
      </c>
      <c r="H397" s="59">
        <v>0</v>
      </c>
      <c r="I397" s="59">
        <v>0</v>
      </c>
      <c r="J397" s="59">
        <v>-7.25</v>
      </c>
      <c r="K397" s="59">
        <v>0</v>
      </c>
      <c r="L397" s="59">
        <v>0</v>
      </c>
      <c r="M397" s="59">
        <v>-16.439999999999998</v>
      </c>
      <c r="N397" s="59">
        <v>-137</v>
      </c>
      <c r="O397" s="59">
        <f t="shared" si="36"/>
        <v>-160.69</v>
      </c>
      <c r="P397" s="59">
        <v>-2500</v>
      </c>
      <c r="Q397" s="59">
        <v>0</v>
      </c>
      <c r="R397" s="59">
        <v>-500</v>
      </c>
      <c r="S397" s="59">
        <v>0</v>
      </c>
      <c r="T397" s="59">
        <v>0</v>
      </c>
      <c r="U397" s="59">
        <v>0</v>
      </c>
      <c r="V397" s="59">
        <v>0</v>
      </c>
      <c r="W397" s="59">
        <f t="shared" si="43"/>
        <v>-3160.69</v>
      </c>
      <c r="X397" s="59">
        <f t="shared" si="40"/>
        <v>0</v>
      </c>
      <c r="Y397" s="59">
        <f t="shared" si="41"/>
        <v>-3160.69</v>
      </c>
      <c r="Z397" s="59">
        <v>0</v>
      </c>
      <c r="AA397" s="59">
        <f t="shared" si="42"/>
        <v>-3160.69</v>
      </c>
      <c r="AB397" s="59">
        <f t="shared" si="44"/>
        <v>-3321.38</v>
      </c>
      <c r="AD397" s="59"/>
      <c r="AF397" s="59"/>
    </row>
    <row r="398" spans="1:32" x14ac:dyDescent="0.3">
      <c r="A398" s="39">
        <v>7</v>
      </c>
      <c r="B398" s="41" t="s">
        <v>1088</v>
      </c>
      <c r="C398" s="50" t="s">
        <v>257</v>
      </c>
      <c r="D398" s="50" t="s">
        <v>943</v>
      </c>
      <c r="E398" s="50" t="s">
        <v>25</v>
      </c>
      <c r="F398" s="51" t="s">
        <v>25</v>
      </c>
      <c r="G398" s="50" t="s">
        <v>866</v>
      </c>
      <c r="H398" s="59">
        <v>3323.74</v>
      </c>
      <c r="I398" s="59">
        <v>0</v>
      </c>
      <c r="J398" s="59">
        <v>-86.1</v>
      </c>
      <c r="K398" s="59">
        <v>450.2</v>
      </c>
      <c r="L398" s="59">
        <v>-22.310000000000002</v>
      </c>
      <c r="M398" s="59">
        <v>0</v>
      </c>
      <c r="N398" s="59">
        <v>0</v>
      </c>
      <c r="O398" s="59">
        <f t="shared" si="36"/>
        <v>3665.5299999999997</v>
      </c>
      <c r="P398" s="59">
        <v>-2500</v>
      </c>
      <c r="Q398" s="59">
        <v>0</v>
      </c>
      <c r="R398" s="59">
        <v>0</v>
      </c>
      <c r="S398" s="59">
        <v>0</v>
      </c>
      <c r="T398" s="59">
        <v>-700</v>
      </c>
      <c r="U398" s="59">
        <v>0</v>
      </c>
      <c r="V398" s="59">
        <v>0</v>
      </c>
      <c r="W398" s="59">
        <f t="shared" si="43"/>
        <v>465.52999999999975</v>
      </c>
      <c r="X398" s="59">
        <f t="shared" si="40"/>
        <v>465.52999999999975</v>
      </c>
      <c r="Y398" s="59">
        <f t="shared" si="41"/>
        <v>0</v>
      </c>
      <c r="Z398" s="59">
        <v>0</v>
      </c>
      <c r="AA398" s="59">
        <f t="shared" si="42"/>
        <v>0</v>
      </c>
      <c r="AB398" s="59">
        <f t="shared" si="44"/>
        <v>3200</v>
      </c>
      <c r="AD398" s="59" t="s">
        <v>1598</v>
      </c>
      <c r="AF398" s="59"/>
    </row>
    <row r="399" spans="1:32" x14ac:dyDescent="0.3">
      <c r="A399" s="39">
        <v>7</v>
      </c>
      <c r="B399" s="41" t="s">
        <v>1509</v>
      </c>
      <c r="C399" s="50" t="s">
        <v>798</v>
      </c>
      <c r="D399" s="50" t="s">
        <v>1599</v>
      </c>
      <c r="E399" s="50" t="s">
        <v>39</v>
      </c>
      <c r="F399" s="51" t="s">
        <v>39</v>
      </c>
      <c r="G399" s="50" t="s">
        <v>866</v>
      </c>
      <c r="H399" s="59">
        <v>6261.72</v>
      </c>
      <c r="I399" s="59">
        <v>0</v>
      </c>
      <c r="J399" s="59">
        <v>0</v>
      </c>
      <c r="K399" s="59">
        <v>0</v>
      </c>
      <c r="L399" s="59">
        <v>0</v>
      </c>
      <c r="M399" s="59">
        <v>0</v>
      </c>
      <c r="N399" s="59">
        <v>0</v>
      </c>
      <c r="O399" s="59">
        <f t="shared" si="36"/>
        <v>6261.72</v>
      </c>
      <c r="P399" s="59">
        <v>-2500</v>
      </c>
      <c r="Q399" s="59">
        <v>0</v>
      </c>
      <c r="R399" s="59">
        <v>-500</v>
      </c>
      <c r="S399" s="59">
        <v>0</v>
      </c>
      <c r="T399" s="59">
        <v>0</v>
      </c>
      <c r="U399" s="59">
        <v>0</v>
      </c>
      <c r="V399" s="59">
        <v>0</v>
      </c>
      <c r="W399" s="59">
        <f t="shared" si="43"/>
        <v>3261.7200000000003</v>
      </c>
      <c r="X399" s="59">
        <f t="shared" si="40"/>
        <v>3261.7200000000003</v>
      </c>
      <c r="Y399" s="59">
        <f t="shared" si="41"/>
        <v>0</v>
      </c>
      <c r="Z399" s="59">
        <v>0</v>
      </c>
      <c r="AA399" s="59">
        <f t="shared" si="42"/>
        <v>0</v>
      </c>
      <c r="AB399" s="59">
        <f t="shared" si="44"/>
        <v>3000</v>
      </c>
      <c r="AD399" s="59" t="s">
        <v>1600</v>
      </c>
      <c r="AF399" s="59"/>
    </row>
    <row r="400" spans="1:32" x14ac:dyDescent="0.3">
      <c r="A400" s="39">
        <v>7</v>
      </c>
      <c r="B400" s="41" t="s">
        <v>1100</v>
      </c>
      <c r="C400" s="50" t="s">
        <v>213</v>
      </c>
      <c r="D400" s="50" t="s">
        <v>1116</v>
      </c>
      <c r="E400" s="50" t="s">
        <v>39</v>
      </c>
      <c r="F400" s="51" t="s">
        <v>39</v>
      </c>
      <c r="G400" s="50" t="s">
        <v>866</v>
      </c>
      <c r="H400" s="59">
        <v>2630.04</v>
      </c>
      <c r="I400" s="59">
        <v>-587.26</v>
      </c>
      <c r="J400" s="59">
        <v>0</v>
      </c>
      <c r="K400" s="59">
        <v>0</v>
      </c>
      <c r="L400" s="59">
        <v>-22.82</v>
      </c>
      <c r="M400" s="59">
        <v>-40</v>
      </c>
      <c r="N400" s="59">
        <v>0</v>
      </c>
      <c r="O400" s="59">
        <f>IF(H400+I400&lt;0,SUM(J400:N400),SUM(H400:N400))</f>
        <v>1979.96</v>
      </c>
      <c r="P400" s="59">
        <v>-2500</v>
      </c>
      <c r="Q400" s="59">
        <v>-2548</v>
      </c>
      <c r="R400" s="59">
        <v>0</v>
      </c>
      <c r="S400" s="59">
        <v>0</v>
      </c>
      <c r="T400" s="59">
        <v>0</v>
      </c>
      <c r="U400" s="59">
        <v>0</v>
      </c>
      <c r="V400" s="59">
        <v>0</v>
      </c>
      <c r="W400" s="59">
        <f t="shared" si="43"/>
        <v>-3068.04</v>
      </c>
      <c r="X400" s="59">
        <f t="shared" si="40"/>
        <v>0</v>
      </c>
      <c r="Y400" s="59">
        <f t="shared" si="41"/>
        <v>-3068.04</v>
      </c>
      <c r="Z400" s="59">
        <v>1020</v>
      </c>
      <c r="AA400" s="59">
        <f t="shared" si="42"/>
        <v>-2048.04</v>
      </c>
      <c r="AB400" s="59">
        <f t="shared" si="44"/>
        <v>951.92000000000007</v>
      </c>
      <c r="AD400" s="59" t="s">
        <v>1601</v>
      </c>
      <c r="AF400" s="59"/>
    </row>
    <row r="401" spans="1:33" x14ac:dyDescent="0.3">
      <c r="A401" s="39">
        <v>7</v>
      </c>
      <c r="B401" s="41" t="s">
        <v>1401</v>
      </c>
      <c r="C401" s="50" t="s">
        <v>1464</v>
      </c>
      <c r="D401" s="50" t="s">
        <v>1602</v>
      </c>
      <c r="E401" s="50" t="s">
        <v>25</v>
      </c>
      <c r="F401" s="51" t="s">
        <v>25</v>
      </c>
      <c r="G401" s="50" t="s">
        <v>866</v>
      </c>
      <c r="H401" s="59">
        <v>3385.7</v>
      </c>
      <c r="I401" s="59">
        <v>-1903.4700000000003</v>
      </c>
      <c r="J401" s="59">
        <v>0</v>
      </c>
      <c r="K401" s="59">
        <v>0</v>
      </c>
      <c r="L401" s="59">
        <v>0</v>
      </c>
      <c r="M401" s="59">
        <v>-70</v>
      </c>
      <c r="N401" s="59">
        <v>0</v>
      </c>
      <c r="O401" s="59">
        <f t="shared" si="36"/>
        <v>1412.2299999999996</v>
      </c>
      <c r="P401" s="59">
        <v>-2700</v>
      </c>
      <c r="Q401" s="59">
        <v>0</v>
      </c>
      <c r="R401" s="59">
        <v>-500</v>
      </c>
      <c r="S401" s="59">
        <v>0</v>
      </c>
      <c r="T401" s="59">
        <v>0</v>
      </c>
      <c r="U401" s="59">
        <v>0</v>
      </c>
      <c r="V401" s="59">
        <v>0</v>
      </c>
      <c r="W401" s="59">
        <f t="shared" si="43"/>
        <v>-1787.7700000000004</v>
      </c>
      <c r="X401" s="59">
        <f t="shared" si="40"/>
        <v>0</v>
      </c>
      <c r="Y401" s="59">
        <f t="shared" si="41"/>
        <v>-1787.7700000000004</v>
      </c>
      <c r="Z401" s="59">
        <v>1788</v>
      </c>
      <c r="AA401" s="59">
        <f t="shared" si="42"/>
        <v>0.22999999999956344</v>
      </c>
      <c r="AB401" s="59">
        <f t="shared" si="44"/>
        <v>3200.4599999999991</v>
      </c>
      <c r="AD401" s="59" t="s">
        <v>1603</v>
      </c>
      <c r="AF401" s="59"/>
    </row>
    <row r="402" spans="1:33" x14ac:dyDescent="0.3">
      <c r="A402" s="39">
        <v>7</v>
      </c>
      <c r="B402" s="41" t="s">
        <v>1297</v>
      </c>
      <c r="C402" s="50" t="s">
        <v>480</v>
      </c>
      <c r="D402" s="50" t="s">
        <v>1243</v>
      </c>
      <c r="E402" s="50" t="s">
        <v>25</v>
      </c>
      <c r="F402" s="51" t="s">
        <v>25</v>
      </c>
      <c r="G402" s="50" t="s">
        <v>866</v>
      </c>
      <c r="H402" s="59">
        <v>3853.89</v>
      </c>
      <c r="I402" s="59">
        <v>-638.22000000000014</v>
      </c>
      <c r="J402" s="59">
        <v>-76</v>
      </c>
      <c r="K402" s="59">
        <v>0</v>
      </c>
      <c r="L402" s="59">
        <v>0</v>
      </c>
      <c r="M402" s="59">
        <v>-40</v>
      </c>
      <c r="N402" s="59">
        <v>0</v>
      </c>
      <c r="O402" s="59">
        <f t="shared" si="36"/>
        <v>3099.6699999999996</v>
      </c>
      <c r="P402" s="59">
        <v>-2700</v>
      </c>
      <c r="Q402" s="59">
        <v>0</v>
      </c>
      <c r="R402" s="59">
        <v>0</v>
      </c>
      <c r="S402" s="59">
        <v>0</v>
      </c>
      <c r="T402" s="59">
        <v>-500</v>
      </c>
      <c r="U402" s="59">
        <v>0</v>
      </c>
      <c r="V402" s="59">
        <v>0</v>
      </c>
      <c r="W402" s="59">
        <f t="shared" si="43"/>
        <v>-100.33000000000038</v>
      </c>
      <c r="X402" s="59">
        <f t="shared" si="40"/>
        <v>0</v>
      </c>
      <c r="Y402" s="59">
        <f t="shared" si="41"/>
        <v>-100.33000000000038</v>
      </c>
      <c r="Z402" s="59">
        <v>100</v>
      </c>
      <c r="AA402" s="59">
        <f t="shared" si="42"/>
        <v>-0.33000000000038199</v>
      </c>
      <c r="AB402" s="59">
        <f t="shared" si="44"/>
        <v>3199.3399999999992</v>
      </c>
      <c r="AD402" s="59" t="s">
        <v>1604</v>
      </c>
      <c r="AF402" s="59"/>
    </row>
    <row r="403" spans="1:33" x14ac:dyDescent="0.3">
      <c r="A403" s="39">
        <v>7</v>
      </c>
      <c r="B403" s="41" t="s">
        <v>1412</v>
      </c>
      <c r="C403" s="50" t="s">
        <v>774</v>
      </c>
      <c r="D403" s="50" t="s">
        <v>1605</v>
      </c>
      <c r="E403" s="50" t="s">
        <v>25</v>
      </c>
      <c r="F403" s="51" t="s">
        <v>25</v>
      </c>
      <c r="G403" s="50" t="s">
        <v>866</v>
      </c>
      <c r="H403" s="59">
        <v>5951.99</v>
      </c>
      <c r="I403" s="59">
        <v>-3578.4500000000003</v>
      </c>
      <c r="J403" s="59">
        <v>0</v>
      </c>
      <c r="K403" s="59">
        <v>0</v>
      </c>
      <c r="L403" s="59">
        <v>-60.820000000000007</v>
      </c>
      <c r="M403" s="59">
        <v>-80</v>
      </c>
      <c r="N403" s="59">
        <v>0</v>
      </c>
      <c r="O403" s="59">
        <f t="shared" si="36"/>
        <v>2232.7199999999993</v>
      </c>
      <c r="P403" s="59">
        <v>-2500</v>
      </c>
      <c r="Q403" s="59">
        <v>0</v>
      </c>
      <c r="R403" s="59">
        <v>-500</v>
      </c>
      <c r="S403" s="59">
        <v>0</v>
      </c>
      <c r="T403" s="59">
        <v>0</v>
      </c>
      <c r="U403" s="59">
        <v>0</v>
      </c>
      <c r="V403" s="59">
        <v>0</v>
      </c>
      <c r="W403" s="59">
        <f t="shared" si="43"/>
        <v>-767.28000000000065</v>
      </c>
      <c r="X403" s="59">
        <f t="shared" si="40"/>
        <v>0</v>
      </c>
      <c r="Y403" s="59">
        <f t="shared" si="41"/>
        <v>-767.28000000000065</v>
      </c>
      <c r="Z403" s="59">
        <v>767</v>
      </c>
      <c r="AA403" s="59">
        <f t="shared" si="42"/>
        <v>-0.28000000000065484</v>
      </c>
      <c r="AB403" s="59">
        <f t="shared" si="44"/>
        <v>2999.4399999999987</v>
      </c>
      <c r="AD403" s="59" t="s">
        <v>1606</v>
      </c>
      <c r="AF403" s="59"/>
    </row>
    <row r="404" spans="1:33" x14ac:dyDescent="0.3">
      <c r="A404" s="39">
        <v>7</v>
      </c>
      <c r="B404" s="41" t="s">
        <v>1003</v>
      </c>
      <c r="C404" s="50" t="s">
        <v>1409</v>
      </c>
      <c r="D404" s="50" t="s">
        <v>967</v>
      </c>
      <c r="E404" s="50" t="s">
        <v>25</v>
      </c>
      <c r="F404" s="51" t="s">
        <v>25</v>
      </c>
      <c r="G404" s="50" t="s">
        <v>866</v>
      </c>
      <c r="H404" s="59">
        <v>2245.42</v>
      </c>
      <c r="I404" s="59">
        <v>0</v>
      </c>
      <c r="J404" s="59">
        <v>-19.62</v>
      </c>
      <c r="K404" s="59">
        <v>37.82</v>
      </c>
      <c r="L404" s="59">
        <v>0</v>
      </c>
      <c r="M404" s="59">
        <v>-23.64</v>
      </c>
      <c r="N404" s="59">
        <v>-197</v>
      </c>
      <c r="O404" s="59">
        <f t="shared" si="36"/>
        <v>2042.9800000000005</v>
      </c>
      <c r="P404" s="59">
        <v>-2500</v>
      </c>
      <c r="Q404" s="59">
        <v>-2444</v>
      </c>
      <c r="R404" s="59">
        <v>0</v>
      </c>
      <c r="S404" s="59">
        <v>0</v>
      </c>
      <c r="T404" s="59">
        <v>-2500</v>
      </c>
      <c r="U404" s="59">
        <f>610</f>
        <v>610</v>
      </c>
      <c r="V404" s="59">
        <v>0</v>
      </c>
      <c r="W404" s="59">
        <f t="shared" si="43"/>
        <v>-4791.0199999999995</v>
      </c>
      <c r="X404" s="59">
        <f t="shared" si="40"/>
        <v>0</v>
      </c>
      <c r="Y404" s="59">
        <f t="shared" si="41"/>
        <v>-4791.0199999999995</v>
      </c>
      <c r="Z404" s="59">
        <f>2500+2100</f>
        <v>4600</v>
      </c>
      <c r="AA404" s="59">
        <f t="shared" si="42"/>
        <v>-191.01999999999953</v>
      </c>
      <c r="AB404" s="59">
        <f t="shared" si="44"/>
        <v>6451.9600000000009</v>
      </c>
      <c r="AD404" s="59" t="s">
        <v>1954</v>
      </c>
      <c r="AF404" s="59"/>
    </row>
    <row r="405" spans="1:33" x14ac:dyDescent="0.3">
      <c r="A405" s="39">
        <v>7</v>
      </c>
      <c r="B405" s="41" t="s">
        <v>1607</v>
      </c>
      <c r="C405" s="50" t="s">
        <v>123</v>
      </c>
      <c r="D405" s="50" t="s">
        <v>1608</v>
      </c>
      <c r="E405" s="50" t="s">
        <v>871</v>
      </c>
      <c r="F405" s="51" t="s">
        <v>39</v>
      </c>
      <c r="G405" s="50" t="s">
        <v>866</v>
      </c>
      <c r="H405" s="59">
        <v>701.39</v>
      </c>
      <c r="I405" s="59">
        <v>0</v>
      </c>
      <c r="J405" s="59">
        <v>0</v>
      </c>
      <c r="K405" s="59">
        <v>0</v>
      </c>
      <c r="L405" s="59">
        <v>0</v>
      </c>
      <c r="M405" s="59">
        <v>0</v>
      </c>
      <c r="N405" s="59">
        <v>0</v>
      </c>
      <c r="O405" s="59">
        <f t="shared" si="36"/>
        <v>701.39</v>
      </c>
      <c r="P405" s="59">
        <v>-701</v>
      </c>
      <c r="Q405" s="59">
        <v>0</v>
      </c>
      <c r="R405" s="59">
        <v>0</v>
      </c>
      <c r="S405" s="59">
        <v>0</v>
      </c>
      <c r="T405" s="59">
        <v>0</v>
      </c>
      <c r="U405" s="59">
        <v>0</v>
      </c>
      <c r="V405" s="59">
        <v>0</v>
      </c>
      <c r="W405" s="59">
        <f t="shared" si="43"/>
        <v>0.38999999999998636</v>
      </c>
      <c r="X405" s="59">
        <f t="shared" si="40"/>
        <v>0.38999999999998636</v>
      </c>
      <c r="Y405" s="59">
        <f t="shared" si="41"/>
        <v>0</v>
      </c>
      <c r="Z405" s="59">
        <v>0</v>
      </c>
      <c r="AA405" s="59">
        <f t="shared" si="42"/>
        <v>0</v>
      </c>
      <c r="AB405" s="59">
        <f t="shared" si="44"/>
        <v>701</v>
      </c>
      <c r="AD405" s="59"/>
      <c r="AF405" s="59"/>
    </row>
    <row r="406" spans="1:33" x14ac:dyDescent="0.3">
      <c r="A406" s="39">
        <v>7</v>
      </c>
      <c r="B406" s="41" t="s">
        <v>1513</v>
      </c>
      <c r="C406" s="50" t="s">
        <v>110</v>
      </c>
      <c r="D406" s="50" t="s">
        <v>912</v>
      </c>
      <c r="E406" s="50" t="s">
        <v>25</v>
      </c>
      <c r="F406" s="51" t="s">
        <v>25</v>
      </c>
      <c r="G406" s="50" t="s">
        <v>737</v>
      </c>
      <c r="H406" s="59">
        <v>0</v>
      </c>
      <c r="I406" s="59">
        <v>0</v>
      </c>
      <c r="J406" s="59">
        <v>0</v>
      </c>
      <c r="K406" s="59">
        <v>0</v>
      </c>
      <c r="L406" s="59">
        <v>0</v>
      </c>
      <c r="M406" s="59">
        <v>0</v>
      </c>
      <c r="N406" s="59">
        <v>0</v>
      </c>
      <c r="O406" s="59">
        <f t="shared" si="36"/>
        <v>0</v>
      </c>
      <c r="P406" s="59">
        <v>-2500</v>
      </c>
      <c r="Q406" s="59">
        <v>0</v>
      </c>
      <c r="R406" s="59">
        <v>-500</v>
      </c>
      <c r="S406" s="59">
        <v>0</v>
      </c>
      <c r="T406" s="59">
        <v>0</v>
      </c>
      <c r="U406" s="59">
        <v>0</v>
      </c>
      <c r="V406" s="59">
        <v>0</v>
      </c>
      <c r="W406" s="59">
        <f t="shared" si="43"/>
        <v>-3000</v>
      </c>
      <c r="X406" s="59">
        <f t="shared" si="40"/>
        <v>0</v>
      </c>
      <c r="Y406" s="59">
        <f t="shared" si="41"/>
        <v>-3000</v>
      </c>
      <c r="Z406" s="59">
        <v>3000</v>
      </c>
      <c r="AA406" s="59">
        <f t="shared" si="42"/>
        <v>0</v>
      </c>
      <c r="AB406" s="59">
        <f t="shared" si="44"/>
        <v>3000</v>
      </c>
      <c r="AD406" s="59" t="s">
        <v>1609</v>
      </c>
      <c r="AF406" s="59"/>
    </row>
    <row r="407" spans="1:33" x14ac:dyDescent="0.3">
      <c r="A407" s="49">
        <v>8</v>
      </c>
      <c r="B407" s="50" t="s">
        <v>1610</v>
      </c>
      <c r="C407" s="50" t="s">
        <v>409</v>
      </c>
      <c r="D407" s="50" t="s">
        <v>946</v>
      </c>
      <c r="E407" s="50" t="s">
        <v>25</v>
      </c>
      <c r="F407" s="50" t="s">
        <v>25</v>
      </c>
      <c r="G407" s="50" t="s">
        <v>866</v>
      </c>
      <c r="H407" s="59">
        <v>316.27999999999997</v>
      </c>
      <c r="I407" s="59">
        <v>-79.94</v>
      </c>
      <c r="J407" s="59">
        <v>0</v>
      </c>
      <c r="K407" s="59">
        <v>372.13</v>
      </c>
      <c r="L407" s="59">
        <v>0</v>
      </c>
      <c r="M407" s="59">
        <f>-3.2556-3</f>
        <v>-6.2555999999999994</v>
      </c>
      <c r="N407" s="59">
        <v>-27.129999999999995</v>
      </c>
      <c r="O407" s="59">
        <f t="shared" si="36"/>
        <v>575.08440000000007</v>
      </c>
      <c r="P407" s="59">
        <f>(-2500/7)*3</f>
        <v>-1071.4285714285716</v>
      </c>
      <c r="Q407" s="59">
        <v>0</v>
      </c>
      <c r="R407" s="59">
        <f>(-500/7)*3</f>
        <v>-214.28571428571428</v>
      </c>
      <c r="S407" s="59">
        <v>0</v>
      </c>
      <c r="T407" s="59">
        <f>IFERROR(VLOOKUP(B407,[1]HOJALATERÍA!$A$4:$BR$12,70,FALSE),0)</f>
        <v>0</v>
      </c>
      <c r="U407" s="59">
        <v>0</v>
      </c>
      <c r="V407" s="59">
        <v>0</v>
      </c>
      <c r="W407" s="59">
        <f t="shared" si="43"/>
        <v>-710.62988571428582</v>
      </c>
      <c r="X407" s="59">
        <f t="shared" si="40"/>
        <v>0</v>
      </c>
      <c r="Y407" s="59">
        <f t="shared" si="41"/>
        <v>-710.62988571428582</v>
      </c>
      <c r="Z407" s="59">
        <v>0</v>
      </c>
      <c r="AA407" s="59">
        <f t="shared" si="42"/>
        <v>-710.62988571428582</v>
      </c>
      <c r="AB407" s="59">
        <f t="shared" si="44"/>
        <v>-135.54548571428575</v>
      </c>
      <c r="AD407" s="50" t="s">
        <v>1955</v>
      </c>
      <c r="AF407" s="59"/>
    </row>
    <row r="408" spans="1:33" x14ac:dyDescent="0.3">
      <c r="A408" s="49">
        <v>8</v>
      </c>
      <c r="B408" s="50" t="s">
        <v>1956</v>
      </c>
      <c r="C408" s="50" t="s">
        <v>257</v>
      </c>
      <c r="D408" s="50" t="s">
        <v>1605</v>
      </c>
      <c r="E408" s="50" t="s">
        <v>25</v>
      </c>
      <c r="F408" s="50" t="s">
        <v>25</v>
      </c>
      <c r="G408" s="50" t="s">
        <v>866</v>
      </c>
      <c r="H408" s="59">
        <v>1164.02</v>
      </c>
      <c r="I408" s="59">
        <v>0</v>
      </c>
      <c r="J408" s="59">
        <v>0</v>
      </c>
      <c r="K408" s="59">
        <v>0</v>
      </c>
      <c r="L408" s="59">
        <v>0</v>
      </c>
      <c r="M408" s="59">
        <v>-5</v>
      </c>
      <c r="N408" s="59">
        <v>0</v>
      </c>
      <c r="O408" s="59">
        <f t="shared" si="36"/>
        <v>1159.02</v>
      </c>
      <c r="P408" s="59">
        <f>(-2500/7)*3</f>
        <v>-1071.4285714285716</v>
      </c>
      <c r="Q408" s="59">
        <v>0</v>
      </c>
      <c r="R408" s="59">
        <v>-214.28571428571428</v>
      </c>
      <c r="S408" s="59">
        <v>0</v>
      </c>
      <c r="T408" s="59">
        <v>0</v>
      </c>
      <c r="U408" s="59">
        <v>0</v>
      </c>
      <c r="V408" s="59">
        <v>0</v>
      </c>
      <c r="W408" s="59">
        <f t="shared" si="43"/>
        <v>-126.69428571428585</v>
      </c>
      <c r="X408" s="59">
        <f>IF(W408&gt;=0,W408,0)</f>
        <v>0</v>
      </c>
      <c r="Y408" s="59">
        <f>IF(W408&lt;=0,W408,0)</f>
        <v>-126.69428571428585</v>
      </c>
      <c r="Z408" s="59">
        <v>127</v>
      </c>
      <c r="AA408" s="59">
        <f>+Y408+Z408</f>
        <v>0.30571428571414572</v>
      </c>
      <c r="AB408" s="59">
        <f t="shared" si="44"/>
        <v>1286.3257142857142</v>
      </c>
      <c r="AD408" s="50" t="s">
        <v>1957</v>
      </c>
      <c r="AF408" s="59"/>
    </row>
    <row r="409" spans="1:33" x14ac:dyDescent="0.3">
      <c r="A409" s="49">
        <v>8</v>
      </c>
      <c r="B409" s="50" t="s">
        <v>1958</v>
      </c>
      <c r="C409" s="50" t="s">
        <v>51</v>
      </c>
      <c r="D409" s="50" t="s">
        <v>1115</v>
      </c>
      <c r="E409" s="50" t="s">
        <v>25</v>
      </c>
      <c r="F409" s="50" t="s">
        <v>25</v>
      </c>
      <c r="G409" s="50" t="s">
        <v>866</v>
      </c>
      <c r="H409" s="59">
        <v>1731.02</v>
      </c>
      <c r="I409" s="59">
        <v>0</v>
      </c>
      <c r="J409" s="59">
        <v>0</v>
      </c>
      <c r="K409" s="59">
        <v>0</v>
      </c>
      <c r="L409" s="59">
        <v>0</v>
      </c>
      <c r="M409" s="59">
        <v>-5</v>
      </c>
      <c r="N409" s="59">
        <v>0</v>
      </c>
      <c r="O409" s="59">
        <f t="shared" si="36"/>
        <v>1726.02</v>
      </c>
      <c r="P409" s="59">
        <f>(-2500/7)*2</f>
        <v>-714.28571428571433</v>
      </c>
      <c r="Q409" s="59">
        <v>0</v>
      </c>
      <c r="R409" s="59">
        <v>-142.85714285714286</v>
      </c>
      <c r="S409" s="59">
        <v>0</v>
      </c>
      <c r="T409" s="59">
        <v>0</v>
      </c>
      <c r="U409" s="59">
        <v>0</v>
      </c>
      <c r="V409" s="59">
        <v>0</v>
      </c>
      <c r="W409" s="59">
        <f t="shared" si="43"/>
        <v>868.87714285714276</v>
      </c>
      <c r="X409" s="59">
        <f>IF(W409&gt;=0,W409,0)</f>
        <v>868.87714285714276</v>
      </c>
      <c r="Y409" s="59">
        <f>IF(W409&lt;=0,W409,0)</f>
        <v>0</v>
      </c>
      <c r="Z409" s="59">
        <v>0</v>
      </c>
      <c r="AA409" s="59">
        <f>+Y409+Z409</f>
        <v>0</v>
      </c>
      <c r="AB409" s="59">
        <f t="shared" si="44"/>
        <v>857.14285714285722</v>
      </c>
      <c r="AD409" s="50" t="s">
        <v>1959</v>
      </c>
      <c r="AF409" s="59"/>
    </row>
    <row r="410" spans="1:33" x14ac:dyDescent="0.3">
      <c r="A410" s="49">
        <v>8</v>
      </c>
      <c r="B410" s="50" t="s">
        <v>1960</v>
      </c>
      <c r="C410" s="50" t="s">
        <v>123</v>
      </c>
      <c r="D410" s="50" t="s">
        <v>1608</v>
      </c>
      <c r="E410" s="50" t="s">
        <v>25</v>
      </c>
      <c r="F410" s="50" t="s">
        <v>25</v>
      </c>
      <c r="G410" s="50" t="s">
        <v>737</v>
      </c>
      <c r="H410" s="59">
        <v>1757.49</v>
      </c>
      <c r="I410" s="59">
        <v>-1510.43</v>
      </c>
      <c r="J410" s="59">
        <f>+I410*10.1%</f>
        <v>-152.55342999999999</v>
      </c>
      <c r="K410" s="59">
        <v>0</v>
      </c>
      <c r="L410" s="59">
        <v>0</v>
      </c>
      <c r="M410" s="59">
        <v>0</v>
      </c>
      <c r="N410" s="59">
        <v>0</v>
      </c>
      <c r="O410" s="59">
        <f>IF(H410+I410&lt;0,SUM(J410:N410),SUM(H410:N410))</f>
        <v>94.506569999999954</v>
      </c>
      <c r="P410" s="59">
        <f>(-2500/7)*2</f>
        <v>-714.28571428571433</v>
      </c>
      <c r="Q410" s="59">
        <v>0</v>
      </c>
      <c r="R410" s="59">
        <v>-142.85714285714286</v>
      </c>
      <c r="S410" s="59">
        <v>0</v>
      </c>
      <c r="T410" s="59">
        <v>0</v>
      </c>
      <c r="U410" s="59">
        <v>0</v>
      </c>
      <c r="V410" s="59">
        <v>0</v>
      </c>
      <c r="W410" s="59">
        <f t="shared" si="43"/>
        <v>-762.63628714285733</v>
      </c>
      <c r="X410" s="59">
        <f t="shared" si="40"/>
        <v>0</v>
      </c>
      <c r="Y410" s="59">
        <f t="shared" si="41"/>
        <v>-762.63628714285733</v>
      </c>
      <c r="Z410" s="59">
        <v>763</v>
      </c>
      <c r="AA410" s="59">
        <f t="shared" si="42"/>
        <v>0.36371285714267287</v>
      </c>
      <c r="AB410" s="59">
        <f t="shared" si="44"/>
        <v>857.87028285714268</v>
      </c>
      <c r="AD410" s="50" t="s">
        <v>1961</v>
      </c>
      <c r="AF410" s="59"/>
    </row>
    <row r="411" spans="1:33" x14ac:dyDescent="0.3">
      <c r="A411" s="49">
        <v>8</v>
      </c>
      <c r="B411" s="41" t="s">
        <v>1010</v>
      </c>
      <c r="C411" s="50" t="s">
        <v>409</v>
      </c>
      <c r="D411" s="50" t="s">
        <v>946</v>
      </c>
      <c r="E411" s="50" t="s">
        <v>25</v>
      </c>
      <c r="F411" s="51" t="s">
        <v>25</v>
      </c>
      <c r="G411" s="50" t="s">
        <v>866</v>
      </c>
      <c r="H411" s="59">
        <v>5599.8</v>
      </c>
      <c r="I411" s="59">
        <v>-1310.3600000000001</v>
      </c>
      <c r="J411" s="59">
        <v>0</v>
      </c>
      <c r="K411" s="59">
        <v>0</v>
      </c>
      <c r="L411" s="59">
        <v>-63.910000000000004</v>
      </c>
      <c r="M411" s="59">
        <v>-50</v>
      </c>
      <c r="N411" s="59">
        <v>0</v>
      </c>
      <c r="O411" s="59">
        <f t="shared" si="36"/>
        <v>4175.5300000000007</v>
      </c>
      <c r="P411" s="59">
        <v>-2500</v>
      </c>
      <c r="Q411" s="59">
        <f>-558*1.12</f>
        <v>-624.96</v>
      </c>
      <c r="R411" s="59">
        <v>0</v>
      </c>
      <c r="S411" s="59">
        <v>0</v>
      </c>
      <c r="T411" s="59">
        <v>0</v>
      </c>
      <c r="U411" s="59">
        <v>0</v>
      </c>
      <c r="V411" s="59">
        <v>0</v>
      </c>
      <c r="W411" s="59">
        <f t="shared" si="43"/>
        <v>1050.5700000000006</v>
      </c>
      <c r="X411" s="59">
        <f t="shared" si="40"/>
        <v>1050.5700000000006</v>
      </c>
      <c r="Y411" s="59">
        <f t="shared" si="41"/>
        <v>0</v>
      </c>
      <c r="Z411" s="59">
        <v>0</v>
      </c>
      <c r="AA411" s="59">
        <f t="shared" si="42"/>
        <v>0</v>
      </c>
      <c r="AB411" s="59">
        <f t="shared" si="44"/>
        <v>3124.96</v>
      </c>
      <c r="AD411" s="50" t="s">
        <v>1962</v>
      </c>
      <c r="AF411" s="59"/>
    </row>
    <row r="412" spans="1:33" x14ac:dyDescent="0.3">
      <c r="A412" s="49">
        <v>8</v>
      </c>
      <c r="B412" s="41" t="s">
        <v>1142</v>
      </c>
      <c r="C412" s="50" t="s">
        <v>1443</v>
      </c>
      <c r="D412" s="50" t="s">
        <v>1554</v>
      </c>
      <c r="E412" s="50" t="s">
        <v>25</v>
      </c>
      <c r="F412" s="51" t="s">
        <v>25</v>
      </c>
      <c r="G412" s="50" t="s">
        <v>866</v>
      </c>
      <c r="H412" s="59">
        <v>858.06</v>
      </c>
      <c r="I412" s="59">
        <v>0</v>
      </c>
      <c r="J412" s="59">
        <v>0</v>
      </c>
      <c r="K412" s="59">
        <v>0</v>
      </c>
      <c r="L412" s="59">
        <v>0</v>
      </c>
      <c r="M412" s="59">
        <v>-12.7944</v>
      </c>
      <c r="N412" s="59">
        <v>-106.62</v>
      </c>
      <c r="O412" s="59">
        <f t="shared" ref="O412:O467" si="45">IF(H412+I412&lt;0,SUM(J412:N412),SUM(H412:N412))</f>
        <v>738.64559999999994</v>
      </c>
      <c r="P412" s="59">
        <v>-2700</v>
      </c>
      <c r="Q412" s="59">
        <f>-327*1.12</f>
        <v>-366.24</v>
      </c>
      <c r="R412" s="59">
        <v>-500</v>
      </c>
      <c r="S412" s="59">
        <v>0</v>
      </c>
      <c r="T412" s="59">
        <v>0</v>
      </c>
      <c r="U412" s="59">
        <v>0</v>
      </c>
      <c r="V412" s="59">
        <v>0</v>
      </c>
      <c r="W412" s="59">
        <f t="shared" si="43"/>
        <v>-2827.5944</v>
      </c>
      <c r="X412" s="59">
        <f t="shared" si="40"/>
        <v>0</v>
      </c>
      <c r="Y412" s="59">
        <f t="shared" si="41"/>
        <v>-2827.5944</v>
      </c>
      <c r="Z412" s="59">
        <v>1600</v>
      </c>
      <c r="AA412" s="59">
        <f t="shared" si="42"/>
        <v>-1227.5944</v>
      </c>
      <c r="AB412" s="59">
        <f t="shared" si="44"/>
        <v>1111.0511999999999</v>
      </c>
      <c r="AD412" s="59" t="s">
        <v>1963</v>
      </c>
      <c r="AF412" s="59"/>
      <c r="AG412" s="59">
        <f>+AA412*1.12</f>
        <v>-1374.9057280000002</v>
      </c>
    </row>
    <row r="413" spans="1:33" x14ac:dyDescent="0.3">
      <c r="A413" s="49">
        <v>8</v>
      </c>
      <c r="B413" s="41" t="s">
        <v>1556</v>
      </c>
      <c r="C413" s="50" t="s">
        <v>347</v>
      </c>
      <c r="D413" s="50" t="s">
        <v>1122</v>
      </c>
      <c r="E413" s="50" t="s">
        <v>25</v>
      </c>
      <c r="F413" s="51" t="s">
        <v>25</v>
      </c>
      <c r="G413" s="50" t="s">
        <v>866</v>
      </c>
      <c r="H413" s="59">
        <v>8457.67</v>
      </c>
      <c r="I413" s="59">
        <v>-4729.8299999999981</v>
      </c>
      <c r="J413" s="59">
        <v>-240</v>
      </c>
      <c r="K413" s="59">
        <v>0</v>
      </c>
      <c r="L413" s="59">
        <v>0</v>
      </c>
      <c r="M413" s="59">
        <v>-80</v>
      </c>
      <c r="N413" s="59">
        <v>0</v>
      </c>
      <c r="O413" s="59">
        <f t="shared" si="45"/>
        <v>3407.840000000002</v>
      </c>
      <c r="P413" s="59">
        <v>-2500</v>
      </c>
      <c r="Q413" s="59">
        <v>0</v>
      </c>
      <c r="R413" s="59">
        <v>-500</v>
      </c>
      <c r="S413" s="59">
        <v>0</v>
      </c>
      <c r="T413" s="59">
        <v>0</v>
      </c>
      <c r="U413" s="59">
        <v>0</v>
      </c>
      <c r="V413" s="59">
        <v>0</v>
      </c>
      <c r="W413" s="59">
        <f t="shared" si="43"/>
        <v>407.84000000000196</v>
      </c>
      <c r="X413" s="59">
        <f t="shared" si="40"/>
        <v>407.84000000000196</v>
      </c>
      <c r="Y413" s="59">
        <f t="shared" si="41"/>
        <v>0</v>
      </c>
      <c r="Z413" s="59">
        <v>0</v>
      </c>
      <c r="AA413" s="59">
        <f t="shared" si="42"/>
        <v>0</v>
      </c>
      <c r="AB413" s="59">
        <f t="shared" si="44"/>
        <v>3000</v>
      </c>
      <c r="AD413" s="59"/>
      <c r="AF413" s="59"/>
    </row>
    <row r="414" spans="1:33" x14ac:dyDescent="0.3">
      <c r="A414" s="49">
        <v>8</v>
      </c>
      <c r="B414" s="41" t="s">
        <v>1558</v>
      </c>
      <c r="C414" s="50" t="s">
        <v>571</v>
      </c>
      <c r="D414" s="50" t="s">
        <v>974</v>
      </c>
      <c r="E414" s="50" t="s">
        <v>25</v>
      </c>
      <c r="F414" s="51" t="s">
        <v>25</v>
      </c>
      <c r="G414" s="50" t="s">
        <v>866</v>
      </c>
      <c r="H414" s="59">
        <v>4675.74</v>
      </c>
      <c r="I414" s="59">
        <v>-1948.9000000000003</v>
      </c>
      <c r="J414" s="59">
        <v>0</v>
      </c>
      <c r="K414" s="59">
        <v>19.579999999999998</v>
      </c>
      <c r="L414" s="59">
        <v>0</v>
      </c>
      <c r="M414" s="59">
        <v>-50</v>
      </c>
      <c r="N414" s="59">
        <v>0</v>
      </c>
      <c r="O414" s="59">
        <f t="shared" si="45"/>
        <v>2696.4199999999992</v>
      </c>
      <c r="P414" s="59">
        <f>(-2500/7)*6</f>
        <v>-2142.8571428571431</v>
      </c>
      <c r="Q414" s="59">
        <v>0</v>
      </c>
      <c r="R414" s="59">
        <v>-500</v>
      </c>
      <c r="S414" s="59">
        <v>0</v>
      </c>
      <c r="T414" s="59">
        <v>0</v>
      </c>
      <c r="U414" s="59">
        <v>510</v>
      </c>
      <c r="V414" s="59">
        <v>0</v>
      </c>
      <c r="W414" s="59">
        <f t="shared" si="43"/>
        <v>563.56285714285605</v>
      </c>
      <c r="X414" s="59">
        <f t="shared" si="40"/>
        <v>563.56285714285605</v>
      </c>
      <c r="Y414" s="59">
        <f t="shared" si="41"/>
        <v>0</v>
      </c>
      <c r="Z414" s="59">
        <v>0</v>
      </c>
      <c r="AA414" s="59">
        <f t="shared" si="42"/>
        <v>0</v>
      </c>
      <c r="AB414" s="59">
        <f t="shared" si="44"/>
        <v>2132.8571428571431</v>
      </c>
      <c r="AD414" s="59" t="s">
        <v>1964</v>
      </c>
      <c r="AF414" s="59"/>
    </row>
    <row r="415" spans="1:33" x14ac:dyDescent="0.3">
      <c r="A415" s="49">
        <v>8</v>
      </c>
      <c r="B415" s="41" t="s">
        <v>1062</v>
      </c>
      <c r="C415" s="50" t="s">
        <v>360</v>
      </c>
      <c r="D415" s="50" t="s">
        <v>1158</v>
      </c>
      <c r="E415" s="50" t="s">
        <v>25</v>
      </c>
      <c r="F415" s="51" t="s">
        <v>25</v>
      </c>
      <c r="G415" s="50" t="s">
        <v>866</v>
      </c>
      <c r="H415" s="59">
        <v>6213.02</v>
      </c>
      <c r="I415" s="59">
        <v>-1794.37</v>
      </c>
      <c r="J415" s="59">
        <v>0</v>
      </c>
      <c r="K415" s="59">
        <v>0</v>
      </c>
      <c r="L415" s="59">
        <v>0</v>
      </c>
      <c r="M415" s="59">
        <v>-50</v>
      </c>
      <c r="N415" s="59">
        <v>0</v>
      </c>
      <c r="O415" s="59">
        <f t="shared" si="45"/>
        <v>4368.6500000000005</v>
      </c>
      <c r="P415" s="59">
        <v>-2700</v>
      </c>
      <c r="Q415" s="59">
        <v>0</v>
      </c>
      <c r="R415" s="59">
        <v>0</v>
      </c>
      <c r="S415" s="59">
        <v>0</v>
      </c>
      <c r="T415" s="59">
        <v>0</v>
      </c>
      <c r="U415" s="59">
        <v>0</v>
      </c>
      <c r="V415" s="59">
        <v>0</v>
      </c>
      <c r="W415" s="59">
        <f t="shared" si="43"/>
        <v>1668.6500000000005</v>
      </c>
      <c r="X415" s="59">
        <f t="shared" si="40"/>
        <v>1668.6500000000005</v>
      </c>
      <c r="Y415" s="59">
        <f t="shared" si="41"/>
        <v>0</v>
      </c>
      <c r="Z415" s="59">
        <v>0</v>
      </c>
      <c r="AA415" s="59">
        <f t="shared" si="42"/>
        <v>0</v>
      </c>
      <c r="AB415" s="59">
        <f t="shared" si="44"/>
        <v>2700</v>
      </c>
      <c r="AD415" s="59" t="s">
        <v>1965</v>
      </c>
      <c r="AF415" s="59"/>
    </row>
    <row r="416" spans="1:33" x14ac:dyDescent="0.3">
      <c r="A416" s="49">
        <v>8</v>
      </c>
      <c r="B416" s="41" t="s">
        <v>585</v>
      </c>
      <c r="C416" s="50" t="s">
        <v>42</v>
      </c>
      <c r="D416" s="50" t="s">
        <v>948</v>
      </c>
      <c r="E416" s="50" t="s">
        <v>25</v>
      </c>
      <c r="F416" s="51" t="s">
        <v>25</v>
      </c>
      <c r="G416" s="50" t="s">
        <v>866</v>
      </c>
      <c r="H416" s="59">
        <v>0</v>
      </c>
      <c r="I416" s="59">
        <v>0</v>
      </c>
      <c r="J416" s="59">
        <v>0</v>
      </c>
      <c r="K416" s="59">
        <v>0</v>
      </c>
      <c r="L416" s="59">
        <v>0</v>
      </c>
      <c r="M416" s="59">
        <v>0</v>
      </c>
      <c r="N416" s="59">
        <v>0</v>
      </c>
      <c r="O416" s="59">
        <f t="shared" si="45"/>
        <v>0</v>
      </c>
      <c r="P416" s="59">
        <v>-2500</v>
      </c>
      <c r="Q416" s="59">
        <v>0</v>
      </c>
      <c r="R416" s="59">
        <v>0</v>
      </c>
      <c r="S416" s="59">
        <v>0</v>
      </c>
      <c r="T416" s="59">
        <v>0</v>
      </c>
      <c r="U416" s="59">
        <v>0</v>
      </c>
      <c r="V416" s="59">
        <v>0</v>
      </c>
      <c r="W416" s="59">
        <f t="shared" si="43"/>
        <v>-2500</v>
      </c>
      <c r="X416" s="59">
        <f t="shared" si="40"/>
        <v>0</v>
      </c>
      <c r="Y416" s="59">
        <f t="shared" si="41"/>
        <v>-2500</v>
      </c>
      <c r="Z416" s="59">
        <v>2500</v>
      </c>
      <c r="AA416" s="59">
        <f t="shared" si="42"/>
        <v>0</v>
      </c>
      <c r="AB416" s="59">
        <f t="shared" si="44"/>
        <v>2500</v>
      </c>
      <c r="AD416" s="59" t="s">
        <v>1966</v>
      </c>
      <c r="AF416" s="59"/>
    </row>
    <row r="417" spans="1:32" x14ac:dyDescent="0.3">
      <c r="A417" s="49">
        <v>8</v>
      </c>
      <c r="B417" s="41" t="s">
        <v>837</v>
      </c>
      <c r="C417" s="50" t="s">
        <v>357</v>
      </c>
      <c r="D417" s="50" t="s">
        <v>1150</v>
      </c>
      <c r="E417" s="50" t="s">
        <v>25</v>
      </c>
      <c r="F417" s="51" t="s">
        <v>25</v>
      </c>
      <c r="G417" s="50" t="s">
        <v>866</v>
      </c>
      <c r="H417" s="59">
        <v>7022.03</v>
      </c>
      <c r="I417" s="59">
        <v>0</v>
      </c>
      <c r="J417" s="59">
        <v>0</v>
      </c>
      <c r="K417" s="59">
        <v>0</v>
      </c>
      <c r="L417" s="59">
        <v>0</v>
      </c>
      <c r="M417" s="59">
        <v>-1.44</v>
      </c>
      <c r="N417" s="59">
        <v>-12</v>
      </c>
      <c r="O417" s="59">
        <f t="shared" si="45"/>
        <v>7008.59</v>
      </c>
      <c r="P417" s="59">
        <v>-2700</v>
      </c>
      <c r="Q417" s="59">
        <v>0</v>
      </c>
      <c r="R417" s="59">
        <v>0</v>
      </c>
      <c r="S417" s="59">
        <v>0</v>
      </c>
      <c r="T417" s="59">
        <v>0</v>
      </c>
      <c r="U417" s="59">
        <v>0</v>
      </c>
      <c r="V417" s="59">
        <v>0</v>
      </c>
      <c r="W417" s="59">
        <f t="shared" si="43"/>
        <v>4308.59</v>
      </c>
      <c r="X417" s="59">
        <f t="shared" si="40"/>
        <v>4308.59</v>
      </c>
      <c r="Y417" s="59">
        <f t="shared" si="41"/>
        <v>0</v>
      </c>
      <c r="Z417" s="59">
        <v>0</v>
      </c>
      <c r="AA417" s="59">
        <f t="shared" si="42"/>
        <v>0</v>
      </c>
      <c r="AB417" s="59">
        <f t="shared" si="44"/>
        <v>2700</v>
      </c>
      <c r="AD417" s="59" t="s">
        <v>1967</v>
      </c>
      <c r="AF417" s="59"/>
    </row>
    <row r="418" spans="1:32" x14ac:dyDescent="0.3">
      <c r="A418" s="49">
        <v>8</v>
      </c>
      <c r="B418" s="41" t="s">
        <v>1454</v>
      </c>
      <c r="C418" s="50" t="s">
        <v>563</v>
      </c>
      <c r="D418" s="50" t="s">
        <v>1230</v>
      </c>
      <c r="E418" s="50" t="s">
        <v>25</v>
      </c>
      <c r="F418" s="51" t="s">
        <v>25</v>
      </c>
      <c r="G418" s="50" t="s">
        <v>866</v>
      </c>
      <c r="H418" s="59">
        <v>3511.77</v>
      </c>
      <c r="I418" s="59">
        <v>-416.92</v>
      </c>
      <c r="J418" s="59">
        <v>0</v>
      </c>
      <c r="K418" s="59">
        <v>0</v>
      </c>
      <c r="L418" s="59">
        <v>0</v>
      </c>
      <c r="M418" s="59">
        <v>-25</v>
      </c>
      <c r="N418" s="59">
        <v>0</v>
      </c>
      <c r="O418" s="59">
        <f t="shared" si="45"/>
        <v>3069.85</v>
      </c>
      <c r="P418" s="59">
        <v>-2500</v>
      </c>
      <c r="Q418" s="59">
        <v>0</v>
      </c>
      <c r="R418" s="59">
        <v>-500</v>
      </c>
      <c r="S418" s="59">
        <v>0</v>
      </c>
      <c r="T418" s="59">
        <v>0</v>
      </c>
      <c r="U418" s="59">
        <v>0</v>
      </c>
      <c r="V418" s="59">
        <v>0</v>
      </c>
      <c r="W418" s="59">
        <f t="shared" si="43"/>
        <v>69.849999999999909</v>
      </c>
      <c r="X418" s="59">
        <f t="shared" si="40"/>
        <v>69.849999999999909</v>
      </c>
      <c r="Y418" s="59">
        <f t="shared" si="41"/>
        <v>0</v>
      </c>
      <c r="Z418" s="59">
        <v>0</v>
      </c>
      <c r="AA418" s="59">
        <f t="shared" si="42"/>
        <v>0</v>
      </c>
      <c r="AB418" s="59">
        <f t="shared" si="44"/>
        <v>3000</v>
      </c>
      <c r="AD418" s="59" t="s">
        <v>1968</v>
      </c>
      <c r="AF418" s="59"/>
    </row>
    <row r="419" spans="1:32" x14ac:dyDescent="0.3">
      <c r="A419" s="49">
        <v>8</v>
      </c>
      <c r="B419" s="41" t="s">
        <v>944</v>
      </c>
      <c r="C419" s="50" t="s">
        <v>372</v>
      </c>
      <c r="D419" s="50" t="s">
        <v>1004</v>
      </c>
      <c r="E419" s="50" t="s">
        <v>39</v>
      </c>
      <c r="F419" s="51" t="s">
        <v>39</v>
      </c>
      <c r="G419" s="50" t="s">
        <v>866</v>
      </c>
      <c r="H419" s="59">
        <v>8140.66</v>
      </c>
      <c r="I419" s="59">
        <v>-2475.67</v>
      </c>
      <c r="J419" s="59">
        <v>0</v>
      </c>
      <c r="K419" s="59">
        <v>0</v>
      </c>
      <c r="L419" s="59">
        <v>0</v>
      </c>
      <c r="M419" s="59">
        <v>-65</v>
      </c>
      <c r="N419" s="59">
        <v>0</v>
      </c>
      <c r="O419" s="59">
        <f t="shared" si="45"/>
        <v>5599.99</v>
      </c>
      <c r="P419" s="59">
        <v>-2500</v>
      </c>
      <c r="Q419" s="59">
        <v>-531</v>
      </c>
      <c r="R419" s="59">
        <v>0</v>
      </c>
      <c r="S419" s="59">
        <v>0</v>
      </c>
      <c r="T419" s="59">
        <v>0</v>
      </c>
      <c r="U419" s="59">
        <v>0</v>
      </c>
      <c r="V419" s="59">
        <v>0</v>
      </c>
      <c r="W419" s="59">
        <f t="shared" si="43"/>
        <v>2568.9899999999998</v>
      </c>
      <c r="X419" s="59">
        <f>IF(W419&gt;=0,W419,0)</f>
        <v>2568.9899999999998</v>
      </c>
      <c r="Y419" s="59">
        <f>IF(W419&lt;=0,W419,0)</f>
        <v>0</v>
      </c>
      <c r="Z419" s="59">
        <v>0</v>
      </c>
      <c r="AA419" s="59">
        <f>+Y419+Z419</f>
        <v>0</v>
      </c>
      <c r="AB419" s="59">
        <f t="shared" si="44"/>
        <v>3031</v>
      </c>
      <c r="AD419" s="59" t="s">
        <v>1969</v>
      </c>
      <c r="AF419" s="59"/>
    </row>
    <row r="420" spans="1:32" x14ac:dyDescent="0.3">
      <c r="A420" s="49">
        <v>8</v>
      </c>
      <c r="B420" s="41" t="s">
        <v>944</v>
      </c>
      <c r="C420" s="50" t="s">
        <v>101</v>
      </c>
      <c r="D420" s="50" t="s">
        <v>945</v>
      </c>
      <c r="E420" s="50" t="s">
        <v>25</v>
      </c>
      <c r="F420" s="51" t="s">
        <v>25</v>
      </c>
      <c r="G420" s="50" t="s">
        <v>866</v>
      </c>
      <c r="H420" s="59">
        <v>0</v>
      </c>
      <c r="I420" s="59">
        <v>0</v>
      </c>
      <c r="J420" s="59">
        <v>0</v>
      </c>
      <c r="K420" s="59">
        <v>0</v>
      </c>
      <c r="L420" s="59">
        <v>0</v>
      </c>
      <c r="M420" s="59">
        <v>0</v>
      </c>
      <c r="N420" s="59">
        <v>0</v>
      </c>
      <c r="O420" s="59">
        <f t="shared" si="45"/>
        <v>0</v>
      </c>
      <c r="P420" s="59">
        <v>0</v>
      </c>
      <c r="Q420" s="59">
        <v>0</v>
      </c>
      <c r="R420" s="59">
        <v>0</v>
      </c>
      <c r="T420" s="59">
        <v>-585</v>
      </c>
      <c r="U420" s="59">
        <v>0</v>
      </c>
      <c r="V420" s="59">
        <v>0</v>
      </c>
      <c r="W420" s="59">
        <f t="shared" si="43"/>
        <v>-585</v>
      </c>
      <c r="X420" s="59">
        <f t="shared" ref="X420:X452" si="46">IF(W420&gt;=0,W420,0)</f>
        <v>0</v>
      </c>
      <c r="Y420" s="59">
        <f t="shared" ref="Y420:Y452" si="47">IF(W420&lt;=0,W420,0)</f>
        <v>-585</v>
      </c>
      <c r="Z420" s="59">
        <v>585</v>
      </c>
      <c r="AA420" s="59">
        <f t="shared" ref="AA420:AA452" si="48">+Y420+Z420</f>
        <v>0</v>
      </c>
      <c r="AB420" s="59">
        <f t="shared" si="44"/>
        <v>585</v>
      </c>
      <c r="AD420" s="59" t="s">
        <v>1969</v>
      </c>
      <c r="AF420" s="59"/>
    </row>
    <row r="421" spans="1:32" x14ac:dyDescent="0.3">
      <c r="A421" s="49">
        <v>8</v>
      </c>
      <c r="B421" s="41" t="s">
        <v>1453</v>
      </c>
      <c r="C421" s="50" t="s">
        <v>1829</v>
      </c>
      <c r="D421" s="50" t="s">
        <v>3279</v>
      </c>
      <c r="E421" s="50" t="s">
        <v>25</v>
      </c>
      <c r="F421" s="51" t="s">
        <v>25</v>
      </c>
      <c r="G421" s="50" t="s">
        <v>866</v>
      </c>
      <c r="H421" s="59">
        <v>4385.08</v>
      </c>
      <c r="I421" s="59">
        <v>-624.01</v>
      </c>
      <c r="J421" s="59">
        <v>0</v>
      </c>
      <c r="K421" s="59">
        <v>0</v>
      </c>
      <c r="L421" s="59">
        <v>0</v>
      </c>
      <c r="M421" s="59">
        <v>-35</v>
      </c>
      <c r="N421" s="59">
        <v>0</v>
      </c>
      <c r="O421" s="59">
        <f t="shared" si="45"/>
        <v>3726.0699999999997</v>
      </c>
      <c r="P421" s="59">
        <v>-2700</v>
      </c>
      <c r="Q421" s="59">
        <v>0</v>
      </c>
      <c r="R421" s="59">
        <v>-500</v>
      </c>
      <c r="S421" s="59">
        <v>0</v>
      </c>
      <c r="T421" s="59">
        <v>0</v>
      </c>
      <c r="U421" s="59">
        <v>112</v>
      </c>
      <c r="V421" s="59">
        <v>0</v>
      </c>
      <c r="W421" s="59">
        <f t="shared" si="43"/>
        <v>638.06999999999971</v>
      </c>
      <c r="X421" s="59">
        <f t="shared" si="46"/>
        <v>638.06999999999971</v>
      </c>
      <c r="Y421" s="59">
        <f t="shared" si="47"/>
        <v>0</v>
      </c>
      <c r="Z421" s="59">
        <v>0</v>
      </c>
      <c r="AA421" s="59">
        <f t="shared" si="48"/>
        <v>0</v>
      </c>
      <c r="AB421" s="59">
        <f t="shared" si="44"/>
        <v>3088</v>
      </c>
      <c r="AD421" s="59" t="s">
        <v>1970</v>
      </c>
      <c r="AF421" s="59"/>
    </row>
    <row r="422" spans="1:32" x14ac:dyDescent="0.3">
      <c r="A422" s="49">
        <v>8</v>
      </c>
      <c r="B422" s="41" t="s">
        <v>604</v>
      </c>
      <c r="C422" s="50" t="s">
        <v>605</v>
      </c>
      <c r="D422" s="50" t="s">
        <v>1223</v>
      </c>
      <c r="E422" s="50" t="s">
        <v>25</v>
      </c>
      <c r="F422" s="51" t="s">
        <v>25</v>
      </c>
      <c r="G422" s="50" t="s">
        <v>866</v>
      </c>
      <c r="H422" s="59">
        <v>3567.24</v>
      </c>
      <c r="I422" s="59">
        <v>-1396.5400000000004</v>
      </c>
      <c r="J422" s="59">
        <v>0</v>
      </c>
      <c r="K422" s="59">
        <v>0</v>
      </c>
      <c r="L422" s="59">
        <v>0</v>
      </c>
      <c r="M422" s="59">
        <v>-50</v>
      </c>
      <c r="N422" s="59">
        <v>0</v>
      </c>
      <c r="O422" s="59">
        <f t="shared" si="45"/>
        <v>2120.6999999999994</v>
      </c>
      <c r="P422" s="59">
        <v>-2700</v>
      </c>
      <c r="Q422" s="59">
        <v>0</v>
      </c>
      <c r="R422" s="59">
        <v>0</v>
      </c>
      <c r="S422" s="59">
        <v>0</v>
      </c>
      <c r="T422" s="59">
        <v>0</v>
      </c>
      <c r="U422" s="59">
        <v>0</v>
      </c>
      <c r="V422" s="59">
        <v>0</v>
      </c>
      <c r="W422" s="59">
        <f t="shared" si="43"/>
        <v>-579.30000000000064</v>
      </c>
      <c r="X422" s="59">
        <f t="shared" si="46"/>
        <v>0</v>
      </c>
      <c r="Y422" s="59">
        <f t="shared" si="47"/>
        <v>-579.30000000000064</v>
      </c>
      <c r="Z422" s="59">
        <v>579</v>
      </c>
      <c r="AA422" s="59">
        <f t="shared" si="48"/>
        <v>-0.30000000000063665</v>
      </c>
      <c r="AB422" s="59">
        <f t="shared" si="44"/>
        <v>2699.3999999999987</v>
      </c>
      <c r="AD422" s="59" t="s">
        <v>1971</v>
      </c>
      <c r="AF422" s="59"/>
    </row>
    <row r="423" spans="1:32" x14ac:dyDescent="0.3">
      <c r="A423" s="49">
        <v>8</v>
      </c>
      <c r="B423" s="41" t="s">
        <v>1029</v>
      </c>
      <c r="C423" s="50" t="s">
        <v>68</v>
      </c>
      <c r="D423" s="50" t="s">
        <v>869</v>
      </c>
      <c r="E423" s="50" t="s">
        <v>25</v>
      </c>
      <c r="F423" s="51" t="s">
        <v>25</v>
      </c>
      <c r="G423" s="50" t="s">
        <v>866</v>
      </c>
      <c r="H423" s="59">
        <v>6640.53</v>
      </c>
      <c r="I423" s="59">
        <v>-291.93</v>
      </c>
      <c r="J423" s="59">
        <v>-28</v>
      </c>
      <c r="K423" s="59">
        <v>14.68</v>
      </c>
      <c r="L423" s="59">
        <v>-64.29000000000002</v>
      </c>
      <c r="M423" s="59">
        <v>-25</v>
      </c>
      <c r="N423" s="59">
        <v>0</v>
      </c>
      <c r="O423" s="59">
        <f t="shared" si="45"/>
        <v>6245.99</v>
      </c>
      <c r="P423" s="59">
        <v>-2500</v>
      </c>
      <c r="Q423" s="59">
        <v>0</v>
      </c>
      <c r="R423" s="59">
        <v>0</v>
      </c>
      <c r="S423" s="59">
        <v>0</v>
      </c>
      <c r="T423" s="59">
        <v>0</v>
      </c>
      <c r="U423" s="59">
        <v>0</v>
      </c>
      <c r="V423" s="59">
        <v>0</v>
      </c>
      <c r="W423" s="59">
        <f t="shared" si="43"/>
        <v>3745.99</v>
      </c>
      <c r="X423" s="59">
        <f t="shared" si="46"/>
        <v>3745.99</v>
      </c>
      <c r="Y423" s="59">
        <f t="shared" si="47"/>
        <v>0</v>
      </c>
      <c r="Z423" s="59">
        <v>0</v>
      </c>
      <c r="AA423" s="59">
        <f t="shared" si="48"/>
        <v>0</v>
      </c>
      <c r="AB423" s="59">
        <f t="shared" si="44"/>
        <v>2500</v>
      </c>
      <c r="AD423" s="59" t="s">
        <v>1972</v>
      </c>
      <c r="AF423" s="59"/>
    </row>
    <row r="424" spans="1:32" x14ac:dyDescent="0.3">
      <c r="A424" s="49">
        <v>8</v>
      </c>
      <c r="B424" s="41" t="s">
        <v>1449</v>
      </c>
      <c r="C424" s="50" t="s">
        <v>152</v>
      </c>
      <c r="D424" s="50" t="s">
        <v>1108</v>
      </c>
      <c r="E424" s="50" t="s">
        <v>25</v>
      </c>
      <c r="F424" s="51" t="s">
        <v>25</v>
      </c>
      <c r="G424" s="50" t="s">
        <v>866</v>
      </c>
      <c r="H424" s="59">
        <v>10808.68</v>
      </c>
      <c r="I424" s="59">
        <v>-2065.4</v>
      </c>
      <c r="J424" s="59">
        <v>-116</v>
      </c>
      <c r="K424" s="59">
        <v>375.86</v>
      </c>
      <c r="L424" s="59">
        <v>0</v>
      </c>
      <c r="M424" s="59">
        <v>-65</v>
      </c>
      <c r="N424" s="59">
        <v>0</v>
      </c>
      <c r="O424" s="59">
        <f t="shared" si="45"/>
        <v>8938.1400000000012</v>
      </c>
      <c r="P424" s="59">
        <v>-2500</v>
      </c>
      <c r="Q424" s="59">
        <v>0</v>
      </c>
      <c r="R424" s="59">
        <v>0</v>
      </c>
      <c r="S424" s="59">
        <v>0</v>
      </c>
      <c r="T424" s="59">
        <v>-500</v>
      </c>
      <c r="U424" s="59">
        <v>0</v>
      </c>
      <c r="V424" s="59">
        <v>0</v>
      </c>
      <c r="W424" s="59">
        <f t="shared" si="43"/>
        <v>5938.1400000000012</v>
      </c>
      <c r="X424" s="59">
        <f t="shared" si="46"/>
        <v>5938.1400000000012</v>
      </c>
      <c r="Y424" s="59">
        <f t="shared" si="47"/>
        <v>0</v>
      </c>
      <c r="Z424" s="59">
        <v>0</v>
      </c>
      <c r="AA424" s="59">
        <f t="shared" si="48"/>
        <v>0</v>
      </c>
      <c r="AB424" s="59">
        <f t="shared" si="44"/>
        <v>3000</v>
      </c>
      <c r="AD424" s="59" t="s">
        <v>1973</v>
      </c>
      <c r="AF424" s="59"/>
    </row>
    <row r="425" spans="1:32" x14ac:dyDescent="0.3">
      <c r="A425" s="49">
        <v>8</v>
      </c>
      <c r="B425" s="41" t="s">
        <v>1449</v>
      </c>
      <c r="C425" s="50" t="s">
        <v>1611</v>
      </c>
      <c r="D425" s="50" t="s">
        <v>3280</v>
      </c>
      <c r="E425" s="50" t="s">
        <v>25</v>
      </c>
      <c r="F425" s="51" t="s">
        <v>25</v>
      </c>
      <c r="G425" s="50" t="s">
        <v>866</v>
      </c>
      <c r="H425" s="59">
        <v>0</v>
      </c>
      <c r="I425" s="59">
        <v>0</v>
      </c>
      <c r="J425" s="59">
        <v>0</v>
      </c>
      <c r="K425" s="59">
        <v>0</v>
      </c>
      <c r="L425" s="59">
        <v>0</v>
      </c>
      <c r="M425" s="59">
        <v>0</v>
      </c>
      <c r="N425" s="59">
        <v>0</v>
      </c>
      <c r="O425" s="59">
        <f t="shared" si="45"/>
        <v>0</v>
      </c>
      <c r="P425" s="59">
        <v>0</v>
      </c>
      <c r="Q425" s="59">
        <v>0</v>
      </c>
      <c r="R425" s="59">
        <v>-500</v>
      </c>
      <c r="S425" s="59">
        <v>0</v>
      </c>
      <c r="T425" s="59">
        <v>0</v>
      </c>
      <c r="U425" s="59">
        <v>0</v>
      </c>
      <c r="V425" s="59">
        <v>0</v>
      </c>
      <c r="W425" s="59">
        <f t="shared" si="43"/>
        <v>-500</v>
      </c>
      <c r="X425" s="59">
        <f t="shared" si="46"/>
        <v>0</v>
      </c>
      <c r="Y425" s="59">
        <f t="shared" si="47"/>
        <v>-500</v>
      </c>
      <c r="Z425" s="59">
        <v>500</v>
      </c>
      <c r="AA425" s="59">
        <f t="shared" si="48"/>
        <v>0</v>
      </c>
      <c r="AB425" s="59">
        <f t="shared" si="44"/>
        <v>500</v>
      </c>
      <c r="AD425" s="59" t="s">
        <v>1973</v>
      </c>
      <c r="AF425" s="59"/>
    </row>
    <row r="426" spans="1:32" x14ac:dyDescent="0.3">
      <c r="A426" s="49">
        <v>8</v>
      </c>
      <c r="B426" s="41" t="s">
        <v>1141</v>
      </c>
      <c r="C426" s="50" t="s">
        <v>120</v>
      </c>
      <c r="D426" s="50" t="s">
        <v>950</v>
      </c>
      <c r="E426" s="50" t="s">
        <v>25</v>
      </c>
      <c r="F426" s="51" t="s">
        <v>25</v>
      </c>
      <c r="G426" s="50" t="s">
        <v>866</v>
      </c>
      <c r="H426" s="59">
        <v>2894.08</v>
      </c>
      <c r="I426" s="59">
        <v>-1075.43</v>
      </c>
      <c r="J426" s="59">
        <v>0</v>
      </c>
      <c r="K426" s="59">
        <v>164.24</v>
      </c>
      <c r="L426" s="59">
        <v>0</v>
      </c>
      <c r="M426" s="59">
        <v>-50</v>
      </c>
      <c r="N426" s="59">
        <v>0</v>
      </c>
      <c r="O426" s="59">
        <f t="shared" si="45"/>
        <v>1932.8899999999999</v>
      </c>
      <c r="P426" s="59">
        <v>-2500</v>
      </c>
      <c r="Q426" s="59">
        <v>0</v>
      </c>
      <c r="R426" s="59">
        <v>0</v>
      </c>
      <c r="S426" s="59">
        <v>0</v>
      </c>
      <c r="T426" s="59">
        <v>-700</v>
      </c>
      <c r="U426" s="59">
        <v>37</v>
      </c>
      <c r="V426" s="59">
        <v>0</v>
      </c>
      <c r="W426" s="59">
        <f t="shared" si="43"/>
        <v>-1230.1100000000001</v>
      </c>
      <c r="X426" s="59">
        <f t="shared" si="46"/>
        <v>0</v>
      </c>
      <c r="Y426" s="59">
        <f t="shared" si="47"/>
        <v>-1230.1100000000001</v>
      </c>
      <c r="Z426" s="59">
        <v>1230</v>
      </c>
      <c r="AA426" s="59">
        <f t="shared" si="48"/>
        <v>-0.11000000000012733</v>
      </c>
      <c r="AB426" s="59">
        <f t="shared" si="44"/>
        <v>3162.7799999999997</v>
      </c>
      <c r="AD426" s="59" t="s">
        <v>1974</v>
      </c>
      <c r="AF426" s="59"/>
    </row>
    <row r="427" spans="1:32" x14ac:dyDescent="0.3">
      <c r="A427" s="49">
        <v>8</v>
      </c>
      <c r="B427" s="41" t="s">
        <v>1151</v>
      </c>
      <c r="C427" s="50" t="s">
        <v>1285</v>
      </c>
      <c r="D427" s="50" t="s">
        <v>1340</v>
      </c>
      <c r="E427" s="50" t="s">
        <v>25</v>
      </c>
      <c r="F427" s="51" t="s">
        <v>25</v>
      </c>
      <c r="G427" s="50" t="s">
        <v>866</v>
      </c>
      <c r="H427" s="59">
        <v>5323.47</v>
      </c>
      <c r="I427" s="59">
        <v>0</v>
      </c>
      <c r="J427" s="59">
        <v>-64</v>
      </c>
      <c r="K427" s="59">
        <v>640.83000000000004</v>
      </c>
      <c r="L427" s="59">
        <v>0</v>
      </c>
      <c r="M427" s="59">
        <v>-5</v>
      </c>
      <c r="N427" s="59">
        <v>0</v>
      </c>
      <c r="O427" s="59">
        <f t="shared" si="45"/>
        <v>5895.3</v>
      </c>
      <c r="P427" s="59">
        <v>-2700</v>
      </c>
      <c r="Q427" s="59">
        <v>0</v>
      </c>
      <c r="R427" s="59">
        <v>0</v>
      </c>
      <c r="S427" s="59">
        <v>0</v>
      </c>
      <c r="T427" s="59">
        <v>0</v>
      </c>
      <c r="U427" s="59">
        <v>0</v>
      </c>
      <c r="V427" s="59">
        <v>0</v>
      </c>
      <c r="W427" s="59">
        <f t="shared" si="43"/>
        <v>3195.3</v>
      </c>
      <c r="X427" s="59">
        <f t="shared" si="46"/>
        <v>3195.3</v>
      </c>
      <c r="Y427" s="59">
        <f t="shared" si="47"/>
        <v>0</v>
      </c>
      <c r="Z427" s="59">
        <v>0</v>
      </c>
      <c r="AA427" s="59">
        <f t="shared" si="48"/>
        <v>0</v>
      </c>
      <c r="AB427" s="59">
        <f t="shared" si="44"/>
        <v>2700</v>
      </c>
      <c r="AD427" s="59" t="s">
        <v>1975</v>
      </c>
      <c r="AF427" s="59"/>
    </row>
    <row r="428" spans="1:32" x14ac:dyDescent="0.3">
      <c r="A428" s="49">
        <v>8</v>
      </c>
      <c r="B428" s="41" t="s">
        <v>1310</v>
      </c>
      <c r="C428" s="50" t="s">
        <v>101</v>
      </c>
      <c r="D428" s="50" t="s">
        <v>945</v>
      </c>
      <c r="E428" s="50" t="s">
        <v>25</v>
      </c>
      <c r="F428" s="51" t="s">
        <v>25</v>
      </c>
      <c r="G428" s="50" t="s">
        <v>866</v>
      </c>
      <c r="H428" s="59">
        <v>7939.2</v>
      </c>
      <c r="I428" s="59">
        <v>-2887.5599999999995</v>
      </c>
      <c r="J428" s="59">
        <v>-107.2</v>
      </c>
      <c r="K428" s="59">
        <v>0</v>
      </c>
      <c r="L428" s="59">
        <v>0</v>
      </c>
      <c r="M428" s="59">
        <f>-1.6512-70</f>
        <v>-71.651200000000003</v>
      </c>
      <c r="N428" s="59">
        <v>-13.760000000000003</v>
      </c>
      <c r="O428" s="59">
        <f t="shared" si="45"/>
        <v>4859.0288</v>
      </c>
      <c r="P428" s="59">
        <v>-2500</v>
      </c>
      <c r="Q428" s="59">
        <v>0</v>
      </c>
      <c r="R428" s="59">
        <v>-500</v>
      </c>
      <c r="S428" s="59">
        <v>0</v>
      </c>
      <c r="T428" s="59">
        <v>0</v>
      </c>
      <c r="U428" s="59">
        <v>0</v>
      </c>
      <c r="V428" s="59">
        <v>0</v>
      </c>
      <c r="W428" s="59">
        <f t="shared" si="43"/>
        <v>1859.0288</v>
      </c>
      <c r="X428" s="59">
        <f t="shared" si="46"/>
        <v>1859.0288</v>
      </c>
      <c r="Y428" s="59">
        <f t="shared" si="47"/>
        <v>0</v>
      </c>
      <c r="Z428" s="59">
        <v>0</v>
      </c>
      <c r="AA428" s="59">
        <f t="shared" si="48"/>
        <v>0</v>
      </c>
      <c r="AB428" s="59">
        <f t="shared" si="44"/>
        <v>3000</v>
      </c>
      <c r="AD428" s="59" t="s">
        <v>1976</v>
      </c>
      <c r="AF428" s="59"/>
    </row>
    <row r="429" spans="1:32" x14ac:dyDescent="0.3">
      <c r="A429" s="49">
        <v>8</v>
      </c>
      <c r="B429" s="41" t="s">
        <v>913</v>
      </c>
      <c r="C429" s="50" t="s">
        <v>361</v>
      </c>
      <c r="D429" s="50" t="s">
        <v>1164</v>
      </c>
      <c r="E429" s="50" t="s">
        <v>25</v>
      </c>
      <c r="F429" s="51" t="s">
        <v>25</v>
      </c>
      <c r="G429" s="50" t="s">
        <v>866</v>
      </c>
      <c r="H429" s="59">
        <v>5004.7</v>
      </c>
      <c r="I429" s="59">
        <v>-2812.15</v>
      </c>
      <c r="J429" s="59">
        <v>-24</v>
      </c>
      <c r="K429" s="59">
        <v>0</v>
      </c>
      <c r="L429" s="59">
        <v>0</v>
      </c>
      <c r="M429" s="59">
        <f>-28.3356-65</f>
        <v>-93.335599999999999</v>
      </c>
      <c r="N429" s="59">
        <v>-236.13</v>
      </c>
      <c r="O429" s="59">
        <f t="shared" si="45"/>
        <v>1839.0843999999997</v>
      </c>
      <c r="P429" s="59">
        <v>-2700</v>
      </c>
      <c r="Q429" s="59">
        <f>-579*1.12</f>
        <v>-648.48</v>
      </c>
      <c r="R429" s="59">
        <v>0</v>
      </c>
      <c r="S429" s="59">
        <v>0</v>
      </c>
      <c r="T429" s="59">
        <v>0</v>
      </c>
      <c r="U429" s="59">
        <v>0</v>
      </c>
      <c r="V429" s="59">
        <v>0</v>
      </c>
      <c r="W429" s="59">
        <f t="shared" si="43"/>
        <v>-1509.3956000000003</v>
      </c>
      <c r="X429" s="59">
        <f t="shared" si="46"/>
        <v>0</v>
      </c>
      <c r="Y429" s="59">
        <f t="shared" si="47"/>
        <v>-1509.3956000000003</v>
      </c>
      <c r="Z429" s="59">
        <f>800+709</f>
        <v>1509</v>
      </c>
      <c r="AA429" s="59">
        <f t="shared" si="48"/>
        <v>-0.39560000000028595</v>
      </c>
      <c r="AB429" s="59">
        <f t="shared" si="44"/>
        <v>3347.6887999999994</v>
      </c>
      <c r="AD429" s="59" t="s">
        <v>2663</v>
      </c>
      <c r="AF429" s="59"/>
    </row>
    <row r="430" spans="1:32" x14ac:dyDescent="0.3">
      <c r="A430" s="49">
        <v>8</v>
      </c>
      <c r="B430" s="41" t="s">
        <v>913</v>
      </c>
      <c r="C430" s="50" t="s">
        <v>120</v>
      </c>
      <c r="D430" s="50" t="s">
        <v>950</v>
      </c>
      <c r="E430" s="50" t="s">
        <v>25</v>
      </c>
      <c r="F430" s="51" t="s">
        <v>25</v>
      </c>
      <c r="G430" s="50" t="s">
        <v>866</v>
      </c>
      <c r="H430" s="59">
        <v>0</v>
      </c>
      <c r="I430" s="59">
        <v>0</v>
      </c>
      <c r="J430" s="59">
        <v>0</v>
      </c>
      <c r="K430" s="59">
        <v>0</v>
      </c>
      <c r="L430" s="59">
        <v>0</v>
      </c>
      <c r="M430" s="59">
        <v>0</v>
      </c>
      <c r="N430" s="59">
        <v>0</v>
      </c>
      <c r="O430" s="59">
        <f t="shared" si="45"/>
        <v>0</v>
      </c>
      <c r="P430" s="59">
        <v>0</v>
      </c>
      <c r="Q430" s="59">
        <v>0</v>
      </c>
      <c r="R430" s="59">
        <v>0</v>
      </c>
      <c r="S430" s="59">
        <v>0</v>
      </c>
      <c r="T430" s="59">
        <v>-500</v>
      </c>
      <c r="U430" s="59">
        <v>0</v>
      </c>
      <c r="V430" s="59">
        <v>0</v>
      </c>
      <c r="W430" s="59">
        <f t="shared" si="43"/>
        <v>-500</v>
      </c>
      <c r="X430" s="59">
        <f t="shared" si="46"/>
        <v>0</v>
      </c>
      <c r="Y430" s="59">
        <f t="shared" si="47"/>
        <v>-500</v>
      </c>
      <c r="Z430" s="59">
        <v>500</v>
      </c>
      <c r="AA430" s="59">
        <f t="shared" si="48"/>
        <v>0</v>
      </c>
      <c r="AB430" s="59">
        <f t="shared" si="44"/>
        <v>500</v>
      </c>
      <c r="AD430" s="59"/>
      <c r="AF430" s="59"/>
    </row>
    <row r="431" spans="1:32" x14ac:dyDescent="0.3">
      <c r="A431" s="49">
        <v>8</v>
      </c>
      <c r="B431" s="41" t="s">
        <v>1403</v>
      </c>
      <c r="C431" s="50" t="s">
        <v>195</v>
      </c>
      <c r="D431" s="50" t="s">
        <v>1404</v>
      </c>
      <c r="E431" s="50" t="s">
        <v>871</v>
      </c>
      <c r="F431" s="51" t="s">
        <v>39</v>
      </c>
      <c r="G431" s="50" t="s">
        <v>866</v>
      </c>
      <c r="H431" s="59">
        <v>7636.3</v>
      </c>
      <c r="I431" s="59">
        <v>-2007.88</v>
      </c>
      <c r="J431" s="59">
        <v>-120</v>
      </c>
      <c r="K431" s="59">
        <v>230.05</v>
      </c>
      <c r="L431" s="59">
        <v>0</v>
      </c>
      <c r="M431" s="59">
        <v>-65</v>
      </c>
      <c r="N431" s="59">
        <v>-62</v>
      </c>
      <c r="O431" s="59">
        <f t="shared" si="45"/>
        <v>5611.47</v>
      </c>
      <c r="P431" s="59">
        <v>-2500</v>
      </c>
      <c r="Q431" s="59">
        <v>0</v>
      </c>
      <c r="R431" s="59">
        <v>-500</v>
      </c>
      <c r="S431" s="59">
        <v>0</v>
      </c>
      <c r="T431" s="59">
        <v>-700</v>
      </c>
      <c r="U431" s="59">
        <v>0</v>
      </c>
      <c r="V431" s="59">
        <v>0</v>
      </c>
      <c r="W431" s="59">
        <f t="shared" si="43"/>
        <v>1911.4700000000003</v>
      </c>
      <c r="X431" s="59">
        <f t="shared" si="46"/>
        <v>1911.4700000000003</v>
      </c>
      <c r="Y431" s="59">
        <f t="shared" si="47"/>
        <v>0</v>
      </c>
      <c r="Z431" s="59">
        <v>0</v>
      </c>
      <c r="AA431" s="59">
        <f t="shared" si="48"/>
        <v>0</v>
      </c>
      <c r="AB431" s="59">
        <f t="shared" si="44"/>
        <v>3700</v>
      </c>
      <c r="AD431" s="59" t="s">
        <v>1977</v>
      </c>
      <c r="AF431" s="59"/>
    </row>
    <row r="432" spans="1:32" x14ac:dyDescent="0.3">
      <c r="A432" s="49">
        <v>8</v>
      </c>
      <c r="B432" s="41" t="s">
        <v>1295</v>
      </c>
      <c r="C432" s="50" t="s">
        <v>53</v>
      </c>
      <c r="D432" s="50" t="s">
        <v>1167</v>
      </c>
      <c r="E432" s="50" t="s">
        <v>25</v>
      </c>
      <c r="F432" s="51" t="s">
        <v>25</v>
      </c>
      <c r="G432" s="50" t="s">
        <v>866</v>
      </c>
      <c r="H432" s="59">
        <v>4511.05</v>
      </c>
      <c r="I432" s="59">
        <v>-760.98</v>
      </c>
      <c r="J432" s="59">
        <v>-60</v>
      </c>
      <c r="K432" s="59">
        <v>0</v>
      </c>
      <c r="L432" s="59">
        <v>0</v>
      </c>
      <c r="M432" s="59">
        <v>-35</v>
      </c>
      <c r="N432" s="59">
        <v>0</v>
      </c>
      <c r="O432" s="59">
        <f t="shared" si="45"/>
        <v>3655.07</v>
      </c>
      <c r="P432" s="59">
        <v>-2500</v>
      </c>
      <c r="Q432" s="59">
        <v>0</v>
      </c>
      <c r="R432" s="59">
        <v>-500</v>
      </c>
      <c r="S432" s="59">
        <v>0</v>
      </c>
      <c r="T432" s="59">
        <v>0</v>
      </c>
      <c r="U432" s="59">
        <v>0</v>
      </c>
      <c r="V432" s="59">
        <v>0</v>
      </c>
      <c r="W432" s="59">
        <f t="shared" si="43"/>
        <v>655.07000000000016</v>
      </c>
      <c r="X432" s="59">
        <f t="shared" si="46"/>
        <v>655.07000000000016</v>
      </c>
      <c r="Y432" s="59">
        <f t="shared" si="47"/>
        <v>0</v>
      </c>
      <c r="Z432" s="59">
        <v>0</v>
      </c>
      <c r="AA432" s="59">
        <f t="shared" si="48"/>
        <v>0</v>
      </c>
      <c r="AB432" s="59">
        <f t="shared" si="44"/>
        <v>3000</v>
      </c>
      <c r="AD432" s="59" t="s">
        <v>1978</v>
      </c>
      <c r="AF432" s="59"/>
    </row>
    <row r="433" spans="1:32" x14ac:dyDescent="0.3">
      <c r="A433" s="49">
        <v>8</v>
      </c>
      <c r="B433" s="41" t="s">
        <v>1522</v>
      </c>
      <c r="C433" s="50" t="s">
        <v>169</v>
      </c>
      <c r="D433" s="50" t="s">
        <v>967</v>
      </c>
      <c r="E433" s="50" t="s">
        <v>871</v>
      </c>
      <c r="F433" s="51" t="s">
        <v>39</v>
      </c>
      <c r="G433" s="50" t="s">
        <v>866</v>
      </c>
      <c r="H433" s="59">
        <v>3148.43</v>
      </c>
      <c r="I433" s="59">
        <v>-598.89</v>
      </c>
      <c r="J433" s="59">
        <v>0</v>
      </c>
      <c r="K433" s="59">
        <v>0</v>
      </c>
      <c r="L433" s="59">
        <v>0</v>
      </c>
      <c r="M433" s="59">
        <v>-35</v>
      </c>
      <c r="N433" s="59">
        <v>-167</v>
      </c>
      <c r="O433" s="59">
        <f t="shared" si="45"/>
        <v>2347.54</v>
      </c>
      <c r="P433" s="59">
        <v>-2500</v>
      </c>
      <c r="Q433" s="59">
        <v>0</v>
      </c>
      <c r="R433" s="59">
        <v>-500</v>
      </c>
      <c r="S433" s="59">
        <v>0</v>
      </c>
      <c r="T433" s="59">
        <v>0</v>
      </c>
      <c r="U433" s="59">
        <v>0</v>
      </c>
      <c r="V433" s="59">
        <v>0</v>
      </c>
      <c r="W433" s="59">
        <f t="shared" si="43"/>
        <v>-652.46</v>
      </c>
      <c r="X433" s="59">
        <f t="shared" si="46"/>
        <v>0</v>
      </c>
      <c r="Y433" s="59">
        <f t="shared" si="47"/>
        <v>-652.46</v>
      </c>
      <c r="Z433" s="59">
        <v>452</v>
      </c>
      <c r="AA433" s="59">
        <f t="shared" si="48"/>
        <v>-200.46000000000004</v>
      </c>
      <c r="AB433" s="59">
        <f t="shared" si="44"/>
        <v>2599.08</v>
      </c>
      <c r="AD433" s="59" t="s">
        <v>1979</v>
      </c>
      <c r="AF433" s="59"/>
    </row>
    <row r="434" spans="1:32" x14ac:dyDescent="0.3">
      <c r="A434" s="49">
        <v>8</v>
      </c>
      <c r="B434" s="41" t="s">
        <v>457</v>
      </c>
      <c r="C434" s="50" t="s">
        <v>672</v>
      </c>
      <c r="D434" s="50" t="s">
        <v>1226</v>
      </c>
      <c r="E434" s="50" t="s">
        <v>25</v>
      </c>
      <c r="F434" s="51" t="s">
        <v>25</v>
      </c>
      <c r="G434" s="50" t="s">
        <v>866</v>
      </c>
      <c r="H434" s="59">
        <v>0</v>
      </c>
      <c r="I434" s="59">
        <v>0</v>
      </c>
      <c r="J434" s="59">
        <v>0</v>
      </c>
      <c r="K434" s="59">
        <v>0</v>
      </c>
      <c r="L434" s="59">
        <v>0</v>
      </c>
      <c r="M434" s="59">
        <v>0</v>
      </c>
      <c r="N434" s="59">
        <v>0</v>
      </c>
      <c r="O434" s="59">
        <f t="shared" si="45"/>
        <v>0</v>
      </c>
      <c r="P434" s="59">
        <v>-2500</v>
      </c>
      <c r="Q434" s="59">
        <v>0</v>
      </c>
      <c r="R434" s="59">
        <v>0</v>
      </c>
      <c r="S434" s="59">
        <v>0</v>
      </c>
      <c r="T434" s="59">
        <v>-1000</v>
      </c>
      <c r="U434" s="59">
        <v>316</v>
      </c>
      <c r="V434" s="59">
        <v>0</v>
      </c>
      <c r="W434" s="59">
        <f t="shared" si="43"/>
        <v>-3184</v>
      </c>
      <c r="X434" s="59">
        <f t="shared" si="46"/>
        <v>0</v>
      </c>
      <c r="Y434" s="59">
        <f t="shared" si="47"/>
        <v>-3184</v>
      </c>
      <c r="Z434" s="59">
        <f>350+200+300+200+250+1000</f>
        <v>2300</v>
      </c>
      <c r="AA434" s="59">
        <f t="shared" si="48"/>
        <v>-884</v>
      </c>
      <c r="AB434" s="59">
        <f t="shared" si="44"/>
        <v>1416</v>
      </c>
      <c r="AD434" s="59" t="s">
        <v>2664</v>
      </c>
      <c r="AF434" s="59"/>
    </row>
    <row r="435" spans="1:32" x14ac:dyDescent="0.3">
      <c r="A435" s="49">
        <v>8</v>
      </c>
      <c r="B435" s="41" t="s">
        <v>612</v>
      </c>
      <c r="C435" s="50" t="s">
        <v>1443</v>
      </c>
      <c r="D435" s="50" t="s">
        <v>1554</v>
      </c>
      <c r="E435" s="50" t="s">
        <v>25</v>
      </c>
      <c r="F435" s="51" t="s">
        <v>25</v>
      </c>
      <c r="G435" s="50" t="s">
        <v>866</v>
      </c>
      <c r="H435" s="59">
        <v>0</v>
      </c>
      <c r="I435" s="59">
        <v>0</v>
      </c>
      <c r="J435" s="59">
        <v>0</v>
      </c>
      <c r="K435" s="59">
        <v>0</v>
      </c>
      <c r="L435" s="59">
        <v>0</v>
      </c>
      <c r="M435" s="59">
        <v>0</v>
      </c>
      <c r="N435" s="59">
        <v>0</v>
      </c>
      <c r="O435" s="59">
        <f t="shared" si="45"/>
        <v>0</v>
      </c>
      <c r="P435" s="59">
        <v>0</v>
      </c>
      <c r="Q435" s="59">
        <v>0</v>
      </c>
      <c r="R435" s="59">
        <v>500</v>
      </c>
      <c r="S435" s="59">
        <v>0</v>
      </c>
      <c r="T435" s="59">
        <v>0</v>
      </c>
      <c r="U435" s="59">
        <v>0</v>
      </c>
      <c r="V435" s="59">
        <v>0</v>
      </c>
      <c r="W435" s="59">
        <f t="shared" si="43"/>
        <v>500</v>
      </c>
      <c r="X435" s="59">
        <f t="shared" si="46"/>
        <v>500</v>
      </c>
      <c r="Y435" s="59">
        <f t="shared" si="47"/>
        <v>0</v>
      </c>
      <c r="Z435" s="59">
        <v>0</v>
      </c>
      <c r="AA435" s="59">
        <f t="shared" si="48"/>
        <v>0</v>
      </c>
      <c r="AB435" s="59">
        <f t="shared" si="44"/>
        <v>-500</v>
      </c>
      <c r="AD435" s="59" t="s">
        <v>1980</v>
      </c>
      <c r="AF435" s="59"/>
    </row>
    <row r="436" spans="1:32" x14ac:dyDescent="0.3">
      <c r="A436" s="49">
        <v>8</v>
      </c>
      <c r="B436" s="41" t="s">
        <v>620</v>
      </c>
      <c r="C436" s="50" t="s">
        <v>571</v>
      </c>
      <c r="D436" s="50" t="s">
        <v>974</v>
      </c>
      <c r="E436" s="50" t="s">
        <v>25</v>
      </c>
      <c r="F436" s="51" t="s">
        <v>25</v>
      </c>
      <c r="G436" s="50" t="s">
        <v>737</v>
      </c>
      <c r="H436" s="59">
        <v>0</v>
      </c>
      <c r="I436" s="59">
        <v>0</v>
      </c>
      <c r="J436" s="59">
        <v>0</v>
      </c>
      <c r="K436" s="59">
        <v>0</v>
      </c>
      <c r="L436" s="59">
        <v>0</v>
      </c>
      <c r="M436" s="59">
        <v>0</v>
      </c>
      <c r="N436" s="59">
        <v>0</v>
      </c>
      <c r="O436" s="59">
        <f t="shared" si="45"/>
        <v>0</v>
      </c>
      <c r="P436" s="59">
        <v>0</v>
      </c>
      <c r="Q436" s="59">
        <f>-700*1.12</f>
        <v>-784.00000000000011</v>
      </c>
      <c r="R436" s="59">
        <v>0</v>
      </c>
      <c r="S436" s="59">
        <v>0</v>
      </c>
      <c r="T436" s="59">
        <v>-700</v>
      </c>
      <c r="U436" s="59">
        <v>0</v>
      </c>
      <c r="V436" s="59">
        <v>0</v>
      </c>
      <c r="W436" s="59">
        <f t="shared" si="43"/>
        <v>-1484</v>
      </c>
      <c r="X436" s="59">
        <f t="shared" si="46"/>
        <v>0</v>
      </c>
      <c r="Y436" s="59">
        <f t="shared" si="47"/>
        <v>-1484</v>
      </c>
      <c r="Z436" s="59">
        <v>0</v>
      </c>
      <c r="AA436" s="59">
        <f t="shared" si="48"/>
        <v>-1484</v>
      </c>
      <c r="AB436" s="59">
        <f t="shared" si="44"/>
        <v>-1484</v>
      </c>
      <c r="AD436" s="59"/>
      <c r="AF436" s="59"/>
    </row>
    <row r="437" spans="1:32" x14ac:dyDescent="0.3">
      <c r="A437" s="49">
        <v>8</v>
      </c>
      <c r="B437" s="41" t="s">
        <v>1056</v>
      </c>
      <c r="C437" s="50" t="s">
        <v>760</v>
      </c>
      <c r="D437" s="50" t="s">
        <v>1239</v>
      </c>
      <c r="E437" s="50" t="s">
        <v>25</v>
      </c>
      <c r="F437" s="51" t="s">
        <v>25</v>
      </c>
      <c r="G437" s="50" t="s">
        <v>866</v>
      </c>
      <c r="H437" s="59">
        <v>0</v>
      </c>
      <c r="I437" s="59">
        <v>0</v>
      </c>
      <c r="J437" s="59">
        <v>-59.87</v>
      </c>
      <c r="K437" s="59">
        <v>374.13</v>
      </c>
      <c r="L437" s="59">
        <v>0</v>
      </c>
      <c r="M437" s="59">
        <v>-5</v>
      </c>
      <c r="N437" s="59">
        <v>0</v>
      </c>
      <c r="O437" s="59">
        <f t="shared" si="45"/>
        <v>309.26</v>
      </c>
      <c r="P437" s="59">
        <v>-309</v>
      </c>
      <c r="Q437" s="59">
        <v>0</v>
      </c>
      <c r="R437" s="59">
        <v>0</v>
      </c>
      <c r="S437" s="59">
        <v>0</v>
      </c>
      <c r="T437" s="59">
        <v>0</v>
      </c>
      <c r="U437" s="59">
        <v>0</v>
      </c>
      <c r="V437" s="59">
        <v>0</v>
      </c>
      <c r="W437" s="59">
        <f t="shared" si="43"/>
        <v>0.25999999999999091</v>
      </c>
      <c r="X437" s="59">
        <f t="shared" si="46"/>
        <v>0.25999999999999091</v>
      </c>
      <c r="Y437" s="59">
        <f t="shared" si="47"/>
        <v>0</v>
      </c>
      <c r="Z437" s="59">
        <v>0</v>
      </c>
      <c r="AA437" s="59">
        <f t="shared" si="48"/>
        <v>0</v>
      </c>
      <c r="AB437" s="59">
        <f t="shared" si="44"/>
        <v>309</v>
      </c>
      <c r="AD437" s="59"/>
      <c r="AF437" s="59"/>
    </row>
    <row r="438" spans="1:32" x14ac:dyDescent="0.3">
      <c r="A438" s="49">
        <v>8</v>
      </c>
      <c r="B438" s="41" t="s">
        <v>1153</v>
      </c>
      <c r="C438" s="50" t="s">
        <v>1328</v>
      </c>
      <c r="D438" s="50" t="s">
        <v>1576</v>
      </c>
      <c r="E438" s="50" t="s">
        <v>25</v>
      </c>
      <c r="F438" s="51" t="s">
        <v>25</v>
      </c>
      <c r="G438" s="50" t="s">
        <v>866</v>
      </c>
      <c r="H438" s="59">
        <v>2620.77</v>
      </c>
      <c r="I438" s="59">
        <v>-664.5</v>
      </c>
      <c r="J438" s="59">
        <v>0</v>
      </c>
      <c r="K438" s="59">
        <v>0</v>
      </c>
      <c r="L438" s="59">
        <v>0</v>
      </c>
      <c r="M438" s="59">
        <f>-9.2196-35</f>
        <v>-44.2196</v>
      </c>
      <c r="N438" s="59">
        <v>-76.829999999999984</v>
      </c>
      <c r="O438" s="59">
        <f t="shared" si="45"/>
        <v>1835.2204000000002</v>
      </c>
      <c r="P438" s="59">
        <v>-2700</v>
      </c>
      <c r="Q438" s="59">
        <f>-801</f>
        <v>-801</v>
      </c>
      <c r="R438" s="59">
        <v>0</v>
      </c>
      <c r="S438" s="59">
        <v>0</v>
      </c>
      <c r="T438" s="59">
        <v>0</v>
      </c>
      <c r="U438" s="59">
        <v>0</v>
      </c>
      <c r="V438" s="59">
        <v>0</v>
      </c>
      <c r="W438" s="59">
        <f t="shared" si="43"/>
        <v>-1665.7795999999998</v>
      </c>
      <c r="X438" s="59">
        <f t="shared" si="46"/>
        <v>0</v>
      </c>
      <c r="Y438" s="59">
        <f t="shared" si="47"/>
        <v>-1665.7795999999998</v>
      </c>
      <c r="Z438" s="59">
        <v>0</v>
      </c>
      <c r="AA438" s="59">
        <f t="shared" si="48"/>
        <v>-1665.7795999999998</v>
      </c>
      <c r="AB438" s="59">
        <f t="shared" si="44"/>
        <v>169.44080000000031</v>
      </c>
      <c r="AD438" s="59"/>
      <c r="AF438" s="59"/>
    </row>
    <row r="439" spans="1:32" x14ac:dyDescent="0.3">
      <c r="A439" s="49">
        <v>8</v>
      </c>
      <c r="B439" s="41" t="s">
        <v>1405</v>
      </c>
      <c r="C439" s="50" t="s">
        <v>1316</v>
      </c>
      <c r="D439" s="50" t="s">
        <v>1317</v>
      </c>
      <c r="E439" s="50" t="s">
        <v>25</v>
      </c>
      <c r="F439" s="51" t="s">
        <v>25</v>
      </c>
      <c r="G439" s="50" t="s">
        <v>737</v>
      </c>
      <c r="H439" s="59">
        <v>0</v>
      </c>
      <c r="I439" s="59">
        <v>0</v>
      </c>
      <c r="J439" s="59">
        <v>0</v>
      </c>
      <c r="K439" s="59">
        <v>0</v>
      </c>
      <c r="L439" s="59">
        <v>0</v>
      </c>
      <c r="M439" s="59">
        <v>0</v>
      </c>
      <c r="N439" s="59">
        <v>0</v>
      </c>
      <c r="O439" s="59">
        <f t="shared" si="45"/>
        <v>0</v>
      </c>
      <c r="P439" s="59">
        <v>-2700</v>
      </c>
      <c r="Q439" s="59">
        <f>-2000*1.12</f>
        <v>-2240</v>
      </c>
      <c r="R439" s="59">
        <v>-500</v>
      </c>
      <c r="S439" s="59">
        <v>0</v>
      </c>
      <c r="T439" s="59">
        <v>0</v>
      </c>
      <c r="U439" s="59">
        <v>0</v>
      </c>
      <c r="V439" s="59">
        <v>0</v>
      </c>
      <c r="W439" s="59">
        <f t="shared" si="43"/>
        <v>-5440</v>
      </c>
      <c r="X439" s="59">
        <f t="shared" si="46"/>
        <v>0</v>
      </c>
      <c r="Y439" s="59">
        <f t="shared" si="47"/>
        <v>-5440</v>
      </c>
      <c r="Z439" s="59">
        <v>800</v>
      </c>
      <c r="AA439" s="59">
        <f t="shared" si="48"/>
        <v>-4640</v>
      </c>
      <c r="AB439" s="59">
        <f t="shared" si="44"/>
        <v>-3840</v>
      </c>
      <c r="AD439" s="59" t="s">
        <v>1981</v>
      </c>
      <c r="AF439" s="59"/>
    </row>
    <row r="440" spans="1:32" x14ac:dyDescent="0.3">
      <c r="A440" s="49">
        <v>8</v>
      </c>
      <c r="B440" s="41" t="s">
        <v>872</v>
      </c>
      <c r="C440" s="50" t="s">
        <v>256</v>
      </c>
      <c r="D440" s="50" t="s">
        <v>997</v>
      </c>
      <c r="E440" s="50" t="s">
        <v>871</v>
      </c>
      <c r="F440" s="51" t="s">
        <v>39</v>
      </c>
      <c r="G440" s="50" t="s">
        <v>866</v>
      </c>
      <c r="H440" s="59">
        <v>11463.97</v>
      </c>
      <c r="I440" s="59">
        <v>-3420.3</v>
      </c>
      <c r="J440" s="59">
        <v>-131.19999999999999</v>
      </c>
      <c r="K440" s="59">
        <v>0</v>
      </c>
      <c r="L440" s="59">
        <v>-95.89</v>
      </c>
      <c r="M440" s="59">
        <v>-70</v>
      </c>
      <c r="N440" s="59">
        <v>0</v>
      </c>
      <c r="O440" s="59">
        <f t="shared" si="45"/>
        <v>7746.579999999999</v>
      </c>
      <c r="P440" s="59">
        <v>-2500</v>
      </c>
      <c r="Q440" s="59">
        <v>0</v>
      </c>
      <c r="R440" s="59">
        <v>0</v>
      </c>
      <c r="S440" s="59">
        <v>-700</v>
      </c>
      <c r="T440" s="59">
        <v>0</v>
      </c>
      <c r="U440" s="59">
        <v>0</v>
      </c>
      <c r="V440" s="59">
        <v>0</v>
      </c>
      <c r="W440" s="59">
        <f t="shared" si="43"/>
        <v>4546.579999999999</v>
      </c>
      <c r="X440" s="59">
        <f t="shared" si="46"/>
        <v>4546.579999999999</v>
      </c>
      <c r="Y440" s="59">
        <f t="shared" si="47"/>
        <v>0</v>
      </c>
      <c r="Z440" s="59">
        <v>0</v>
      </c>
      <c r="AA440" s="59">
        <f t="shared" si="48"/>
        <v>0</v>
      </c>
      <c r="AB440" s="59">
        <f t="shared" si="44"/>
        <v>3200</v>
      </c>
      <c r="AD440" s="59" t="s">
        <v>1982</v>
      </c>
      <c r="AF440" s="59"/>
    </row>
    <row r="441" spans="1:32" x14ac:dyDescent="0.3">
      <c r="A441" s="49">
        <v>8</v>
      </c>
      <c r="B441" s="41" t="s">
        <v>1314</v>
      </c>
      <c r="C441" s="50" t="s">
        <v>334</v>
      </c>
      <c r="D441" s="50" t="s">
        <v>1169</v>
      </c>
      <c r="E441" s="50" t="s">
        <v>25</v>
      </c>
      <c r="F441" s="51" t="s">
        <v>25</v>
      </c>
      <c r="G441" s="50" t="s">
        <v>866</v>
      </c>
      <c r="H441" s="59">
        <v>7289.62</v>
      </c>
      <c r="I441" s="59">
        <v>-2074.4700000000007</v>
      </c>
      <c r="J441" s="59">
        <v>0</v>
      </c>
      <c r="K441" s="59">
        <v>0</v>
      </c>
      <c r="L441" s="59">
        <v>0</v>
      </c>
      <c r="M441" s="59">
        <v>-65</v>
      </c>
      <c r="N441" s="59">
        <v>0</v>
      </c>
      <c r="O441" s="59">
        <f t="shared" si="45"/>
        <v>5150.1499999999996</v>
      </c>
      <c r="P441" s="59">
        <v>-2500</v>
      </c>
      <c r="Q441" s="59">
        <v>0</v>
      </c>
      <c r="R441" s="59">
        <v>-500</v>
      </c>
      <c r="S441" s="59">
        <v>0</v>
      </c>
      <c r="T441" s="59">
        <v>0</v>
      </c>
      <c r="U441" s="59">
        <v>0</v>
      </c>
      <c r="V441" s="59">
        <v>0</v>
      </c>
      <c r="W441" s="59">
        <f t="shared" si="43"/>
        <v>2150.1499999999996</v>
      </c>
      <c r="X441" s="59">
        <f t="shared" si="46"/>
        <v>2150.1499999999996</v>
      </c>
      <c r="Y441" s="59">
        <f t="shared" si="47"/>
        <v>0</v>
      </c>
      <c r="Z441" s="59">
        <v>0</v>
      </c>
      <c r="AA441" s="59">
        <f t="shared" si="48"/>
        <v>0</v>
      </c>
      <c r="AB441" s="59">
        <f t="shared" si="44"/>
        <v>3000</v>
      </c>
      <c r="AD441" s="59" t="s">
        <v>1983</v>
      </c>
      <c r="AF441" s="59"/>
    </row>
    <row r="442" spans="1:32" x14ac:dyDescent="0.3">
      <c r="A442" s="49">
        <v>8</v>
      </c>
      <c r="B442" s="41" t="s">
        <v>874</v>
      </c>
      <c r="C442" s="50" t="s">
        <v>100</v>
      </c>
      <c r="D442" s="50" t="s">
        <v>1300</v>
      </c>
      <c r="E442" s="50" t="s">
        <v>25</v>
      </c>
      <c r="F442" s="51" t="s">
        <v>25</v>
      </c>
      <c r="G442" s="50" t="s">
        <v>737</v>
      </c>
      <c r="H442" s="59">
        <v>0</v>
      </c>
      <c r="I442" s="59">
        <v>0</v>
      </c>
      <c r="J442" s="59">
        <v>0</v>
      </c>
      <c r="K442" s="59">
        <v>0</v>
      </c>
      <c r="L442" s="59">
        <v>0</v>
      </c>
      <c r="M442" s="59">
        <v>0</v>
      </c>
      <c r="N442" s="59">
        <v>0</v>
      </c>
      <c r="O442" s="59">
        <f t="shared" si="45"/>
        <v>0</v>
      </c>
      <c r="P442" s="59">
        <v>-2500</v>
      </c>
      <c r="Q442" s="59">
        <v>0</v>
      </c>
      <c r="R442" s="59">
        <v>0</v>
      </c>
      <c r="S442" s="59">
        <v>0</v>
      </c>
      <c r="T442" s="59">
        <v>0</v>
      </c>
      <c r="U442" s="59">
        <v>0</v>
      </c>
      <c r="V442" s="59">
        <v>0</v>
      </c>
      <c r="W442" s="59">
        <f t="shared" si="43"/>
        <v>-2500</v>
      </c>
      <c r="X442" s="59">
        <f t="shared" si="46"/>
        <v>0</v>
      </c>
      <c r="Y442" s="59">
        <f t="shared" si="47"/>
        <v>-2500</v>
      </c>
      <c r="Z442" s="59">
        <f>2500+100</f>
        <v>2600</v>
      </c>
      <c r="AA442" s="59">
        <f t="shared" si="48"/>
        <v>100</v>
      </c>
      <c r="AB442" s="59">
        <f t="shared" si="44"/>
        <v>2700</v>
      </c>
      <c r="AD442" s="59" t="s">
        <v>1984</v>
      </c>
      <c r="AF442" s="59"/>
    </row>
    <row r="443" spans="1:32" x14ac:dyDescent="0.3">
      <c r="A443" s="49">
        <v>8</v>
      </c>
      <c r="B443" s="41" t="s">
        <v>1157</v>
      </c>
      <c r="C443" s="50" t="s">
        <v>1265</v>
      </c>
      <c r="D443" s="50" t="s">
        <v>1580</v>
      </c>
      <c r="E443" s="50" t="s">
        <v>25</v>
      </c>
      <c r="F443" s="51" t="s">
        <v>25</v>
      </c>
      <c r="G443" s="50" t="s">
        <v>866</v>
      </c>
      <c r="H443" s="59">
        <v>10404.39</v>
      </c>
      <c r="I443" s="59">
        <v>-4312.4999999999991</v>
      </c>
      <c r="J443" s="59">
        <v>-149.6</v>
      </c>
      <c r="K443" s="59">
        <v>0</v>
      </c>
      <c r="L443" s="59">
        <v>0</v>
      </c>
      <c r="M443" s="59">
        <v>-80</v>
      </c>
      <c r="N443" s="59">
        <v>0</v>
      </c>
      <c r="O443" s="59">
        <f t="shared" si="45"/>
        <v>5862.29</v>
      </c>
      <c r="P443" s="59">
        <v>-2700</v>
      </c>
      <c r="Q443" s="59">
        <v>0</v>
      </c>
      <c r="R443" s="59">
        <v>0</v>
      </c>
      <c r="S443" s="59">
        <v>0</v>
      </c>
      <c r="T443" s="59">
        <v>0</v>
      </c>
      <c r="U443" s="59">
        <v>0</v>
      </c>
      <c r="V443" s="59">
        <v>0</v>
      </c>
      <c r="W443" s="59">
        <f t="shared" si="43"/>
        <v>3162.29</v>
      </c>
      <c r="X443" s="59">
        <f t="shared" si="46"/>
        <v>3162.29</v>
      </c>
      <c r="Y443" s="59">
        <f t="shared" si="47"/>
        <v>0</v>
      </c>
      <c r="Z443" s="59">
        <v>0</v>
      </c>
      <c r="AA443" s="59">
        <f t="shared" si="48"/>
        <v>0</v>
      </c>
      <c r="AB443" s="59">
        <f t="shared" si="44"/>
        <v>2700</v>
      </c>
      <c r="AD443" s="59" t="s">
        <v>1985</v>
      </c>
      <c r="AF443" s="59"/>
    </row>
    <row r="444" spans="1:32" x14ac:dyDescent="0.3">
      <c r="A444" s="49">
        <v>8</v>
      </c>
      <c r="B444" s="41" t="s">
        <v>1312</v>
      </c>
      <c r="C444" s="50" t="s">
        <v>1439</v>
      </c>
      <c r="D444" s="50" t="s">
        <v>1582</v>
      </c>
      <c r="E444" s="50" t="s">
        <v>25</v>
      </c>
      <c r="F444" s="51" t="s">
        <v>25</v>
      </c>
      <c r="G444" s="50" t="s">
        <v>866</v>
      </c>
      <c r="H444" s="59">
        <v>3457.41</v>
      </c>
      <c r="I444" s="59">
        <v>-39.950000000000003</v>
      </c>
      <c r="J444" s="59">
        <v>0</v>
      </c>
      <c r="K444" s="59">
        <v>0</v>
      </c>
      <c r="L444" s="59">
        <v>0</v>
      </c>
      <c r="M444" s="59">
        <v>-3</v>
      </c>
      <c r="N444" s="59">
        <v>0</v>
      </c>
      <c r="O444" s="59">
        <f t="shared" si="45"/>
        <v>3414.46</v>
      </c>
      <c r="P444" s="59">
        <v>-2700</v>
      </c>
      <c r="Q444" s="59">
        <v>-3308.26</v>
      </c>
      <c r="R444" s="59">
        <v>-500</v>
      </c>
      <c r="S444" s="59">
        <v>0</v>
      </c>
      <c r="T444" s="59">
        <v>0</v>
      </c>
      <c r="U444" s="59">
        <v>0</v>
      </c>
      <c r="V444" s="59">
        <v>0</v>
      </c>
      <c r="W444" s="59">
        <f t="shared" si="43"/>
        <v>-3093.8</v>
      </c>
      <c r="X444" s="59">
        <f t="shared" si="46"/>
        <v>0</v>
      </c>
      <c r="Y444" s="59">
        <f t="shared" si="47"/>
        <v>-3093.8</v>
      </c>
      <c r="Z444" s="59">
        <v>0</v>
      </c>
      <c r="AA444" s="59">
        <f t="shared" si="48"/>
        <v>-3093.8</v>
      </c>
      <c r="AB444" s="59">
        <f t="shared" si="44"/>
        <v>320.65999999999985</v>
      </c>
      <c r="AD444" s="59" t="s">
        <v>1986</v>
      </c>
      <c r="AF444" s="59"/>
    </row>
    <row r="445" spans="1:32" x14ac:dyDescent="0.3">
      <c r="A445" s="49">
        <v>8</v>
      </c>
      <c r="B445" s="41" t="s">
        <v>1190</v>
      </c>
      <c r="C445" s="50" t="s">
        <v>573</v>
      </c>
      <c r="D445" s="50" t="s">
        <v>1149</v>
      </c>
      <c r="E445" s="50" t="s">
        <v>25</v>
      </c>
      <c r="F445" s="51" t="s">
        <v>25</v>
      </c>
      <c r="G445" s="50" t="s">
        <v>866</v>
      </c>
      <c r="H445" s="59">
        <v>2574.4699999999998</v>
      </c>
      <c r="I445" s="59">
        <v>0</v>
      </c>
      <c r="J445" s="59">
        <v>-18.45</v>
      </c>
      <c r="K445" s="59">
        <v>115.3</v>
      </c>
      <c r="L445" s="59">
        <v>0</v>
      </c>
      <c r="M445" s="59">
        <v>-5</v>
      </c>
      <c r="N445" s="59">
        <v>0</v>
      </c>
      <c r="O445" s="59">
        <f t="shared" si="45"/>
        <v>2666.32</v>
      </c>
      <c r="P445" s="59">
        <v>-2500</v>
      </c>
      <c r="Q445" s="59">
        <v>-2932</v>
      </c>
      <c r="R445" s="59">
        <v>-500</v>
      </c>
      <c r="S445" s="59">
        <v>0</v>
      </c>
      <c r="T445" s="59">
        <v>0</v>
      </c>
      <c r="U445" s="59">
        <v>0</v>
      </c>
      <c r="V445" s="59">
        <v>0</v>
      </c>
      <c r="W445" s="59">
        <f t="shared" si="43"/>
        <v>-3265.68</v>
      </c>
      <c r="X445" s="59">
        <f t="shared" si="46"/>
        <v>0</v>
      </c>
      <c r="Y445" s="59">
        <f t="shared" si="47"/>
        <v>-3265.68</v>
      </c>
      <c r="Z445" s="59">
        <v>334</v>
      </c>
      <c r="AA445" s="59">
        <f t="shared" si="48"/>
        <v>-2931.68</v>
      </c>
      <c r="AB445" s="59">
        <f t="shared" si="44"/>
        <v>68.640000000000327</v>
      </c>
      <c r="AD445" s="59" t="s">
        <v>1987</v>
      </c>
      <c r="AF445" s="59"/>
    </row>
    <row r="446" spans="1:32" x14ac:dyDescent="0.3">
      <c r="A446" s="49">
        <v>8</v>
      </c>
      <c r="B446" s="41" t="s">
        <v>484</v>
      </c>
      <c r="C446" s="50" t="s">
        <v>1065</v>
      </c>
      <c r="D446" s="50" t="s">
        <v>1159</v>
      </c>
      <c r="E446" s="50" t="s">
        <v>25</v>
      </c>
      <c r="F446" s="51" t="s">
        <v>25</v>
      </c>
      <c r="G446" s="50" t="s">
        <v>866</v>
      </c>
      <c r="H446" s="59">
        <v>6402.7</v>
      </c>
      <c r="I446" s="59">
        <v>-3164.5800000000004</v>
      </c>
      <c r="J446" s="59">
        <v>0</v>
      </c>
      <c r="K446" s="59">
        <v>0</v>
      </c>
      <c r="L446" s="59">
        <v>0</v>
      </c>
      <c r="M446" s="59">
        <v>-70</v>
      </c>
      <c r="N446" s="59">
        <v>0</v>
      </c>
      <c r="O446" s="59">
        <f t="shared" si="45"/>
        <v>3168.1199999999994</v>
      </c>
      <c r="P446" s="59">
        <f>(-2500/7)*6.5</f>
        <v>-2321.4285714285716</v>
      </c>
      <c r="Q446" s="59">
        <v>0</v>
      </c>
      <c r="R446" s="59">
        <v>0</v>
      </c>
      <c r="S446" s="59">
        <v>0</v>
      </c>
      <c r="T446" s="59">
        <v>0</v>
      </c>
      <c r="U446" s="59">
        <v>27</v>
      </c>
      <c r="V446" s="59">
        <v>0</v>
      </c>
      <c r="W446" s="59">
        <f t="shared" si="43"/>
        <v>873.69142857142788</v>
      </c>
      <c r="X446" s="59">
        <f t="shared" si="46"/>
        <v>873.69142857142788</v>
      </c>
      <c r="Y446" s="59">
        <f t="shared" si="47"/>
        <v>0</v>
      </c>
      <c r="Z446" s="59">
        <v>0</v>
      </c>
      <c r="AA446" s="59">
        <f t="shared" si="48"/>
        <v>0</v>
      </c>
      <c r="AB446" s="59">
        <f t="shared" si="44"/>
        <v>2294.4285714285716</v>
      </c>
      <c r="AD446" s="59" t="s">
        <v>1988</v>
      </c>
      <c r="AF446" s="59"/>
    </row>
    <row r="447" spans="1:32" x14ac:dyDescent="0.3">
      <c r="A447" s="49">
        <v>8</v>
      </c>
      <c r="B447" s="41" t="s">
        <v>408</v>
      </c>
      <c r="C447" s="50" t="s">
        <v>361</v>
      </c>
      <c r="D447" s="50" t="s">
        <v>1164</v>
      </c>
      <c r="E447" s="50" t="s">
        <v>25</v>
      </c>
      <c r="F447" s="51" t="s">
        <v>25</v>
      </c>
      <c r="G447" s="50" t="s">
        <v>866</v>
      </c>
      <c r="H447" s="59">
        <v>3040.43</v>
      </c>
      <c r="I447" s="59">
        <v>-1224.3700000000001</v>
      </c>
      <c r="J447" s="59">
        <v>-30.11</v>
      </c>
      <c r="K447" s="59">
        <v>188.21</v>
      </c>
      <c r="L447" s="59">
        <v>0</v>
      </c>
      <c r="M447" s="59">
        <f>-35.76-50</f>
        <v>-85.759999999999991</v>
      </c>
      <c r="N447" s="59">
        <v>-298</v>
      </c>
      <c r="O447" s="59">
        <f t="shared" si="45"/>
        <v>1590.3999999999999</v>
      </c>
      <c r="P447" s="59">
        <v>-2700</v>
      </c>
      <c r="Q447" s="59">
        <v>0</v>
      </c>
      <c r="R447" s="59">
        <v>-500</v>
      </c>
      <c r="S447" s="59">
        <v>-700</v>
      </c>
      <c r="T447" s="59">
        <v>0</v>
      </c>
      <c r="U447" s="59">
        <v>0</v>
      </c>
      <c r="V447" s="59">
        <v>0</v>
      </c>
      <c r="W447" s="59">
        <f t="shared" si="43"/>
        <v>-2309.6000000000004</v>
      </c>
      <c r="X447" s="59">
        <f t="shared" si="46"/>
        <v>0</v>
      </c>
      <c r="Y447" s="59">
        <f t="shared" si="47"/>
        <v>-2309.6000000000004</v>
      </c>
      <c r="Z447" s="59">
        <v>0</v>
      </c>
      <c r="AA447" s="59">
        <f t="shared" si="48"/>
        <v>-2309.6000000000004</v>
      </c>
      <c r="AB447" s="59">
        <f t="shared" si="44"/>
        <v>-719.2000000000005</v>
      </c>
      <c r="AD447" s="59"/>
      <c r="AF447" s="59"/>
    </row>
    <row r="448" spans="1:32" x14ac:dyDescent="0.3">
      <c r="A448" s="49">
        <v>8</v>
      </c>
      <c r="B448" s="41" t="s">
        <v>1432</v>
      </c>
      <c r="C448" s="50" t="s">
        <v>183</v>
      </c>
      <c r="D448" s="50" t="s">
        <v>887</v>
      </c>
      <c r="E448" s="50" t="s">
        <v>25</v>
      </c>
      <c r="F448" s="51" t="s">
        <v>25</v>
      </c>
      <c r="G448" s="50" t="s">
        <v>866</v>
      </c>
      <c r="H448" s="59">
        <v>0</v>
      </c>
      <c r="I448" s="59">
        <v>0</v>
      </c>
      <c r="J448" s="59">
        <v>0</v>
      </c>
      <c r="K448" s="59">
        <v>0</v>
      </c>
      <c r="L448" s="59">
        <v>0</v>
      </c>
      <c r="M448" s="59">
        <v>0</v>
      </c>
      <c r="N448" s="59">
        <v>0</v>
      </c>
      <c r="O448" s="59">
        <f t="shared" si="45"/>
        <v>0</v>
      </c>
      <c r="P448" s="59">
        <v>-2500</v>
      </c>
      <c r="Q448" s="59">
        <v>0</v>
      </c>
      <c r="R448" s="59">
        <v>-500</v>
      </c>
      <c r="S448" s="59">
        <v>0</v>
      </c>
      <c r="T448" s="59">
        <v>0</v>
      </c>
      <c r="U448" s="59">
        <v>0</v>
      </c>
      <c r="V448" s="59">
        <v>0</v>
      </c>
      <c r="W448" s="59">
        <f t="shared" si="43"/>
        <v>-3000</v>
      </c>
      <c r="X448" s="59">
        <f t="shared" si="46"/>
        <v>0</v>
      </c>
      <c r="Y448" s="59">
        <f t="shared" si="47"/>
        <v>-3000</v>
      </c>
      <c r="Z448" s="59">
        <f>2000+500</f>
        <v>2500</v>
      </c>
      <c r="AA448" s="59">
        <f t="shared" si="48"/>
        <v>-500</v>
      </c>
      <c r="AB448" s="59">
        <f t="shared" si="44"/>
        <v>2000</v>
      </c>
      <c r="AD448" s="59" t="s">
        <v>2665</v>
      </c>
      <c r="AF448" s="59"/>
    </row>
    <row r="449" spans="1:32" x14ac:dyDescent="0.3">
      <c r="A449" s="49">
        <v>8</v>
      </c>
      <c r="B449" s="41" t="s">
        <v>747</v>
      </c>
      <c r="C449" s="50" t="s">
        <v>1586</v>
      </c>
      <c r="D449" s="50" t="s">
        <v>1587</v>
      </c>
      <c r="E449" s="50" t="s">
        <v>25</v>
      </c>
      <c r="F449" s="51" t="s">
        <v>25</v>
      </c>
      <c r="G449" s="50" t="s">
        <v>866</v>
      </c>
      <c r="H449" s="59">
        <v>418.98</v>
      </c>
      <c r="I449" s="59">
        <v>0</v>
      </c>
      <c r="J449" s="59">
        <v>0</v>
      </c>
      <c r="K449" s="59">
        <v>19.579999999999998</v>
      </c>
      <c r="L449" s="59">
        <v>0</v>
      </c>
      <c r="M449" s="59">
        <v>-4.08</v>
      </c>
      <c r="N449" s="59">
        <v>-34</v>
      </c>
      <c r="O449" s="59">
        <f t="shared" si="45"/>
        <v>400.48</v>
      </c>
      <c r="P449" s="59">
        <v>-2700</v>
      </c>
      <c r="Q449" s="59">
        <v>0</v>
      </c>
      <c r="R449" s="59">
        <v>-500</v>
      </c>
      <c r="S449" s="59">
        <v>0</v>
      </c>
      <c r="T449" s="59">
        <v>0</v>
      </c>
      <c r="U449" s="59">
        <v>28</v>
      </c>
      <c r="V449" s="59">
        <v>0</v>
      </c>
      <c r="W449" s="59">
        <f t="shared" si="43"/>
        <v>-2771.52</v>
      </c>
      <c r="X449" s="59">
        <f t="shared" si="46"/>
        <v>0</v>
      </c>
      <c r="Y449" s="59">
        <f t="shared" si="47"/>
        <v>-2771.52</v>
      </c>
      <c r="Z449" s="59">
        <f>1000+1270</f>
        <v>2270</v>
      </c>
      <c r="AA449" s="59">
        <f t="shared" si="48"/>
        <v>-501.52</v>
      </c>
      <c r="AB449" s="59">
        <f t="shared" si="44"/>
        <v>2168.96</v>
      </c>
      <c r="AD449" s="59" t="s">
        <v>1990</v>
      </c>
      <c r="AF449" s="59"/>
    </row>
    <row r="450" spans="1:32" x14ac:dyDescent="0.3">
      <c r="A450" s="49">
        <v>8</v>
      </c>
      <c r="B450" s="41" t="s">
        <v>1244</v>
      </c>
      <c r="C450" s="50" t="s">
        <v>1429</v>
      </c>
      <c r="D450" s="50" t="s">
        <v>1588</v>
      </c>
      <c r="E450" s="50" t="s">
        <v>25</v>
      </c>
      <c r="F450" s="51" t="s">
        <v>25</v>
      </c>
      <c r="G450" s="50" t="s">
        <v>866</v>
      </c>
      <c r="H450" s="59">
        <v>8907.02</v>
      </c>
      <c r="I450" s="59">
        <v>-5819.7899999999991</v>
      </c>
      <c r="J450" s="59">
        <v>0</v>
      </c>
      <c r="K450" s="59">
        <v>0</v>
      </c>
      <c r="L450" s="59">
        <v>0</v>
      </c>
      <c r="M450" s="59">
        <v>-80</v>
      </c>
      <c r="N450" s="59">
        <v>0</v>
      </c>
      <c r="O450" s="59">
        <f t="shared" si="45"/>
        <v>3007.2300000000014</v>
      </c>
      <c r="P450" s="59">
        <v>-2700</v>
      </c>
      <c r="Q450" s="59">
        <v>0</v>
      </c>
      <c r="R450" s="59">
        <v>-500</v>
      </c>
      <c r="S450" s="59">
        <v>0</v>
      </c>
      <c r="T450" s="59">
        <v>0</v>
      </c>
      <c r="U450" s="59">
        <v>3</v>
      </c>
      <c r="V450" s="59">
        <v>0</v>
      </c>
      <c r="W450" s="59">
        <f t="shared" ref="W450:W513" si="49">SUM(O450:V450)</f>
        <v>-189.76999999999862</v>
      </c>
      <c r="X450" s="59">
        <f t="shared" si="46"/>
        <v>0</v>
      </c>
      <c r="Y450" s="59">
        <f t="shared" si="47"/>
        <v>-189.76999999999862</v>
      </c>
      <c r="Z450" s="59">
        <v>200</v>
      </c>
      <c r="AA450" s="59">
        <f t="shared" si="48"/>
        <v>10.230000000001382</v>
      </c>
      <c r="AB450" s="59">
        <f t="shared" ref="AB450:AB513" si="50">+O450-X450+Z450+AA450</f>
        <v>3217.4600000000028</v>
      </c>
      <c r="AD450" s="59" t="s">
        <v>1991</v>
      </c>
      <c r="AF450" s="59"/>
    </row>
    <row r="451" spans="1:32" x14ac:dyDescent="0.3">
      <c r="A451" s="49">
        <v>8</v>
      </c>
      <c r="B451" s="41" t="s">
        <v>1307</v>
      </c>
      <c r="C451" s="50" t="s">
        <v>150</v>
      </c>
      <c r="D451" s="50" t="s">
        <v>1308</v>
      </c>
      <c r="E451" s="50" t="s">
        <v>25</v>
      </c>
      <c r="F451" s="51" t="s">
        <v>25</v>
      </c>
      <c r="G451" s="50" t="s">
        <v>866</v>
      </c>
      <c r="H451" s="59">
        <v>3974</v>
      </c>
      <c r="I451" s="59">
        <v>-1300.6000000000001</v>
      </c>
      <c r="J451" s="59">
        <v>0</v>
      </c>
      <c r="K451" s="59">
        <v>0</v>
      </c>
      <c r="L451" s="59">
        <v>0</v>
      </c>
      <c r="M451" s="59">
        <v>-50</v>
      </c>
      <c r="N451" s="59">
        <v>0</v>
      </c>
      <c r="O451" s="59">
        <f t="shared" si="45"/>
        <v>2623.3999999999996</v>
      </c>
      <c r="P451" s="59">
        <v>-2500</v>
      </c>
      <c r="Q451" s="59">
        <v>0</v>
      </c>
      <c r="R451" s="59">
        <v>-500</v>
      </c>
      <c r="S451" s="59">
        <v>0</v>
      </c>
      <c r="T451" s="59">
        <v>0</v>
      </c>
      <c r="U451" s="59">
        <v>0</v>
      </c>
      <c r="V451" s="59">
        <v>0</v>
      </c>
      <c r="W451" s="59">
        <f t="shared" si="49"/>
        <v>-376.60000000000036</v>
      </c>
      <c r="X451" s="59">
        <f t="shared" si="46"/>
        <v>0</v>
      </c>
      <c r="Y451" s="59">
        <f t="shared" si="47"/>
        <v>-376.60000000000036</v>
      </c>
      <c r="Z451" s="59">
        <v>377</v>
      </c>
      <c r="AA451" s="59">
        <f t="shared" si="48"/>
        <v>0.3999999999996362</v>
      </c>
      <c r="AB451" s="59">
        <f t="shared" si="50"/>
        <v>3000.7999999999993</v>
      </c>
      <c r="AD451" s="59" t="s">
        <v>1989</v>
      </c>
      <c r="AF451" s="59"/>
    </row>
    <row r="452" spans="1:32" x14ac:dyDescent="0.3">
      <c r="A452" s="49">
        <v>8</v>
      </c>
      <c r="B452" s="41" t="s">
        <v>1423</v>
      </c>
      <c r="C452" s="50" t="s">
        <v>55</v>
      </c>
      <c r="D452" s="50" t="s">
        <v>1147</v>
      </c>
      <c r="E452" s="50" t="s">
        <v>25</v>
      </c>
      <c r="F452" s="51" t="s">
        <v>25</v>
      </c>
      <c r="G452" s="50" t="s">
        <v>866</v>
      </c>
      <c r="H452" s="59">
        <v>2799.35</v>
      </c>
      <c r="I452" s="59">
        <v>-1805.0600000000004</v>
      </c>
      <c r="J452" s="59">
        <v>0</v>
      </c>
      <c r="K452" s="59">
        <v>0</v>
      </c>
      <c r="L452" s="59">
        <v>0</v>
      </c>
      <c r="M452" s="59">
        <v>-50</v>
      </c>
      <c r="N452" s="59">
        <v>0</v>
      </c>
      <c r="O452" s="59">
        <f t="shared" si="45"/>
        <v>944.28999999999951</v>
      </c>
      <c r="P452" s="59">
        <v>-2500</v>
      </c>
      <c r="Q452" s="59">
        <v>0</v>
      </c>
      <c r="R452" s="59">
        <v>-500</v>
      </c>
      <c r="S452" s="59">
        <v>0</v>
      </c>
      <c r="T452" s="59">
        <v>0</v>
      </c>
      <c r="U452" s="59">
        <v>0</v>
      </c>
      <c r="V452" s="59">
        <v>0</v>
      </c>
      <c r="W452" s="59">
        <f t="shared" si="49"/>
        <v>-2055.7100000000005</v>
      </c>
      <c r="X452" s="59">
        <f t="shared" si="46"/>
        <v>0</v>
      </c>
      <c r="Y452" s="59">
        <f t="shared" si="47"/>
        <v>-2055.7100000000005</v>
      </c>
      <c r="Z452" s="59">
        <v>2056</v>
      </c>
      <c r="AA452" s="59">
        <f t="shared" si="48"/>
        <v>0.28999999999950887</v>
      </c>
      <c r="AB452" s="59">
        <f t="shared" si="50"/>
        <v>3000.579999999999</v>
      </c>
      <c r="AD452" s="59" t="s">
        <v>1992</v>
      </c>
      <c r="AF452" s="59"/>
    </row>
    <row r="453" spans="1:32" x14ac:dyDescent="0.3">
      <c r="A453" s="49">
        <v>8</v>
      </c>
      <c r="B453" s="41" t="s">
        <v>922</v>
      </c>
      <c r="C453" s="50" t="s">
        <v>670</v>
      </c>
      <c r="D453" s="50" t="s">
        <v>1221</v>
      </c>
      <c r="E453" s="50" t="s">
        <v>25</v>
      </c>
      <c r="F453" s="51" t="s">
        <v>25</v>
      </c>
      <c r="G453" s="50" t="s">
        <v>737</v>
      </c>
      <c r="H453" s="59">
        <v>0</v>
      </c>
      <c r="I453" s="59">
        <v>0</v>
      </c>
      <c r="J453" s="59">
        <v>0</v>
      </c>
      <c r="K453" s="59">
        <v>0</v>
      </c>
      <c r="L453" s="59">
        <v>0</v>
      </c>
      <c r="M453" s="59">
        <v>0</v>
      </c>
      <c r="N453" s="59">
        <v>0</v>
      </c>
      <c r="O453" s="59">
        <f t="shared" si="45"/>
        <v>0</v>
      </c>
      <c r="P453" s="59">
        <v>-2500</v>
      </c>
      <c r="Q453" s="59">
        <f>-2300*1.12</f>
        <v>-2576.0000000000005</v>
      </c>
      <c r="R453" s="59">
        <v>0</v>
      </c>
      <c r="S453" s="59">
        <v>0</v>
      </c>
      <c r="T453" s="59">
        <v>0</v>
      </c>
      <c r="U453" s="59">
        <v>0</v>
      </c>
      <c r="V453" s="59">
        <v>0</v>
      </c>
      <c r="W453" s="59">
        <f t="shared" si="49"/>
        <v>-5076</v>
      </c>
      <c r="X453" s="59">
        <f>IF(W453&gt;=0,W453,0)</f>
        <v>0</v>
      </c>
      <c r="Y453" s="59">
        <f>IF(W453&lt;=0,W453,0)</f>
        <v>-5076</v>
      </c>
      <c r="Z453" s="59">
        <f>800+700</f>
        <v>1500</v>
      </c>
      <c r="AA453" s="59">
        <f>+Y453+Z453</f>
        <v>-3576</v>
      </c>
      <c r="AB453" s="59">
        <f t="shared" si="50"/>
        <v>-2076</v>
      </c>
      <c r="AD453" s="59" t="s">
        <v>1993</v>
      </c>
      <c r="AF453" s="59"/>
    </row>
    <row r="454" spans="1:32" x14ac:dyDescent="0.3">
      <c r="A454" s="49">
        <v>8</v>
      </c>
      <c r="B454" s="41" t="s">
        <v>922</v>
      </c>
      <c r="C454" s="50" t="s">
        <v>104</v>
      </c>
      <c r="D454" s="50" t="s">
        <v>1221</v>
      </c>
      <c r="E454" s="50" t="s">
        <v>25</v>
      </c>
      <c r="F454" s="51" t="s">
        <v>25</v>
      </c>
      <c r="G454" s="50" t="s">
        <v>737</v>
      </c>
      <c r="H454" s="59">
        <v>0</v>
      </c>
      <c r="I454" s="59">
        <v>0</v>
      </c>
      <c r="J454" s="59">
        <v>0</v>
      </c>
      <c r="K454" s="59">
        <v>0</v>
      </c>
      <c r="L454" s="59">
        <v>0</v>
      </c>
      <c r="M454" s="59">
        <v>0</v>
      </c>
      <c r="N454" s="59">
        <v>0</v>
      </c>
      <c r="O454" s="59">
        <f t="shared" si="45"/>
        <v>0</v>
      </c>
      <c r="P454" s="59">
        <v>0</v>
      </c>
      <c r="Q454" s="59">
        <v>0</v>
      </c>
      <c r="R454" s="59">
        <v>0</v>
      </c>
      <c r="S454" s="59">
        <v>0</v>
      </c>
      <c r="T454" s="59">
        <v>-500</v>
      </c>
      <c r="U454" s="59">
        <v>0</v>
      </c>
      <c r="V454" s="59">
        <v>0</v>
      </c>
      <c r="W454" s="59">
        <f t="shared" si="49"/>
        <v>-500</v>
      </c>
      <c r="X454" s="59">
        <f>IF(W454&gt;=0,W454,0)</f>
        <v>0</v>
      </c>
      <c r="Y454" s="59">
        <f>IF(W454&lt;=0,W454,0)</f>
        <v>-500</v>
      </c>
      <c r="Z454" s="59">
        <v>500</v>
      </c>
      <c r="AA454" s="59">
        <f>+Y454+Z454</f>
        <v>0</v>
      </c>
      <c r="AB454" s="59">
        <f t="shared" si="50"/>
        <v>500</v>
      </c>
      <c r="AD454" s="59"/>
      <c r="AF454" s="59"/>
    </row>
    <row r="455" spans="1:32" x14ac:dyDescent="0.3">
      <c r="A455" s="49">
        <v>8</v>
      </c>
      <c r="B455" s="41" t="s">
        <v>1120</v>
      </c>
      <c r="C455" s="50" t="s">
        <v>1273</v>
      </c>
      <c r="D455" s="50" t="s">
        <v>1593</v>
      </c>
      <c r="E455" s="50" t="s">
        <v>25</v>
      </c>
      <c r="F455" s="51" t="s">
        <v>25</v>
      </c>
      <c r="G455" s="50" t="s">
        <v>866</v>
      </c>
      <c r="H455" s="59">
        <v>4780.72</v>
      </c>
      <c r="I455" s="59">
        <v>-2143.15</v>
      </c>
      <c r="J455" s="59">
        <v>0</v>
      </c>
      <c r="K455" s="59">
        <v>349.22</v>
      </c>
      <c r="L455" s="59">
        <v>-53.289999999999985</v>
      </c>
      <c r="M455" s="59">
        <v>-65</v>
      </c>
      <c r="N455" s="59">
        <v>0</v>
      </c>
      <c r="O455" s="59">
        <f t="shared" si="45"/>
        <v>2868.5</v>
      </c>
      <c r="P455" s="59">
        <v>-2700</v>
      </c>
      <c r="Q455" s="59">
        <v>0</v>
      </c>
      <c r="R455" s="59">
        <v>0</v>
      </c>
      <c r="S455" s="59">
        <v>0</v>
      </c>
      <c r="T455" s="59">
        <v>0</v>
      </c>
      <c r="U455" s="59">
        <v>0</v>
      </c>
      <c r="V455" s="59">
        <v>0</v>
      </c>
      <c r="W455" s="59">
        <f t="shared" si="49"/>
        <v>168.5</v>
      </c>
      <c r="X455" s="59">
        <f t="shared" ref="X455:X518" si="51">IF(W455&gt;=0,W455,0)</f>
        <v>168.5</v>
      </c>
      <c r="Y455" s="59">
        <f t="shared" ref="Y455:Y518" si="52">IF(W455&lt;=0,W455,0)</f>
        <v>0</v>
      </c>
      <c r="Z455" s="59">
        <v>0</v>
      </c>
      <c r="AA455" s="59">
        <f t="shared" ref="AA455:AA518" si="53">+Y455+Z455</f>
        <v>0</v>
      </c>
      <c r="AB455" s="59">
        <f t="shared" si="50"/>
        <v>2700</v>
      </c>
      <c r="AD455" s="59" t="s">
        <v>1994</v>
      </c>
      <c r="AF455" s="59"/>
    </row>
    <row r="456" spans="1:32" x14ac:dyDescent="0.3">
      <c r="A456" s="49">
        <v>8</v>
      </c>
      <c r="B456" s="41" t="s">
        <v>515</v>
      </c>
      <c r="C456" s="50" t="s">
        <v>645</v>
      </c>
      <c r="D456" s="50" t="s">
        <v>1122</v>
      </c>
      <c r="E456" s="50" t="s">
        <v>25</v>
      </c>
      <c r="F456" s="51" t="s">
        <v>25</v>
      </c>
      <c r="G456" s="50" t="s">
        <v>866</v>
      </c>
      <c r="H456" s="59">
        <v>6554.29</v>
      </c>
      <c r="I456" s="59">
        <v>0</v>
      </c>
      <c r="J456" s="59">
        <v>-54.4</v>
      </c>
      <c r="K456" s="59">
        <v>0</v>
      </c>
      <c r="L456" s="59">
        <v>0</v>
      </c>
      <c r="M456" s="59">
        <v>0</v>
      </c>
      <c r="N456" s="59">
        <v>0</v>
      </c>
      <c r="O456" s="59">
        <f t="shared" si="45"/>
        <v>6499.89</v>
      </c>
      <c r="P456" s="59">
        <v>-2500</v>
      </c>
      <c r="Q456" s="59">
        <v>0</v>
      </c>
      <c r="R456" s="59">
        <v>0</v>
      </c>
      <c r="S456" s="59">
        <v>0</v>
      </c>
      <c r="T456" s="59">
        <v>0</v>
      </c>
      <c r="U456" s="59">
        <v>0</v>
      </c>
      <c r="V456" s="59">
        <v>0</v>
      </c>
      <c r="W456" s="59">
        <f t="shared" si="49"/>
        <v>3999.8900000000003</v>
      </c>
      <c r="X456" s="59">
        <f t="shared" si="51"/>
        <v>3999.8900000000003</v>
      </c>
      <c r="Y456" s="59">
        <f t="shared" si="52"/>
        <v>0</v>
      </c>
      <c r="Z456" s="59">
        <v>0</v>
      </c>
      <c r="AA456" s="59">
        <f t="shared" si="53"/>
        <v>0</v>
      </c>
      <c r="AB456" s="59">
        <f t="shared" si="50"/>
        <v>2500</v>
      </c>
      <c r="AD456" s="59" t="s">
        <v>1995</v>
      </c>
      <c r="AF456" s="59"/>
    </row>
    <row r="457" spans="1:32" x14ac:dyDescent="0.3">
      <c r="A457" s="49">
        <v>8</v>
      </c>
      <c r="B457" s="41" t="s">
        <v>515</v>
      </c>
      <c r="C457" s="50" t="s">
        <v>110</v>
      </c>
      <c r="D457" s="50" t="s">
        <v>912</v>
      </c>
      <c r="E457" s="50" t="s">
        <v>18</v>
      </c>
      <c r="F457" s="51" t="s">
        <v>25</v>
      </c>
      <c r="G457" s="50" t="s">
        <v>866</v>
      </c>
      <c r="H457" s="59">
        <v>0</v>
      </c>
      <c r="I457" s="59">
        <v>0</v>
      </c>
      <c r="J457" s="59">
        <v>0</v>
      </c>
      <c r="K457" s="59">
        <v>0</v>
      </c>
      <c r="L457" s="59">
        <v>0</v>
      </c>
      <c r="M457" s="59">
        <v>0</v>
      </c>
      <c r="N457" s="59">
        <v>0</v>
      </c>
      <c r="O457" s="59">
        <f t="shared" si="45"/>
        <v>0</v>
      </c>
      <c r="P457" s="59">
        <v>0</v>
      </c>
      <c r="Q457" s="59">
        <v>0</v>
      </c>
      <c r="R457" s="59">
        <v>0</v>
      </c>
      <c r="S457" s="59">
        <v>0</v>
      </c>
      <c r="T457" s="59">
        <v>-700</v>
      </c>
      <c r="U457" s="59">
        <v>0</v>
      </c>
      <c r="V457" s="59">
        <v>0</v>
      </c>
      <c r="W457" s="59">
        <f t="shared" si="49"/>
        <v>-700</v>
      </c>
      <c r="X457" s="59">
        <f t="shared" si="51"/>
        <v>0</v>
      </c>
      <c r="Y457" s="59">
        <f t="shared" si="52"/>
        <v>-700</v>
      </c>
      <c r="Z457" s="59">
        <v>700</v>
      </c>
      <c r="AA457" s="59">
        <f t="shared" si="53"/>
        <v>0</v>
      </c>
      <c r="AB457" s="59">
        <f t="shared" si="50"/>
        <v>700</v>
      </c>
      <c r="AD457" s="59" t="s">
        <v>1995</v>
      </c>
      <c r="AF457" s="59"/>
    </row>
    <row r="458" spans="1:32" x14ac:dyDescent="0.3">
      <c r="A458" s="49">
        <v>8</v>
      </c>
      <c r="B458" s="41" t="s">
        <v>1418</v>
      </c>
      <c r="C458" s="50" t="s">
        <v>104</v>
      </c>
      <c r="D458" s="50" t="s">
        <v>1419</v>
      </c>
      <c r="E458" s="50" t="s">
        <v>25</v>
      </c>
      <c r="F458" s="51" t="s">
        <v>25</v>
      </c>
      <c r="G458" s="50" t="s">
        <v>866</v>
      </c>
      <c r="H458" s="59">
        <v>4186.53</v>
      </c>
      <c r="I458" s="59">
        <v>-1288.5900000000001</v>
      </c>
      <c r="J458" s="59">
        <v>0</v>
      </c>
      <c r="K458" s="59">
        <v>0</v>
      </c>
      <c r="L458" s="59">
        <v>0</v>
      </c>
      <c r="M458" s="59">
        <v>-50</v>
      </c>
      <c r="N458" s="59">
        <v>0</v>
      </c>
      <c r="O458" s="59">
        <f t="shared" si="45"/>
        <v>2847.9399999999996</v>
      </c>
      <c r="P458" s="59">
        <v>-2500</v>
      </c>
      <c r="Q458" s="59">
        <v>0</v>
      </c>
      <c r="R458" s="59">
        <v>-500</v>
      </c>
      <c r="S458" s="59">
        <v>0</v>
      </c>
      <c r="T458" s="59">
        <v>0</v>
      </c>
      <c r="U458" s="59">
        <v>0</v>
      </c>
      <c r="V458" s="59">
        <v>0</v>
      </c>
      <c r="W458" s="59">
        <f t="shared" si="49"/>
        <v>-152.0600000000004</v>
      </c>
      <c r="X458" s="59">
        <f t="shared" si="51"/>
        <v>0</v>
      </c>
      <c r="Y458" s="59">
        <f t="shared" si="52"/>
        <v>-152.0600000000004</v>
      </c>
      <c r="Z458" s="59">
        <v>152</v>
      </c>
      <c r="AA458" s="59">
        <f t="shared" si="53"/>
        <v>-6.0000000000400178E-2</v>
      </c>
      <c r="AB458" s="59">
        <f t="shared" si="50"/>
        <v>2999.8799999999992</v>
      </c>
      <c r="AD458" s="59" t="s">
        <v>1996</v>
      </c>
      <c r="AF458" s="59"/>
    </row>
    <row r="459" spans="1:32" x14ac:dyDescent="0.3">
      <c r="A459" s="49">
        <v>8</v>
      </c>
      <c r="B459" s="41" t="s">
        <v>1070</v>
      </c>
      <c r="C459" s="50" t="s">
        <v>64</v>
      </c>
      <c r="D459" s="50" t="s">
        <v>949</v>
      </c>
      <c r="E459" s="50" t="s">
        <v>25</v>
      </c>
      <c r="F459" s="51" t="s">
        <v>25</v>
      </c>
      <c r="G459" s="50" t="s">
        <v>866</v>
      </c>
      <c r="H459" s="59">
        <v>0</v>
      </c>
      <c r="I459" s="59">
        <v>0</v>
      </c>
      <c r="J459" s="59">
        <v>0</v>
      </c>
      <c r="K459" s="59">
        <v>0</v>
      </c>
      <c r="L459" s="59">
        <v>0</v>
      </c>
      <c r="M459" s="59">
        <v>0</v>
      </c>
      <c r="N459" s="59">
        <v>0</v>
      </c>
      <c r="O459" s="59">
        <f t="shared" si="45"/>
        <v>0</v>
      </c>
      <c r="P459" s="59">
        <f>(-2500/7)*6</f>
        <v>-2142.8571428571431</v>
      </c>
      <c r="Q459" s="59">
        <f>-3161</f>
        <v>-3161</v>
      </c>
      <c r="R459" s="59">
        <f>(-500/7)*6</f>
        <v>-428.57142857142856</v>
      </c>
      <c r="S459" s="59">
        <v>0</v>
      </c>
      <c r="T459" s="59">
        <v>-440</v>
      </c>
      <c r="U459" s="59">
        <v>0</v>
      </c>
      <c r="V459" s="59">
        <v>0</v>
      </c>
      <c r="W459" s="59">
        <f t="shared" si="49"/>
        <v>-6172.4285714285716</v>
      </c>
      <c r="X459" s="59">
        <f t="shared" si="51"/>
        <v>0</v>
      </c>
      <c r="Y459" s="59">
        <f t="shared" si="52"/>
        <v>-6172.4285714285716</v>
      </c>
      <c r="Z459" s="59">
        <v>0</v>
      </c>
      <c r="AA459" s="59">
        <f t="shared" si="53"/>
        <v>-6172.4285714285716</v>
      </c>
      <c r="AB459" s="59">
        <f t="shared" si="50"/>
        <v>-6172.4285714285716</v>
      </c>
      <c r="AD459" s="59" t="s">
        <v>1997</v>
      </c>
      <c r="AF459" s="59"/>
    </row>
    <row r="460" spans="1:32" x14ac:dyDescent="0.3">
      <c r="A460" s="49">
        <v>8</v>
      </c>
      <c r="B460" s="41" t="s">
        <v>1088</v>
      </c>
      <c r="C460" s="50" t="s">
        <v>257</v>
      </c>
      <c r="D460" s="50" t="s">
        <v>943</v>
      </c>
      <c r="E460" s="50" t="s">
        <v>25</v>
      </c>
      <c r="F460" s="51" t="s">
        <v>25</v>
      </c>
      <c r="G460" s="50" t="s">
        <v>866</v>
      </c>
      <c r="H460" s="236">
        <v>1117.1099999999999</v>
      </c>
      <c r="I460" s="59">
        <v>0</v>
      </c>
      <c r="J460" s="59">
        <v>0</v>
      </c>
      <c r="K460" s="59">
        <v>0</v>
      </c>
      <c r="L460" s="59">
        <v>-8.74</v>
      </c>
      <c r="M460" s="59">
        <v>-5</v>
      </c>
      <c r="N460" s="59">
        <v>0</v>
      </c>
      <c r="O460" s="59">
        <f t="shared" si="45"/>
        <v>1103.3699999999999</v>
      </c>
      <c r="P460" s="59">
        <v>-2500</v>
      </c>
      <c r="Q460" s="59">
        <v>0</v>
      </c>
      <c r="R460" s="59">
        <v>0</v>
      </c>
      <c r="S460" s="59">
        <v>0</v>
      </c>
      <c r="T460" s="59">
        <v>-700</v>
      </c>
      <c r="U460" s="59">
        <v>0</v>
      </c>
      <c r="V460" s="59">
        <v>0</v>
      </c>
      <c r="W460" s="59">
        <f t="shared" si="49"/>
        <v>-2096.63</v>
      </c>
      <c r="X460" s="59">
        <f t="shared" si="51"/>
        <v>0</v>
      </c>
      <c r="Y460" s="59">
        <f t="shared" si="52"/>
        <v>-2096.63</v>
      </c>
      <c r="Z460" s="59">
        <v>2097</v>
      </c>
      <c r="AA460" s="59">
        <f t="shared" si="53"/>
        <v>0.36999999999989086</v>
      </c>
      <c r="AB460" s="59">
        <f t="shared" si="50"/>
        <v>3200.74</v>
      </c>
      <c r="AD460" s="59" t="s">
        <v>1998</v>
      </c>
      <c r="AF460" s="59"/>
    </row>
    <row r="461" spans="1:32" x14ac:dyDescent="0.3">
      <c r="A461" s="49">
        <v>8</v>
      </c>
      <c r="B461" s="41" t="s">
        <v>1509</v>
      </c>
      <c r="C461" s="50" t="s">
        <v>798</v>
      </c>
      <c r="D461" s="50" t="s">
        <v>1599</v>
      </c>
      <c r="E461" s="50" t="s">
        <v>39</v>
      </c>
      <c r="F461" s="51" t="s">
        <v>39</v>
      </c>
      <c r="G461" s="50" t="s">
        <v>866</v>
      </c>
      <c r="H461" s="59">
        <v>4840.37</v>
      </c>
      <c r="I461" s="59">
        <v>-1538.06</v>
      </c>
      <c r="J461" s="59">
        <v>-41</v>
      </c>
      <c r="K461" s="59">
        <v>0</v>
      </c>
      <c r="L461" s="59">
        <v>-55.75</v>
      </c>
      <c r="M461" s="59">
        <v>-50</v>
      </c>
      <c r="N461" s="59">
        <v>0</v>
      </c>
      <c r="O461" s="59">
        <f t="shared" si="45"/>
        <v>3155.56</v>
      </c>
      <c r="P461" s="59">
        <v>-2500</v>
      </c>
      <c r="Q461" s="59">
        <v>0</v>
      </c>
      <c r="R461" s="59">
        <v>-500</v>
      </c>
      <c r="S461" s="59">
        <v>0</v>
      </c>
      <c r="T461" s="59">
        <v>0</v>
      </c>
      <c r="U461" s="59">
        <v>0</v>
      </c>
      <c r="V461" s="59">
        <v>0</v>
      </c>
      <c r="W461" s="59">
        <f t="shared" si="49"/>
        <v>155.55999999999995</v>
      </c>
      <c r="X461" s="59">
        <f t="shared" si="51"/>
        <v>155.55999999999995</v>
      </c>
      <c r="Y461" s="59">
        <f t="shared" si="52"/>
        <v>0</v>
      </c>
      <c r="Z461" s="59">
        <v>0</v>
      </c>
      <c r="AA461" s="59">
        <f t="shared" si="53"/>
        <v>0</v>
      </c>
      <c r="AB461" s="59">
        <f t="shared" si="50"/>
        <v>3000</v>
      </c>
      <c r="AD461" s="59" t="s">
        <v>1999</v>
      </c>
      <c r="AF461" s="59"/>
    </row>
    <row r="462" spans="1:32" x14ac:dyDescent="0.3">
      <c r="A462" s="49">
        <v>8</v>
      </c>
      <c r="B462" s="41" t="s">
        <v>1100</v>
      </c>
      <c r="C462" s="50" t="s">
        <v>213</v>
      </c>
      <c r="D462" s="50" t="s">
        <v>1116</v>
      </c>
      <c r="E462" s="50" t="s">
        <v>39</v>
      </c>
      <c r="F462" s="51" t="s">
        <v>39</v>
      </c>
      <c r="G462" s="50" t="s">
        <v>866</v>
      </c>
      <c r="H462" s="59">
        <v>1326.38</v>
      </c>
      <c r="I462" s="59">
        <v>-374.48</v>
      </c>
      <c r="J462" s="59">
        <v>0</v>
      </c>
      <c r="K462" s="59">
        <v>0</v>
      </c>
      <c r="L462" s="59">
        <v>-11.94</v>
      </c>
      <c r="M462" s="59">
        <v>-25</v>
      </c>
      <c r="N462" s="59">
        <v>0</v>
      </c>
      <c r="O462" s="59">
        <f t="shared" si="45"/>
        <v>914.96</v>
      </c>
      <c r="P462" s="59">
        <v>-2500</v>
      </c>
      <c r="Q462" s="59">
        <v>-2048</v>
      </c>
      <c r="R462" s="59">
        <v>0</v>
      </c>
      <c r="S462" s="59">
        <v>0</v>
      </c>
      <c r="T462" s="59">
        <v>0</v>
      </c>
      <c r="U462" s="59">
        <v>0</v>
      </c>
      <c r="V462" s="59">
        <v>0</v>
      </c>
      <c r="W462" s="59">
        <f t="shared" si="49"/>
        <v>-3633.04</v>
      </c>
      <c r="X462" s="59">
        <f t="shared" si="51"/>
        <v>0</v>
      </c>
      <c r="Y462" s="59">
        <f t="shared" si="52"/>
        <v>-3633.04</v>
      </c>
      <c r="Z462" s="59">
        <v>0</v>
      </c>
      <c r="AA462" s="59">
        <f t="shared" si="53"/>
        <v>-3633.04</v>
      </c>
      <c r="AB462" s="59">
        <f t="shared" si="50"/>
        <v>-2718.08</v>
      </c>
      <c r="AD462" s="59"/>
      <c r="AF462" s="59"/>
    </row>
    <row r="463" spans="1:32" x14ac:dyDescent="0.3">
      <c r="A463" s="49">
        <v>8</v>
      </c>
      <c r="B463" s="41" t="s">
        <v>1401</v>
      </c>
      <c r="C463" s="50" t="s">
        <v>1464</v>
      </c>
      <c r="D463" s="50" t="s">
        <v>1602</v>
      </c>
      <c r="E463" s="50" t="s">
        <v>25</v>
      </c>
      <c r="F463" s="51" t="s">
        <v>25</v>
      </c>
      <c r="G463" s="50" t="s">
        <v>866</v>
      </c>
      <c r="H463" s="59">
        <v>3522.17</v>
      </c>
      <c r="I463" s="59">
        <v>-2951.7299999999996</v>
      </c>
      <c r="J463" s="59">
        <v>0</v>
      </c>
      <c r="K463" s="59">
        <v>0</v>
      </c>
      <c r="L463" s="59">
        <v>0</v>
      </c>
      <c r="M463" s="59">
        <f>-16.56-70</f>
        <v>-86.56</v>
      </c>
      <c r="N463" s="59">
        <v>-138</v>
      </c>
      <c r="O463" s="59">
        <f t="shared" si="45"/>
        <v>345.88000000000051</v>
      </c>
      <c r="P463" s="59">
        <v>-2700</v>
      </c>
      <c r="Q463" s="59">
        <v>0</v>
      </c>
      <c r="R463" s="59">
        <v>-500</v>
      </c>
      <c r="S463" s="59">
        <v>0</v>
      </c>
      <c r="T463" s="59">
        <v>0</v>
      </c>
      <c r="U463" s="59">
        <v>0</v>
      </c>
      <c r="V463" s="59">
        <v>0</v>
      </c>
      <c r="W463" s="59">
        <f t="shared" si="49"/>
        <v>-2854.1199999999994</v>
      </c>
      <c r="X463" s="59">
        <f t="shared" si="51"/>
        <v>0</v>
      </c>
      <c r="Y463" s="59">
        <f t="shared" si="52"/>
        <v>-2854.1199999999994</v>
      </c>
      <c r="Z463" s="59">
        <v>2854</v>
      </c>
      <c r="AA463" s="59">
        <f t="shared" si="53"/>
        <v>-0.11999999999943611</v>
      </c>
      <c r="AB463" s="59">
        <f t="shared" si="50"/>
        <v>3199.7600000000011</v>
      </c>
      <c r="AD463" s="59" t="s">
        <v>2000</v>
      </c>
      <c r="AF463" s="59"/>
    </row>
    <row r="464" spans="1:32" x14ac:dyDescent="0.3">
      <c r="A464" s="49">
        <v>8</v>
      </c>
      <c r="B464" s="41" t="s">
        <v>1297</v>
      </c>
      <c r="C464" s="50" t="s">
        <v>480</v>
      </c>
      <c r="D464" s="50" t="s">
        <v>1243</v>
      </c>
      <c r="E464" s="50" t="s">
        <v>25</v>
      </c>
      <c r="F464" s="51" t="s">
        <v>25</v>
      </c>
      <c r="G464" s="50" t="s">
        <v>866</v>
      </c>
      <c r="H464" s="59">
        <v>1822.7</v>
      </c>
      <c r="I464" s="59">
        <v>0</v>
      </c>
      <c r="J464" s="59">
        <v>0</v>
      </c>
      <c r="K464" s="59">
        <v>0</v>
      </c>
      <c r="L464" s="59">
        <v>0</v>
      </c>
      <c r="M464" s="59">
        <v>-12.959999999999999</v>
      </c>
      <c r="N464" s="59">
        <v>-108</v>
      </c>
      <c r="O464" s="59">
        <f t="shared" si="45"/>
        <v>1701.74</v>
      </c>
      <c r="P464" s="59">
        <v>-2700</v>
      </c>
      <c r="Q464" s="59">
        <v>0</v>
      </c>
      <c r="R464" s="59">
        <v>0</v>
      </c>
      <c r="S464" s="59">
        <v>0</v>
      </c>
      <c r="T464" s="59">
        <v>-500</v>
      </c>
      <c r="U464" s="59">
        <v>0</v>
      </c>
      <c r="V464" s="59">
        <v>0</v>
      </c>
      <c r="W464" s="59">
        <f t="shared" si="49"/>
        <v>-1498.26</v>
      </c>
      <c r="X464" s="59">
        <f t="shared" si="51"/>
        <v>0</v>
      </c>
      <c r="Y464" s="59">
        <f t="shared" si="52"/>
        <v>-1498.26</v>
      </c>
      <c r="Z464" s="59">
        <f>1000+498</f>
        <v>1498</v>
      </c>
      <c r="AA464" s="59">
        <f t="shared" si="53"/>
        <v>-0.25999999999999091</v>
      </c>
      <c r="AB464" s="59">
        <f t="shared" si="50"/>
        <v>3199.4799999999996</v>
      </c>
      <c r="AD464" s="59" t="s">
        <v>2001</v>
      </c>
      <c r="AF464" s="59"/>
    </row>
    <row r="465" spans="1:33" x14ac:dyDescent="0.3">
      <c r="A465" s="49">
        <v>8</v>
      </c>
      <c r="B465" s="41" t="s">
        <v>1412</v>
      </c>
      <c r="C465" s="50" t="s">
        <v>774</v>
      </c>
      <c r="D465" s="50" t="s">
        <v>1605</v>
      </c>
      <c r="E465" s="50" t="s">
        <v>25</v>
      </c>
      <c r="F465" s="51" t="s">
        <v>25</v>
      </c>
      <c r="G465" s="50" t="s">
        <v>866</v>
      </c>
      <c r="H465" s="59">
        <v>4918.3599999999997</v>
      </c>
      <c r="I465" s="59">
        <v>-3419.2100000000005</v>
      </c>
      <c r="J465" s="59">
        <v>0</v>
      </c>
      <c r="K465" s="59">
        <v>0</v>
      </c>
      <c r="L465" s="59">
        <v>-50.07</v>
      </c>
      <c r="M465" s="59">
        <v>-70</v>
      </c>
      <c r="N465" s="59">
        <v>0</v>
      </c>
      <c r="O465" s="59">
        <f t="shared" si="45"/>
        <v>1379.0799999999992</v>
      </c>
      <c r="P465" s="59">
        <v>-2500</v>
      </c>
      <c r="Q465" s="59">
        <v>0</v>
      </c>
      <c r="R465" s="59">
        <v>-500</v>
      </c>
      <c r="S465" s="59">
        <v>0</v>
      </c>
      <c r="T465" s="59">
        <v>0</v>
      </c>
      <c r="U465" s="59">
        <v>0</v>
      </c>
      <c r="V465" s="59">
        <v>0</v>
      </c>
      <c r="W465" s="59">
        <f t="shared" si="49"/>
        <v>-1620.9200000000008</v>
      </c>
      <c r="X465" s="59">
        <f t="shared" si="51"/>
        <v>0</v>
      </c>
      <c r="Y465" s="59">
        <f t="shared" si="52"/>
        <v>-1620.9200000000008</v>
      </c>
      <c r="Z465" s="59">
        <v>1620</v>
      </c>
      <c r="AA465" s="59">
        <f t="shared" si="53"/>
        <v>-0.92000000000075488</v>
      </c>
      <c r="AB465" s="59">
        <f t="shared" si="50"/>
        <v>2998.159999999998</v>
      </c>
      <c r="AD465" s="59"/>
      <c r="AF465" s="59"/>
    </row>
    <row r="466" spans="1:33" x14ac:dyDescent="0.3">
      <c r="A466" s="49">
        <v>8</v>
      </c>
      <c r="B466" s="41" t="s">
        <v>1003</v>
      </c>
      <c r="C466" s="50" t="s">
        <v>1409</v>
      </c>
      <c r="D466" s="50" t="s">
        <v>967</v>
      </c>
      <c r="E466" s="50" t="s">
        <v>25</v>
      </c>
      <c r="F466" s="51" t="s">
        <v>25</v>
      </c>
      <c r="G466" s="50" t="s">
        <v>866</v>
      </c>
      <c r="H466" s="59">
        <v>1518.02</v>
      </c>
      <c r="I466" s="59">
        <v>0</v>
      </c>
      <c r="J466" s="59">
        <v>-59.54</v>
      </c>
      <c r="K466" s="59">
        <v>0</v>
      </c>
      <c r="L466" s="59">
        <v>0</v>
      </c>
      <c r="M466" s="59">
        <v>-69</v>
      </c>
      <c r="N466" s="59">
        <v>-575</v>
      </c>
      <c r="O466" s="59">
        <f>IF(H466+I466&lt;0,SUM(J466:N466),SUM(H466:N466))</f>
        <v>814.48</v>
      </c>
      <c r="P466" s="59">
        <v>-2500</v>
      </c>
      <c r="Q466" s="59">
        <f>-191*1.12</f>
        <v>-213.92000000000002</v>
      </c>
      <c r="R466" s="59">
        <v>0</v>
      </c>
      <c r="S466" s="59">
        <v>0</v>
      </c>
      <c r="T466" s="59">
        <v>-2500</v>
      </c>
      <c r="U466" s="59">
        <v>0</v>
      </c>
      <c r="V466" s="59">
        <v>0</v>
      </c>
      <c r="W466" s="59">
        <f t="shared" si="49"/>
        <v>-4399.4400000000005</v>
      </c>
      <c r="X466" s="59">
        <f t="shared" si="51"/>
        <v>0</v>
      </c>
      <c r="Y466" s="59">
        <f t="shared" si="52"/>
        <v>-4399.4400000000005</v>
      </c>
      <c r="Z466" s="59">
        <f>2500+1500+1000</f>
        <v>5000</v>
      </c>
      <c r="AA466" s="59">
        <f t="shared" si="53"/>
        <v>600.55999999999949</v>
      </c>
      <c r="AB466" s="59">
        <f t="shared" si="50"/>
        <v>6415.0399999999991</v>
      </c>
      <c r="AD466" s="59" t="s">
        <v>2666</v>
      </c>
      <c r="AF466" s="59"/>
    </row>
    <row r="467" spans="1:33" x14ac:dyDescent="0.3">
      <c r="A467" s="49">
        <v>8</v>
      </c>
      <c r="B467" s="41" t="s">
        <v>1513</v>
      </c>
      <c r="C467" s="50" t="s">
        <v>110</v>
      </c>
      <c r="D467" s="50" t="s">
        <v>912</v>
      </c>
      <c r="E467" s="50" t="s">
        <v>25</v>
      </c>
      <c r="F467" s="51" t="s">
        <v>25</v>
      </c>
      <c r="G467" s="50" t="s">
        <v>737</v>
      </c>
      <c r="H467" s="59">
        <v>0</v>
      </c>
      <c r="I467" s="59">
        <v>0</v>
      </c>
      <c r="J467" s="59">
        <v>0</v>
      </c>
      <c r="K467" s="59">
        <v>0</v>
      </c>
      <c r="L467" s="59">
        <v>0</v>
      </c>
      <c r="M467" s="59">
        <v>0</v>
      </c>
      <c r="N467" s="59">
        <v>0</v>
      </c>
      <c r="O467" s="59">
        <f t="shared" si="45"/>
        <v>0</v>
      </c>
      <c r="P467" s="59">
        <v>-2500</v>
      </c>
      <c r="Q467" s="59">
        <v>0</v>
      </c>
      <c r="R467" s="59">
        <v>-500</v>
      </c>
      <c r="S467" s="59">
        <v>0</v>
      </c>
      <c r="T467" s="59">
        <v>0</v>
      </c>
      <c r="U467" s="59">
        <v>0</v>
      </c>
      <c r="V467" s="59">
        <v>0</v>
      </c>
      <c r="W467" s="59">
        <f t="shared" si="49"/>
        <v>-3000</v>
      </c>
      <c r="X467" s="59">
        <f t="shared" si="51"/>
        <v>0</v>
      </c>
      <c r="Y467" s="59">
        <f t="shared" si="52"/>
        <v>-3000</v>
      </c>
      <c r="Z467" s="59">
        <v>3000</v>
      </c>
      <c r="AA467" s="59">
        <f t="shared" si="53"/>
        <v>0</v>
      </c>
      <c r="AB467" s="59">
        <f t="shared" si="50"/>
        <v>3000</v>
      </c>
      <c r="AD467" s="59" t="s">
        <v>2002</v>
      </c>
      <c r="AF467" s="59"/>
    </row>
    <row r="468" spans="1:33" x14ac:dyDescent="0.3">
      <c r="A468" s="39">
        <v>8</v>
      </c>
      <c r="B468" s="41" t="s">
        <v>1515</v>
      </c>
      <c r="C468" s="50" t="s">
        <v>257</v>
      </c>
      <c r="D468" s="50" t="s">
        <v>943</v>
      </c>
      <c r="E468" s="50" t="s">
        <v>25</v>
      </c>
      <c r="F468" s="51" t="s">
        <v>25</v>
      </c>
      <c r="G468" s="50" t="s">
        <v>866</v>
      </c>
      <c r="H468" s="59">
        <v>74.569999999999993</v>
      </c>
      <c r="I468" s="59">
        <f>IFERROR(VLOOKUP(B468,[2]Hoja1!$L$41:$Q$88,6,FALSE),0)</f>
        <v>0</v>
      </c>
      <c r="J468" s="59">
        <f>IFERROR(VLOOKUP(B468,[2]Hoja1!$L$41:$R$88,7,FALSE),0)</f>
        <v>0</v>
      </c>
      <c r="K468" s="59">
        <v>0</v>
      </c>
      <c r="L468" s="59">
        <f>IFERROR(VLOOKUP(B468,[2]Hoja1!$L$41:$S$88,8,FALSE),0)</f>
        <v>0</v>
      </c>
      <c r="M468" s="59">
        <f>IFERROR(VLOOKUP(B468,[2]Hoja1!$L$41:$U$88,10,FALSE),0)</f>
        <v>0</v>
      </c>
      <c r="N468" s="59">
        <f>IFERROR(VLOOKUP(B468,[2]Hoja1!$L$41:$T$88,9,FALSE),0)</f>
        <v>0</v>
      </c>
      <c r="O468" s="59">
        <f>IF(H468+I468&lt;0,SUM(J468:N468),SUM(H468:N468))</f>
        <v>74.569999999999993</v>
      </c>
      <c r="P468" s="59">
        <f>(-2500/7)*2</f>
        <v>-714.28571428571433</v>
      </c>
      <c r="Q468" s="59">
        <v>-831</v>
      </c>
      <c r="R468" s="59">
        <v>0</v>
      </c>
      <c r="S468" s="59">
        <v>0</v>
      </c>
      <c r="T468" s="59">
        <v>0</v>
      </c>
      <c r="U468" s="59">
        <v>0</v>
      </c>
      <c r="V468" s="59">
        <v>0</v>
      </c>
      <c r="W468" s="59">
        <f t="shared" si="49"/>
        <v>-1470.7157142857143</v>
      </c>
      <c r="X468" s="59">
        <f t="shared" si="51"/>
        <v>0</v>
      </c>
      <c r="Y468" s="59">
        <f t="shared" si="52"/>
        <v>-1470.7157142857143</v>
      </c>
      <c r="Z468" s="59">
        <v>0</v>
      </c>
      <c r="AA468" s="59">
        <f t="shared" si="53"/>
        <v>-1470.7157142857143</v>
      </c>
      <c r="AB468" s="59">
        <f t="shared" si="50"/>
        <v>-1396.1457142857143</v>
      </c>
      <c r="AD468" s="59" t="s">
        <v>2003</v>
      </c>
      <c r="AF468" s="59"/>
    </row>
    <row r="469" spans="1:33" x14ac:dyDescent="0.3">
      <c r="A469" s="39">
        <v>8</v>
      </c>
      <c r="B469" s="41" t="s">
        <v>1607</v>
      </c>
      <c r="C469" s="50" t="s">
        <v>760</v>
      </c>
      <c r="E469" s="50" t="s">
        <v>25</v>
      </c>
      <c r="F469" s="51" t="s">
        <v>25</v>
      </c>
      <c r="G469" s="50" t="s">
        <v>866</v>
      </c>
      <c r="H469" s="59">
        <v>4953.93</v>
      </c>
      <c r="I469" s="59">
        <f>IFERROR(VLOOKUP(B469,[2]Hoja1!$L$41:$Q$88,6,FALSE),0)</f>
        <v>-1481.13</v>
      </c>
      <c r="J469" s="59">
        <f>IFERROR(VLOOKUP(B469,[2]Hoja1!$L$41:$R$88,7,FALSE),0)</f>
        <v>0</v>
      </c>
      <c r="K469" s="59">
        <v>0</v>
      </c>
      <c r="L469" s="59">
        <f>IFERROR(VLOOKUP(B469,[2]Hoja1!$L$41:$S$88,8,FALSE),0)</f>
        <v>0</v>
      </c>
      <c r="M469" s="59">
        <v>-50</v>
      </c>
      <c r="N469" s="59">
        <f>IFERROR(VLOOKUP(B469,[2]Hoja1!$L$41:$T$88,9,FALSE),0)</f>
        <v>0</v>
      </c>
      <c r="O469" s="59">
        <f t="shared" ref="O469:O532" si="54">IF(H469+I469&lt;0,SUM(J469:N469),SUM(H469:N469))</f>
        <v>3422.8</v>
      </c>
      <c r="P469" s="59">
        <v>-3423</v>
      </c>
      <c r="Q469" s="59">
        <v>0</v>
      </c>
      <c r="R469" s="59">
        <v>0</v>
      </c>
      <c r="S469" s="59">
        <v>0</v>
      </c>
      <c r="T469" s="59">
        <v>0</v>
      </c>
      <c r="U469" s="59">
        <v>0</v>
      </c>
      <c r="V469" s="59">
        <v>0</v>
      </c>
      <c r="W469" s="59">
        <f t="shared" si="49"/>
        <v>-0.1999999999998181</v>
      </c>
      <c r="X469" s="59">
        <f t="shared" si="51"/>
        <v>0</v>
      </c>
      <c r="Y469" s="59">
        <f t="shared" si="52"/>
        <v>-0.1999999999998181</v>
      </c>
      <c r="Z469" s="59">
        <v>0</v>
      </c>
      <c r="AA469" s="59">
        <f t="shared" si="53"/>
        <v>-0.1999999999998181</v>
      </c>
      <c r="AB469" s="59">
        <f t="shared" si="50"/>
        <v>3422.6000000000004</v>
      </c>
      <c r="AF469" s="59"/>
    </row>
    <row r="470" spans="1:33" ht="14.4" x14ac:dyDescent="0.3">
      <c r="A470" s="39">
        <v>8</v>
      </c>
      <c r="B470" t="s">
        <v>2004</v>
      </c>
      <c r="C470" s="50" t="s">
        <v>2005</v>
      </c>
      <c r="E470" s="50" t="s">
        <v>25</v>
      </c>
      <c r="F470" s="51" t="s">
        <v>25</v>
      </c>
      <c r="G470" s="50" t="s">
        <v>866</v>
      </c>
      <c r="H470" s="59">
        <v>398.95</v>
      </c>
      <c r="I470" s="59">
        <f>IFERROR(VLOOKUP(B470,[2]Hoja1!$L$41:$Q$88,6,FALSE),0)</f>
        <v>-209.94</v>
      </c>
      <c r="J470" s="59">
        <f>IFERROR(VLOOKUP(B470,[2]Hoja1!$L$41:$R$88,7,FALSE),0)</f>
        <v>0</v>
      </c>
      <c r="K470" s="59">
        <v>0</v>
      </c>
      <c r="L470" s="59">
        <f>IFERROR(VLOOKUP(B470,[2]Hoja1!$L$41:$S$88,8,FALSE),0)</f>
        <v>0</v>
      </c>
      <c r="M470" s="59">
        <v>-25</v>
      </c>
      <c r="N470" s="59">
        <f>IFERROR(VLOOKUP(B470,[2]Hoja1!$L$41:$T$88,9,FALSE),0)</f>
        <v>0</v>
      </c>
      <c r="O470" s="59">
        <f t="shared" si="54"/>
        <v>164.01</v>
      </c>
      <c r="P470" s="59">
        <v>-164</v>
      </c>
      <c r="Q470" s="59">
        <v>0</v>
      </c>
      <c r="R470" s="59">
        <v>0</v>
      </c>
      <c r="S470" s="59">
        <v>0</v>
      </c>
      <c r="T470" s="59">
        <v>0</v>
      </c>
      <c r="U470" s="59">
        <v>0</v>
      </c>
      <c r="V470" s="59">
        <v>0</v>
      </c>
      <c r="W470" s="59">
        <f t="shared" si="49"/>
        <v>9.9999999999909051E-3</v>
      </c>
      <c r="X470" s="59">
        <f t="shared" si="51"/>
        <v>9.9999999999909051E-3</v>
      </c>
      <c r="Y470" s="59">
        <f t="shared" si="52"/>
        <v>0</v>
      </c>
      <c r="Z470" s="59">
        <v>0</v>
      </c>
      <c r="AA470" s="59">
        <f t="shared" si="53"/>
        <v>0</v>
      </c>
      <c r="AB470" s="59">
        <f t="shared" si="50"/>
        <v>164</v>
      </c>
      <c r="AF470" s="59"/>
    </row>
    <row r="471" spans="1:33" ht="14.4" x14ac:dyDescent="0.3">
      <c r="A471" s="39">
        <v>8</v>
      </c>
      <c r="B471" t="s">
        <v>1818</v>
      </c>
      <c r="C471" s="50" t="s">
        <v>409</v>
      </c>
      <c r="E471" s="50" t="s">
        <v>25</v>
      </c>
      <c r="F471" s="51" t="s">
        <v>25</v>
      </c>
      <c r="G471" s="50" t="s">
        <v>866</v>
      </c>
      <c r="H471" s="59">
        <v>4029.53</v>
      </c>
      <c r="I471" s="59">
        <f>IFERROR(VLOOKUP(B471,[2]Hoja1!$L$41:$Q$88,6,FALSE),0)</f>
        <v>0</v>
      </c>
      <c r="J471" s="59">
        <f>IFERROR(VLOOKUP(B471,[2]Hoja1!$L$41:$R$88,7,FALSE),0)</f>
        <v>0</v>
      </c>
      <c r="K471" s="59">
        <v>0</v>
      </c>
      <c r="L471" s="59">
        <f>IFERROR(VLOOKUP(B471,[2]Hoja1!$L$41:$S$88,8,FALSE),0)</f>
        <v>0</v>
      </c>
      <c r="M471" s="59">
        <f>IFERROR(VLOOKUP(B471,[2]Hoja1!$L$41:$U$88,10,FALSE),0)</f>
        <v>0</v>
      </c>
      <c r="N471" s="59">
        <f>IFERROR(VLOOKUP(B471,[2]Hoja1!$L$41:$T$88,9,FALSE),0)</f>
        <v>0</v>
      </c>
      <c r="O471" s="59">
        <f t="shared" si="54"/>
        <v>4029.53</v>
      </c>
      <c r="P471" s="59">
        <v>-4030</v>
      </c>
      <c r="Q471" s="59">
        <v>0</v>
      </c>
      <c r="R471" s="59">
        <v>0</v>
      </c>
      <c r="S471" s="59">
        <v>0</v>
      </c>
      <c r="T471" s="59">
        <v>0</v>
      </c>
      <c r="U471" s="59">
        <v>0</v>
      </c>
      <c r="V471" s="59">
        <v>0</v>
      </c>
      <c r="W471" s="59">
        <f t="shared" si="49"/>
        <v>-0.46999999999979991</v>
      </c>
      <c r="X471" s="59">
        <f t="shared" si="51"/>
        <v>0</v>
      </c>
      <c r="Y471" s="59">
        <f t="shared" si="52"/>
        <v>-0.46999999999979991</v>
      </c>
      <c r="Z471" s="59">
        <v>0</v>
      </c>
      <c r="AA471" s="59">
        <f t="shared" si="53"/>
        <v>-0.46999999999979991</v>
      </c>
      <c r="AB471" s="59">
        <f t="shared" si="50"/>
        <v>4029.0600000000004</v>
      </c>
      <c r="AF471" s="59"/>
    </row>
    <row r="472" spans="1:33" ht="14.4" x14ac:dyDescent="0.3">
      <c r="A472" s="39">
        <v>8</v>
      </c>
      <c r="B472" t="s">
        <v>2006</v>
      </c>
      <c r="E472" s="50" t="s">
        <v>25</v>
      </c>
      <c r="F472" s="51" t="s">
        <v>25</v>
      </c>
      <c r="G472" s="50" t="s">
        <v>866</v>
      </c>
      <c r="H472" s="59">
        <v>1170.3900000000001</v>
      </c>
      <c r="I472" s="59">
        <f>IFERROR(VLOOKUP(B472,[2]Hoja1!$L$41:$Q$88,6,FALSE),0)</f>
        <v>0</v>
      </c>
      <c r="J472" s="59">
        <f>IFERROR(VLOOKUP(B472,[2]Hoja1!$L$41:$R$88,7,FALSE),0)</f>
        <v>0</v>
      </c>
      <c r="K472" s="59">
        <v>0</v>
      </c>
      <c r="L472" s="59">
        <f>IFERROR(VLOOKUP(B472,[2]Hoja1!$L$41:$S$88,8,FALSE),0)</f>
        <v>0</v>
      </c>
      <c r="M472" s="59">
        <f>IFERROR(VLOOKUP(B472,[2]Hoja1!$L$41:$U$88,10,FALSE),0)</f>
        <v>0</v>
      </c>
      <c r="N472" s="59">
        <f>IFERROR(VLOOKUP(B472,[2]Hoja1!$L$41:$T$88,9,FALSE),0)</f>
        <v>0</v>
      </c>
      <c r="O472" s="59">
        <f t="shared" si="54"/>
        <v>1170.3900000000001</v>
      </c>
      <c r="P472" s="59">
        <v>-1170</v>
      </c>
      <c r="Q472" s="59">
        <v>0</v>
      </c>
      <c r="R472" s="59">
        <v>0</v>
      </c>
      <c r="S472" s="59">
        <v>0</v>
      </c>
      <c r="T472" s="59">
        <v>0</v>
      </c>
      <c r="U472" s="59">
        <v>0</v>
      </c>
      <c r="V472" s="59">
        <v>0</v>
      </c>
      <c r="W472" s="59">
        <f t="shared" si="49"/>
        <v>0.39000000000010004</v>
      </c>
      <c r="X472" s="59">
        <f t="shared" si="51"/>
        <v>0.39000000000010004</v>
      </c>
      <c r="Y472" s="59">
        <f t="shared" si="52"/>
        <v>0</v>
      </c>
      <c r="Z472" s="59">
        <v>0</v>
      </c>
      <c r="AA472" s="59">
        <f t="shared" si="53"/>
        <v>0</v>
      </c>
      <c r="AB472" s="59">
        <f t="shared" si="50"/>
        <v>1170</v>
      </c>
      <c r="AF472" s="59"/>
    </row>
    <row r="473" spans="1:33" x14ac:dyDescent="0.3">
      <c r="A473" s="49">
        <v>9</v>
      </c>
      <c r="B473" s="50" t="s">
        <v>2007</v>
      </c>
      <c r="C473" s="50" t="s">
        <v>64</v>
      </c>
      <c r="D473" s="50" t="s">
        <v>949</v>
      </c>
      <c r="E473" s="50" t="s">
        <v>25</v>
      </c>
      <c r="F473" s="50" t="s">
        <v>25</v>
      </c>
      <c r="G473" s="50" t="s">
        <v>866</v>
      </c>
      <c r="H473" s="59">
        <v>1240.5999999999999</v>
      </c>
      <c r="I473" s="59">
        <v>0</v>
      </c>
      <c r="J473" s="59">
        <v>0</v>
      </c>
      <c r="K473" s="59">
        <v>0</v>
      </c>
      <c r="L473" s="59">
        <v>0</v>
      </c>
      <c r="M473" s="59">
        <v>0</v>
      </c>
      <c r="N473" s="59">
        <v>0</v>
      </c>
      <c r="O473" s="59">
        <f t="shared" si="54"/>
        <v>1240.5999999999999</v>
      </c>
      <c r="P473" s="59">
        <f>(-2500/7)*5.5</f>
        <v>-1964.2857142857144</v>
      </c>
      <c r="Q473" s="59">
        <v>0</v>
      </c>
      <c r="R473" s="59">
        <v>-392.85714285714289</v>
      </c>
      <c r="S473" s="59">
        <v>0</v>
      </c>
      <c r="T473" s="59">
        <v>0</v>
      </c>
      <c r="U473" s="59">
        <v>0</v>
      </c>
      <c r="V473" s="59">
        <v>0</v>
      </c>
      <c r="W473" s="59">
        <f t="shared" si="49"/>
        <v>-1116.5428571428574</v>
      </c>
      <c r="X473" s="59">
        <f t="shared" si="51"/>
        <v>0</v>
      </c>
      <c r="Y473" s="59">
        <f t="shared" si="52"/>
        <v>-1116.5428571428574</v>
      </c>
      <c r="Z473" s="59">
        <f>850+267</f>
        <v>1117</v>
      </c>
      <c r="AA473" s="59">
        <f t="shared" si="53"/>
        <v>0.4571428571425713</v>
      </c>
      <c r="AB473" s="59">
        <f t="shared" si="50"/>
        <v>2358.0571428571425</v>
      </c>
      <c r="AC473" s="59">
        <v>1920</v>
      </c>
      <c r="AD473" s="50" t="s">
        <v>2667</v>
      </c>
      <c r="AF473" s="59"/>
      <c r="AG473" s="59"/>
    </row>
    <row r="474" spans="1:33" x14ac:dyDescent="0.3">
      <c r="A474" s="49">
        <v>9</v>
      </c>
      <c r="B474" s="50" t="s">
        <v>2008</v>
      </c>
      <c r="C474" s="50" t="s">
        <v>409</v>
      </c>
      <c r="D474" s="50" t="s">
        <v>946</v>
      </c>
      <c r="E474" s="50" t="s">
        <v>25</v>
      </c>
      <c r="F474" s="50" t="s">
        <v>25</v>
      </c>
      <c r="G474" s="50" t="s">
        <v>866</v>
      </c>
      <c r="H474" s="59">
        <v>2848.12</v>
      </c>
      <c r="I474" s="59">
        <v>-1140.6200000000001</v>
      </c>
      <c r="J474" s="59">
        <v>-9.6</v>
      </c>
      <c r="K474" s="59">
        <v>0</v>
      </c>
      <c r="L474" s="59">
        <v>0</v>
      </c>
      <c r="M474" s="59">
        <v>-40</v>
      </c>
      <c r="N474" s="59">
        <v>0</v>
      </c>
      <c r="O474" s="59">
        <f t="shared" si="54"/>
        <v>1657.8999999999999</v>
      </c>
      <c r="P474" s="59">
        <f>(-2500/7)*5.5</f>
        <v>-1964.2857142857144</v>
      </c>
      <c r="Q474" s="59">
        <v>0</v>
      </c>
      <c r="R474" s="59">
        <v>-392.85714285714289</v>
      </c>
      <c r="S474" s="59">
        <v>0</v>
      </c>
      <c r="T474" s="59">
        <v>0</v>
      </c>
      <c r="U474" s="59">
        <v>0</v>
      </c>
      <c r="V474" s="59">
        <v>0</v>
      </c>
      <c r="W474" s="59">
        <f t="shared" si="49"/>
        <v>-699.24285714285747</v>
      </c>
      <c r="X474" s="59">
        <f t="shared" si="51"/>
        <v>0</v>
      </c>
      <c r="Y474" s="59">
        <f t="shared" si="52"/>
        <v>-699.24285714285747</v>
      </c>
      <c r="Z474" s="59">
        <v>400</v>
      </c>
      <c r="AA474" s="59">
        <f t="shared" si="53"/>
        <v>-299.24285714285747</v>
      </c>
      <c r="AB474" s="59">
        <f t="shared" si="50"/>
        <v>1758.6571428571422</v>
      </c>
      <c r="AD474" s="50" t="s">
        <v>2668</v>
      </c>
      <c r="AF474" s="59"/>
      <c r="AG474" s="59"/>
    </row>
    <row r="475" spans="1:33" x14ac:dyDescent="0.3">
      <c r="A475" s="49">
        <v>9</v>
      </c>
      <c r="B475" s="50" t="s">
        <v>2009</v>
      </c>
      <c r="C475" s="50" t="s">
        <v>152</v>
      </c>
      <c r="D475" s="50" t="s">
        <v>1108</v>
      </c>
      <c r="E475" s="50" t="s">
        <v>25</v>
      </c>
      <c r="F475" s="50" t="s">
        <v>25</v>
      </c>
      <c r="G475" s="50" t="s">
        <v>866</v>
      </c>
      <c r="H475" s="59">
        <v>4065.04</v>
      </c>
      <c r="I475" s="59">
        <v>-1791.54</v>
      </c>
      <c r="J475" s="59">
        <v>0</v>
      </c>
      <c r="K475" s="59">
        <v>0</v>
      </c>
      <c r="L475" s="59">
        <v>0</v>
      </c>
      <c r="M475" s="59">
        <v>-50</v>
      </c>
      <c r="N475" s="59">
        <v>0</v>
      </c>
      <c r="O475" s="59">
        <f t="shared" si="54"/>
        <v>2223.5</v>
      </c>
      <c r="P475" s="59">
        <f>(-2500/7)*6</f>
        <v>-2142.8571428571431</v>
      </c>
      <c r="Q475" s="59">
        <v>0</v>
      </c>
      <c r="R475" s="59">
        <v>-428.57142857142998</v>
      </c>
      <c r="S475" s="59">
        <v>0</v>
      </c>
      <c r="T475" s="59">
        <v>0</v>
      </c>
      <c r="U475" s="59">
        <v>0</v>
      </c>
      <c r="V475" s="59">
        <v>0</v>
      </c>
      <c r="W475" s="59">
        <f t="shared" si="49"/>
        <v>-347.92857142857309</v>
      </c>
      <c r="X475" s="59">
        <f t="shared" si="51"/>
        <v>0</v>
      </c>
      <c r="Y475" s="59">
        <f t="shared" si="52"/>
        <v>-347.92857142857309</v>
      </c>
      <c r="Z475" s="59">
        <v>348</v>
      </c>
      <c r="AA475" s="59">
        <f t="shared" si="53"/>
        <v>7.1428571426906728E-2</v>
      </c>
      <c r="AB475" s="59">
        <f t="shared" si="50"/>
        <v>2571.5714285714271</v>
      </c>
      <c r="AC475" s="59">
        <v>2000</v>
      </c>
      <c r="AD475" s="50" t="s">
        <v>2669</v>
      </c>
      <c r="AF475" s="59"/>
      <c r="AG475" s="59"/>
    </row>
    <row r="476" spans="1:33" x14ac:dyDescent="0.3">
      <c r="A476" s="49">
        <v>9</v>
      </c>
      <c r="B476" s="50" t="s">
        <v>2010</v>
      </c>
      <c r="C476" s="50" t="s">
        <v>347</v>
      </c>
      <c r="D476" s="50" t="s">
        <v>1122</v>
      </c>
      <c r="E476" s="50" t="s">
        <v>25</v>
      </c>
      <c r="F476" s="50" t="s">
        <v>25</v>
      </c>
      <c r="G476" s="50" t="s">
        <v>866</v>
      </c>
      <c r="H476" s="59">
        <v>5467.18</v>
      </c>
      <c r="I476" s="59">
        <v>0</v>
      </c>
      <c r="J476" s="59">
        <v>0</v>
      </c>
      <c r="K476" s="59">
        <v>0</v>
      </c>
      <c r="L476" s="59">
        <v>0</v>
      </c>
      <c r="M476" s="59">
        <v>0</v>
      </c>
      <c r="N476" s="59">
        <v>0</v>
      </c>
      <c r="O476" s="59">
        <f t="shared" si="54"/>
        <v>5467.18</v>
      </c>
      <c r="P476" s="59">
        <f>(-2500/7)*3</f>
        <v>-1071.4285714285716</v>
      </c>
      <c r="Q476" s="59">
        <v>0</v>
      </c>
      <c r="R476" s="59">
        <v>0</v>
      </c>
      <c r="S476" s="59">
        <v>0</v>
      </c>
      <c r="T476" s="59">
        <v>0</v>
      </c>
      <c r="U476" s="59">
        <v>0</v>
      </c>
      <c r="V476" s="59">
        <v>0</v>
      </c>
      <c r="W476" s="59">
        <f t="shared" si="49"/>
        <v>4395.7514285714287</v>
      </c>
      <c r="X476" s="59">
        <f t="shared" si="51"/>
        <v>4395.7514285714287</v>
      </c>
      <c r="Y476" s="59">
        <f t="shared" si="52"/>
        <v>0</v>
      </c>
      <c r="Z476" s="59">
        <v>0</v>
      </c>
      <c r="AA476" s="59">
        <f t="shared" si="53"/>
        <v>0</v>
      </c>
      <c r="AB476" s="59">
        <f t="shared" si="50"/>
        <v>1071.4285714285716</v>
      </c>
      <c r="AD476" s="50" t="s">
        <v>2670</v>
      </c>
      <c r="AF476" s="59"/>
      <c r="AG476" s="59"/>
    </row>
    <row r="477" spans="1:33" x14ac:dyDescent="0.3">
      <c r="A477" s="49">
        <v>9</v>
      </c>
      <c r="B477" s="50" t="s">
        <v>2010</v>
      </c>
      <c r="C477" s="50" t="s">
        <v>1316</v>
      </c>
      <c r="D477" s="50" t="s">
        <v>3281</v>
      </c>
      <c r="E477" s="50" t="s">
        <v>25</v>
      </c>
      <c r="F477" s="50" t="s">
        <v>25</v>
      </c>
      <c r="G477" s="50" t="s">
        <v>866</v>
      </c>
      <c r="H477" s="59">
        <v>0</v>
      </c>
      <c r="I477" s="59">
        <v>0</v>
      </c>
      <c r="J477" s="59">
        <v>0</v>
      </c>
      <c r="K477" s="59">
        <v>0</v>
      </c>
      <c r="L477" s="59">
        <v>0</v>
      </c>
      <c r="M477" s="59">
        <v>0</v>
      </c>
      <c r="N477" s="59">
        <v>0</v>
      </c>
      <c r="O477" s="59">
        <f t="shared" si="54"/>
        <v>0</v>
      </c>
      <c r="P477" s="59">
        <f>(-2700/7)*2</f>
        <v>-771.42857142857144</v>
      </c>
      <c r="Q477" s="59">
        <v>0</v>
      </c>
      <c r="R477" s="59">
        <v>-357.14285714286001</v>
      </c>
      <c r="S477" s="59">
        <v>0</v>
      </c>
      <c r="T477" s="59">
        <v>0</v>
      </c>
      <c r="U477" s="59">
        <v>0</v>
      </c>
      <c r="V477" s="59">
        <v>0</v>
      </c>
      <c r="W477" s="59">
        <f t="shared" si="49"/>
        <v>-1128.5714285714314</v>
      </c>
      <c r="X477" s="59">
        <f t="shared" si="51"/>
        <v>0</v>
      </c>
      <c r="Y477" s="59">
        <f t="shared" si="52"/>
        <v>-1128.5714285714314</v>
      </c>
      <c r="Z477" s="59">
        <v>1129</v>
      </c>
      <c r="AA477" s="59">
        <f t="shared" si="53"/>
        <v>0.42857142856860264</v>
      </c>
      <c r="AB477" s="59">
        <f t="shared" si="50"/>
        <v>1129.4285714285686</v>
      </c>
      <c r="AC477" s="59">
        <v>2000</v>
      </c>
      <c r="AD477" s="50" t="s">
        <v>2671</v>
      </c>
      <c r="AF477" s="59"/>
      <c r="AG477" s="59"/>
    </row>
    <row r="478" spans="1:33" x14ac:dyDescent="0.3">
      <c r="A478" s="49">
        <v>9</v>
      </c>
      <c r="B478" s="50" t="s">
        <v>2011</v>
      </c>
      <c r="C478" s="50" t="s">
        <v>46</v>
      </c>
      <c r="D478" s="50" t="s">
        <v>915</v>
      </c>
      <c r="E478" s="50" t="s">
        <v>25</v>
      </c>
      <c r="F478" s="50" t="s">
        <v>25</v>
      </c>
      <c r="G478" s="50" t="s">
        <v>866</v>
      </c>
      <c r="H478" s="59">
        <v>2122.4699999999998</v>
      </c>
      <c r="I478" s="59">
        <v>-1343.7299999999998</v>
      </c>
      <c r="J478" s="59">
        <v>0</v>
      </c>
      <c r="K478" s="59">
        <v>0</v>
      </c>
      <c r="L478" s="59">
        <v>0</v>
      </c>
      <c r="M478" s="59">
        <v>-40</v>
      </c>
      <c r="N478" s="59">
        <v>0</v>
      </c>
      <c r="O478" s="59">
        <f t="shared" si="54"/>
        <v>738.74</v>
      </c>
      <c r="P478" s="59">
        <f>(-2500/7)*4</f>
        <v>-1428.5714285714287</v>
      </c>
      <c r="Q478" s="59">
        <v>0</v>
      </c>
      <c r="R478" s="59">
        <v>-285.71428571428999</v>
      </c>
      <c r="S478" s="59">
        <v>0</v>
      </c>
      <c r="T478" s="59">
        <v>0</v>
      </c>
      <c r="U478" s="59">
        <v>0</v>
      </c>
      <c r="V478" s="59">
        <v>0</v>
      </c>
      <c r="W478" s="59">
        <f t="shared" si="49"/>
        <v>-975.54571428571865</v>
      </c>
      <c r="X478" s="59">
        <f t="shared" si="51"/>
        <v>0</v>
      </c>
      <c r="Y478" s="59">
        <f t="shared" si="52"/>
        <v>-975.54571428571865</v>
      </c>
      <c r="Z478" s="59">
        <v>976</v>
      </c>
      <c r="AA478" s="59">
        <f t="shared" si="53"/>
        <v>0.45428571428135456</v>
      </c>
      <c r="AB478" s="59">
        <f t="shared" si="50"/>
        <v>1715.1942857142812</v>
      </c>
      <c r="AC478" s="59">
        <v>2000</v>
      </c>
      <c r="AD478" s="50" t="s">
        <v>2672</v>
      </c>
      <c r="AF478" s="59"/>
      <c r="AG478" s="59"/>
    </row>
    <row r="479" spans="1:33" x14ac:dyDescent="0.3">
      <c r="A479" s="49">
        <v>9</v>
      </c>
      <c r="B479" s="50" t="s">
        <v>2012</v>
      </c>
      <c r="C479" s="50" t="s">
        <v>361</v>
      </c>
      <c r="D479" s="50" t="s">
        <v>1164</v>
      </c>
      <c r="E479" s="50" t="s">
        <v>25</v>
      </c>
      <c r="F479" s="50" t="s">
        <v>25</v>
      </c>
      <c r="G479" s="50" t="s">
        <v>866</v>
      </c>
      <c r="H479" s="59">
        <v>2449.54</v>
      </c>
      <c r="I479" s="59">
        <v>0</v>
      </c>
      <c r="J479" s="59">
        <v>0</v>
      </c>
      <c r="K479" s="59">
        <v>0</v>
      </c>
      <c r="L479" s="59">
        <v>0</v>
      </c>
      <c r="M479" s="59">
        <v>0</v>
      </c>
      <c r="N479" s="59">
        <v>0</v>
      </c>
      <c r="O479" s="59">
        <f t="shared" si="54"/>
        <v>2449.54</v>
      </c>
      <c r="P479" s="59">
        <f>(-2500/7)*4</f>
        <v>-1428.5714285714287</v>
      </c>
      <c r="Q479" s="59">
        <v>0</v>
      </c>
      <c r="R479" s="59">
        <v>-285.71428571428999</v>
      </c>
      <c r="S479" s="59">
        <v>0</v>
      </c>
      <c r="T479" s="59">
        <v>0</v>
      </c>
      <c r="U479" s="59">
        <v>0</v>
      </c>
      <c r="V479" s="59">
        <v>0</v>
      </c>
      <c r="W479" s="59">
        <f t="shared" si="49"/>
        <v>735.25428571428131</v>
      </c>
      <c r="X479" s="59">
        <f t="shared" si="51"/>
        <v>735.25428571428131</v>
      </c>
      <c r="Y479" s="59">
        <f t="shared" si="52"/>
        <v>0</v>
      </c>
      <c r="Z479" s="59">
        <v>0</v>
      </c>
      <c r="AA479" s="59">
        <f t="shared" si="53"/>
        <v>0</v>
      </c>
      <c r="AB479" s="59">
        <f t="shared" si="50"/>
        <v>1714.2857142857188</v>
      </c>
      <c r="AC479" s="59">
        <v>1000</v>
      </c>
      <c r="AD479" s="50" t="s">
        <v>2673</v>
      </c>
      <c r="AF479" s="59"/>
      <c r="AG479" s="59"/>
    </row>
    <row r="480" spans="1:33" x14ac:dyDescent="0.3">
      <c r="A480" s="49">
        <v>9</v>
      </c>
      <c r="B480" s="41" t="s">
        <v>1405</v>
      </c>
      <c r="C480" s="50" t="s">
        <v>1316</v>
      </c>
      <c r="D480" s="50" t="s">
        <v>1317</v>
      </c>
      <c r="E480" s="50" t="s">
        <v>25</v>
      </c>
      <c r="F480" s="51" t="s">
        <v>25</v>
      </c>
      <c r="G480" s="50" t="s">
        <v>737</v>
      </c>
      <c r="H480" s="59">
        <v>0</v>
      </c>
      <c r="I480" s="59">
        <v>0</v>
      </c>
      <c r="J480" s="59">
        <v>0</v>
      </c>
      <c r="K480" s="59">
        <v>0</v>
      </c>
      <c r="L480" s="59">
        <v>0</v>
      </c>
      <c r="M480" s="59">
        <v>0</v>
      </c>
      <c r="N480" s="59">
        <v>0</v>
      </c>
      <c r="O480" s="59">
        <f t="shared" si="54"/>
        <v>0</v>
      </c>
      <c r="P480" s="59">
        <f>(-2700/7)*3</f>
        <v>-1157.1428571428571</v>
      </c>
      <c r="Q480" s="59">
        <f>-4640</f>
        <v>-4640</v>
      </c>
      <c r="R480" s="59">
        <v>3000</v>
      </c>
      <c r="S480" s="59">
        <v>0</v>
      </c>
      <c r="T480" s="59">
        <v>0</v>
      </c>
      <c r="U480" s="59">
        <v>0</v>
      </c>
      <c r="V480" s="59">
        <v>0</v>
      </c>
      <c r="W480" s="59">
        <f t="shared" si="49"/>
        <v>-2797.1428571428569</v>
      </c>
      <c r="X480" s="59">
        <f t="shared" si="51"/>
        <v>0</v>
      </c>
      <c r="Y480" s="59">
        <f t="shared" si="52"/>
        <v>-2797.1428571428569</v>
      </c>
      <c r="Z480" s="59">
        <f>1500+700</f>
        <v>2200</v>
      </c>
      <c r="AA480" s="59">
        <f t="shared" si="53"/>
        <v>-597.14285714285688</v>
      </c>
      <c r="AB480" s="59">
        <f t="shared" si="50"/>
        <v>1602.8571428571431</v>
      </c>
      <c r="AD480" s="50" t="s">
        <v>3282</v>
      </c>
      <c r="AF480" s="59"/>
      <c r="AG480" s="59"/>
    </row>
    <row r="481" spans="1:33" x14ac:dyDescent="0.3">
      <c r="A481" s="49">
        <v>9</v>
      </c>
      <c r="B481" s="41" t="s">
        <v>408</v>
      </c>
      <c r="C481" s="50" t="s">
        <v>361</v>
      </c>
      <c r="D481" s="50" t="s">
        <v>1164</v>
      </c>
      <c r="E481" s="50" t="s">
        <v>25</v>
      </c>
      <c r="F481" s="51" t="s">
        <v>25</v>
      </c>
      <c r="G481" s="50" t="s">
        <v>866</v>
      </c>
      <c r="H481" s="59">
        <v>0</v>
      </c>
      <c r="I481" s="59">
        <v>0</v>
      </c>
      <c r="J481" s="59">
        <v>0</v>
      </c>
      <c r="K481" s="59">
        <v>0</v>
      </c>
      <c r="L481" s="59">
        <v>0</v>
      </c>
      <c r="M481" s="59">
        <v>0</v>
      </c>
      <c r="N481" s="59">
        <v>0</v>
      </c>
      <c r="O481" s="59">
        <f t="shared" si="54"/>
        <v>0</v>
      </c>
      <c r="P481" s="59">
        <f>(-2700/7)*2</f>
        <v>-771.42857142857144</v>
      </c>
      <c r="Q481" s="59">
        <v>-2310</v>
      </c>
      <c r="R481" s="59">
        <v>1000</v>
      </c>
      <c r="S481" s="59">
        <v>-4338</v>
      </c>
      <c r="T481" s="59">
        <v>0</v>
      </c>
      <c r="U481" s="59">
        <v>0</v>
      </c>
      <c r="V481" s="59">
        <v>0</v>
      </c>
      <c r="W481" s="59">
        <f t="shared" si="49"/>
        <v>-6419.4285714285716</v>
      </c>
      <c r="X481" s="59">
        <f t="shared" si="51"/>
        <v>0</v>
      </c>
      <c r="Y481" s="59">
        <f t="shared" si="52"/>
        <v>-6419.4285714285716</v>
      </c>
      <c r="Z481" s="59">
        <v>0</v>
      </c>
      <c r="AA481" s="59">
        <f t="shared" si="53"/>
        <v>-6419.4285714285716</v>
      </c>
      <c r="AB481" s="59">
        <f t="shared" si="50"/>
        <v>-6419.4285714285716</v>
      </c>
      <c r="AD481" s="50" t="s">
        <v>2013</v>
      </c>
      <c r="AF481" s="59"/>
      <c r="AG481" s="59"/>
    </row>
    <row r="482" spans="1:33" x14ac:dyDescent="0.3">
      <c r="A482" s="49">
        <v>9</v>
      </c>
      <c r="B482" s="50" t="s">
        <v>1956</v>
      </c>
      <c r="C482" s="50" t="s">
        <v>257</v>
      </c>
      <c r="D482" s="50" t="s">
        <v>1605</v>
      </c>
      <c r="E482" s="50" t="s">
        <v>25</v>
      </c>
      <c r="F482" s="50" t="s">
        <v>25</v>
      </c>
      <c r="G482" s="50" t="s">
        <v>866</v>
      </c>
      <c r="H482" s="59">
        <v>2268.65</v>
      </c>
      <c r="I482" s="59">
        <v>-216.14</v>
      </c>
      <c r="J482" s="59">
        <v>-4.6500000000000004</v>
      </c>
      <c r="K482" s="59">
        <v>29.04</v>
      </c>
      <c r="L482" s="59">
        <v>0</v>
      </c>
      <c r="M482" s="59">
        <v>-15</v>
      </c>
      <c r="N482" s="59">
        <v>0</v>
      </c>
      <c r="O482" s="59">
        <f t="shared" si="54"/>
        <v>2061.9</v>
      </c>
      <c r="P482" s="59">
        <v>-2500</v>
      </c>
      <c r="Q482" s="59">
        <v>0</v>
      </c>
      <c r="R482" s="59">
        <v>-500</v>
      </c>
      <c r="S482" s="59">
        <v>0</v>
      </c>
      <c r="T482" s="59">
        <v>0</v>
      </c>
      <c r="U482" s="59">
        <v>0</v>
      </c>
      <c r="V482" s="59">
        <v>0</v>
      </c>
      <c r="W482" s="59">
        <f t="shared" si="49"/>
        <v>-938.09999999999991</v>
      </c>
      <c r="X482" s="59">
        <f t="shared" si="51"/>
        <v>0</v>
      </c>
      <c r="Y482" s="59">
        <f t="shared" si="52"/>
        <v>-938.09999999999991</v>
      </c>
      <c r="Z482" s="59">
        <v>938</v>
      </c>
      <c r="AA482" s="59">
        <f t="shared" si="53"/>
        <v>-9.9999999999909051E-2</v>
      </c>
      <c r="AB482" s="59">
        <f t="shared" si="50"/>
        <v>2999.8</v>
      </c>
      <c r="AD482" s="50" t="s">
        <v>2674</v>
      </c>
      <c r="AF482" s="59"/>
      <c r="AG482" s="59"/>
    </row>
    <row r="483" spans="1:33" x14ac:dyDescent="0.3">
      <c r="A483" s="49">
        <v>9</v>
      </c>
      <c r="B483" s="50" t="s">
        <v>1958</v>
      </c>
      <c r="C483" s="50" t="s">
        <v>51</v>
      </c>
      <c r="D483" s="50" t="s">
        <v>1115</v>
      </c>
      <c r="E483" s="50" t="s">
        <v>25</v>
      </c>
      <c r="F483" s="50" t="s">
        <v>25</v>
      </c>
      <c r="G483" s="50" t="s">
        <v>866</v>
      </c>
      <c r="H483" s="59">
        <v>3420.81</v>
      </c>
      <c r="I483" s="59">
        <v>0</v>
      </c>
      <c r="J483" s="59">
        <v>-51.91</v>
      </c>
      <c r="K483" s="59">
        <v>184.16</v>
      </c>
      <c r="L483" s="59">
        <v>0</v>
      </c>
      <c r="M483" s="59">
        <v>0</v>
      </c>
      <c r="N483" s="59">
        <v>0</v>
      </c>
      <c r="O483" s="59">
        <f t="shared" si="54"/>
        <v>3553.06</v>
      </c>
      <c r="P483" s="59">
        <v>-2500</v>
      </c>
      <c r="Q483" s="59">
        <v>0</v>
      </c>
      <c r="R483" s="59">
        <v>-500</v>
      </c>
      <c r="S483" s="59">
        <v>0</v>
      </c>
      <c r="T483" s="59">
        <v>0</v>
      </c>
      <c r="U483" s="59">
        <v>0</v>
      </c>
      <c r="V483" s="59">
        <v>0</v>
      </c>
      <c r="W483" s="59">
        <f t="shared" si="49"/>
        <v>553.05999999999995</v>
      </c>
      <c r="X483" s="59">
        <f t="shared" si="51"/>
        <v>553.05999999999995</v>
      </c>
      <c r="Y483" s="59">
        <f t="shared" si="52"/>
        <v>0</v>
      </c>
      <c r="Z483" s="59">
        <v>0</v>
      </c>
      <c r="AA483" s="59">
        <f t="shared" si="53"/>
        <v>0</v>
      </c>
      <c r="AB483" s="59">
        <f t="shared" si="50"/>
        <v>3000</v>
      </c>
      <c r="AD483" s="50" t="s">
        <v>2673</v>
      </c>
      <c r="AF483" s="59"/>
      <c r="AG483" s="59"/>
    </row>
    <row r="484" spans="1:33" x14ac:dyDescent="0.3">
      <c r="A484" s="49">
        <v>9</v>
      </c>
      <c r="B484" s="50" t="s">
        <v>1960</v>
      </c>
      <c r="C484" s="50" t="s">
        <v>123</v>
      </c>
      <c r="D484" s="50" t="s">
        <v>1608</v>
      </c>
      <c r="E484" s="50" t="s">
        <v>25</v>
      </c>
      <c r="F484" s="50" t="s">
        <v>25</v>
      </c>
      <c r="G484" s="50" t="s">
        <v>737</v>
      </c>
      <c r="H484" s="59">
        <v>4630.8999999999996</v>
      </c>
      <c r="I484" s="59">
        <v>-4460.37</v>
      </c>
      <c r="J484" s="59">
        <v>-450.49736999999993</v>
      </c>
      <c r="K484" s="59">
        <v>0</v>
      </c>
      <c r="L484" s="59">
        <v>0</v>
      </c>
      <c r="M484" s="59">
        <v>0</v>
      </c>
      <c r="N484" s="59">
        <v>0</v>
      </c>
      <c r="O484" s="59">
        <f t="shared" si="54"/>
        <v>-279.96737000000019</v>
      </c>
      <c r="P484" s="59">
        <v>-2500</v>
      </c>
      <c r="Q484" s="59">
        <v>0</v>
      </c>
      <c r="R484" s="59">
        <v>-500</v>
      </c>
      <c r="S484" s="59">
        <v>0</v>
      </c>
      <c r="T484" s="59">
        <v>0</v>
      </c>
      <c r="U484" s="59">
        <v>0</v>
      </c>
      <c r="V484" s="59">
        <v>0</v>
      </c>
      <c r="W484" s="59">
        <f t="shared" si="49"/>
        <v>-3279.9673700000003</v>
      </c>
      <c r="X484" s="59">
        <f t="shared" si="51"/>
        <v>0</v>
      </c>
      <c r="Y484" s="59">
        <f t="shared" si="52"/>
        <v>-3279.9673700000003</v>
      </c>
      <c r="Z484" s="59">
        <v>1000</v>
      </c>
      <c r="AA484" s="59">
        <f t="shared" si="53"/>
        <v>-2279.9673700000003</v>
      </c>
      <c r="AB484" s="59">
        <f t="shared" si="50"/>
        <v>-1559.9347400000006</v>
      </c>
      <c r="AD484" s="50" t="s">
        <v>2675</v>
      </c>
      <c r="AF484" s="59"/>
      <c r="AG484" s="59"/>
    </row>
    <row r="485" spans="1:33" x14ac:dyDescent="0.3">
      <c r="A485" s="49">
        <v>9</v>
      </c>
      <c r="B485" s="41" t="s">
        <v>1010</v>
      </c>
      <c r="C485" s="50" t="s">
        <v>409</v>
      </c>
      <c r="D485" s="50" t="s">
        <v>946</v>
      </c>
      <c r="E485" s="50" t="s">
        <v>25</v>
      </c>
      <c r="F485" s="51" t="s">
        <v>25</v>
      </c>
      <c r="G485" s="50" t="s">
        <v>866</v>
      </c>
      <c r="H485" s="59">
        <v>2165.75</v>
      </c>
      <c r="I485" s="59">
        <v>-327.71</v>
      </c>
      <c r="J485" s="59">
        <v>-24</v>
      </c>
      <c r="K485" s="59">
        <v>0</v>
      </c>
      <c r="L485" s="59">
        <v>-20.580000000000002</v>
      </c>
      <c r="M485" s="59">
        <v>-15</v>
      </c>
      <c r="N485" s="59">
        <v>0</v>
      </c>
      <c r="O485" s="59">
        <f t="shared" si="54"/>
        <v>1778.46</v>
      </c>
      <c r="P485" s="59">
        <v>-2500</v>
      </c>
      <c r="Q485" s="59">
        <v>0</v>
      </c>
      <c r="R485" s="59">
        <v>0</v>
      </c>
      <c r="S485" s="59">
        <v>0</v>
      </c>
      <c r="T485" s="59">
        <v>0</v>
      </c>
      <c r="U485" s="59">
        <v>694</v>
      </c>
      <c r="V485" s="59">
        <v>0</v>
      </c>
      <c r="W485" s="59">
        <f t="shared" si="49"/>
        <v>-27.539999999999964</v>
      </c>
      <c r="X485" s="59">
        <f t="shared" si="51"/>
        <v>0</v>
      </c>
      <c r="Y485" s="59">
        <f t="shared" si="52"/>
        <v>-27.539999999999964</v>
      </c>
      <c r="Z485" s="59">
        <v>0</v>
      </c>
      <c r="AA485" s="59">
        <f t="shared" si="53"/>
        <v>-27.539999999999964</v>
      </c>
      <c r="AB485" s="59">
        <f t="shared" si="50"/>
        <v>1750.92</v>
      </c>
      <c r="AD485" s="50" t="s">
        <v>2676</v>
      </c>
      <c r="AF485" s="59"/>
      <c r="AG485" s="59"/>
    </row>
    <row r="486" spans="1:33" x14ac:dyDescent="0.3">
      <c r="A486" s="49">
        <v>9</v>
      </c>
      <c r="B486" s="41" t="s">
        <v>1142</v>
      </c>
      <c r="C486" s="50" t="s">
        <v>1443</v>
      </c>
      <c r="D486" s="50" t="s">
        <v>1554</v>
      </c>
      <c r="E486" s="50" t="s">
        <v>25</v>
      </c>
      <c r="F486" s="51" t="s">
        <v>25</v>
      </c>
      <c r="G486" s="50" t="s">
        <v>866</v>
      </c>
      <c r="H486" s="59">
        <v>2707.83</v>
      </c>
      <c r="I486" s="59">
        <v>-1070.8399999999999</v>
      </c>
      <c r="J486" s="59">
        <v>-19.2</v>
      </c>
      <c r="K486" s="59">
        <v>0</v>
      </c>
      <c r="L486" s="59">
        <v>0</v>
      </c>
      <c r="M486" s="59">
        <v>-54.169600000000003</v>
      </c>
      <c r="N486" s="59">
        <v>-118.08</v>
      </c>
      <c r="O486" s="59">
        <f t="shared" si="54"/>
        <v>1445.5404000000001</v>
      </c>
      <c r="P486" s="59">
        <v>-2700</v>
      </c>
      <c r="Q486" s="59">
        <f>-1228*1.12</f>
        <v>-1375.3600000000001</v>
      </c>
      <c r="R486" s="59">
        <v>-500</v>
      </c>
      <c r="S486" s="59">
        <v>0</v>
      </c>
      <c r="T486" s="59">
        <v>0</v>
      </c>
      <c r="U486" s="59">
        <v>0</v>
      </c>
      <c r="V486" s="59">
        <v>0</v>
      </c>
      <c r="W486" s="59">
        <f t="shared" si="49"/>
        <v>-3129.8195999999998</v>
      </c>
      <c r="X486" s="59">
        <f t="shared" si="51"/>
        <v>0</v>
      </c>
      <c r="Y486" s="59">
        <f t="shared" si="52"/>
        <v>-3129.8195999999998</v>
      </c>
      <c r="Z486" s="59">
        <v>1200</v>
      </c>
      <c r="AA486" s="59">
        <f t="shared" si="53"/>
        <v>-1929.8195999999998</v>
      </c>
      <c r="AB486" s="59">
        <f t="shared" si="50"/>
        <v>715.72080000000005</v>
      </c>
      <c r="AD486" s="50" t="s">
        <v>2677</v>
      </c>
      <c r="AF486" s="59"/>
      <c r="AG486" s="59"/>
    </row>
    <row r="487" spans="1:33" x14ac:dyDescent="0.3">
      <c r="A487" s="49">
        <v>9</v>
      </c>
      <c r="B487" s="41" t="s">
        <v>1558</v>
      </c>
      <c r="C487" s="50" t="s">
        <v>571</v>
      </c>
      <c r="D487" s="50" t="s">
        <v>974</v>
      </c>
      <c r="E487" s="50" t="s">
        <v>25</v>
      </c>
      <c r="F487" s="51" t="s">
        <v>25</v>
      </c>
      <c r="G487" s="50" t="s">
        <v>866</v>
      </c>
      <c r="H487" s="59">
        <v>4928.79</v>
      </c>
      <c r="I487" s="59">
        <v>-2725.7700000000009</v>
      </c>
      <c r="J487" s="59">
        <v>0</v>
      </c>
      <c r="K487" s="59">
        <v>0</v>
      </c>
      <c r="L487" s="59">
        <v>0</v>
      </c>
      <c r="M487" s="59">
        <v>-55</v>
      </c>
      <c r="N487" s="59">
        <v>0</v>
      </c>
      <c r="O487" s="59">
        <f t="shared" si="54"/>
        <v>2148.0199999999991</v>
      </c>
      <c r="P487" s="59">
        <f>(-2500/7)*7</f>
        <v>-2500</v>
      </c>
      <c r="Q487" s="59">
        <v>0</v>
      </c>
      <c r="R487" s="59">
        <v>-500</v>
      </c>
      <c r="S487" s="59">
        <v>0</v>
      </c>
      <c r="T487" s="59">
        <v>0</v>
      </c>
      <c r="U487" s="59">
        <v>0</v>
      </c>
      <c r="V487" s="59">
        <v>0</v>
      </c>
      <c r="W487" s="59">
        <f t="shared" si="49"/>
        <v>-851.98000000000093</v>
      </c>
      <c r="X487" s="59">
        <f t="shared" si="51"/>
        <v>0</v>
      </c>
      <c r="Y487" s="59">
        <f t="shared" si="52"/>
        <v>-851.98000000000093</v>
      </c>
      <c r="Z487" s="59">
        <v>852</v>
      </c>
      <c r="AA487" s="59">
        <f t="shared" si="53"/>
        <v>1.9999999999072315E-2</v>
      </c>
      <c r="AB487" s="59">
        <f t="shared" si="50"/>
        <v>3000.0399999999981</v>
      </c>
      <c r="AD487" s="50" t="s">
        <v>2678</v>
      </c>
      <c r="AF487" s="59"/>
      <c r="AG487" s="59"/>
    </row>
    <row r="488" spans="1:33" x14ac:dyDescent="0.3">
      <c r="A488" s="49">
        <v>9</v>
      </c>
      <c r="B488" s="41" t="s">
        <v>1062</v>
      </c>
      <c r="C488" s="50" t="s">
        <v>360</v>
      </c>
      <c r="D488" s="50" t="s">
        <v>1158</v>
      </c>
      <c r="E488" s="50" t="s">
        <v>25</v>
      </c>
      <c r="F488" s="51" t="s">
        <v>25</v>
      </c>
      <c r="G488" s="50" t="s">
        <v>866</v>
      </c>
      <c r="H488" s="59">
        <v>0</v>
      </c>
      <c r="I488" s="59">
        <v>0</v>
      </c>
      <c r="J488" s="59">
        <v>0</v>
      </c>
      <c r="K488" s="59">
        <v>0</v>
      </c>
      <c r="L488" s="59">
        <v>0</v>
      </c>
      <c r="M488" s="59">
        <v>0</v>
      </c>
      <c r="N488" s="59">
        <v>0</v>
      </c>
      <c r="O488" s="59">
        <f t="shared" si="54"/>
        <v>0</v>
      </c>
      <c r="P488" s="59">
        <v>0</v>
      </c>
      <c r="Q488" s="59">
        <v>0</v>
      </c>
      <c r="R488" s="59">
        <v>5000</v>
      </c>
      <c r="S488" s="59">
        <v>0</v>
      </c>
      <c r="T488" s="59">
        <v>-4900</v>
      </c>
      <c r="U488" s="59">
        <v>0</v>
      </c>
      <c r="V488" s="59">
        <v>0</v>
      </c>
      <c r="W488" s="59">
        <f t="shared" si="49"/>
        <v>100</v>
      </c>
      <c r="X488" s="59">
        <f t="shared" si="51"/>
        <v>100</v>
      </c>
      <c r="Y488" s="59">
        <f t="shared" si="52"/>
        <v>0</v>
      </c>
      <c r="Z488" s="59">
        <v>0</v>
      </c>
      <c r="AA488" s="59">
        <f t="shared" si="53"/>
        <v>0</v>
      </c>
      <c r="AB488" s="59">
        <f t="shared" si="50"/>
        <v>-100</v>
      </c>
      <c r="AD488" s="50" t="s">
        <v>2679</v>
      </c>
      <c r="AF488" s="59"/>
      <c r="AG488" s="59"/>
    </row>
    <row r="489" spans="1:33" x14ac:dyDescent="0.3">
      <c r="A489" s="49">
        <v>9</v>
      </c>
      <c r="B489" s="41" t="s">
        <v>585</v>
      </c>
      <c r="C489" s="50" t="s">
        <v>42</v>
      </c>
      <c r="D489" s="50" t="s">
        <v>948</v>
      </c>
      <c r="E489" s="50" t="s">
        <v>25</v>
      </c>
      <c r="F489" s="51" t="s">
        <v>25</v>
      </c>
      <c r="G489" s="50" t="s">
        <v>866</v>
      </c>
      <c r="H489" s="59">
        <v>0</v>
      </c>
      <c r="I489" s="59">
        <v>0</v>
      </c>
      <c r="J489" s="59">
        <v>0</v>
      </c>
      <c r="K489" s="59">
        <v>0</v>
      </c>
      <c r="L489" s="59">
        <v>0</v>
      </c>
      <c r="M489" s="59">
        <v>0</v>
      </c>
      <c r="N489" s="59">
        <v>0</v>
      </c>
      <c r="O489" s="59">
        <f t="shared" si="54"/>
        <v>0</v>
      </c>
      <c r="P489" s="59">
        <v>-2500</v>
      </c>
      <c r="Q489" s="59">
        <v>0</v>
      </c>
      <c r="R489" s="59">
        <v>0</v>
      </c>
      <c r="S489" s="59">
        <v>0</v>
      </c>
      <c r="T489" s="59">
        <v>0</v>
      </c>
      <c r="U489" s="59">
        <v>0</v>
      </c>
      <c r="V489" s="59">
        <v>0</v>
      </c>
      <c r="W489" s="59">
        <f t="shared" si="49"/>
        <v>-2500</v>
      </c>
      <c r="X489" s="59">
        <f t="shared" si="51"/>
        <v>0</v>
      </c>
      <c r="Y489" s="59">
        <f t="shared" si="52"/>
        <v>-2500</v>
      </c>
      <c r="Z489" s="59">
        <v>2500</v>
      </c>
      <c r="AA489" s="59">
        <f t="shared" si="53"/>
        <v>0</v>
      </c>
      <c r="AB489" s="59">
        <f t="shared" si="50"/>
        <v>2500</v>
      </c>
      <c r="AD489" s="50" t="s">
        <v>2680</v>
      </c>
      <c r="AF489" s="59"/>
      <c r="AG489" s="59"/>
    </row>
    <row r="490" spans="1:33" x14ac:dyDescent="0.3">
      <c r="A490" s="49">
        <v>9</v>
      </c>
      <c r="B490" s="41" t="s">
        <v>837</v>
      </c>
      <c r="C490" s="50" t="s">
        <v>357</v>
      </c>
      <c r="D490" s="50" t="s">
        <v>1150</v>
      </c>
      <c r="E490" s="50" t="s">
        <v>25</v>
      </c>
      <c r="F490" s="51" t="s">
        <v>25</v>
      </c>
      <c r="G490" s="50" t="s">
        <v>866</v>
      </c>
      <c r="H490" s="59">
        <v>5408.63</v>
      </c>
      <c r="I490" s="59">
        <v>0</v>
      </c>
      <c r="J490" s="59">
        <v>-44</v>
      </c>
      <c r="K490" s="59">
        <v>0</v>
      </c>
      <c r="L490" s="59">
        <v>0</v>
      </c>
      <c r="M490" s="59">
        <v>0</v>
      </c>
      <c r="N490" s="59">
        <v>0</v>
      </c>
      <c r="O490" s="59">
        <f t="shared" si="54"/>
        <v>5364.63</v>
      </c>
      <c r="P490" s="59">
        <v>-2700</v>
      </c>
      <c r="Q490" s="59">
        <v>0</v>
      </c>
      <c r="R490" s="59">
        <v>0</v>
      </c>
      <c r="S490" s="59">
        <v>0</v>
      </c>
      <c r="T490" s="59">
        <v>0</v>
      </c>
      <c r="U490" s="59">
        <v>0</v>
      </c>
      <c r="V490" s="59">
        <v>0</v>
      </c>
      <c r="W490" s="59">
        <f t="shared" si="49"/>
        <v>2664.63</v>
      </c>
      <c r="X490" s="59">
        <f t="shared" si="51"/>
        <v>2664.63</v>
      </c>
      <c r="Y490" s="59">
        <f t="shared" si="52"/>
        <v>0</v>
      </c>
      <c r="Z490" s="59">
        <v>0</v>
      </c>
      <c r="AA490" s="59">
        <f t="shared" si="53"/>
        <v>0</v>
      </c>
      <c r="AB490" s="59">
        <f t="shared" si="50"/>
        <v>2700</v>
      </c>
      <c r="AD490" s="50" t="s">
        <v>2673</v>
      </c>
      <c r="AF490" s="59"/>
      <c r="AG490" s="59"/>
    </row>
    <row r="491" spans="1:33" x14ac:dyDescent="0.3">
      <c r="A491" s="49">
        <v>9</v>
      </c>
      <c r="B491" s="41" t="s">
        <v>1454</v>
      </c>
      <c r="C491" s="50" t="s">
        <v>563</v>
      </c>
      <c r="D491" s="50" t="s">
        <v>1230</v>
      </c>
      <c r="E491" s="50" t="s">
        <v>25</v>
      </c>
      <c r="F491" s="51" t="s">
        <v>25</v>
      </c>
      <c r="G491" s="50" t="s">
        <v>866</v>
      </c>
      <c r="H491" s="59">
        <v>3004.93</v>
      </c>
      <c r="I491" s="59">
        <v>-802.1400000000001</v>
      </c>
      <c r="J491" s="59">
        <v>0</v>
      </c>
      <c r="K491" s="59">
        <v>0</v>
      </c>
      <c r="L491" s="59">
        <v>0</v>
      </c>
      <c r="M491" s="59">
        <v>-35</v>
      </c>
      <c r="N491" s="59">
        <v>0</v>
      </c>
      <c r="O491" s="59">
        <f t="shared" si="54"/>
        <v>2167.79</v>
      </c>
      <c r="P491" s="59">
        <v>-2500</v>
      </c>
      <c r="Q491" s="59">
        <v>0</v>
      </c>
      <c r="R491" s="59">
        <v>-500</v>
      </c>
      <c r="S491" s="59">
        <v>0</v>
      </c>
      <c r="T491" s="59">
        <v>0</v>
      </c>
      <c r="U491" s="59">
        <v>0</v>
      </c>
      <c r="V491" s="59">
        <v>0</v>
      </c>
      <c r="W491" s="59">
        <f t="shared" si="49"/>
        <v>-832.21</v>
      </c>
      <c r="X491" s="59">
        <f t="shared" si="51"/>
        <v>0</v>
      </c>
      <c r="Y491" s="59">
        <f t="shared" si="52"/>
        <v>-832.21</v>
      </c>
      <c r="Z491" s="59">
        <v>832</v>
      </c>
      <c r="AA491" s="59">
        <f t="shared" si="53"/>
        <v>-0.21000000000003638</v>
      </c>
      <c r="AB491" s="59">
        <f t="shared" si="50"/>
        <v>2999.58</v>
      </c>
      <c r="AD491" s="50" t="s">
        <v>2681</v>
      </c>
      <c r="AF491" s="59"/>
      <c r="AG491" s="59"/>
    </row>
    <row r="492" spans="1:33" x14ac:dyDescent="0.3">
      <c r="A492" s="49">
        <v>9</v>
      </c>
      <c r="B492" s="41" t="s">
        <v>944</v>
      </c>
      <c r="C492" s="50" t="s">
        <v>372</v>
      </c>
      <c r="D492" s="50" t="s">
        <v>1004</v>
      </c>
      <c r="E492" s="50" t="s">
        <v>39</v>
      </c>
      <c r="F492" s="51" t="s">
        <v>39</v>
      </c>
      <c r="G492" s="50" t="s">
        <v>866</v>
      </c>
      <c r="H492" s="59">
        <v>6718.54</v>
      </c>
      <c r="I492" s="59">
        <v>-1850.04</v>
      </c>
      <c r="J492" s="59">
        <v>-44</v>
      </c>
      <c r="K492" s="59">
        <v>0</v>
      </c>
      <c r="L492" s="59">
        <v>0</v>
      </c>
      <c r="M492" s="59">
        <v>-80</v>
      </c>
      <c r="N492" s="59">
        <v>0</v>
      </c>
      <c r="O492" s="59">
        <f t="shared" si="54"/>
        <v>4744.5</v>
      </c>
      <c r="P492" s="59">
        <v>-2500</v>
      </c>
      <c r="Q492" s="59">
        <v>0</v>
      </c>
      <c r="R492" s="59">
        <v>0</v>
      </c>
      <c r="S492" s="59">
        <v>0</v>
      </c>
      <c r="T492" s="59">
        <v>0</v>
      </c>
      <c r="U492" s="59">
        <v>0</v>
      </c>
      <c r="V492" s="59">
        <v>0</v>
      </c>
      <c r="W492" s="59">
        <f t="shared" si="49"/>
        <v>2244.5</v>
      </c>
      <c r="X492" s="59">
        <f t="shared" si="51"/>
        <v>2244.5</v>
      </c>
      <c r="Y492" s="59">
        <f t="shared" si="52"/>
        <v>0</v>
      </c>
      <c r="Z492" s="59">
        <v>0</v>
      </c>
      <c r="AA492" s="59">
        <f t="shared" si="53"/>
        <v>0</v>
      </c>
      <c r="AB492" s="59">
        <f t="shared" si="50"/>
        <v>2500</v>
      </c>
      <c r="AD492" s="50" t="s">
        <v>2673</v>
      </c>
      <c r="AF492" s="59"/>
      <c r="AG492" s="59"/>
    </row>
    <row r="493" spans="1:33" x14ac:dyDescent="0.3">
      <c r="A493" s="49">
        <v>9</v>
      </c>
      <c r="B493" s="41" t="s">
        <v>944</v>
      </c>
      <c r="C493" s="50" t="s">
        <v>101</v>
      </c>
      <c r="D493" s="50" t="s">
        <v>945</v>
      </c>
      <c r="E493" s="50" t="s">
        <v>25</v>
      </c>
      <c r="F493" s="51" t="s">
        <v>25</v>
      </c>
      <c r="G493" s="50" t="s">
        <v>866</v>
      </c>
      <c r="H493" s="59">
        <v>0</v>
      </c>
      <c r="I493" s="59">
        <v>0</v>
      </c>
      <c r="J493" s="59">
        <v>0</v>
      </c>
      <c r="K493" s="59">
        <v>0</v>
      </c>
      <c r="L493" s="59">
        <v>0</v>
      </c>
      <c r="M493" s="59">
        <v>0</v>
      </c>
      <c r="N493" s="59">
        <v>0</v>
      </c>
      <c r="O493" s="59">
        <f t="shared" si="54"/>
        <v>0</v>
      </c>
      <c r="P493" s="59">
        <v>0</v>
      </c>
      <c r="Q493" s="59">
        <v>0</v>
      </c>
      <c r="R493" s="59">
        <v>0</v>
      </c>
      <c r="S493" s="59">
        <v>0</v>
      </c>
      <c r="T493" s="59">
        <v>-585</v>
      </c>
      <c r="U493" s="59">
        <v>0</v>
      </c>
      <c r="V493" s="59">
        <v>0</v>
      </c>
      <c r="W493" s="59">
        <f t="shared" si="49"/>
        <v>-585</v>
      </c>
      <c r="X493" s="59">
        <f t="shared" si="51"/>
        <v>0</v>
      </c>
      <c r="Y493" s="59">
        <f t="shared" si="52"/>
        <v>-585</v>
      </c>
      <c r="Z493" s="59">
        <v>585</v>
      </c>
      <c r="AA493" s="59">
        <f t="shared" si="53"/>
        <v>0</v>
      </c>
      <c r="AB493" s="59">
        <f t="shared" si="50"/>
        <v>585</v>
      </c>
      <c r="AD493" s="50" t="s">
        <v>2682</v>
      </c>
      <c r="AF493" s="59"/>
      <c r="AG493" s="59"/>
    </row>
    <row r="494" spans="1:33" x14ac:dyDescent="0.3">
      <c r="A494" s="49">
        <v>9</v>
      </c>
      <c r="B494" s="41" t="s">
        <v>1453</v>
      </c>
      <c r="C494" s="50" t="s">
        <v>1829</v>
      </c>
      <c r="D494" s="50" t="s">
        <v>3279</v>
      </c>
      <c r="E494" s="50" t="s">
        <v>25</v>
      </c>
      <c r="F494" s="51" t="s">
        <v>25</v>
      </c>
      <c r="G494" s="50" t="s">
        <v>866</v>
      </c>
      <c r="H494" s="59">
        <v>6903.21</v>
      </c>
      <c r="I494" s="59">
        <v>-1551.18</v>
      </c>
      <c r="J494" s="59">
        <v>-24.8</v>
      </c>
      <c r="K494" s="59">
        <v>0</v>
      </c>
      <c r="L494" s="59">
        <v>0</v>
      </c>
      <c r="M494" s="59">
        <v>-40</v>
      </c>
      <c r="N494" s="59">
        <v>0</v>
      </c>
      <c r="O494" s="59">
        <f t="shared" si="54"/>
        <v>5287.23</v>
      </c>
      <c r="P494" s="59">
        <v>-2700</v>
      </c>
      <c r="Q494" s="59">
        <v>0</v>
      </c>
      <c r="R494" s="59">
        <v>-500</v>
      </c>
      <c r="S494" s="59">
        <v>0</v>
      </c>
      <c r="T494" s="59">
        <v>0</v>
      </c>
      <c r="U494" s="59">
        <v>0</v>
      </c>
      <c r="V494" s="59">
        <v>0</v>
      </c>
      <c r="W494" s="59">
        <f t="shared" si="49"/>
        <v>2087.2299999999996</v>
      </c>
      <c r="X494" s="59">
        <f t="shared" si="51"/>
        <v>2087.2299999999996</v>
      </c>
      <c r="Y494" s="59">
        <f t="shared" si="52"/>
        <v>0</v>
      </c>
      <c r="Z494" s="59">
        <v>0</v>
      </c>
      <c r="AA494" s="59">
        <f t="shared" si="53"/>
        <v>0</v>
      </c>
      <c r="AB494" s="59">
        <f t="shared" si="50"/>
        <v>3200</v>
      </c>
      <c r="AD494" s="50" t="s">
        <v>2673</v>
      </c>
      <c r="AF494" s="59"/>
      <c r="AG494" s="59"/>
    </row>
    <row r="495" spans="1:33" x14ac:dyDescent="0.3">
      <c r="A495" s="49">
        <v>9</v>
      </c>
      <c r="B495" s="41" t="s">
        <v>604</v>
      </c>
      <c r="C495" s="50" t="s">
        <v>605</v>
      </c>
      <c r="D495" s="50" t="s">
        <v>1223</v>
      </c>
      <c r="E495" s="50" t="s">
        <v>25</v>
      </c>
      <c r="F495" s="51" t="s">
        <v>25</v>
      </c>
      <c r="G495" s="50" t="s">
        <v>866</v>
      </c>
      <c r="H495" s="59">
        <v>1049.69</v>
      </c>
      <c r="I495" s="59">
        <v>-72</v>
      </c>
      <c r="J495" s="59">
        <v>0</v>
      </c>
      <c r="K495" s="59">
        <v>0</v>
      </c>
      <c r="L495" s="59">
        <v>0</v>
      </c>
      <c r="M495" s="59">
        <v>-3</v>
      </c>
      <c r="N495" s="59">
        <v>0</v>
      </c>
      <c r="O495" s="59">
        <f t="shared" si="54"/>
        <v>974.69</v>
      </c>
      <c r="P495" s="59">
        <v>-2700</v>
      </c>
      <c r="Q495" s="59">
        <v>0</v>
      </c>
      <c r="R495" s="59">
        <v>0</v>
      </c>
      <c r="S495" s="59">
        <v>0</v>
      </c>
      <c r="T495" s="59">
        <v>0</v>
      </c>
      <c r="U495" s="59">
        <v>0</v>
      </c>
      <c r="V495" s="59">
        <v>0</v>
      </c>
      <c r="W495" s="59">
        <f t="shared" si="49"/>
        <v>-1725.31</v>
      </c>
      <c r="X495" s="59">
        <f t="shared" si="51"/>
        <v>0</v>
      </c>
      <c r="Y495" s="59">
        <f t="shared" si="52"/>
        <v>-1725.31</v>
      </c>
      <c r="Z495" s="59">
        <v>500</v>
      </c>
      <c r="AA495" s="59">
        <f t="shared" si="53"/>
        <v>-1225.31</v>
      </c>
      <c r="AB495" s="59">
        <f t="shared" si="50"/>
        <v>249.38000000000011</v>
      </c>
      <c r="AD495" s="50" t="s">
        <v>2683</v>
      </c>
      <c r="AF495" s="59"/>
      <c r="AG495" s="59"/>
    </row>
    <row r="496" spans="1:33" x14ac:dyDescent="0.3">
      <c r="A496" s="49">
        <v>9</v>
      </c>
      <c r="B496" s="41" t="s">
        <v>1029</v>
      </c>
      <c r="C496" s="50" t="s">
        <v>68</v>
      </c>
      <c r="D496" s="50" t="s">
        <v>869</v>
      </c>
      <c r="E496" s="50" t="s">
        <v>25</v>
      </c>
      <c r="F496" s="51" t="s">
        <v>25</v>
      </c>
      <c r="G496" s="50" t="s">
        <v>866</v>
      </c>
      <c r="H496" s="59">
        <v>6894.68</v>
      </c>
      <c r="I496" s="59">
        <v>-537.45000000000005</v>
      </c>
      <c r="J496" s="59">
        <v>-51.04</v>
      </c>
      <c r="K496" s="59">
        <v>163.98</v>
      </c>
      <c r="L496" s="59">
        <v>-55.73</v>
      </c>
      <c r="M496" s="59">
        <v>-25</v>
      </c>
      <c r="N496" s="59">
        <v>0</v>
      </c>
      <c r="O496" s="59">
        <f t="shared" si="54"/>
        <v>6389.4400000000005</v>
      </c>
      <c r="P496" s="59">
        <v>-2500</v>
      </c>
      <c r="Q496" s="59">
        <v>0</v>
      </c>
      <c r="R496" s="59">
        <v>0</v>
      </c>
      <c r="S496" s="59">
        <v>0</v>
      </c>
      <c r="T496" s="59">
        <v>0</v>
      </c>
      <c r="U496" s="59">
        <v>0</v>
      </c>
      <c r="V496" s="59">
        <v>0</v>
      </c>
      <c r="W496" s="59">
        <f t="shared" si="49"/>
        <v>3889.4400000000005</v>
      </c>
      <c r="X496" s="59">
        <f t="shared" si="51"/>
        <v>3889.4400000000005</v>
      </c>
      <c r="Y496" s="59">
        <f t="shared" si="52"/>
        <v>0</v>
      </c>
      <c r="Z496" s="59">
        <v>0</v>
      </c>
      <c r="AA496" s="59">
        <f t="shared" si="53"/>
        <v>0</v>
      </c>
      <c r="AB496" s="59">
        <f t="shared" si="50"/>
        <v>2500</v>
      </c>
      <c r="AD496" s="50" t="s">
        <v>2673</v>
      </c>
      <c r="AF496" s="59"/>
      <c r="AG496" s="59"/>
    </row>
    <row r="497" spans="1:33" x14ac:dyDescent="0.3">
      <c r="A497" s="49">
        <v>9</v>
      </c>
      <c r="B497" s="41" t="s">
        <v>1449</v>
      </c>
      <c r="C497" s="50" t="s">
        <v>152</v>
      </c>
      <c r="D497" s="50" t="s">
        <v>1108</v>
      </c>
      <c r="E497" s="50" t="s">
        <v>25</v>
      </c>
      <c r="F497" s="51" t="s">
        <v>25</v>
      </c>
      <c r="G497" s="50" t="s">
        <v>866</v>
      </c>
      <c r="H497" s="59">
        <v>8966.7000000000007</v>
      </c>
      <c r="I497" s="59">
        <v>-4862.5999999999976</v>
      </c>
      <c r="J497" s="59">
        <v>-61.6</v>
      </c>
      <c r="K497" s="59">
        <v>-87.95</v>
      </c>
      <c r="L497" s="59">
        <v>0</v>
      </c>
      <c r="M497" s="59">
        <v>-70</v>
      </c>
      <c r="N497" s="59">
        <v>0</v>
      </c>
      <c r="O497" s="59">
        <f t="shared" si="54"/>
        <v>3884.5500000000034</v>
      </c>
      <c r="P497" s="59">
        <v>-2500</v>
      </c>
      <c r="Q497" s="59">
        <v>0</v>
      </c>
      <c r="R497" s="59">
        <v>-500</v>
      </c>
      <c r="S497" s="59">
        <v>0</v>
      </c>
      <c r="T497" s="59">
        <v>0</v>
      </c>
      <c r="U497" s="59">
        <v>0</v>
      </c>
      <c r="V497" s="59">
        <v>0</v>
      </c>
      <c r="W497" s="59">
        <f t="shared" si="49"/>
        <v>884.55000000000337</v>
      </c>
      <c r="X497" s="59">
        <f t="shared" si="51"/>
        <v>884.55000000000337</v>
      </c>
      <c r="Y497" s="59">
        <f t="shared" si="52"/>
        <v>0</v>
      </c>
      <c r="Z497" s="59">
        <v>0</v>
      </c>
      <c r="AA497" s="59">
        <f t="shared" si="53"/>
        <v>0</v>
      </c>
      <c r="AB497" s="59">
        <f t="shared" si="50"/>
        <v>3000</v>
      </c>
      <c r="AD497" s="50" t="s">
        <v>2673</v>
      </c>
      <c r="AF497" s="59"/>
      <c r="AG497" s="59"/>
    </row>
    <row r="498" spans="1:33" x14ac:dyDescent="0.3">
      <c r="A498" s="49">
        <v>9</v>
      </c>
      <c r="B498" s="41" t="s">
        <v>1449</v>
      </c>
      <c r="C498" s="50" t="s">
        <v>1611</v>
      </c>
      <c r="D498" s="50" t="s">
        <v>3280</v>
      </c>
      <c r="E498" s="50" t="s">
        <v>25</v>
      </c>
      <c r="F498" s="51" t="s">
        <v>25</v>
      </c>
      <c r="G498" s="50" t="s">
        <v>866</v>
      </c>
      <c r="H498" s="59">
        <v>0</v>
      </c>
      <c r="I498" s="59">
        <v>0</v>
      </c>
      <c r="J498" s="59">
        <v>0</v>
      </c>
      <c r="K498" s="59">
        <v>0</v>
      </c>
      <c r="L498" s="59">
        <v>0</v>
      </c>
      <c r="M498" s="59">
        <v>0</v>
      </c>
      <c r="N498" s="59">
        <v>0</v>
      </c>
      <c r="O498" s="59">
        <f t="shared" si="54"/>
        <v>0</v>
      </c>
      <c r="P498" s="59">
        <v>0</v>
      </c>
      <c r="Q498" s="59">
        <v>0</v>
      </c>
      <c r="R498" s="59">
        <v>0</v>
      </c>
      <c r="S498" s="59">
        <v>0</v>
      </c>
      <c r="T498" s="59">
        <v>0</v>
      </c>
      <c r="U498" s="59">
        <v>0</v>
      </c>
      <c r="V498" s="59">
        <v>0</v>
      </c>
      <c r="W498" s="59">
        <f t="shared" si="49"/>
        <v>0</v>
      </c>
      <c r="X498" s="59">
        <f t="shared" si="51"/>
        <v>0</v>
      </c>
      <c r="Y498" s="59">
        <f t="shared" si="52"/>
        <v>0</v>
      </c>
      <c r="Z498" s="59">
        <v>0</v>
      </c>
      <c r="AA498" s="59">
        <f t="shared" si="53"/>
        <v>0</v>
      </c>
      <c r="AB498" s="59">
        <f t="shared" si="50"/>
        <v>0</v>
      </c>
      <c r="AF498" s="59"/>
      <c r="AG498" s="59"/>
    </row>
    <row r="499" spans="1:33" x14ac:dyDescent="0.3">
      <c r="A499" s="49">
        <v>9</v>
      </c>
      <c r="B499" s="41" t="s">
        <v>1141</v>
      </c>
      <c r="C499" s="50" t="s">
        <v>120</v>
      </c>
      <c r="D499" s="50" t="s">
        <v>950</v>
      </c>
      <c r="E499" s="50" t="s">
        <v>25</v>
      </c>
      <c r="F499" s="51" t="s">
        <v>25</v>
      </c>
      <c r="G499" s="50" t="s">
        <v>866</v>
      </c>
      <c r="H499" s="59">
        <v>851.52</v>
      </c>
      <c r="I499" s="59">
        <v>0</v>
      </c>
      <c r="J499" s="59">
        <v>0</v>
      </c>
      <c r="K499" s="59">
        <v>0</v>
      </c>
      <c r="L499" s="59">
        <v>0</v>
      </c>
      <c r="M499" s="59">
        <v>0</v>
      </c>
      <c r="N499" s="59">
        <v>0</v>
      </c>
      <c r="O499" s="59">
        <f t="shared" si="54"/>
        <v>851.52</v>
      </c>
      <c r="P499" s="59">
        <v>-2500</v>
      </c>
      <c r="Q499" s="59">
        <v>0</v>
      </c>
      <c r="R499" s="59">
        <v>0</v>
      </c>
      <c r="S499" s="59">
        <v>0</v>
      </c>
      <c r="T499" s="59">
        <v>-700</v>
      </c>
      <c r="U499" s="59">
        <v>0</v>
      </c>
      <c r="V499" s="59">
        <v>0</v>
      </c>
      <c r="W499" s="59">
        <f t="shared" si="49"/>
        <v>-2348.48</v>
      </c>
      <c r="X499" s="59">
        <f t="shared" si="51"/>
        <v>0</v>
      </c>
      <c r="Y499" s="59">
        <f t="shared" si="52"/>
        <v>-2348.48</v>
      </c>
      <c r="Z499" s="59">
        <v>1500</v>
      </c>
      <c r="AA499" s="59">
        <f t="shared" si="53"/>
        <v>-848.48</v>
      </c>
      <c r="AB499" s="59">
        <f t="shared" si="50"/>
        <v>1503.04</v>
      </c>
      <c r="AD499" s="50" t="s">
        <v>2684</v>
      </c>
      <c r="AF499" s="59"/>
      <c r="AG499" s="59"/>
    </row>
    <row r="500" spans="1:33" x14ac:dyDescent="0.3">
      <c r="A500" s="49">
        <v>9</v>
      </c>
      <c r="B500" s="41" t="s">
        <v>1151</v>
      </c>
      <c r="C500" s="50" t="s">
        <v>1285</v>
      </c>
      <c r="D500" s="50" t="s">
        <v>1340</v>
      </c>
      <c r="E500" s="50" t="s">
        <v>25</v>
      </c>
      <c r="F500" s="51" t="s">
        <v>25</v>
      </c>
      <c r="G500" s="50" t="s">
        <v>866</v>
      </c>
      <c r="H500" s="59">
        <v>5283.41</v>
      </c>
      <c r="I500" s="59">
        <v>0</v>
      </c>
      <c r="J500" s="59">
        <v>-84.8</v>
      </c>
      <c r="K500" s="59">
        <v>181.15</v>
      </c>
      <c r="L500" s="59">
        <v>0</v>
      </c>
      <c r="M500" s="59">
        <v>0</v>
      </c>
      <c r="N500" s="59">
        <v>0</v>
      </c>
      <c r="O500" s="59">
        <f t="shared" si="54"/>
        <v>5379.7599999999993</v>
      </c>
      <c r="P500" s="59">
        <f>(-2700/7)*6.5</f>
        <v>-2507.1428571428573</v>
      </c>
      <c r="Q500" s="59">
        <v>0</v>
      </c>
      <c r="R500" s="59">
        <v>0</v>
      </c>
      <c r="S500" s="59">
        <v>0</v>
      </c>
      <c r="T500" s="59">
        <v>0</v>
      </c>
      <c r="U500" s="59">
        <v>0</v>
      </c>
      <c r="V500" s="59">
        <v>0</v>
      </c>
      <c r="W500" s="59">
        <f t="shared" si="49"/>
        <v>2872.617142857142</v>
      </c>
      <c r="X500" s="59">
        <f t="shared" si="51"/>
        <v>2872.617142857142</v>
      </c>
      <c r="Y500" s="59">
        <f t="shared" si="52"/>
        <v>0</v>
      </c>
      <c r="Z500" s="59">
        <v>0</v>
      </c>
      <c r="AA500" s="59">
        <f t="shared" si="53"/>
        <v>0</v>
      </c>
      <c r="AB500" s="59">
        <f t="shared" si="50"/>
        <v>2507.1428571428573</v>
      </c>
      <c r="AD500" s="50" t="s">
        <v>2685</v>
      </c>
      <c r="AF500" s="59"/>
      <c r="AG500" s="59"/>
    </row>
    <row r="501" spans="1:33" x14ac:dyDescent="0.3">
      <c r="A501" s="49">
        <v>9</v>
      </c>
      <c r="B501" s="41" t="s">
        <v>1310</v>
      </c>
      <c r="C501" s="50" t="s">
        <v>101</v>
      </c>
      <c r="D501" s="50" t="s">
        <v>945</v>
      </c>
      <c r="E501" s="50" t="s">
        <v>25</v>
      </c>
      <c r="F501" s="51" t="s">
        <v>25</v>
      </c>
      <c r="G501" s="50" t="s">
        <v>866</v>
      </c>
      <c r="H501" s="59">
        <v>8433.2999999999993</v>
      </c>
      <c r="I501" s="59">
        <v>-3850.8199999999997</v>
      </c>
      <c r="J501" s="59">
        <v>-61.6</v>
      </c>
      <c r="K501" s="59">
        <v>0</v>
      </c>
      <c r="L501" s="59">
        <v>0</v>
      </c>
      <c r="M501" s="59">
        <v>-65</v>
      </c>
      <c r="N501" s="59">
        <v>0</v>
      </c>
      <c r="O501" s="59">
        <f t="shared" si="54"/>
        <v>4455.8799999999992</v>
      </c>
      <c r="P501" s="59">
        <f>(-2500/7)*6.5</f>
        <v>-2321.4285714285716</v>
      </c>
      <c r="Q501" s="59">
        <v>0</v>
      </c>
      <c r="R501" s="59">
        <v>-500</v>
      </c>
      <c r="S501" s="59">
        <v>0</v>
      </c>
      <c r="T501" s="59">
        <v>0</v>
      </c>
      <c r="U501" s="59">
        <v>0</v>
      </c>
      <c r="V501" s="59">
        <v>0</v>
      </c>
      <c r="W501" s="59">
        <f t="shared" si="49"/>
        <v>1634.4514285714276</v>
      </c>
      <c r="X501" s="59">
        <f t="shared" si="51"/>
        <v>1634.4514285714276</v>
      </c>
      <c r="Y501" s="59">
        <f t="shared" si="52"/>
        <v>0</v>
      </c>
      <c r="Z501" s="59">
        <v>0</v>
      </c>
      <c r="AA501" s="59">
        <f t="shared" si="53"/>
        <v>0</v>
      </c>
      <c r="AB501" s="59">
        <f t="shared" si="50"/>
        <v>2821.4285714285716</v>
      </c>
      <c r="AD501" s="50" t="s">
        <v>2686</v>
      </c>
      <c r="AF501" s="59"/>
      <c r="AG501" s="59"/>
    </row>
    <row r="502" spans="1:33" x14ac:dyDescent="0.3">
      <c r="A502" s="49">
        <v>9</v>
      </c>
      <c r="B502" s="41" t="s">
        <v>913</v>
      </c>
      <c r="C502" s="50" t="s">
        <v>361</v>
      </c>
      <c r="D502" s="50" t="s">
        <v>1164</v>
      </c>
      <c r="E502" s="50" t="s">
        <v>25</v>
      </c>
      <c r="F502" s="51" t="s">
        <v>25</v>
      </c>
      <c r="G502" s="50" t="s">
        <v>866</v>
      </c>
      <c r="H502" s="59">
        <v>4702.3100000000004</v>
      </c>
      <c r="I502" s="59">
        <v>-2831.29</v>
      </c>
      <c r="J502" s="59">
        <v>-44</v>
      </c>
      <c r="K502" s="59">
        <v>0</v>
      </c>
      <c r="L502" s="59">
        <v>0</v>
      </c>
      <c r="M502" s="59">
        <v>-77.340400000000002</v>
      </c>
      <c r="N502" s="59">
        <v>-186.17000000000002</v>
      </c>
      <c r="O502" s="59">
        <f t="shared" si="54"/>
        <v>1563.5096000000003</v>
      </c>
      <c r="P502" s="59">
        <v>-2700</v>
      </c>
      <c r="Q502" s="59">
        <v>0</v>
      </c>
      <c r="R502" s="59">
        <v>0</v>
      </c>
      <c r="S502" s="59">
        <v>0</v>
      </c>
      <c r="T502" s="59">
        <v>0</v>
      </c>
      <c r="U502" s="59">
        <v>0</v>
      </c>
      <c r="V502" s="59">
        <v>0</v>
      </c>
      <c r="W502" s="59">
        <f t="shared" si="49"/>
        <v>-1136.4903999999997</v>
      </c>
      <c r="X502" s="59">
        <f t="shared" si="51"/>
        <v>0</v>
      </c>
      <c r="Y502" s="59">
        <f t="shared" si="52"/>
        <v>-1136.4903999999997</v>
      </c>
      <c r="Z502" s="59">
        <v>200</v>
      </c>
      <c r="AA502" s="59">
        <f t="shared" si="53"/>
        <v>-936.49039999999968</v>
      </c>
      <c r="AB502" s="59">
        <f t="shared" si="50"/>
        <v>827.01920000000064</v>
      </c>
      <c r="AD502" s="50" t="s">
        <v>2687</v>
      </c>
      <c r="AF502" s="59"/>
      <c r="AG502" s="59"/>
    </row>
    <row r="503" spans="1:33" x14ac:dyDescent="0.3">
      <c r="A503" s="49">
        <v>9</v>
      </c>
      <c r="B503" s="41" t="s">
        <v>913</v>
      </c>
      <c r="C503" s="50" t="s">
        <v>120</v>
      </c>
      <c r="D503" s="50" t="s">
        <v>950</v>
      </c>
      <c r="E503" s="50" t="s">
        <v>25</v>
      </c>
      <c r="F503" s="51" t="s">
        <v>25</v>
      </c>
      <c r="G503" s="50" t="s">
        <v>866</v>
      </c>
      <c r="H503" s="59">
        <v>0</v>
      </c>
      <c r="I503" s="59">
        <v>0</v>
      </c>
      <c r="J503" s="59">
        <v>0</v>
      </c>
      <c r="K503" s="59">
        <v>0</v>
      </c>
      <c r="L503" s="59">
        <v>0</v>
      </c>
      <c r="M503" s="59">
        <v>0</v>
      </c>
      <c r="N503" s="59">
        <v>0</v>
      </c>
      <c r="O503" s="59">
        <f t="shared" si="54"/>
        <v>0</v>
      </c>
      <c r="P503" s="59">
        <v>0</v>
      </c>
      <c r="Q503" s="59">
        <v>0</v>
      </c>
      <c r="R503" s="59">
        <v>0</v>
      </c>
      <c r="S503" s="59">
        <v>0</v>
      </c>
      <c r="T503" s="59">
        <v>-700</v>
      </c>
      <c r="U503" s="59">
        <v>0</v>
      </c>
      <c r="V503" s="59">
        <v>0</v>
      </c>
      <c r="W503" s="59">
        <f t="shared" si="49"/>
        <v>-700</v>
      </c>
      <c r="X503" s="59">
        <f t="shared" si="51"/>
        <v>0</v>
      </c>
      <c r="Y503" s="59">
        <f t="shared" si="52"/>
        <v>-700</v>
      </c>
      <c r="Z503" s="59">
        <v>700</v>
      </c>
      <c r="AA503" s="59">
        <f t="shared" si="53"/>
        <v>0</v>
      </c>
      <c r="AB503" s="59">
        <f t="shared" si="50"/>
        <v>700</v>
      </c>
      <c r="AF503" s="59"/>
      <c r="AG503" s="59"/>
    </row>
    <row r="504" spans="1:33" x14ac:dyDescent="0.3">
      <c r="A504" s="49">
        <v>9</v>
      </c>
      <c r="B504" s="41" t="s">
        <v>1403</v>
      </c>
      <c r="C504" s="50" t="s">
        <v>195</v>
      </c>
      <c r="D504" s="50" t="s">
        <v>1404</v>
      </c>
      <c r="E504" s="50" t="s">
        <v>871</v>
      </c>
      <c r="F504" s="51" t="s">
        <v>39</v>
      </c>
      <c r="G504" s="50" t="s">
        <v>866</v>
      </c>
      <c r="H504" s="59">
        <v>6608.13</v>
      </c>
      <c r="I504" s="59">
        <v>-1758.92</v>
      </c>
      <c r="J504" s="59">
        <v>-83.2</v>
      </c>
      <c r="K504" s="59">
        <v>0</v>
      </c>
      <c r="L504" s="59">
        <v>0</v>
      </c>
      <c r="M504" s="59">
        <v>-50</v>
      </c>
      <c r="N504" s="59">
        <v>0</v>
      </c>
      <c r="O504" s="59">
        <f t="shared" si="54"/>
        <v>4716.01</v>
      </c>
      <c r="P504" s="59">
        <v>-2500</v>
      </c>
      <c r="Q504" s="59">
        <v>0</v>
      </c>
      <c r="R504" s="59">
        <v>-143</v>
      </c>
      <c r="S504" s="59">
        <v>0</v>
      </c>
      <c r="T504" s="59">
        <v>-700</v>
      </c>
      <c r="U504" s="59">
        <v>0</v>
      </c>
      <c r="V504" s="59">
        <v>0</v>
      </c>
      <c r="W504" s="59">
        <f t="shared" si="49"/>
        <v>1373.0100000000002</v>
      </c>
      <c r="X504" s="59">
        <f t="shared" si="51"/>
        <v>1373.0100000000002</v>
      </c>
      <c r="Y504" s="59">
        <f t="shared" si="52"/>
        <v>0</v>
      </c>
      <c r="Z504" s="59">
        <v>0</v>
      </c>
      <c r="AA504" s="59">
        <f t="shared" si="53"/>
        <v>0</v>
      </c>
      <c r="AB504" s="59">
        <f t="shared" si="50"/>
        <v>3343</v>
      </c>
      <c r="AD504" s="50" t="s">
        <v>2673</v>
      </c>
      <c r="AF504" s="59"/>
      <c r="AG504" s="59"/>
    </row>
    <row r="505" spans="1:33" x14ac:dyDescent="0.3">
      <c r="A505" s="49">
        <v>9</v>
      </c>
      <c r="B505" s="41" t="s">
        <v>1295</v>
      </c>
      <c r="C505" s="50" t="s">
        <v>53</v>
      </c>
      <c r="D505" s="50" t="s">
        <v>1167</v>
      </c>
      <c r="E505" s="50" t="s">
        <v>25</v>
      </c>
      <c r="F505" s="51" t="s">
        <v>25</v>
      </c>
      <c r="G505" s="50" t="s">
        <v>866</v>
      </c>
      <c r="H505" s="59">
        <v>2434.0100000000002</v>
      </c>
      <c r="I505" s="59">
        <v>-1108.23</v>
      </c>
      <c r="J505" s="59">
        <v>0</v>
      </c>
      <c r="K505" s="59">
        <v>0</v>
      </c>
      <c r="L505" s="59">
        <v>0</v>
      </c>
      <c r="M505" s="59">
        <v>-40</v>
      </c>
      <c r="N505" s="59">
        <v>0</v>
      </c>
      <c r="O505" s="59">
        <f t="shared" si="54"/>
        <v>1285.7800000000002</v>
      </c>
      <c r="P505" s="59">
        <v>-2500</v>
      </c>
      <c r="Q505" s="59">
        <v>0</v>
      </c>
      <c r="R505" s="59">
        <v>-500</v>
      </c>
      <c r="S505" s="59">
        <v>0</v>
      </c>
      <c r="T505" s="59">
        <v>0</v>
      </c>
      <c r="U505" s="59">
        <v>0</v>
      </c>
      <c r="V505" s="59">
        <v>0</v>
      </c>
      <c r="W505" s="59">
        <f t="shared" si="49"/>
        <v>-1714.2199999999998</v>
      </c>
      <c r="X505" s="59">
        <f t="shared" si="51"/>
        <v>0</v>
      </c>
      <c r="Y505" s="59">
        <f t="shared" si="52"/>
        <v>-1714.2199999999998</v>
      </c>
      <c r="Z505" s="59">
        <v>0</v>
      </c>
      <c r="AA505" s="59">
        <f t="shared" si="53"/>
        <v>-1714.2199999999998</v>
      </c>
      <c r="AB505" s="59">
        <f t="shared" si="50"/>
        <v>-428.4399999999996</v>
      </c>
      <c r="AF505" s="59"/>
      <c r="AG505" s="59"/>
    </row>
    <row r="506" spans="1:33" x14ac:dyDescent="0.3">
      <c r="A506" s="49">
        <v>9</v>
      </c>
      <c r="B506" s="41" t="s">
        <v>1522</v>
      </c>
      <c r="C506" s="50" t="s">
        <v>169</v>
      </c>
      <c r="D506" s="50" t="s">
        <v>967</v>
      </c>
      <c r="E506" s="50" t="s">
        <v>871</v>
      </c>
      <c r="F506" s="51" t="s">
        <v>39</v>
      </c>
      <c r="G506" s="50" t="s">
        <v>866</v>
      </c>
      <c r="H506" s="59">
        <v>3999.97</v>
      </c>
      <c r="I506" s="59">
        <v>-1001.88</v>
      </c>
      <c r="J506" s="59">
        <v>-114</v>
      </c>
      <c r="K506" s="59">
        <v>304.74</v>
      </c>
      <c r="L506" s="59">
        <v>0</v>
      </c>
      <c r="M506" s="59">
        <v>-18</v>
      </c>
      <c r="N506" s="59">
        <v>-149</v>
      </c>
      <c r="O506" s="59">
        <f t="shared" si="54"/>
        <v>3021.83</v>
      </c>
      <c r="P506" s="59">
        <v>-2500</v>
      </c>
      <c r="Q506" s="59">
        <f>-200*1.12</f>
        <v>-224.00000000000003</v>
      </c>
      <c r="R506" s="59">
        <v>-500</v>
      </c>
      <c r="S506" s="59">
        <v>0</v>
      </c>
      <c r="T506" s="59">
        <v>0</v>
      </c>
      <c r="U506" s="59">
        <v>0</v>
      </c>
      <c r="V506" s="59">
        <v>0</v>
      </c>
      <c r="W506" s="59">
        <f t="shared" si="49"/>
        <v>-202.17000000000007</v>
      </c>
      <c r="X506" s="59">
        <f t="shared" si="51"/>
        <v>0</v>
      </c>
      <c r="Y506" s="59">
        <f t="shared" si="52"/>
        <v>-202.17000000000007</v>
      </c>
      <c r="Z506" s="59">
        <v>137</v>
      </c>
      <c r="AA506" s="59">
        <f t="shared" si="53"/>
        <v>-65.170000000000073</v>
      </c>
      <c r="AB506" s="59">
        <f t="shared" si="50"/>
        <v>3093.66</v>
      </c>
      <c r="AD506" s="50" t="s">
        <v>2688</v>
      </c>
      <c r="AF506" s="59"/>
      <c r="AG506" s="59"/>
    </row>
    <row r="507" spans="1:33" x14ac:dyDescent="0.3">
      <c r="A507" s="49">
        <v>9</v>
      </c>
      <c r="B507" s="41" t="s">
        <v>457</v>
      </c>
      <c r="C507" s="50" t="s">
        <v>672</v>
      </c>
      <c r="D507" s="50" t="s">
        <v>1226</v>
      </c>
      <c r="E507" s="50" t="s">
        <v>25</v>
      </c>
      <c r="F507" s="51" t="s">
        <v>25</v>
      </c>
      <c r="G507" s="50" t="s">
        <v>866</v>
      </c>
      <c r="H507" s="59">
        <v>0</v>
      </c>
      <c r="I507" s="59">
        <v>0</v>
      </c>
      <c r="J507" s="59">
        <v>0</v>
      </c>
      <c r="K507" s="59">
        <v>0</v>
      </c>
      <c r="L507" s="59">
        <v>0</v>
      </c>
      <c r="M507" s="59">
        <v>0</v>
      </c>
      <c r="N507" s="59">
        <v>0</v>
      </c>
      <c r="O507" s="59">
        <f t="shared" si="54"/>
        <v>0</v>
      </c>
      <c r="P507" s="59">
        <v>-2500</v>
      </c>
      <c r="Q507" s="59">
        <f>-884*1.12</f>
        <v>-990.08</v>
      </c>
      <c r="R507" s="59">
        <v>0</v>
      </c>
      <c r="S507" s="59">
        <v>0</v>
      </c>
      <c r="T507" s="59">
        <v>-333</v>
      </c>
      <c r="U507" s="59">
        <v>0</v>
      </c>
      <c r="V507" s="59">
        <v>0</v>
      </c>
      <c r="W507" s="59">
        <f t="shared" si="49"/>
        <v>-3823.08</v>
      </c>
      <c r="X507" s="59">
        <f t="shared" si="51"/>
        <v>0</v>
      </c>
      <c r="Y507" s="59">
        <f t="shared" si="52"/>
        <v>-3823.08</v>
      </c>
      <c r="Z507" s="59">
        <v>448</v>
      </c>
      <c r="AA507" s="59">
        <f t="shared" si="53"/>
        <v>-3375.08</v>
      </c>
      <c r="AB507" s="59">
        <f t="shared" si="50"/>
        <v>-2927.08</v>
      </c>
      <c r="AD507" s="50" t="s">
        <v>2689</v>
      </c>
      <c r="AF507" s="59"/>
      <c r="AG507" s="59"/>
    </row>
    <row r="508" spans="1:33" x14ac:dyDescent="0.3">
      <c r="A508" s="49">
        <v>9</v>
      </c>
      <c r="B508" s="41" t="s">
        <v>612</v>
      </c>
      <c r="C508" s="50" t="s">
        <v>1443</v>
      </c>
      <c r="D508" s="50" t="s">
        <v>1554</v>
      </c>
      <c r="E508" s="50" t="s">
        <v>25</v>
      </c>
      <c r="F508" s="51" t="s">
        <v>25</v>
      </c>
      <c r="G508" s="50" t="s">
        <v>866</v>
      </c>
      <c r="H508" s="59">
        <v>0</v>
      </c>
      <c r="I508" s="59">
        <v>0</v>
      </c>
      <c r="J508" s="59">
        <v>0</v>
      </c>
      <c r="K508" s="59">
        <v>0</v>
      </c>
      <c r="L508" s="59">
        <v>0</v>
      </c>
      <c r="M508" s="59">
        <v>0</v>
      </c>
      <c r="N508" s="59">
        <v>0</v>
      </c>
      <c r="O508" s="59">
        <f t="shared" si="54"/>
        <v>0</v>
      </c>
      <c r="P508" s="59">
        <v>0</v>
      </c>
      <c r="Q508" s="59">
        <v>0</v>
      </c>
      <c r="R508" s="59">
        <v>500</v>
      </c>
      <c r="S508" s="59">
        <v>0</v>
      </c>
      <c r="T508" s="59">
        <v>0</v>
      </c>
      <c r="U508" s="59">
        <v>0</v>
      </c>
      <c r="V508" s="59">
        <v>0</v>
      </c>
      <c r="W508" s="59">
        <f t="shared" si="49"/>
        <v>500</v>
      </c>
      <c r="X508" s="59">
        <f t="shared" si="51"/>
        <v>500</v>
      </c>
      <c r="Y508" s="59">
        <f t="shared" si="52"/>
        <v>0</v>
      </c>
      <c r="Z508" s="59">
        <v>0</v>
      </c>
      <c r="AA508" s="59">
        <f t="shared" si="53"/>
        <v>0</v>
      </c>
      <c r="AB508" s="59">
        <f t="shared" si="50"/>
        <v>-500</v>
      </c>
      <c r="AD508" s="50" t="s">
        <v>2673</v>
      </c>
      <c r="AF508" s="59"/>
      <c r="AG508" s="59"/>
    </row>
    <row r="509" spans="1:33" x14ac:dyDescent="0.3">
      <c r="A509" s="49">
        <v>9</v>
      </c>
      <c r="B509" s="41" t="s">
        <v>620</v>
      </c>
      <c r="C509" s="50" t="s">
        <v>571</v>
      </c>
      <c r="D509" s="50" t="s">
        <v>974</v>
      </c>
      <c r="E509" s="50" t="s">
        <v>25</v>
      </c>
      <c r="F509" s="51" t="s">
        <v>25</v>
      </c>
      <c r="G509" s="50" t="s">
        <v>737</v>
      </c>
      <c r="H509" s="59">
        <v>0</v>
      </c>
      <c r="I509" s="59">
        <v>0</v>
      </c>
      <c r="J509" s="59">
        <v>0</v>
      </c>
      <c r="K509" s="59">
        <v>0</v>
      </c>
      <c r="L509" s="59">
        <v>0</v>
      </c>
      <c r="M509" s="59">
        <v>0</v>
      </c>
      <c r="N509" s="59">
        <v>0</v>
      </c>
      <c r="O509" s="59">
        <f t="shared" si="54"/>
        <v>0</v>
      </c>
      <c r="P509" s="59">
        <v>0</v>
      </c>
      <c r="Q509" s="59">
        <v>-1484</v>
      </c>
      <c r="R509" s="59">
        <v>0</v>
      </c>
      <c r="S509" s="59">
        <v>0</v>
      </c>
      <c r="T509" s="59">
        <v>-700</v>
      </c>
      <c r="U509" s="59">
        <v>0</v>
      </c>
      <c r="V509" s="59">
        <v>0</v>
      </c>
      <c r="W509" s="59">
        <f t="shared" si="49"/>
        <v>-2184</v>
      </c>
      <c r="X509" s="59">
        <f t="shared" si="51"/>
        <v>0</v>
      </c>
      <c r="Y509" s="59">
        <f t="shared" si="52"/>
        <v>-2184</v>
      </c>
      <c r="Z509" s="59">
        <v>0</v>
      </c>
      <c r="AA509" s="59">
        <f t="shared" si="53"/>
        <v>-2184</v>
      </c>
      <c r="AB509" s="59">
        <f t="shared" si="50"/>
        <v>-2184</v>
      </c>
      <c r="AD509" s="50" t="s">
        <v>2690</v>
      </c>
      <c r="AF509" s="59"/>
      <c r="AG509" s="59"/>
    </row>
    <row r="510" spans="1:33" x14ac:dyDescent="0.3">
      <c r="A510" s="49">
        <v>9</v>
      </c>
      <c r="B510" s="41" t="s">
        <v>1056</v>
      </c>
      <c r="C510" s="50" t="s">
        <v>760</v>
      </c>
      <c r="D510" s="50" t="s">
        <v>1239</v>
      </c>
      <c r="E510" s="50" t="s">
        <v>25</v>
      </c>
      <c r="F510" s="51" t="s">
        <v>25</v>
      </c>
      <c r="G510" s="50" t="s">
        <v>866</v>
      </c>
      <c r="H510" s="59">
        <v>4915.45</v>
      </c>
      <c r="I510" s="59">
        <v>0</v>
      </c>
      <c r="J510" s="59">
        <v>0</v>
      </c>
      <c r="K510" s="59">
        <v>0</v>
      </c>
      <c r="L510" s="59">
        <v>0</v>
      </c>
      <c r="M510" s="59">
        <v>0</v>
      </c>
      <c r="N510" s="59">
        <v>0</v>
      </c>
      <c r="O510" s="59">
        <f t="shared" si="54"/>
        <v>4915.45</v>
      </c>
      <c r="P510" s="59">
        <v>-4915</v>
      </c>
      <c r="Q510" s="59">
        <v>0</v>
      </c>
      <c r="R510" s="59">
        <v>0</v>
      </c>
      <c r="S510" s="59">
        <v>0</v>
      </c>
      <c r="T510" s="59">
        <v>0</v>
      </c>
      <c r="U510" s="59">
        <v>0</v>
      </c>
      <c r="V510" s="59">
        <v>0</v>
      </c>
      <c r="W510" s="59">
        <f t="shared" si="49"/>
        <v>0.4499999999998181</v>
      </c>
      <c r="X510" s="59">
        <f t="shared" si="51"/>
        <v>0.4499999999998181</v>
      </c>
      <c r="Y510" s="59">
        <f t="shared" si="52"/>
        <v>0</v>
      </c>
      <c r="Z510" s="59">
        <v>0</v>
      </c>
      <c r="AA510" s="59">
        <f t="shared" si="53"/>
        <v>0</v>
      </c>
      <c r="AB510" s="59">
        <f t="shared" si="50"/>
        <v>4915</v>
      </c>
      <c r="AF510" s="59"/>
      <c r="AG510" s="59"/>
    </row>
    <row r="511" spans="1:33" x14ac:dyDescent="0.3">
      <c r="A511" s="49">
        <v>9</v>
      </c>
      <c r="B511" s="41" t="s">
        <v>1153</v>
      </c>
      <c r="C511" s="50" t="s">
        <v>1328</v>
      </c>
      <c r="D511" s="50" t="s">
        <v>1576</v>
      </c>
      <c r="E511" s="50" t="s">
        <v>25</v>
      </c>
      <c r="F511" s="51" t="s">
        <v>25</v>
      </c>
      <c r="G511" s="50" t="s">
        <v>866</v>
      </c>
      <c r="H511" s="59">
        <v>3627.33</v>
      </c>
      <c r="I511" s="59">
        <v>-1073.23</v>
      </c>
      <c r="J511" s="59">
        <v>-38.4</v>
      </c>
      <c r="K511" s="59">
        <v>0</v>
      </c>
      <c r="L511" s="59">
        <v>0</v>
      </c>
      <c r="M511" s="59">
        <v>-43.2196</v>
      </c>
      <c r="N511" s="59">
        <v>-26.83</v>
      </c>
      <c r="O511" s="59">
        <f t="shared" si="54"/>
        <v>2445.6504</v>
      </c>
      <c r="P511" s="59">
        <v>-2700</v>
      </c>
      <c r="Q511" s="59">
        <f>-1666*1.12</f>
        <v>-1865.92</v>
      </c>
      <c r="R511" s="59">
        <v>0</v>
      </c>
      <c r="S511" s="59">
        <v>0</v>
      </c>
      <c r="T511" s="59">
        <v>0</v>
      </c>
      <c r="U511" s="59">
        <v>0</v>
      </c>
      <c r="V511" s="59">
        <v>0</v>
      </c>
      <c r="W511" s="59">
        <f t="shared" si="49"/>
        <v>-2120.2696000000001</v>
      </c>
      <c r="X511" s="59">
        <f t="shared" si="51"/>
        <v>0</v>
      </c>
      <c r="Y511" s="59">
        <f t="shared" si="52"/>
        <v>-2120.2696000000001</v>
      </c>
      <c r="Z511" s="59">
        <v>1000</v>
      </c>
      <c r="AA511" s="59">
        <f t="shared" si="53"/>
        <v>-1120.2696000000001</v>
      </c>
      <c r="AB511" s="59">
        <f t="shared" si="50"/>
        <v>2325.3807999999999</v>
      </c>
      <c r="AD511" s="50" t="s">
        <v>2691</v>
      </c>
      <c r="AF511" s="59"/>
      <c r="AG511" s="59"/>
    </row>
    <row r="512" spans="1:33" x14ac:dyDescent="0.3">
      <c r="A512" s="49">
        <v>9</v>
      </c>
      <c r="B512" s="41" t="s">
        <v>872</v>
      </c>
      <c r="C512" s="50" t="s">
        <v>256</v>
      </c>
      <c r="D512" s="50" t="s">
        <v>997</v>
      </c>
      <c r="E512" s="50" t="s">
        <v>871</v>
      </c>
      <c r="F512" s="51" t="s">
        <v>39</v>
      </c>
      <c r="G512" s="50" t="s">
        <v>866</v>
      </c>
      <c r="H512" s="59">
        <v>11299.85</v>
      </c>
      <c r="I512" s="59">
        <v>-3824.23</v>
      </c>
      <c r="J512" s="59">
        <v>-178</v>
      </c>
      <c r="K512" s="59">
        <v>0</v>
      </c>
      <c r="L512" s="59">
        <v>-99.93</v>
      </c>
      <c r="M512" s="59">
        <v>-4</v>
      </c>
      <c r="N512" s="59">
        <v>-32.450000000000003</v>
      </c>
      <c r="O512" s="59">
        <f t="shared" si="54"/>
        <v>7161.2400000000007</v>
      </c>
      <c r="P512" s="59">
        <v>-2500</v>
      </c>
      <c r="Q512" s="59">
        <v>0</v>
      </c>
      <c r="R512" s="59">
        <v>0</v>
      </c>
      <c r="S512" s="59">
        <v>-700</v>
      </c>
      <c r="T512" s="59">
        <v>0</v>
      </c>
      <c r="U512" s="59">
        <v>0</v>
      </c>
      <c r="V512" s="59">
        <v>0</v>
      </c>
      <c r="W512" s="59">
        <f t="shared" si="49"/>
        <v>3961.2400000000007</v>
      </c>
      <c r="X512" s="59">
        <f t="shared" si="51"/>
        <v>3961.2400000000007</v>
      </c>
      <c r="Y512" s="59">
        <f t="shared" si="52"/>
        <v>0</v>
      </c>
      <c r="Z512" s="59">
        <v>0</v>
      </c>
      <c r="AA512" s="59">
        <f t="shared" si="53"/>
        <v>0</v>
      </c>
      <c r="AB512" s="59">
        <f t="shared" si="50"/>
        <v>3200</v>
      </c>
      <c r="AD512" s="50" t="s">
        <v>2692</v>
      </c>
      <c r="AF512" s="59"/>
      <c r="AG512" s="59"/>
    </row>
    <row r="513" spans="1:33" x14ac:dyDescent="0.3">
      <c r="A513" s="49">
        <v>9</v>
      </c>
      <c r="B513" s="41" t="s">
        <v>1314</v>
      </c>
      <c r="C513" s="50" t="s">
        <v>334</v>
      </c>
      <c r="D513" s="50" t="s">
        <v>1169</v>
      </c>
      <c r="E513" s="50" t="s">
        <v>25</v>
      </c>
      <c r="F513" s="51" t="s">
        <v>25</v>
      </c>
      <c r="G513" s="50" t="s">
        <v>866</v>
      </c>
      <c r="H513" s="59">
        <v>8736.7999999999993</v>
      </c>
      <c r="I513" s="59">
        <v>-3026.0699999999997</v>
      </c>
      <c r="J513" s="59">
        <v>-48</v>
      </c>
      <c r="K513" s="59">
        <v>14.68</v>
      </c>
      <c r="L513" s="59">
        <v>0</v>
      </c>
      <c r="M513" s="59">
        <v>-65</v>
      </c>
      <c r="N513" s="59">
        <v>0</v>
      </c>
      <c r="O513" s="59">
        <f t="shared" si="54"/>
        <v>5612.41</v>
      </c>
      <c r="P513" s="59">
        <v>-2500</v>
      </c>
      <c r="Q513" s="59">
        <v>0</v>
      </c>
      <c r="R513" s="59">
        <v>-500</v>
      </c>
      <c r="S513" s="59">
        <v>0</v>
      </c>
      <c r="T513" s="59">
        <v>0</v>
      </c>
      <c r="U513" s="59">
        <v>0</v>
      </c>
      <c r="V513" s="59">
        <v>0</v>
      </c>
      <c r="W513" s="59">
        <f t="shared" si="49"/>
        <v>2612.41</v>
      </c>
      <c r="X513" s="59">
        <f t="shared" si="51"/>
        <v>2612.41</v>
      </c>
      <c r="Y513" s="59">
        <f t="shared" si="52"/>
        <v>0</v>
      </c>
      <c r="Z513" s="59">
        <v>0</v>
      </c>
      <c r="AA513" s="59">
        <f t="shared" si="53"/>
        <v>0</v>
      </c>
      <c r="AB513" s="59">
        <f t="shared" si="50"/>
        <v>3000</v>
      </c>
      <c r="AD513" s="50" t="s">
        <v>2673</v>
      </c>
      <c r="AF513" s="59"/>
      <c r="AG513" s="59"/>
    </row>
    <row r="514" spans="1:33" x14ac:dyDescent="0.3">
      <c r="A514" s="49">
        <v>9</v>
      </c>
      <c r="B514" s="41" t="s">
        <v>874</v>
      </c>
      <c r="C514" s="50" t="s">
        <v>100</v>
      </c>
      <c r="D514" s="50" t="s">
        <v>1300</v>
      </c>
      <c r="E514" s="50" t="s">
        <v>25</v>
      </c>
      <c r="F514" s="51" t="s">
        <v>25</v>
      </c>
      <c r="G514" s="50" t="s">
        <v>737</v>
      </c>
      <c r="H514" s="59">
        <v>0</v>
      </c>
      <c r="I514" s="59">
        <v>0</v>
      </c>
      <c r="J514" s="59">
        <v>0</v>
      </c>
      <c r="K514" s="59">
        <v>0</v>
      </c>
      <c r="L514" s="59">
        <v>0</v>
      </c>
      <c r="M514" s="59">
        <v>0</v>
      </c>
      <c r="N514" s="59">
        <v>0</v>
      </c>
      <c r="O514" s="59">
        <f t="shared" si="54"/>
        <v>0</v>
      </c>
      <c r="P514" s="59">
        <v>-2500</v>
      </c>
      <c r="Q514" s="59">
        <v>0</v>
      </c>
      <c r="R514" s="59">
        <v>0</v>
      </c>
      <c r="S514" s="59">
        <v>0</v>
      </c>
      <c r="T514" s="59">
        <v>0</v>
      </c>
      <c r="U514" s="59">
        <v>0</v>
      </c>
      <c r="V514" s="59">
        <v>0</v>
      </c>
      <c r="W514" s="59">
        <f t="shared" ref="W514:W577" si="55">SUM(O514:V514)</f>
        <v>-2500</v>
      </c>
      <c r="X514" s="59">
        <f t="shared" si="51"/>
        <v>0</v>
      </c>
      <c r="Y514" s="59">
        <f t="shared" si="52"/>
        <v>-2500</v>
      </c>
      <c r="Z514" s="59">
        <v>2500</v>
      </c>
      <c r="AA514" s="59">
        <f t="shared" si="53"/>
        <v>0</v>
      </c>
      <c r="AB514" s="59">
        <f t="shared" ref="AB514:AB577" si="56">+O514-X514+Z514+AA514</f>
        <v>2500</v>
      </c>
      <c r="AD514" s="145" t="s">
        <v>2693</v>
      </c>
      <c r="AF514" s="59"/>
      <c r="AG514" s="59"/>
    </row>
    <row r="515" spans="1:33" x14ac:dyDescent="0.3">
      <c r="A515" s="49">
        <v>9</v>
      </c>
      <c r="B515" s="41" t="s">
        <v>1157</v>
      </c>
      <c r="C515" s="50" t="s">
        <v>1265</v>
      </c>
      <c r="D515" s="50" t="s">
        <v>1580</v>
      </c>
      <c r="E515" s="50" t="s">
        <v>25</v>
      </c>
      <c r="F515" s="51" t="s">
        <v>25</v>
      </c>
      <c r="G515" s="50" t="s">
        <v>866</v>
      </c>
      <c r="H515" s="59">
        <v>11232.85</v>
      </c>
      <c r="I515" s="59">
        <v>-6344.1199999999944</v>
      </c>
      <c r="J515" s="59">
        <v>-100.8</v>
      </c>
      <c r="K515" s="59">
        <v>0</v>
      </c>
      <c r="L515" s="59">
        <v>0</v>
      </c>
      <c r="M515" s="59">
        <v>-80</v>
      </c>
      <c r="N515" s="59">
        <v>0</v>
      </c>
      <c r="O515" s="59">
        <f t="shared" si="54"/>
        <v>4707.9300000000057</v>
      </c>
      <c r="P515" s="59">
        <f>(-2700/7)*6.5</f>
        <v>-2507.1428571428573</v>
      </c>
      <c r="Q515" s="59">
        <v>0</v>
      </c>
      <c r="R515" s="59">
        <v>0</v>
      </c>
      <c r="S515" s="59">
        <v>0</v>
      </c>
      <c r="T515" s="59">
        <v>0</v>
      </c>
      <c r="U515" s="59">
        <v>0</v>
      </c>
      <c r="V515" s="59">
        <v>0</v>
      </c>
      <c r="W515" s="59">
        <f t="shared" si="55"/>
        <v>2200.7871428571484</v>
      </c>
      <c r="X515" s="59">
        <f t="shared" si="51"/>
        <v>2200.7871428571484</v>
      </c>
      <c r="Y515" s="59">
        <f t="shared" si="52"/>
        <v>0</v>
      </c>
      <c r="Z515" s="59">
        <v>0</v>
      </c>
      <c r="AA515" s="59">
        <f t="shared" si="53"/>
        <v>0</v>
      </c>
      <c r="AB515" s="59">
        <f t="shared" si="56"/>
        <v>2507.1428571428573</v>
      </c>
      <c r="AD515" s="50" t="s">
        <v>2694</v>
      </c>
      <c r="AF515" s="59"/>
      <c r="AG515" s="59"/>
    </row>
    <row r="516" spans="1:33" x14ac:dyDescent="0.3">
      <c r="A516" s="49">
        <v>9</v>
      </c>
      <c r="B516" s="41" t="s">
        <v>1312</v>
      </c>
      <c r="C516" s="50" t="s">
        <v>1439</v>
      </c>
      <c r="D516" s="50" t="s">
        <v>1582</v>
      </c>
      <c r="E516" s="50" t="s">
        <v>25</v>
      </c>
      <c r="F516" s="51" t="s">
        <v>25</v>
      </c>
      <c r="G516" s="50" t="s">
        <v>866</v>
      </c>
      <c r="H516" s="59">
        <v>3668.4</v>
      </c>
      <c r="I516" s="59">
        <v>-489.86</v>
      </c>
      <c r="J516" s="59">
        <v>0</v>
      </c>
      <c r="K516" s="59">
        <v>0</v>
      </c>
      <c r="L516" s="59">
        <v>0</v>
      </c>
      <c r="M516" s="59">
        <v>-10</v>
      </c>
      <c r="N516" s="59">
        <v>0</v>
      </c>
      <c r="O516" s="59">
        <f t="shared" si="54"/>
        <v>3168.54</v>
      </c>
      <c r="P516" s="59">
        <v>-2700</v>
      </c>
      <c r="Q516" s="59">
        <f>-3094*1.12</f>
        <v>-3465.28</v>
      </c>
      <c r="R516" s="59">
        <v>-500</v>
      </c>
      <c r="S516" s="59">
        <v>0</v>
      </c>
      <c r="T516" s="59">
        <v>0</v>
      </c>
      <c r="U516" s="59">
        <v>0</v>
      </c>
      <c r="V516" s="59">
        <v>0</v>
      </c>
      <c r="W516" s="59">
        <f t="shared" si="55"/>
        <v>-3496.7400000000002</v>
      </c>
      <c r="X516" s="59">
        <f t="shared" si="51"/>
        <v>0</v>
      </c>
      <c r="Y516" s="59">
        <f t="shared" si="52"/>
        <v>-3496.7400000000002</v>
      </c>
      <c r="Z516" s="59">
        <v>1000</v>
      </c>
      <c r="AA516" s="59">
        <f t="shared" si="53"/>
        <v>-2496.7400000000002</v>
      </c>
      <c r="AB516" s="59">
        <f t="shared" si="56"/>
        <v>1671.7999999999997</v>
      </c>
      <c r="AD516" s="50" t="s">
        <v>2695</v>
      </c>
      <c r="AF516" s="59"/>
      <c r="AG516" s="59"/>
    </row>
    <row r="517" spans="1:33" x14ac:dyDescent="0.3">
      <c r="A517" s="49">
        <v>9</v>
      </c>
      <c r="B517" s="41" t="s">
        <v>1190</v>
      </c>
      <c r="C517" s="50" t="s">
        <v>573</v>
      </c>
      <c r="D517" s="50" t="s">
        <v>1149</v>
      </c>
      <c r="E517" s="50" t="s">
        <v>25</v>
      </c>
      <c r="F517" s="51" t="s">
        <v>25</v>
      </c>
      <c r="G517" s="50" t="s">
        <v>866</v>
      </c>
      <c r="H517" s="59">
        <v>2014.71</v>
      </c>
      <c r="I517" s="59">
        <v>-89.94</v>
      </c>
      <c r="J517" s="59">
        <v>0</v>
      </c>
      <c r="K517" s="59">
        <v>0</v>
      </c>
      <c r="L517" s="59">
        <v>0</v>
      </c>
      <c r="M517" s="59">
        <v>-3</v>
      </c>
      <c r="N517" s="59">
        <v>0</v>
      </c>
      <c r="O517" s="59">
        <f t="shared" si="54"/>
        <v>1921.77</v>
      </c>
      <c r="P517" s="59">
        <v>-2500</v>
      </c>
      <c r="Q517" s="59">
        <v>-2932</v>
      </c>
      <c r="R517" s="59">
        <v>-107</v>
      </c>
      <c r="S517" s="59">
        <v>0</v>
      </c>
      <c r="T517" s="59">
        <v>0</v>
      </c>
      <c r="U517" s="59">
        <v>0</v>
      </c>
      <c r="V517" s="59">
        <v>0</v>
      </c>
      <c r="W517" s="59">
        <f t="shared" si="55"/>
        <v>-3617.23</v>
      </c>
      <c r="X517" s="59">
        <f t="shared" si="51"/>
        <v>0</v>
      </c>
      <c r="Y517" s="59">
        <f t="shared" si="52"/>
        <v>-3617.23</v>
      </c>
      <c r="Z517" s="59">
        <v>0</v>
      </c>
      <c r="AA517" s="59">
        <f t="shared" si="53"/>
        <v>-3617.23</v>
      </c>
      <c r="AB517" s="59">
        <f t="shared" si="56"/>
        <v>-1695.46</v>
      </c>
      <c r="AF517" s="59"/>
      <c r="AG517" s="59"/>
    </row>
    <row r="518" spans="1:33" x14ac:dyDescent="0.3">
      <c r="A518" s="49">
        <v>9</v>
      </c>
      <c r="B518" s="41" t="s">
        <v>484</v>
      </c>
      <c r="C518" s="50" t="s">
        <v>1065</v>
      </c>
      <c r="D518" s="50" t="s">
        <v>1159</v>
      </c>
      <c r="E518" s="50" t="s">
        <v>25</v>
      </c>
      <c r="F518" s="51" t="s">
        <v>25</v>
      </c>
      <c r="G518" s="50" t="s">
        <v>866</v>
      </c>
      <c r="H518" s="59">
        <v>7391.8</v>
      </c>
      <c r="I518" s="59">
        <v>-4082.4699999999989</v>
      </c>
      <c r="J518" s="59">
        <v>-56</v>
      </c>
      <c r="K518" s="59">
        <v>9.7899999999999991</v>
      </c>
      <c r="L518" s="59">
        <v>0</v>
      </c>
      <c r="M518" s="59">
        <v>-70</v>
      </c>
      <c r="N518" s="59">
        <v>0</v>
      </c>
      <c r="O518" s="59">
        <f t="shared" si="54"/>
        <v>3193.1200000000013</v>
      </c>
      <c r="P518" s="59">
        <v>-2500</v>
      </c>
      <c r="Q518" s="59">
        <v>0</v>
      </c>
      <c r="R518" s="59">
        <v>0</v>
      </c>
      <c r="S518" s="59">
        <v>0</v>
      </c>
      <c r="T518" s="59">
        <v>0</v>
      </c>
      <c r="U518" s="59">
        <v>0</v>
      </c>
      <c r="V518" s="59">
        <v>0</v>
      </c>
      <c r="W518" s="59">
        <f t="shared" si="55"/>
        <v>693.12000000000126</v>
      </c>
      <c r="X518" s="59">
        <f t="shared" si="51"/>
        <v>693.12000000000126</v>
      </c>
      <c r="Y518" s="59">
        <f t="shared" si="52"/>
        <v>0</v>
      </c>
      <c r="Z518" s="59">
        <v>0</v>
      </c>
      <c r="AA518" s="59">
        <f t="shared" si="53"/>
        <v>0</v>
      </c>
      <c r="AB518" s="59">
        <f t="shared" si="56"/>
        <v>2500</v>
      </c>
      <c r="AD518" s="50" t="s">
        <v>2673</v>
      </c>
      <c r="AF518" s="59"/>
      <c r="AG518" s="59"/>
    </row>
    <row r="519" spans="1:33" x14ac:dyDescent="0.3">
      <c r="A519" s="49">
        <v>9</v>
      </c>
      <c r="B519" s="41" t="s">
        <v>1432</v>
      </c>
      <c r="C519" s="50" t="s">
        <v>183</v>
      </c>
      <c r="D519" s="50" t="s">
        <v>887</v>
      </c>
      <c r="E519" s="50" t="s">
        <v>25</v>
      </c>
      <c r="F519" s="51" t="s">
        <v>25</v>
      </c>
      <c r="G519" s="50" t="s">
        <v>866</v>
      </c>
      <c r="H519" s="59">
        <v>1772.4</v>
      </c>
      <c r="I519" s="59">
        <v>-1225.2</v>
      </c>
      <c r="J519" s="59">
        <v>0</v>
      </c>
      <c r="K519" s="59">
        <v>0</v>
      </c>
      <c r="L519" s="59">
        <v>0</v>
      </c>
      <c r="M519" s="59">
        <v>-40</v>
      </c>
      <c r="N519" s="59">
        <v>0</v>
      </c>
      <c r="O519" s="59">
        <f t="shared" si="54"/>
        <v>507.20000000000005</v>
      </c>
      <c r="P519" s="59">
        <v>-2500</v>
      </c>
      <c r="Q519" s="59">
        <f>-500*1.12</f>
        <v>-560</v>
      </c>
      <c r="R519" s="59">
        <v>-500</v>
      </c>
      <c r="S519" s="59">
        <v>0</v>
      </c>
      <c r="T519" s="59">
        <v>0</v>
      </c>
      <c r="U519" s="59">
        <v>0</v>
      </c>
      <c r="V519" s="59">
        <v>0</v>
      </c>
      <c r="W519" s="59">
        <f t="shared" si="55"/>
        <v>-3052.8</v>
      </c>
      <c r="X519" s="59">
        <f t="shared" ref="X519:X545" si="57">IF(W519&gt;=0,W519,0)</f>
        <v>0</v>
      </c>
      <c r="Y519" s="59">
        <f t="shared" ref="Y519:Y545" si="58">IF(W519&lt;=0,W519,0)</f>
        <v>-3052.8</v>
      </c>
      <c r="Z519" s="59">
        <v>3000</v>
      </c>
      <c r="AA519" s="59">
        <f t="shared" ref="AA519:AA545" si="59">+Y519+Z519</f>
        <v>-52.800000000000182</v>
      </c>
      <c r="AB519" s="59">
        <f t="shared" si="56"/>
        <v>3454.3999999999996</v>
      </c>
      <c r="AD519" s="50" t="s">
        <v>2696</v>
      </c>
      <c r="AF519" s="59"/>
      <c r="AG519" s="59"/>
    </row>
    <row r="520" spans="1:33" x14ac:dyDescent="0.3">
      <c r="A520" s="49">
        <v>9</v>
      </c>
      <c r="B520" s="41" t="s">
        <v>747</v>
      </c>
      <c r="C520" s="50" t="s">
        <v>1586</v>
      </c>
      <c r="D520" s="50" t="s">
        <v>1587</v>
      </c>
      <c r="E520" s="50" t="s">
        <v>25</v>
      </c>
      <c r="F520" s="51" t="s">
        <v>25</v>
      </c>
      <c r="G520" s="50" t="s">
        <v>866</v>
      </c>
      <c r="H520" s="59">
        <v>1720.73</v>
      </c>
      <c r="I520" s="59">
        <v>0</v>
      </c>
      <c r="J520" s="59">
        <v>-1.1299999999999999</v>
      </c>
      <c r="K520" s="59">
        <v>7.09</v>
      </c>
      <c r="L520" s="59">
        <v>0</v>
      </c>
      <c r="M520" s="59">
        <v>0</v>
      </c>
      <c r="N520" s="59">
        <v>0</v>
      </c>
      <c r="O520" s="59">
        <f t="shared" si="54"/>
        <v>1726.6899999999998</v>
      </c>
      <c r="P520" s="59">
        <v>-2700</v>
      </c>
      <c r="Q520" s="59">
        <v>0</v>
      </c>
      <c r="R520" s="59">
        <v>-500</v>
      </c>
      <c r="S520" s="59">
        <v>0</v>
      </c>
      <c r="T520" s="59">
        <v>0</v>
      </c>
      <c r="U520" s="59">
        <v>0</v>
      </c>
      <c r="V520" s="59">
        <v>0</v>
      </c>
      <c r="W520" s="59">
        <f t="shared" si="55"/>
        <v>-1473.3100000000002</v>
      </c>
      <c r="X520" s="59">
        <f t="shared" si="57"/>
        <v>0</v>
      </c>
      <c r="Y520" s="59">
        <f t="shared" si="58"/>
        <v>-1473.3100000000002</v>
      </c>
      <c r="Z520" s="59">
        <v>1100</v>
      </c>
      <c r="AA520" s="59">
        <f t="shared" si="59"/>
        <v>-373.31000000000017</v>
      </c>
      <c r="AB520" s="59">
        <f t="shared" si="56"/>
        <v>2453.3799999999992</v>
      </c>
      <c r="AD520" s="50" t="s">
        <v>2697</v>
      </c>
      <c r="AF520" s="59"/>
      <c r="AG520" s="59"/>
    </row>
    <row r="521" spans="1:33" x14ac:dyDescent="0.3">
      <c r="A521" s="49">
        <v>9</v>
      </c>
      <c r="B521" s="41" t="s">
        <v>1244</v>
      </c>
      <c r="C521" s="50" t="s">
        <v>1429</v>
      </c>
      <c r="D521" s="50" t="s">
        <v>1588</v>
      </c>
      <c r="E521" s="50" t="s">
        <v>25</v>
      </c>
      <c r="F521" s="51" t="s">
        <v>25</v>
      </c>
      <c r="G521" s="50" t="s">
        <v>866</v>
      </c>
      <c r="H521" s="59">
        <v>8724.85</v>
      </c>
      <c r="I521" s="59">
        <v>-6115.0299999999979</v>
      </c>
      <c r="J521" s="59">
        <v>0</v>
      </c>
      <c r="K521" s="59">
        <v>0</v>
      </c>
      <c r="L521" s="59">
        <v>0</v>
      </c>
      <c r="M521" s="59">
        <v>-80</v>
      </c>
      <c r="N521" s="59">
        <v>0</v>
      </c>
      <c r="O521" s="59">
        <f t="shared" si="54"/>
        <v>2529.8200000000024</v>
      </c>
      <c r="P521" s="59">
        <f>(-2700/7)*6</f>
        <v>-2314.2857142857142</v>
      </c>
      <c r="Q521" s="59">
        <v>0</v>
      </c>
      <c r="R521" s="59">
        <v>-500</v>
      </c>
      <c r="S521" s="59">
        <v>0</v>
      </c>
      <c r="T521" s="59">
        <v>0</v>
      </c>
      <c r="U521" s="59">
        <v>0</v>
      </c>
      <c r="V521" s="59">
        <v>0</v>
      </c>
      <c r="W521" s="59">
        <f t="shared" si="55"/>
        <v>-284.46571428571178</v>
      </c>
      <c r="X521" s="59">
        <f t="shared" si="57"/>
        <v>0</v>
      </c>
      <c r="Y521" s="59">
        <f t="shared" si="58"/>
        <v>-284.46571428571178</v>
      </c>
      <c r="Z521" s="59">
        <v>0</v>
      </c>
      <c r="AA521" s="59">
        <f t="shared" si="59"/>
        <v>-284.46571428571178</v>
      </c>
      <c r="AB521" s="59">
        <f t="shared" si="56"/>
        <v>2245.3542857142907</v>
      </c>
      <c r="AD521" s="50" t="s">
        <v>2698</v>
      </c>
      <c r="AF521" s="59"/>
      <c r="AG521" s="59"/>
    </row>
    <row r="522" spans="1:33" x14ac:dyDescent="0.3">
      <c r="A522" s="49">
        <v>9</v>
      </c>
      <c r="B522" s="41" t="s">
        <v>1307</v>
      </c>
      <c r="C522" s="50" t="s">
        <v>150</v>
      </c>
      <c r="D522" s="50" t="s">
        <v>1308</v>
      </c>
      <c r="E522" s="50" t="s">
        <v>25</v>
      </c>
      <c r="F522" s="51" t="s">
        <v>25</v>
      </c>
      <c r="G522" s="50" t="s">
        <v>866</v>
      </c>
      <c r="H522" s="59">
        <v>5963.33</v>
      </c>
      <c r="I522" s="59">
        <v>-2257.7800000000007</v>
      </c>
      <c r="J522" s="59">
        <v>-100.80000000000001</v>
      </c>
      <c r="K522" s="59">
        <v>0</v>
      </c>
      <c r="L522" s="59">
        <v>0</v>
      </c>
      <c r="M522" s="59">
        <v>-55</v>
      </c>
      <c r="N522" s="59">
        <v>0</v>
      </c>
      <c r="O522" s="59">
        <f t="shared" si="54"/>
        <v>3549.7499999999991</v>
      </c>
      <c r="P522" s="59">
        <v>-2500</v>
      </c>
      <c r="Q522" s="59">
        <v>0</v>
      </c>
      <c r="R522" s="59">
        <v>-500</v>
      </c>
      <c r="S522" s="59">
        <v>0</v>
      </c>
      <c r="T522" s="59">
        <v>0</v>
      </c>
      <c r="U522" s="59">
        <v>0</v>
      </c>
      <c r="V522" s="59">
        <v>0</v>
      </c>
      <c r="W522" s="59">
        <f t="shared" si="55"/>
        <v>549.74999999999909</v>
      </c>
      <c r="X522" s="59">
        <f t="shared" si="57"/>
        <v>549.74999999999909</v>
      </c>
      <c r="Y522" s="59">
        <f t="shared" si="58"/>
        <v>0</v>
      </c>
      <c r="Z522" s="59">
        <v>0</v>
      </c>
      <c r="AA522" s="59">
        <f t="shared" si="59"/>
        <v>0</v>
      </c>
      <c r="AB522" s="59">
        <f t="shared" si="56"/>
        <v>3000</v>
      </c>
      <c r="AD522" s="50" t="s">
        <v>2673</v>
      </c>
      <c r="AF522" s="59"/>
      <c r="AG522" s="59"/>
    </row>
    <row r="523" spans="1:33" x14ac:dyDescent="0.3">
      <c r="A523" s="49">
        <v>9</v>
      </c>
      <c r="B523" s="41" t="s">
        <v>1423</v>
      </c>
      <c r="C523" s="50" t="s">
        <v>55</v>
      </c>
      <c r="D523" s="50" t="s">
        <v>1147</v>
      </c>
      <c r="E523" s="50" t="s">
        <v>25</v>
      </c>
      <c r="F523" s="51" t="s">
        <v>25</v>
      </c>
      <c r="G523" s="50" t="s">
        <v>866</v>
      </c>
      <c r="H523" s="59">
        <v>3512.85</v>
      </c>
      <c r="I523" s="59">
        <v>-681.32</v>
      </c>
      <c r="J523" s="59">
        <v>0</v>
      </c>
      <c r="K523" s="59">
        <v>0</v>
      </c>
      <c r="L523" s="59">
        <v>0</v>
      </c>
      <c r="M523" s="59">
        <v>-35</v>
      </c>
      <c r="N523" s="59">
        <v>0</v>
      </c>
      <c r="O523" s="59">
        <f t="shared" si="54"/>
        <v>2796.5299999999997</v>
      </c>
      <c r="P523" s="59">
        <v>-2500</v>
      </c>
      <c r="Q523" s="59">
        <v>0</v>
      </c>
      <c r="R523" s="59">
        <v>-500</v>
      </c>
      <c r="S523" s="59">
        <v>0</v>
      </c>
      <c r="T523" s="59">
        <v>0</v>
      </c>
      <c r="U523" s="59">
        <v>0</v>
      </c>
      <c r="V523" s="59">
        <v>0</v>
      </c>
      <c r="W523" s="59">
        <f t="shared" si="55"/>
        <v>-203.47000000000025</v>
      </c>
      <c r="X523" s="59">
        <f t="shared" si="57"/>
        <v>0</v>
      </c>
      <c r="Y523" s="59">
        <f t="shared" si="58"/>
        <v>-203.47000000000025</v>
      </c>
      <c r="Z523" s="59">
        <v>203</v>
      </c>
      <c r="AA523" s="59">
        <f t="shared" si="59"/>
        <v>-0.47000000000025466</v>
      </c>
      <c r="AB523" s="59">
        <f t="shared" si="56"/>
        <v>2999.0599999999995</v>
      </c>
      <c r="AD523" s="50" t="s">
        <v>2699</v>
      </c>
      <c r="AF523" s="59"/>
      <c r="AG523" s="59"/>
    </row>
    <row r="524" spans="1:33" x14ac:dyDescent="0.3">
      <c r="A524" s="49">
        <v>9</v>
      </c>
      <c r="B524" s="41" t="s">
        <v>922</v>
      </c>
      <c r="C524" s="50" t="s">
        <v>670</v>
      </c>
      <c r="D524" s="50" t="s">
        <v>1221</v>
      </c>
      <c r="E524" s="50" t="s">
        <v>25</v>
      </c>
      <c r="F524" s="51" t="s">
        <v>25</v>
      </c>
      <c r="G524" s="50" t="s">
        <v>737</v>
      </c>
      <c r="H524" s="59">
        <v>0</v>
      </c>
      <c r="I524" s="59">
        <v>0</v>
      </c>
      <c r="J524" s="59">
        <v>0</v>
      </c>
      <c r="K524" s="59">
        <v>0</v>
      </c>
      <c r="L524" s="59">
        <v>0</v>
      </c>
      <c r="M524" s="59">
        <v>0</v>
      </c>
      <c r="N524" s="59">
        <v>0</v>
      </c>
      <c r="O524" s="59">
        <f t="shared" si="54"/>
        <v>0</v>
      </c>
      <c r="P524" s="59">
        <f>(-2500/7)*6.5</f>
        <v>-2321.4285714285716</v>
      </c>
      <c r="Q524" s="59">
        <f>-3576*1.12</f>
        <v>-4005.1200000000003</v>
      </c>
      <c r="R524" s="59">
        <v>0</v>
      </c>
      <c r="S524" s="59">
        <v>0</v>
      </c>
      <c r="T524" s="59">
        <v>0</v>
      </c>
      <c r="U524" s="59">
        <v>0</v>
      </c>
      <c r="V524" s="59">
        <v>0</v>
      </c>
      <c r="W524" s="59">
        <f t="shared" si="55"/>
        <v>-6326.5485714285714</v>
      </c>
      <c r="X524" s="59">
        <f t="shared" si="57"/>
        <v>0</v>
      </c>
      <c r="Y524" s="59">
        <f t="shared" si="58"/>
        <v>-6326.5485714285714</v>
      </c>
      <c r="Z524" s="59">
        <f>100+3700</f>
        <v>3800</v>
      </c>
      <c r="AA524" s="59">
        <f t="shared" si="59"/>
        <v>-2526.5485714285714</v>
      </c>
      <c r="AB524" s="59">
        <f t="shared" si="56"/>
        <v>1273.4514285714286</v>
      </c>
      <c r="AD524" s="50" t="s">
        <v>2700</v>
      </c>
      <c r="AF524" s="59"/>
      <c r="AG524" s="59"/>
    </row>
    <row r="525" spans="1:33" x14ac:dyDescent="0.3">
      <c r="A525" s="49">
        <v>9</v>
      </c>
      <c r="B525" s="41" t="s">
        <v>922</v>
      </c>
      <c r="C525" s="50" t="s">
        <v>347</v>
      </c>
      <c r="D525" s="50" t="s">
        <v>1221</v>
      </c>
      <c r="E525" s="50" t="s">
        <v>25</v>
      </c>
      <c r="F525" s="51" t="s">
        <v>25</v>
      </c>
      <c r="G525" s="50" t="s">
        <v>737</v>
      </c>
      <c r="H525" s="59">
        <v>0</v>
      </c>
      <c r="I525" s="59">
        <v>0</v>
      </c>
      <c r="J525" s="59">
        <v>0</v>
      </c>
      <c r="K525" s="59">
        <v>0</v>
      </c>
      <c r="L525" s="59">
        <v>0</v>
      </c>
      <c r="M525" s="59">
        <v>0</v>
      </c>
      <c r="N525" s="59">
        <v>0</v>
      </c>
      <c r="O525" s="59">
        <f t="shared" si="54"/>
        <v>0</v>
      </c>
      <c r="P525" s="59">
        <v>0</v>
      </c>
      <c r="Q525" s="59">
        <v>0</v>
      </c>
      <c r="R525" s="59">
        <v>0</v>
      </c>
      <c r="S525" s="59">
        <v>-700</v>
      </c>
      <c r="T525" s="59">
        <v>0</v>
      </c>
      <c r="U525" s="59">
        <v>0</v>
      </c>
      <c r="V525" s="59">
        <v>0</v>
      </c>
      <c r="W525" s="59">
        <f t="shared" si="55"/>
        <v>-700</v>
      </c>
      <c r="X525" s="59">
        <f t="shared" si="57"/>
        <v>0</v>
      </c>
      <c r="Y525" s="59">
        <f t="shared" si="58"/>
        <v>-700</v>
      </c>
      <c r="Z525" s="59">
        <v>700</v>
      </c>
      <c r="AA525" s="59">
        <f t="shared" si="59"/>
        <v>0</v>
      </c>
      <c r="AB525" s="59">
        <f t="shared" si="56"/>
        <v>700</v>
      </c>
      <c r="AD525" s="50" t="s">
        <v>2701</v>
      </c>
      <c r="AF525" s="59"/>
      <c r="AG525" s="59"/>
    </row>
    <row r="526" spans="1:33" x14ac:dyDescent="0.3">
      <c r="A526" s="49">
        <v>9</v>
      </c>
      <c r="B526" s="41" t="s">
        <v>1120</v>
      </c>
      <c r="C526" s="50" t="s">
        <v>1273</v>
      </c>
      <c r="D526" s="50" t="s">
        <v>1593</v>
      </c>
      <c r="E526" s="50" t="s">
        <v>25</v>
      </c>
      <c r="F526" s="51" t="s">
        <v>25</v>
      </c>
      <c r="G526" s="50" t="s">
        <v>866</v>
      </c>
      <c r="H526" s="59">
        <v>3292.53</v>
      </c>
      <c r="I526" s="59">
        <v>-1161.0200000000002</v>
      </c>
      <c r="J526" s="59">
        <v>0</v>
      </c>
      <c r="K526" s="59">
        <v>0</v>
      </c>
      <c r="L526" s="59">
        <v>-39.580000000000005</v>
      </c>
      <c r="M526" s="59">
        <v>-40</v>
      </c>
      <c r="N526" s="59">
        <v>0</v>
      </c>
      <c r="O526" s="59">
        <f t="shared" si="54"/>
        <v>2051.9300000000003</v>
      </c>
      <c r="P526" s="59">
        <v>-2700</v>
      </c>
      <c r="Q526" s="59">
        <v>0</v>
      </c>
      <c r="R526" s="59">
        <v>0</v>
      </c>
      <c r="S526" s="59">
        <v>0</v>
      </c>
      <c r="T526" s="59">
        <v>0</v>
      </c>
      <c r="U526" s="59">
        <v>0</v>
      </c>
      <c r="V526" s="59">
        <v>0</v>
      </c>
      <c r="W526" s="59">
        <f t="shared" si="55"/>
        <v>-648.06999999999971</v>
      </c>
      <c r="X526" s="59">
        <f t="shared" si="57"/>
        <v>0</v>
      </c>
      <c r="Y526" s="59">
        <f t="shared" si="58"/>
        <v>-648.06999999999971</v>
      </c>
      <c r="Z526" s="59">
        <v>648</v>
      </c>
      <c r="AA526" s="59">
        <f t="shared" si="59"/>
        <v>-6.9999999999708962E-2</v>
      </c>
      <c r="AB526" s="59">
        <f t="shared" si="56"/>
        <v>2699.8600000000006</v>
      </c>
      <c r="AD526" s="50" t="s">
        <v>2702</v>
      </c>
      <c r="AF526" s="59"/>
      <c r="AG526" s="59"/>
    </row>
    <row r="527" spans="1:33" x14ac:dyDescent="0.3">
      <c r="A527" s="49">
        <v>9</v>
      </c>
      <c r="B527" s="41" t="s">
        <v>515</v>
      </c>
      <c r="C527" s="50" t="s">
        <v>645</v>
      </c>
      <c r="D527" s="50" t="s">
        <v>1122</v>
      </c>
      <c r="E527" s="50" t="s">
        <v>25</v>
      </c>
      <c r="F527" s="51" t="s">
        <v>25</v>
      </c>
      <c r="G527" s="50" t="s">
        <v>866</v>
      </c>
      <c r="H527" s="59">
        <v>0</v>
      </c>
      <c r="I527" s="59">
        <v>0</v>
      </c>
      <c r="J527" s="59">
        <v>0</v>
      </c>
      <c r="K527" s="59">
        <v>0</v>
      </c>
      <c r="L527" s="59">
        <v>0</v>
      </c>
      <c r="M527" s="59">
        <v>0</v>
      </c>
      <c r="N527" s="59">
        <v>0</v>
      </c>
      <c r="O527" s="59">
        <f t="shared" si="54"/>
        <v>0</v>
      </c>
      <c r="P527" s="59">
        <f>(-2500/7)*1</f>
        <v>-357.14285714285717</v>
      </c>
      <c r="Q527" s="59">
        <v>0</v>
      </c>
      <c r="R527" s="59">
        <v>0</v>
      </c>
      <c r="S527" s="59">
        <v>0</v>
      </c>
      <c r="T527" s="59">
        <v>0</v>
      </c>
      <c r="U527" s="59">
        <v>0</v>
      </c>
      <c r="V527" s="59">
        <v>0</v>
      </c>
      <c r="W527" s="59">
        <f t="shared" si="55"/>
        <v>-357.14285714285717</v>
      </c>
      <c r="X527" s="59">
        <f t="shared" si="57"/>
        <v>0</v>
      </c>
      <c r="Y527" s="59">
        <f t="shared" si="58"/>
        <v>-357.14285714285717</v>
      </c>
      <c r="Z527" s="59">
        <v>357</v>
      </c>
      <c r="AA527" s="59">
        <f t="shared" si="59"/>
        <v>-0.14285714285716722</v>
      </c>
      <c r="AB527" s="59">
        <f t="shared" si="56"/>
        <v>356.85714285714283</v>
      </c>
      <c r="AD527" s="50" t="s">
        <v>2682</v>
      </c>
      <c r="AF527" s="59"/>
      <c r="AG527" s="59"/>
    </row>
    <row r="528" spans="1:33" x14ac:dyDescent="0.3">
      <c r="A528" s="49">
        <v>9</v>
      </c>
      <c r="B528" s="41" t="s">
        <v>515</v>
      </c>
      <c r="C528" s="50" t="s">
        <v>360</v>
      </c>
      <c r="D528" s="50" t="s">
        <v>1158</v>
      </c>
      <c r="E528" s="50" t="s">
        <v>25</v>
      </c>
      <c r="F528" s="51" t="s">
        <v>25</v>
      </c>
      <c r="G528" s="50" t="s">
        <v>866</v>
      </c>
      <c r="H528" s="59">
        <v>7234.42</v>
      </c>
      <c r="I528" s="59">
        <v>-498.87</v>
      </c>
      <c r="J528" s="59">
        <v>-40.799999999999997</v>
      </c>
      <c r="K528" s="59">
        <v>19.579999999999998</v>
      </c>
      <c r="L528" s="59">
        <v>0</v>
      </c>
      <c r="M528" s="59">
        <v>-28.466800000000003</v>
      </c>
      <c r="N528" s="59">
        <v>-28.890000000000015</v>
      </c>
      <c r="O528" s="59">
        <f t="shared" si="54"/>
        <v>6656.9731999999995</v>
      </c>
      <c r="P528" s="59">
        <f>(-2700/7)*6</f>
        <v>-2314.2857142857142</v>
      </c>
      <c r="R528" s="59">
        <v>0</v>
      </c>
      <c r="S528" s="59">
        <v>0</v>
      </c>
      <c r="T528" s="59">
        <v>0</v>
      </c>
      <c r="U528" s="59">
        <v>0</v>
      </c>
      <c r="V528" s="59">
        <v>0</v>
      </c>
      <c r="W528" s="59">
        <f t="shared" si="55"/>
        <v>4342.6874857142848</v>
      </c>
      <c r="X528" s="59">
        <f t="shared" si="57"/>
        <v>4342.6874857142848</v>
      </c>
      <c r="Y528" s="59">
        <f t="shared" si="58"/>
        <v>0</v>
      </c>
      <c r="Z528" s="59">
        <v>0</v>
      </c>
      <c r="AA528" s="59">
        <f t="shared" si="59"/>
        <v>0</v>
      </c>
      <c r="AB528" s="59">
        <f t="shared" si="56"/>
        <v>2314.2857142857147</v>
      </c>
      <c r="AD528" s="50" t="s">
        <v>2673</v>
      </c>
      <c r="AF528" s="59"/>
      <c r="AG528" s="59"/>
    </row>
    <row r="529" spans="1:33" x14ac:dyDescent="0.3">
      <c r="A529" s="49">
        <v>9</v>
      </c>
      <c r="B529" s="41" t="s">
        <v>515</v>
      </c>
      <c r="C529" s="50" t="s">
        <v>110</v>
      </c>
      <c r="D529" s="50" t="s">
        <v>912</v>
      </c>
      <c r="E529" s="50" t="s">
        <v>18</v>
      </c>
      <c r="F529" s="51" t="s">
        <v>25</v>
      </c>
      <c r="G529" s="50" t="s">
        <v>866</v>
      </c>
      <c r="H529" s="59">
        <v>0</v>
      </c>
      <c r="I529" s="59">
        <v>0</v>
      </c>
      <c r="J529" s="59">
        <v>0</v>
      </c>
      <c r="K529" s="59">
        <v>0</v>
      </c>
      <c r="L529" s="59">
        <v>0</v>
      </c>
      <c r="M529" s="59">
        <v>0</v>
      </c>
      <c r="N529" s="59">
        <v>0</v>
      </c>
      <c r="O529" s="59">
        <f t="shared" si="54"/>
        <v>0</v>
      </c>
      <c r="P529" s="59">
        <v>0</v>
      </c>
      <c r="Q529" s="59">
        <v>0</v>
      </c>
      <c r="R529" s="59">
        <v>0</v>
      </c>
      <c r="S529" s="59">
        <v>0</v>
      </c>
      <c r="T529" s="59">
        <v>-700</v>
      </c>
      <c r="U529" s="59">
        <v>0</v>
      </c>
      <c r="V529" s="59">
        <v>0</v>
      </c>
      <c r="W529" s="59">
        <f t="shared" si="55"/>
        <v>-700</v>
      </c>
      <c r="X529" s="59">
        <f t="shared" si="57"/>
        <v>0</v>
      </c>
      <c r="Y529" s="59">
        <f t="shared" si="58"/>
        <v>-700</v>
      </c>
      <c r="Z529" s="59">
        <v>700</v>
      </c>
      <c r="AA529" s="59">
        <f t="shared" si="59"/>
        <v>0</v>
      </c>
      <c r="AB529" s="59">
        <f t="shared" si="56"/>
        <v>700</v>
      </c>
      <c r="AD529" s="50" t="s">
        <v>2682</v>
      </c>
      <c r="AF529" s="59"/>
      <c r="AG529" s="59"/>
    </row>
    <row r="530" spans="1:33" x14ac:dyDescent="0.3">
      <c r="A530" s="49">
        <v>9</v>
      </c>
      <c r="B530" s="41" t="s">
        <v>2703</v>
      </c>
      <c r="C530" s="50" t="s">
        <v>104</v>
      </c>
      <c r="D530" s="50" t="s">
        <v>1419</v>
      </c>
      <c r="E530" s="50" t="s">
        <v>25</v>
      </c>
      <c r="F530" s="51" t="s">
        <v>25</v>
      </c>
      <c r="G530" s="50" t="s">
        <v>866</v>
      </c>
      <c r="H530" s="59">
        <v>5024.3900000000003</v>
      </c>
      <c r="I530" s="59">
        <v>-2530.2600000000002</v>
      </c>
      <c r="J530" s="59">
        <v>0</v>
      </c>
      <c r="K530" s="59">
        <v>0</v>
      </c>
      <c r="L530" s="59">
        <v>0</v>
      </c>
      <c r="M530" s="59">
        <v>-55</v>
      </c>
      <c r="N530" s="59">
        <v>0</v>
      </c>
      <c r="O530" s="59">
        <f t="shared" si="54"/>
        <v>2439.13</v>
      </c>
      <c r="P530" s="59">
        <v>-2500</v>
      </c>
      <c r="Q530" s="59">
        <v>0</v>
      </c>
      <c r="R530" s="59">
        <v>-500</v>
      </c>
      <c r="S530" s="59">
        <v>0</v>
      </c>
      <c r="T530" s="59">
        <v>0</v>
      </c>
      <c r="U530" s="59">
        <v>0</v>
      </c>
      <c r="V530" s="59">
        <v>0</v>
      </c>
      <c r="W530" s="59">
        <f t="shared" si="55"/>
        <v>-560.86999999999989</v>
      </c>
      <c r="X530" s="59">
        <f t="shared" si="57"/>
        <v>0</v>
      </c>
      <c r="Y530" s="59">
        <f t="shared" si="58"/>
        <v>-560.86999999999989</v>
      </c>
      <c r="Z530" s="59">
        <v>561</v>
      </c>
      <c r="AA530" s="59">
        <f t="shared" si="59"/>
        <v>0.13000000000010914</v>
      </c>
      <c r="AB530" s="59">
        <f t="shared" si="56"/>
        <v>3000.26</v>
      </c>
      <c r="AD530" s="50" t="s">
        <v>2704</v>
      </c>
      <c r="AF530" s="59"/>
      <c r="AG530" s="59"/>
    </row>
    <row r="531" spans="1:33" x14ac:dyDescent="0.3">
      <c r="A531" s="49">
        <v>9</v>
      </c>
      <c r="B531" s="41" t="s">
        <v>1088</v>
      </c>
      <c r="C531" s="50" t="s">
        <v>257</v>
      </c>
      <c r="D531" s="50" t="s">
        <v>943</v>
      </c>
      <c r="E531" s="50" t="s">
        <v>25</v>
      </c>
      <c r="F531" s="51" t="s">
        <v>25</v>
      </c>
      <c r="G531" s="50" t="s">
        <v>866</v>
      </c>
      <c r="H531" s="59">
        <v>3585.41</v>
      </c>
      <c r="I531" s="59">
        <v>0</v>
      </c>
      <c r="J531" s="59">
        <v>-76.8</v>
      </c>
      <c r="K531" s="59">
        <v>0</v>
      </c>
      <c r="L531" s="59">
        <v>-28.5</v>
      </c>
      <c r="M531" s="59">
        <v>0</v>
      </c>
      <c r="N531" s="59">
        <v>0</v>
      </c>
      <c r="O531" s="59">
        <f t="shared" si="54"/>
        <v>3480.1099999999997</v>
      </c>
      <c r="P531" s="59">
        <v>-2500</v>
      </c>
      <c r="Q531" s="59">
        <v>0</v>
      </c>
      <c r="R531" s="59">
        <v>0</v>
      </c>
      <c r="S531" s="59">
        <v>0</v>
      </c>
      <c r="T531" s="59">
        <v>-700</v>
      </c>
      <c r="U531" s="59">
        <v>0</v>
      </c>
      <c r="V531" s="59">
        <v>0</v>
      </c>
      <c r="W531" s="59">
        <f t="shared" si="55"/>
        <v>280.10999999999967</v>
      </c>
      <c r="X531" s="59">
        <f t="shared" si="57"/>
        <v>280.10999999999967</v>
      </c>
      <c r="Y531" s="59">
        <f t="shared" si="58"/>
        <v>0</v>
      </c>
      <c r="Z531" s="59">
        <v>0</v>
      </c>
      <c r="AA531" s="59">
        <f t="shared" si="59"/>
        <v>0</v>
      </c>
      <c r="AB531" s="59">
        <f t="shared" si="56"/>
        <v>3200</v>
      </c>
      <c r="AD531" s="50" t="s">
        <v>2673</v>
      </c>
      <c r="AF531" s="59"/>
      <c r="AG531" s="59"/>
    </row>
    <row r="532" spans="1:33" x14ac:dyDescent="0.3">
      <c r="A532" s="49">
        <v>9</v>
      </c>
      <c r="B532" s="41" t="s">
        <v>1509</v>
      </c>
      <c r="C532" s="50" t="s">
        <v>798</v>
      </c>
      <c r="D532" s="50" t="s">
        <v>1599</v>
      </c>
      <c r="E532" s="50" t="s">
        <v>39</v>
      </c>
      <c r="F532" s="51" t="s">
        <v>39</v>
      </c>
      <c r="G532" s="50" t="s">
        <v>866</v>
      </c>
      <c r="H532" s="59">
        <v>4536.34</v>
      </c>
      <c r="I532" s="59">
        <v>-1297.19</v>
      </c>
      <c r="J532" s="59">
        <v>-24.8</v>
      </c>
      <c r="K532" s="59">
        <v>0</v>
      </c>
      <c r="L532" s="59">
        <v>-43.6</v>
      </c>
      <c r="M532" s="59">
        <v>-50</v>
      </c>
      <c r="N532" s="59">
        <v>0</v>
      </c>
      <c r="O532" s="59">
        <f t="shared" si="54"/>
        <v>3120.75</v>
      </c>
      <c r="P532" s="59">
        <v>-2500</v>
      </c>
      <c r="Q532" s="59">
        <v>0</v>
      </c>
      <c r="R532" s="59">
        <v>-500</v>
      </c>
      <c r="S532" s="59">
        <v>0</v>
      </c>
      <c r="T532" s="59">
        <v>0</v>
      </c>
      <c r="U532" s="59">
        <v>0</v>
      </c>
      <c r="V532" s="59">
        <v>0</v>
      </c>
      <c r="W532" s="59">
        <f t="shared" si="55"/>
        <v>120.75</v>
      </c>
      <c r="X532" s="59">
        <f t="shared" si="57"/>
        <v>120.75</v>
      </c>
      <c r="Y532" s="59">
        <f t="shared" si="58"/>
        <v>0</v>
      </c>
      <c r="Z532" s="59">
        <v>0</v>
      </c>
      <c r="AA532" s="59">
        <f t="shared" si="59"/>
        <v>0</v>
      </c>
      <c r="AB532" s="59">
        <f t="shared" si="56"/>
        <v>3000</v>
      </c>
      <c r="AD532" s="50" t="s">
        <v>2673</v>
      </c>
      <c r="AF532" s="59"/>
      <c r="AG532" s="59"/>
    </row>
    <row r="533" spans="1:33" x14ac:dyDescent="0.3">
      <c r="A533" s="49">
        <v>9</v>
      </c>
      <c r="B533" s="41" t="s">
        <v>1100</v>
      </c>
      <c r="C533" s="50" t="s">
        <v>213</v>
      </c>
      <c r="D533" s="50" t="s">
        <v>1116</v>
      </c>
      <c r="E533" s="50" t="s">
        <v>39</v>
      </c>
      <c r="F533" s="51" t="s">
        <v>39</v>
      </c>
      <c r="G533" s="50" t="s">
        <v>866</v>
      </c>
      <c r="H533" s="59">
        <v>443.53</v>
      </c>
      <c r="I533" s="59">
        <v>0</v>
      </c>
      <c r="J533" s="59">
        <v>0</v>
      </c>
      <c r="K533" s="59">
        <v>9.7899999999999991</v>
      </c>
      <c r="L533" s="59">
        <v>-4.1100000000000003</v>
      </c>
      <c r="M533" s="59">
        <v>0</v>
      </c>
      <c r="N533" s="59">
        <v>0</v>
      </c>
      <c r="O533" s="59">
        <f t="shared" ref="O533:O546" si="60">IF(H533+I533&lt;0,SUM(J533:N533),SUM(H533:N533))</f>
        <v>449.21</v>
      </c>
      <c r="P533" s="59">
        <f>(-2500/7)*2.5</f>
        <v>-892.85714285714289</v>
      </c>
      <c r="Q533" s="59">
        <f>-3633*1.12</f>
        <v>-4068.9600000000005</v>
      </c>
      <c r="R533" s="59">
        <v>5000</v>
      </c>
      <c r="S533" s="59">
        <v>0</v>
      </c>
      <c r="T533" s="59">
        <v>0</v>
      </c>
      <c r="U533" s="59">
        <v>0</v>
      </c>
      <c r="V533" s="59">
        <v>0</v>
      </c>
      <c r="W533" s="59">
        <f t="shared" si="55"/>
        <v>487.39285714285688</v>
      </c>
      <c r="X533" s="59">
        <f t="shared" si="57"/>
        <v>487.39285714285688</v>
      </c>
      <c r="Y533" s="59">
        <f t="shared" si="58"/>
        <v>0</v>
      </c>
      <c r="Z533" s="59">
        <v>0</v>
      </c>
      <c r="AA533" s="59">
        <f t="shared" si="59"/>
        <v>0</v>
      </c>
      <c r="AB533" s="59">
        <f t="shared" si="56"/>
        <v>-38.182857142856903</v>
      </c>
      <c r="AD533" s="50" t="s">
        <v>2705</v>
      </c>
      <c r="AF533" s="59"/>
      <c r="AG533" s="59"/>
    </row>
    <row r="534" spans="1:33" x14ac:dyDescent="0.3">
      <c r="A534" s="49">
        <v>9</v>
      </c>
      <c r="B534" s="41" t="s">
        <v>1401</v>
      </c>
      <c r="C534" s="50" t="s">
        <v>1464</v>
      </c>
      <c r="D534" s="50" t="s">
        <v>1602</v>
      </c>
      <c r="E534" s="50" t="s">
        <v>25</v>
      </c>
      <c r="F534" s="51" t="s">
        <v>25</v>
      </c>
      <c r="G534" s="50" t="s">
        <v>866</v>
      </c>
      <c r="H534" s="59">
        <v>4716.16</v>
      </c>
      <c r="I534" s="59">
        <v>-1184.3599999999999</v>
      </c>
      <c r="J534" s="59">
        <v>0</v>
      </c>
      <c r="K534" s="59">
        <v>0</v>
      </c>
      <c r="L534" s="59">
        <v>0</v>
      </c>
      <c r="M534" s="59">
        <v>-40</v>
      </c>
      <c r="N534" s="59">
        <v>0</v>
      </c>
      <c r="O534" s="59">
        <f t="shared" si="60"/>
        <v>3491.8</v>
      </c>
      <c r="P534" s="59">
        <f>(-2700/7)*6.5</f>
        <v>-2507.1428571428573</v>
      </c>
      <c r="Q534" s="59">
        <v>0</v>
      </c>
      <c r="R534" s="59">
        <v>-357</v>
      </c>
      <c r="S534" s="59">
        <v>0</v>
      </c>
      <c r="T534" s="59">
        <v>0</v>
      </c>
      <c r="U534" s="59">
        <v>0</v>
      </c>
      <c r="V534" s="59">
        <v>0</v>
      </c>
      <c r="W534" s="59">
        <f t="shared" si="55"/>
        <v>627.65714285714284</v>
      </c>
      <c r="X534" s="59">
        <f t="shared" si="57"/>
        <v>627.65714285714284</v>
      </c>
      <c r="Y534" s="59">
        <f t="shared" si="58"/>
        <v>0</v>
      </c>
      <c r="Z534" s="59">
        <v>0</v>
      </c>
      <c r="AA534" s="59">
        <f t="shared" si="59"/>
        <v>0</v>
      </c>
      <c r="AB534" s="59">
        <f t="shared" si="56"/>
        <v>2864.1428571428573</v>
      </c>
      <c r="AD534" s="50" t="s">
        <v>2706</v>
      </c>
      <c r="AF534" s="59"/>
      <c r="AG534" s="59"/>
    </row>
    <row r="535" spans="1:33" x14ac:dyDescent="0.3">
      <c r="A535" s="49">
        <v>9</v>
      </c>
      <c r="B535" s="41" t="s">
        <v>1297</v>
      </c>
      <c r="C535" s="50" t="s">
        <v>480</v>
      </c>
      <c r="D535" s="50" t="s">
        <v>1243</v>
      </c>
      <c r="E535" s="50" t="s">
        <v>25</v>
      </c>
      <c r="F535" s="51" t="s">
        <v>25</v>
      </c>
      <c r="G535" s="50" t="s">
        <v>866</v>
      </c>
      <c r="H535" s="59">
        <v>5050.3500000000004</v>
      </c>
      <c r="I535" s="59">
        <v>-1937.3000000000004</v>
      </c>
      <c r="J535" s="59">
        <v>-105.6</v>
      </c>
      <c r="K535" s="59">
        <v>0</v>
      </c>
      <c r="L535" s="59">
        <v>0</v>
      </c>
      <c r="M535" s="59">
        <v>-50</v>
      </c>
      <c r="N535" s="59">
        <v>0</v>
      </c>
      <c r="O535" s="59">
        <f t="shared" si="60"/>
        <v>2957.4500000000003</v>
      </c>
      <c r="P535" s="59">
        <v>-2700</v>
      </c>
      <c r="Q535" s="59">
        <v>0</v>
      </c>
      <c r="R535" s="59">
        <v>0</v>
      </c>
      <c r="S535" s="59">
        <v>0</v>
      </c>
      <c r="T535" s="59">
        <v>-500</v>
      </c>
      <c r="U535" s="59">
        <v>0</v>
      </c>
      <c r="V535" s="59">
        <v>0</v>
      </c>
      <c r="W535" s="59">
        <f t="shared" si="55"/>
        <v>-242.54999999999973</v>
      </c>
      <c r="X535" s="59">
        <f t="shared" si="57"/>
        <v>0</v>
      </c>
      <c r="Y535" s="59">
        <f t="shared" si="58"/>
        <v>-242.54999999999973</v>
      </c>
      <c r="Z535" s="59">
        <v>243</v>
      </c>
      <c r="AA535" s="59">
        <f t="shared" si="59"/>
        <v>0.45000000000027285</v>
      </c>
      <c r="AB535" s="59">
        <f t="shared" si="56"/>
        <v>3200.9000000000005</v>
      </c>
      <c r="AD535" s="50" t="s">
        <v>2707</v>
      </c>
      <c r="AF535" s="59"/>
      <c r="AG535" s="59"/>
    </row>
    <row r="536" spans="1:33" x14ac:dyDescent="0.3">
      <c r="A536" s="49">
        <v>9</v>
      </c>
      <c r="B536" s="41" t="s">
        <v>1412</v>
      </c>
      <c r="C536" s="50" t="s">
        <v>774</v>
      </c>
      <c r="D536" s="50" t="s">
        <v>1605</v>
      </c>
      <c r="E536" s="50" t="s">
        <v>25</v>
      </c>
      <c r="F536" s="51" t="s">
        <v>25</v>
      </c>
      <c r="G536" s="50" t="s">
        <v>866</v>
      </c>
      <c r="H536" s="59">
        <v>5289.34</v>
      </c>
      <c r="I536" s="59">
        <v>-3733.6300000000006</v>
      </c>
      <c r="J536" s="59">
        <v>0</v>
      </c>
      <c r="K536" s="59">
        <v>0</v>
      </c>
      <c r="L536" s="59">
        <v>-60.280000000000015</v>
      </c>
      <c r="M536" s="59">
        <v>-65</v>
      </c>
      <c r="N536" s="59">
        <v>0</v>
      </c>
      <c r="O536" s="59">
        <f t="shared" si="60"/>
        <v>1430.4299999999996</v>
      </c>
      <c r="P536" s="59">
        <v>-2500</v>
      </c>
      <c r="Q536" s="59">
        <v>0</v>
      </c>
      <c r="R536" s="59">
        <v>-500</v>
      </c>
      <c r="S536" s="59">
        <v>0</v>
      </c>
      <c r="T536" s="59">
        <v>0</v>
      </c>
      <c r="U536" s="59">
        <v>0</v>
      </c>
      <c r="V536" s="59">
        <v>0</v>
      </c>
      <c r="W536" s="59">
        <f t="shared" si="55"/>
        <v>-1569.5700000000004</v>
      </c>
      <c r="X536" s="59">
        <f t="shared" si="57"/>
        <v>0</v>
      </c>
      <c r="Y536" s="59">
        <f t="shared" si="58"/>
        <v>-1569.5700000000004</v>
      </c>
      <c r="Z536" s="59">
        <v>1570</v>
      </c>
      <c r="AA536" s="59">
        <f t="shared" si="59"/>
        <v>0.42999999999960892</v>
      </c>
      <c r="AB536" s="59">
        <f t="shared" si="56"/>
        <v>3000.8599999999988</v>
      </c>
      <c r="AD536" s="50" t="s">
        <v>2708</v>
      </c>
      <c r="AF536" s="59"/>
      <c r="AG536" s="59"/>
    </row>
    <row r="537" spans="1:33" x14ac:dyDescent="0.3">
      <c r="A537" s="49">
        <v>9</v>
      </c>
      <c r="B537" s="41" t="s">
        <v>1003</v>
      </c>
      <c r="C537" s="50" t="s">
        <v>1409</v>
      </c>
      <c r="E537" s="50" t="s">
        <v>25</v>
      </c>
      <c r="F537" s="51" t="s">
        <v>25</v>
      </c>
      <c r="G537" s="50" t="s">
        <v>866</v>
      </c>
      <c r="H537" s="59">
        <v>1724.87</v>
      </c>
      <c r="I537" s="59">
        <v>0</v>
      </c>
      <c r="J537" s="59">
        <v>0</v>
      </c>
      <c r="K537" s="59">
        <v>0</v>
      </c>
      <c r="L537" s="59">
        <v>0</v>
      </c>
      <c r="M537" s="59">
        <v>-27.36</v>
      </c>
      <c r="N537" s="59">
        <v>-228</v>
      </c>
      <c r="O537" s="59">
        <f t="shared" si="60"/>
        <v>1469.51</v>
      </c>
      <c r="P537" s="59">
        <v>-2500</v>
      </c>
      <c r="Q537" s="59">
        <v>0</v>
      </c>
      <c r="R537" s="59">
        <v>0</v>
      </c>
      <c r="S537" s="59">
        <v>0</v>
      </c>
      <c r="T537" s="59">
        <v>-2500</v>
      </c>
      <c r="U537" s="59">
        <v>601</v>
      </c>
      <c r="V537" s="59">
        <v>0</v>
      </c>
      <c r="W537" s="59">
        <f t="shared" si="55"/>
        <v>-2929.49</v>
      </c>
      <c r="X537" s="59">
        <f t="shared" si="57"/>
        <v>0</v>
      </c>
      <c r="Y537" s="59">
        <f t="shared" si="58"/>
        <v>-2929.49</v>
      </c>
      <c r="Z537" s="59">
        <v>2800</v>
      </c>
      <c r="AA537" s="59">
        <f t="shared" si="59"/>
        <v>-129.48999999999978</v>
      </c>
      <c r="AB537" s="59">
        <f t="shared" si="56"/>
        <v>4140.0200000000004</v>
      </c>
      <c r="AD537" s="50" t="s">
        <v>2709</v>
      </c>
      <c r="AF537" s="59"/>
      <c r="AG537" s="59"/>
    </row>
    <row r="538" spans="1:33" x14ac:dyDescent="0.3">
      <c r="A538" s="49">
        <v>9</v>
      </c>
      <c r="B538" s="41" t="s">
        <v>1513</v>
      </c>
      <c r="C538" s="50" t="s">
        <v>110</v>
      </c>
      <c r="D538" s="50" t="s">
        <v>912</v>
      </c>
      <c r="E538" s="50" t="s">
        <v>18</v>
      </c>
      <c r="F538" s="51" t="s">
        <v>18</v>
      </c>
      <c r="G538" s="50" t="s">
        <v>737</v>
      </c>
      <c r="H538" s="59">
        <v>0</v>
      </c>
      <c r="I538" s="59">
        <v>0</v>
      </c>
      <c r="J538" s="59">
        <v>0</v>
      </c>
      <c r="K538" s="59">
        <v>0</v>
      </c>
      <c r="L538" s="59">
        <v>0</v>
      </c>
      <c r="M538" s="59">
        <v>0</v>
      </c>
      <c r="N538" s="59">
        <v>0</v>
      </c>
      <c r="O538" s="59">
        <f t="shared" si="60"/>
        <v>0</v>
      </c>
      <c r="P538" s="59">
        <v>-2500</v>
      </c>
      <c r="Q538" s="59">
        <v>0</v>
      </c>
      <c r="R538" s="59">
        <v>-500</v>
      </c>
      <c r="S538" s="59">
        <v>0</v>
      </c>
      <c r="T538" s="59">
        <v>0</v>
      </c>
      <c r="U538" s="59">
        <v>0</v>
      </c>
      <c r="V538" s="59">
        <v>0</v>
      </c>
      <c r="W538" s="59">
        <f t="shared" si="55"/>
        <v>-3000</v>
      </c>
      <c r="X538" s="59">
        <f t="shared" si="57"/>
        <v>0</v>
      </c>
      <c r="Y538" s="59">
        <f t="shared" si="58"/>
        <v>-3000</v>
      </c>
      <c r="Z538" s="59">
        <v>3000</v>
      </c>
      <c r="AA538" s="59">
        <f t="shared" si="59"/>
        <v>0</v>
      </c>
      <c r="AB538" s="59">
        <f t="shared" si="56"/>
        <v>3000</v>
      </c>
      <c r="AD538" s="50" t="s">
        <v>2710</v>
      </c>
      <c r="AF538" s="59"/>
      <c r="AG538" s="59"/>
    </row>
    <row r="539" spans="1:33" x14ac:dyDescent="0.3">
      <c r="A539" s="49">
        <v>9</v>
      </c>
      <c r="B539" s="41" t="s">
        <v>2006</v>
      </c>
      <c r="E539" s="50" t="s">
        <v>25</v>
      </c>
      <c r="F539" s="51" t="s">
        <v>25</v>
      </c>
      <c r="G539" s="50" t="s">
        <v>866</v>
      </c>
      <c r="H539" s="59">
        <v>665.4</v>
      </c>
      <c r="I539" s="59">
        <v>-396.03</v>
      </c>
      <c r="J539" s="59">
        <v>-18.87</v>
      </c>
      <c r="K539" s="59">
        <v>117.97</v>
      </c>
      <c r="L539" s="59">
        <v>0</v>
      </c>
      <c r="M539" s="59">
        <v>-15</v>
      </c>
      <c r="N539" s="59">
        <v>0</v>
      </c>
      <c r="O539" s="59">
        <f t="shared" si="60"/>
        <v>353.47</v>
      </c>
      <c r="P539" s="59">
        <v>-353</v>
      </c>
      <c r="Q539" s="59">
        <v>0</v>
      </c>
      <c r="R539" s="59">
        <v>0</v>
      </c>
      <c r="S539" s="59">
        <v>0</v>
      </c>
      <c r="T539" s="59">
        <v>0</v>
      </c>
      <c r="U539" s="59">
        <v>0</v>
      </c>
      <c r="V539" s="59">
        <v>0</v>
      </c>
      <c r="W539" s="59">
        <f t="shared" si="55"/>
        <v>0.47000000000002728</v>
      </c>
      <c r="X539" s="59">
        <f t="shared" si="57"/>
        <v>0.47000000000002728</v>
      </c>
      <c r="Y539" s="59">
        <f t="shared" si="58"/>
        <v>0</v>
      </c>
      <c r="Z539" s="59">
        <v>0</v>
      </c>
      <c r="AA539" s="59">
        <f t="shared" si="59"/>
        <v>0</v>
      </c>
      <c r="AB539" s="59">
        <f t="shared" si="56"/>
        <v>353</v>
      </c>
      <c r="AF539" s="59"/>
      <c r="AG539" s="59"/>
    </row>
    <row r="540" spans="1:33" x14ac:dyDescent="0.3">
      <c r="A540" s="49">
        <v>9</v>
      </c>
      <c r="B540" s="41" t="s">
        <v>1425</v>
      </c>
      <c r="C540" s="50" t="s">
        <v>426</v>
      </c>
      <c r="D540" s="50" t="s">
        <v>903</v>
      </c>
      <c r="E540" s="50" t="s">
        <v>25</v>
      </c>
      <c r="F540" s="51" t="s">
        <v>25</v>
      </c>
      <c r="G540" s="50" t="s">
        <v>866</v>
      </c>
      <c r="H540" s="59">
        <v>0</v>
      </c>
      <c r="I540" s="59">
        <v>0</v>
      </c>
      <c r="J540" s="59">
        <v>0</v>
      </c>
      <c r="K540" s="59">
        <v>0</v>
      </c>
      <c r="L540" s="59">
        <v>0</v>
      </c>
      <c r="M540" s="59">
        <v>0</v>
      </c>
      <c r="N540" s="59">
        <v>0</v>
      </c>
      <c r="O540" s="59">
        <f t="shared" si="60"/>
        <v>0</v>
      </c>
      <c r="P540" s="59">
        <v>0</v>
      </c>
      <c r="Q540" s="59">
        <v>0</v>
      </c>
      <c r="R540" s="59">
        <v>920</v>
      </c>
      <c r="S540" s="59">
        <v>0</v>
      </c>
      <c r="T540" s="59">
        <v>0</v>
      </c>
      <c r="U540" s="59">
        <v>0</v>
      </c>
      <c r="V540" s="59">
        <v>0</v>
      </c>
      <c r="W540" s="59">
        <f t="shared" si="55"/>
        <v>920</v>
      </c>
      <c r="X540" s="59">
        <f t="shared" si="57"/>
        <v>920</v>
      </c>
      <c r="Y540" s="59">
        <f t="shared" si="58"/>
        <v>0</v>
      </c>
      <c r="Z540" s="59">
        <v>0</v>
      </c>
      <c r="AA540" s="59">
        <f t="shared" si="59"/>
        <v>0</v>
      </c>
      <c r="AB540" s="59">
        <f t="shared" si="56"/>
        <v>-920</v>
      </c>
      <c r="AD540" s="50" t="s">
        <v>2673</v>
      </c>
      <c r="AF540" s="59"/>
    </row>
    <row r="541" spans="1:33" ht="14.4" x14ac:dyDescent="0.3">
      <c r="A541" s="49">
        <v>9</v>
      </c>
      <c r="B541" t="s">
        <v>1556</v>
      </c>
      <c r="C541" s="50" t="s">
        <v>347</v>
      </c>
      <c r="D541" s="50" t="s">
        <v>1122</v>
      </c>
      <c r="E541" s="50" t="s">
        <v>25</v>
      </c>
      <c r="F541" s="51" t="s">
        <v>25</v>
      </c>
      <c r="G541" s="50" t="s">
        <v>866</v>
      </c>
      <c r="H541" s="59">
        <v>0</v>
      </c>
      <c r="I541" s="59">
        <v>0</v>
      </c>
      <c r="J541" s="59">
        <v>0</v>
      </c>
      <c r="K541" s="59">
        <v>0</v>
      </c>
      <c r="L541" s="59">
        <v>0</v>
      </c>
      <c r="M541" s="59">
        <v>0</v>
      </c>
      <c r="N541" s="59">
        <v>0</v>
      </c>
      <c r="O541" s="59">
        <f t="shared" si="60"/>
        <v>0</v>
      </c>
      <c r="P541" s="59">
        <v>0</v>
      </c>
      <c r="Q541" s="59">
        <v>0</v>
      </c>
      <c r="R541" s="59">
        <v>393</v>
      </c>
      <c r="S541" s="59">
        <v>0</v>
      </c>
      <c r="T541" s="59">
        <v>0</v>
      </c>
      <c r="U541" s="59">
        <v>0</v>
      </c>
      <c r="V541" s="59">
        <v>0</v>
      </c>
      <c r="W541" s="59">
        <f t="shared" si="55"/>
        <v>393</v>
      </c>
      <c r="X541" s="59">
        <f t="shared" si="57"/>
        <v>393</v>
      </c>
      <c r="Y541" s="59">
        <f t="shared" si="58"/>
        <v>0</v>
      </c>
      <c r="Z541" s="59">
        <v>0</v>
      </c>
      <c r="AA541" s="59">
        <f t="shared" si="59"/>
        <v>0</v>
      </c>
      <c r="AB541" s="59">
        <f t="shared" si="56"/>
        <v>-393</v>
      </c>
      <c r="AD541" s="50" t="s">
        <v>2673</v>
      </c>
      <c r="AF541" s="59"/>
    </row>
    <row r="542" spans="1:33" x14ac:dyDescent="0.3">
      <c r="A542" s="49">
        <v>9</v>
      </c>
      <c r="B542" s="50" t="s">
        <v>2711</v>
      </c>
      <c r="C542" s="50" t="s">
        <v>347</v>
      </c>
      <c r="D542" s="50" t="s">
        <v>1122</v>
      </c>
      <c r="E542" s="50" t="s">
        <v>25</v>
      </c>
      <c r="F542" s="51" t="s">
        <v>25</v>
      </c>
      <c r="G542" s="50" t="s">
        <v>866</v>
      </c>
      <c r="H542" s="59">
        <v>1610.75</v>
      </c>
      <c r="I542" s="59">
        <v>-914.82</v>
      </c>
      <c r="J542" s="59">
        <v>0</v>
      </c>
      <c r="K542" s="59">
        <v>0</v>
      </c>
      <c r="L542" s="59">
        <v>0</v>
      </c>
      <c r="M542" s="59">
        <v>-35</v>
      </c>
      <c r="N542" s="59">
        <v>0</v>
      </c>
      <c r="O542" s="59">
        <f t="shared" si="60"/>
        <v>660.93</v>
      </c>
      <c r="P542" s="59">
        <f>(-2500/7)*1.5</f>
        <v>-535.71428571428578</v>
      </c>
      <c r="Q542" s="59">
        <v>0</v>
      </c>
      <c r="R542" s="59">
        <v>-107.14285714285714</v>
      </c>
      <c r="S542" s="59">
        <v>0</v>
      </c>
      <c r="T542" s="59">
        <v>0</v>
      </c>
      <c r="U542" s="59">
        <v>0</v>
      </c>
      <c r="V542" s="59">
        <v>0</v>
      </c>
      <c r="W542" s="59">
        <f t="shared" si="55"/>
        <v>18.072857142857032</v>
      </c>
      <c r="X542" s="59">
        <f t="shared" si="57"/>
        <v>18.072857142857032</v>
      </c>
      <c r="Y542" s="59">
        <f t="shared" si="58"/>
        <v>0</v>
      </c>
      <c r="Z542" s="59">
        <v>0</v>
      </c>
      <c r="AA542" s="59">
        <f t="shared" si="59"/>
        <v>0</v>
      </c>
      <c r="AB542" s="59">
        <f t="shared" si="56"/>
        <v>642.85714285714289</v>
      </c>
      <c r="AD542" s="50" t="s">
        <v>2712</v>
      </c>
      <c r="AF542" s="59"/>
    </row>
    <row r="543" spans="1:33" x14ac:dyDescent="0.3">
      <c r="A543" s="39">
        <v>9</v>
      </c>
      <c r="B543" s="41" t="s">
        <v>1515</v>
      </c>
      <c r="C543" s="50" t="s">
        <v>257</v>
      </c>
      <c r="D543" s="50" t="s">
        <v>943</v>
      </c>
      <c r="E543" s="50" t="s">
        <v>25</v>
      </c>
      <c r="F543" s="51" t="s">
        <v>25</v>
      </c>
      <c r="G543" s="50" t="s">
        <v>866</v>
      </c>
      <c r="H543" s="59">
        <v>0</v>
      </c>
      <c r="I543" s="59">
        <f>IFERROR(VLOOKUP(B543,[3]Hoja1!$J$25:$O$76,6,FALSE),0)</f>
        <v>0</v>
      </c>
      <c r="J543" s="59">
        <v>-4.1100000000000003</v>
      </c>
      <c r="K543" s="59">
        <v>25.66</v>
      </c>
      <c r="L543" s="59">
        <v>0</v>
      </c>
      <c r="M543" s="59">
        <v>0</v>
      </c>
      <c r="N543" s="59">
        <v>0</v>
      </c>
      <c r="O543" s="59">
        <f t="shared" si="60"/>
        <v>21.55</v>
      </c>
      <c r="P543" s="59">
        <v>0</v>
      </c>
      <c r="Q543" s="59">
        <v>0</v>
      </c>
      <c r="R543" s="59">
        <v>0</v>
      </c>
      <c r="S543" s="59">
        <v>0</v>
      </c>
      <c r="T543" s="59">
        <v>0</v>
      </c>
      <c r="U543" s="59">
        <v>0</v>
      </c>
      <c r="V543" s="59">
        <v>0</v>
      </c>
      <c r="W543" s="59">
        <f t="shared" si="55"/>
        <v>21.55</v>
      </c>
      <c r="X543" s="59">
        <f t="shared" si="57"/>
        <v>21.55</v>
      </c>
      <c r="Y543" s="59">
        <f t="shared" si="58"/>
        <v>0</v>
      </c>
      <c r="Z543" s="59">
        <v>0</v>
      </c>
      <c r="AA543" s="59">
        <f t="shared" si="59"/>
        <v>0</v>
      </c>
      <c r="AB543" s="59">
        <f t="shared" si="56"/>
        <v>0</v>
      </c>
      <c r="AD543" s="50" t="s">
        <v>2673</v>
      </c>
      <c r="AF543" s="59"/>
    </row>
    <row r="544" spans="1:33" ht="14.4" x14ac:dyDescent="0.3">
      <c r="A544" s="39">
        <v>9</v>
      </c>
      <c r="B544" t="s">
        <v>2004</v>
      </c>
      <c r="C544" s="50" t="s">
        <v>2005</v>
      </c>
      <c r="E544" s="50" t="s">
        <v>25</v>
      </c>
      <c r="F544" s="51" t="s">
        <v>25</v>
      </c>
      <c r="G544" s="50" t="s">
        <v>866</v>
      </c>
      <c r="H544" s="59">
        <v>50.61</v>
      </c>
      <c r="I544" s="59">
        <f>IFERROR(VLOOKUP(B544,[3]Hoja1!$J$25:$O$76,6,FALSE),0)</f>
        <v>0</v>
      </c>
      <c r="J544" s="59">
        <v>0</v>
      </c>
      <c r="K544" s="59">
        <v>0</v>
      </c>
      <c r="L544" s="59">
        <v>0</v>
      </c>
      <c r="M544" s="59">
        <v>0</v>
      </c>
      <c r="N544" s="59">
        <v>0</v>
      </c>
      <c r="O544" s="59">
        <f t="shared" si="60"/>
        <v>50.61</v>
      </c>
      <c r="P544" s="59">
        <v>-51</v>
      </c>
      <c r="Q544" s="59">
        <v>0</v>
      </c>
      <c r="R544" s="59">
        <v>0</v>
      </c>
      <c r="S544" s="59">
        <v>0</v>
      </c>
      <c r="T544" s="59">
        <v>0</v>
      </c>
      <c r="U544" s="59">
        <v>0</v>
      </c>
      <c r="V544" s="59">
        <v>0</v>
      </c>
      <c r="W544" s="59">
        <f t="shared" si="55"/>
        <v>-0.39000000000000057</v>
      </c>
      <c r="X544" s="59">
        <f t="shared" si="57"/>
        <v>0</v>
      </c>
      <c r="Y544" s="59">
        <f t="shared" si="58"/>
        <v>-0.39000000000000057</v>
      </c>
      <c r="Z544" s="59">
        <v>0</v>
      </c>
      <c r="AA544" s="59">
        <f t="shared" si="59"/>
        <v>-0.39000000000000057</v>
      </c>
      <c r="AB544" s="59">
        <f t="shared" si="56"/>
        <v>50.22</v>
      </c>
      <c r="AF544" s="59"/>
    </row>
    <row r="545" spans="1:34" x14ac:dyDescent="0.3">
      <c r="A545" s="49">
        <v>9</v>
      </c>
      <c r="B545" s="50" t="s">
        <v>2713</v>
      </c>
      <c r="E545" s="50" t="s">
        <v>25</v>
      </c>
      <c r="F545" s="51" t="s">
        <v>25</v>
      </c>
      <c r="G545" s="50" t="s">
        <v>866</v>
      </c>
      <c r="H545" s="59">
        <v>0</v>
      </c>
      <c r="I545" s="59">
        <f>IFERROR(VLOOKUP(B545,[3]Hoja1!$J$25:$O$76,6,FALSE),0)</f>
        <v>0</v>
      </c>
      <c r="J545" s="59">
        <v>-10.69</v>
      </c>
      <c r="K545" s="59">
        <v>66.8</v>
      </c>
      <c r="L545" s="59">
        <v>0</v>
      </c>
      <c r="M545" s="59">
        <v>0</v>
      </c>
      <c r="N545" s="59">
        <v>0</v>
      </c>
      <c r="O545" s="59">
        <f t="shared" si="60"/>
        <v>56.11</v>
      </c>
      <c r="P545" s="59">
        <v>-56</v>
      </c>
      <c r="Q545" s="59">
        <v>0</v>
      </c>
      <c r="R545" s="59">
        <v>0</v>
      </c>
      <c r="S545" s="59">
        <v>0</v>
      </c>
      <c r="T545" s="59">
        <v>0</v>
      </c>
      <c r="U545" s="59">
        <v>0</v>
      </c>
      <c r="V545" s="59">
        <v>0</v>
      </c>
      <c r="W545" s="59">
        <f t="shared" si="55"/>
        <v>0.10999999999999943</v>
      </c>
      <c r="X545" s="59">
        <f t="shared" si="57"/>
        <v>0.10999999999999943</v>
      </c>
      <c r="Y545" s="59">
        <f t="shared" si="58"/>
        <v>0</v>
      </c>
      <c r="Z545" s="59">
        <v>0</v>
      </c>
      <c r="AA545" s="59">
        <f t="shared" si="59"/>
        <v>0</v>
      </c>
      <c r="AB545" s="59">
        <f t="shared" si="56"/>
        <v>56</v>
      </c>
      <c r="AF545" s="59"/>
    </row>
    <row r="546" spans="1:34" x14ac:dyDescent="0.3">
      <c r="A546" s="49">
        <v>10</v>
      </c>
      <c r="B546" s="50" t="s">
        <v>2714</v>
      </c>
      <c r="C546" s="50" t="s">
        <v>213</v>
      </c>
      <c r="D546" s="50" t="s">
        <v>1169</v>
      </c>
      <c r="E546" s="50" t="s">
        <v>39</v>
      </c>
      <c r="F546" s="51" t="s">
        <v>39</v>
      </c>
      <c r="G546" s="50" t="s">
        <v>866</v>
      </c>
      <c r="H546" s="59">
        <v>704.36</v>
      </c>
      <c r="I546" s="59">
        <v>0</v>
      </c>
      <c r="J546" s="59">
        <v>0</v>
      </c>
      <c r="K546" s="59">
        <v>0</v>
      </c>
      <c r="L546" s="59">
        <v>0</v>
      </c>
      <c r="M546" s="59">
        <v>-15</v>
      </c>
      <c r="N546" s="59">
        <v>0</v>
      </c>
      <c r="O546" s="59">
        <f t="shared" si="60"/>
        <v>689.36</v>
      </c>
      <c r="P546" s="59">
        <f>(-2500/7)*2</f>
        <v>-714.28571428571433</v>
      </c>
      <c r="Q546" s="59">
        <v>0</v>
      </c>
      <c r="R546" s="59">
        <v>-142.85714285714286</v>
      </c>
      <c r="S546" s="59">
        <v>0</v>
      </c>
      <c r="T546" s="59">
        <v>0</v>
      </c>
      <c r="U546" s="59">
        <v>0</v>
      </c>
      <c r="V546" s="59">
        <v>0</v>
      </c>
      <c r="W546" s="59">
        <f t="shared" si="55"/>
        <v>-167.78285714285718</v>
      </c>
      <c r="X546" s="59">
        <f>IF(W546&gt;=0,W546,0)</f>
        <v>0</v>
      </c>
      <c r="Y546" s="59">
        <f>IF(W546&lt;=0,W546,0)</f>
        <v>-167.78285714285718</v>
      </c>
      <c r="Z546" s="59">
        <v>0</v>
      </c>
      <c r="AA546" s="59">
        <f>+Y546+Z546</f>
        <v>-167.78285714285718</v>
      </c>
      <c r="AB546" s="59">
        <f t="shared" si="56"/>
        <v>521.5771428571428</v>
      </c>
      <c r="AF546" s="59"/>
      <c r="AG546" s="50" t="s">
        <v>1044</v>
      </c>
    </row>
    <row r="547" spans="1:34" x14ac:dyDescent="0.3">
      <c r="A547" s="49">
        <v>10</v>
      </c>
      <c r="B547" s="41" t="s">
        <v>1513</v>
      </c>
      <c r="C547" s="50" t="s">
        <v>645</v>
      </c>
      <c r="D547" s="50" t="s">
        <v>2715</v>
      </c>
      <c r="E547" s="50" t="s">
        <v>25</v>
      </c>
      <c r="F547" s="51" t="s">
        <v>25</v>
      </c>
      <c r="G547" s="50" t="s">
        <v>737</v>
      </c>
      <c r="H547" s="59">
        <v>0</v>
      </c>
      <c r="I547" s="59">
        <v>0</v>
      </c>
      <c r="J547" s="59">
        <v>0</v>
      </c>
      <c r="K547" s="59">
        <v>0</v>
      </c>
      <c r="L547" s="59">
        <v>0</v>
      </c>
      <c r="M547" s="59">
        <v>0</v>
      </c>
      <c r="N547" s="59">
        <v>0</v>
      </c>
      <c r="O547" s="59">
        <f>IF(H547+I547&lt;0,SUM(J547:N547),SUM(H547:N547))</f>
        <v>0</v>
      </c>
      <c r="P547" s="59">
        <f>(-2500/7)*4.5</f>
        <v>-1607.1428571428573</v>
      </c>
      <c r="Q547" s="59">
        <v>0</v>
      </c>
      <c r="R547" s="59">
        <v>-321.42857142857144</v>
      </c>
      <c r="S547" s="59">
        <v>0</v>
      </c>
      <c r="T547" s="59">
        <v>0</v>
      </c>
      <c r="U547" s="59">
        <v>0</v>
      </c>
      <c r="V547" s="59">
        <v>0</v>
      </c>
      <c r="W547" s="59">
        <f t="shared" si="55"/>
        <v>-1928.5714285714289</v>
      </c>
      <c r="X547" s="59">
        <f>IF(W547&gt;=0,W547,0)</f>
        <v>0</v>
      </c>
      <c r="Y547" s="59">
        <f>IF(W547&lt;=0,W547,0)</f>
        <v>-1928.5714285714289</v>
      </c>
      <c r="Z547" s="59">
        <v>1929</v>
      </c>
      <c r="AA547" s="59">
        <f>+Y547+Z547</f>
        <v>0.42857142857110375</v>
      </c>
      <c r="AB547" s="59">
        <f t="shared" si="56"/>
        <v>1929.4285714285711</v>
      </c>
      <c r="AD547" s="50" t="s">
        <v>3283</v>
      </c>
      <c r="AF547" s="59"/>
    </row>
    <row r="548" spans="1:34" x14ac:dyDescent="0.3">
      <c r="A548" s="49">
        <v>10</v>
      </c>
      <c r="B548" s="41" t="s">
        <v>2716</v>
      </c>
      <c r="C548" s="50" t="s">
        <v>213</v>
      </c>
      <c r="D548" s="50" t="s">
        <v>1116</v>
      </c>
      <c r="E548" s="50" t="s">
        <v>39</v>
      </c>
      <c r="F548" s="51" t="s">
        <v>39</v>
      </c>
      <c r="G548" s="50" t="s">
        <v>866</v>
      </c>
      <c r="H548" s="59">
        <v>1304.47</v>
      </c>
      <c r="I548" s="59">
        <v>0</v>
      </c>
      <c r="J548" s="59">
        <v>0</v>
      </c>
      <c r="K548" s="59">
        <v>0</v>
      </c>
      <c r="L548" s="59">
        <v>0</v>
      </c>
      <c r="M548" s="59">
        <v>-24</v>
      </c>
      <c r="N548" s="59">
        <v>0</v>
      </c>
      <c r="O548" s="59">
        <f>IF(H548+I548&lt;0,SUM(J548:N548),SUM(H548:N548))</f>
        <v>1280.47</v>
      </c>
      <c r="P548" s="59">
        <v>-1250</v>
      </c>
      <c r="Q548" s="59">
        <v>0</v>
      </c>
      <c r="R548" s="59">
        <v>-250</v>
      </c>
      <c r="S548" s="59">
        <v>0</v>
      </c>
      <c r="T548" s="59">
        <v>0</v>
      </c>
      <c r="U548" s="59">
        <v>0</v>
      </c>
      <c r="V548" s="59">
        <v>0</v>
      </c>
      <c r="W548" s="59">
        <f t="shared" si="55"/>
        <v>-219.52999999999997</v>
      </c>
      <c r="X548" s="59">
        <f t="shared" ref="X548:X611" si="61">IF(W548&gt;=0,W548,0)</f>
        <v>0</v>
      </c>
      <c r="Y548" s="59">
        <f t="shared" ref="Y548:Y611" si="62">IF(W548&lt;=0,W548,0)</f>
        <v>-219.52999999999997</v>
      </c>
      <c r="Z548" s="59">
        <v>220</v>
      </c>
      <c r="AA548" s="59">
        <f t="shared" ref="AA548:AA611" si="63">+Y548+Z548</f>
        <v>0.47000000000002728</v>
      </c>
      <c r="AB548" s="59">
        <f t="shared" si="56"/>
        <v>1500.94</v>
      </c>
      <c r="AC548" s="59">
        <v>1800</v>
      </c>
      <c r="AD548" s="50" t="s">
        <v>3284</v>
      </c>
      <c r="AF548" s="59"/>
    </row>
    <row r="549" spans="1:34" x14ac:dyDescent="0.3">
      <c r="A549" s="49">
        <v>10</v>
      </c>
      <c r="B549" s="50" t="s">
        <v>2007</v>
      </c>
      <c r="C549" s="50" t="s">
        <v>64</v>
      </c>
      <c r="D549" s="50" t="s">
        <v>949</v>
      </c>
      <c r="E549" s="50" t="s">
        <v>25</v>
      </c>
      <c r="F549" s="50" t="s">
        <v>25</v>
      </c>
      <c r="G549" s="50" t="s">
        <v>866</v>
      </c>
      <c r="H549" s="59">
        <v>3570.3</v>
      </c>
      <c r="I549" s="59">
        <v>-2969.1299999999992</v>
      </c>
      <c r="J549" s="59">
        <v>0</v>
      </c>
      <c r="K549" s="59">
        <v>0</v>
      </c>
      <c r="L549" s="59">
        <v>0</v>
      </c>
      <c r="M549" s="59">
        <v>-55</v>
      </c>
      <c r="N549" s="59">
        <v>0</v>
      </c>
      <c r="O549" s="59">
        <f>IF(H549+I549&lt;0,SUM(J549:N549),SUM(H549:N549))</f>
        <v>546.17000000000098</v>
      </c>
      <c r="P549" s="59">
        <v>-2500</v>
      </c>
      <c r="Q549" s="59">
        <v>0</v>
      </c>
      <c r="R549" s="59">
        <v>-500</v>
      </c>
      <c r="S549" s="59">
        <v>0</v>
      </c>
      <c r="T549" s="59">
        <v>0</v>
      </c>
      <c r="U549" s="59">
        <v>0</v>
      </c>
      <c r="V549" s="59">
        <v>0</v>
      </c>
      <c r="W549" s="59">
        <f t="shared" si="55"/>
        <v>-2453.829999999999</v>
      </c>
      <c r="X549" s="59">
        <f t="shared" si="61"/>
        <v>0</v>
      </c>
      <c r="Y549" s="59">
        <f t="shared" si="62"/>
        <v>-2453.829999999999</v>
      </c>
      <c r="Z549" s="59">
        <v>2500</v>
      </c>
      <c r="AA549" s="59">
        <f t="shared" si="63"/>
        <v>46.170000000000982</v>
      </c>
      <c r="AB549" s="59">
        <f t="shared" si="56"/>
        <v>3092.340000000002</v>
      </c>
      <c r="AD549" s="50" t="s">
        <v>3285</v>
      </c>
      <c r="AF549" s="59"/>
    </row>
    <row r="550" spans="1:34" x14ac:dyDescent="0.3">
      <c r="A550" s="49">
        <v>10</v>
      </c>
      <c r="B550" s="50" t="s">
        <v>2008</v>
      </c>
      <c r="C550" s="50" t="s">
        <v>409</v>
      </c>
      <c r="D550" s="50" t="s">
        <v>946</v>
      </c>
      <c r="E550" s="50" t="s">
        <v>25</v>
      </c>
      <c r="F550" s="50" t="s">
        <v>25</v>
      </c>
      <c r="G550" s="50" t="s">
        <v>866</v>
      </c>
      <c r="H550" s="59">
        <v>2774.08</v>
      </c>
      <c r="I550" s="59">
        <v>-1269.8499999999999</v>
      </c>
      <c r="J550" s="59">
        <v>0</v>
      </c>
      <c r="K550" s="59">
        <v>0</v>
      </c>
      <c r="L550" s="59">
        <v>0</v>
      </c>
      <c r="M550" s="59">
        <v>-35</v>
      </c>
      <c r="N550" s="59">
        <v>0</v>
      </c>
      <c r="O550" s="59">
        <f t="shared" ref="O550:O613" si="64">IF(H550+I550&lt;0,SUM(J550:N550),SUM(H550:N550))</f>
        <v>1469.23</v>
      </c>
      <c r="P550" s="59">
        <v>-2500</v>
      </c>
      <c r="Q550" s="59">
        <f>-299*1.12</f>
        <v>-334.88000000000005</v>
      </c>
      <c r="R550" s="59">
        <v>-500</v>
      </c>
      <c r="S550" s="59">
        <v>0</v>
      </c>
      <c r="T550" s="59">
        <v>0</v>
      </c>
      <c r="U550" s="59">
        <v>0</v>
      </c>
      <c r="V550" s="59">
        <v>0</v>
      </c>
      <c r="W550" s="59">
        <f t="shared" si="55"/>
        <v>-1865.65</v>
      </c>
      <c r="X550" s="59">
        <f t="shared" si="61"/>
        <v>0</v>
      </c>
      <c r="Y550" s="59">
        <f t="shared" si="62"/>
        <v>-1865.65</v>
      </c>
      <c r="Z550" s="59">
        <f>400+400+300+500</f>
        <v>1600</v>
      </c>
      <c r="AA550" s="59">
        <f t="shared" si="63"/>
        <v>-265.65000000000009</v>
      </c>
      <c r="AB550" s="59">
        <f t="shared" si="56"/>
        <v>2803.58</v>
      </c>
      <c r="AD550" s="50" t="s">
        <v>3286</v>
      </c>
      <c r="AF550" s="59"/>
      <c r="AG550" s="59"/>
    </row>
    <row r="551" spans="1:34" x14ac:dyDescent="0.3">
      <c r="A551" s="49">
        <v>10</v>
      </c>
      <c r="B551" s="50" t="s">
        <v>2009</v>
      </c>
      <c r="C551" s="50" t="s">
        <v>152</v>
      </c>
      <c r="D551" s="50" t="s">
        <v>1108</v>
      </c>
      <c r="E551" s="50" t="s">
        <v>25</v>
      </c>
      <c r="F551" s="50" t="s">
        <v>25</v>
      </c>
      <c r="G551" s="50" t="s">
        <v>866</v>
      </c>
      <c r="H551" s="59">
        <v>5654.52</v>
      </c>
      <c r="I551" s="59">
        <v>-2216.1800000000007</v>
      </c>
      <c r="J551" s="59">
        <v>0</v>
      </c>
      <c r="K551" s="59">
        <v>0</v>
      </c>
      <c r="L551" s="59">
        <v>0</v>
      </c>
      <c r="M551" s="59">
        <v>-45</v>
      </c>
      <c r="N551" s="59">
        <v>0</v>
      </c>
      <c r="O551" s="59">
        <f t="shared" si="64"/>
        <v>3393.3399999999997</v>
      </c>
      <c r="P551" s="59">
        <v>-2500</v>
      </c>
      <c r="Q551" s="59">
        <v>0</v>
      </c>
      <c r="R551" s="59">
        <v>-500</v>
      </c>
      <c r="S551" s="59">
        <v>0</v>
      </c>
      <c r="T551" s="59">
        <v>0</v>
      </c>
      <c r="U551" s="59">
        <v>0</v>
      </c>
      <c r="V551" s="59">
        <v>0</v>
      </c>
      <c r="W551" s="59">
        <f t="shared" si="55"/>
        <v>393.33999999999969</v>
      </c>
      <c r="X551" s="59">
        <f t="shared" si="61"/>
        <v>393.33999999999969</v>
      </c>
      <c r="Y551" s="59">
        <f t="shared" si="62"/>
        <v>0</v>
      </c>
      <c r="Z551" s="59">
        <v>0</v>
      </c>
      <c r="AA551" s="59">
        <f t="shared" si="63"/>
        <v>0</v>
      </c>
      <c r="AB551" s="59">
        <f t="shared" si="56"/>
        <v>3000</v>
      </c>
      <c r="AD551" s="50" t="s">
        <v>3287</v>
      </c>
      <c r="AF551" s="59"/>
    </row>
    <row r="552" spans="1:34" x14ac:dyDescent="0.3">
      <c r="A552" s="49">
        <v>10</v>
      </c>
      <c r="B552" s="50" t="s">
        <v>2010</v>
      </c>
      <c r="C552" s="50" t="s">
        <v>1316</v>
      </c>
      <c r="D552" s="50" t="s">
        <v>3281</v>
      </c>
      <c r="E552" s="50" t="s">
        <v>25</v>
      </c>
      <c r="F552" s="50" t="s">
        <v>25</v>
      </c>
      <c r="G552" s="50" t="s">
        <v>866</v>
      </c>
      <c r="H552" s="59">
        <v>6103.72</v>
      </c>
      <c r="I552" s="59">
        <v>0</v>
      </c>
      <c r="J552" s="59">
        <v>0</v>
      </c>
      <c r="K552" s="59">
        <v>0</v>
      </c>
      <c r="L552" s="59">
        <v>0</v>
      </c>
      <c r="M552" s="59">
        <v>0</v>
      </c>
      <c r="N552" s="59">
        <v>0</v>
      </c>
      <c r="O552" s="59">
        <f t="shared" si="64"/>
        <v>6103.72</v>
      </c>
      <c r="P552" s="59">
        <v>-2700</v>
      </c>
      <c r="Q552" s="59">
        <v>0</v>
      </c>
      <c r="R552" s="59">
        <v>-500</v>
      </c>
      <c r="S552" s="59">
        <v>0</v>
      </c>
      <c r="T552" s="59">
        <v>0</v>
      </c>
      <c r="U552" s="59">
        <v>0</v>
      </c>
      <c r="V552" s="59">
        <v>0</v>
      </c>
      <c r="W552" s="59">
        <f t="shared" si="55"/>
        <v>2903.7200000000003</v>
      </c>
      <c r="X552" s="59">
        <f t="shared" si="61"/>
        <v>2903.7200000000003</v>
      </c>
      <c r="Y552" s="59">
        <f t="shared" si="62"/>
        <v>0</v>
      </c>
      <c r="Z552" s="59">
        <v>0</v>
      </c>
      <c r="AA552" s="59">
        <f t="shared" si="63"/>
        <v>0</v>
      </c>
      <c r="AB552" s="59">
        <f t="shared" si="56"/>
        <v>3200</v>
      </c>
      <c r="AF552" s="59"/>
    </row>
    <row r="553" spans="1:34" x14ac:dyDescent="0.3">
      <c r="A553" s="49">
        <v>10</v>
      </c>
      <c r="B553" s="50" t="s">
        <v>2011</v>
      </c>
      <c r="C553" s="50" t="s">
        <v>46</v>
      </c>
      <c r="D553" s="50" t="s">
        <v>915</v>
      </c>
      <c r="E553" s="50" t="s">
        <v>25</v>
      </c>
      <c r="F553" s="50" t="s">
        <v>25</v>
      </c>
      <c r="G553" s="50" t="s">
        <v>866</v>
      </c>
      <c r="H553" s="59">
        <v>6574.22</v>
      </c>
      <c r="I553" s="59">
        <v>-4400.8499999999995</v>
      </c>
      <c r="J553" s="59">
        <v>0</v>
      </c>
      <c r="K553" s="59">
        <v>0</v>
      </c>
      <c r="L553" s="59">
        <v>0</v>
      </c>
      <c r="M553" s="59">
        <f>-8.4-65</f>
        <v>-73.400000000000006</v>
      </c>
      <c r="N553" s="59">
        <v>-70</v>
      </c>
      <c r="O553" s="59">
        <f t="shared" si="64"/>
        <v>2029.9700000000007</v>
      </c>
      <c r="P553" s="59">
        <v>-2500</v>
      </c>
      <c r="Q553" s="59">
        <v>0</v>
      </c>
      <c r="R553" s="59">
        <v>-500</v>
      </c>
      <c r="S553" s="59">
        <v>0</v>
      </c>
      <c r="T553" s="59">
        <v>0</v>
      </c>
      <c r="U553" s="59">
        <v>0</v>
      </c>
      <c r="V553" s="59">
        <v>0</v>
      </c>
      <c r="W553" s="59">
        <f t="shared" si="55"/>
        <v>-970.02999999999929</v>
      </c>
      <c r="X553" s="59">
        <f t="shared" si="61"/>
        <v>0</v>
      </c>
      <c r="Y553" s="59">
        <f t="shared" si="62"/>
        <v>-970.02999999999929</v>
      </c>
      <c r="Z553" s="59">
        <v>970</v>
      </c>
      <c r="AA553" s="59">
        <f t="shared" si="63"/>
        <v>-2.9999999999290594E-2</v>
      </c>
      <c r="AB553" s="59">
        <f t="shared" si="56"/>
        <v>2999.9400000000014</v>
      </c>
      <c r="AD553" s="50" t="s">
        <v>3288</v>
      </c>
      <c r="AF553" s="59"/>
    </row>
    <row r="554" spans="1:34" x14ac:dyDescent="0.3">
      <c r="A554" s="49">
        <v>10</v>
      </c>
      <c r="B554" s="50" t="s">
        <v>2012</v>
      </c>
      <c r="C554" s="50" t="s">
        <v>361</v>
      </c>
      <c r="D554" s="50" t="s">
        <v>1164</v>
      </c>
      <c r="E554" s="50" t="s">
        <v>25</v>
      </c>
      <c r="F554" s="50" t="s">
        <v>25</v>
      </c>
      <c r="G554" s="50" t="s">
        <v>866</v>
      </c>
      <c r="H554" s="59">
        <v>3052.81</v>
      </c>
      <c r="I554" s="59">
        <v>0</v>
      </c>
      <c r="J554" s="59">
        <v>0</v>
      </c>
      <c r="K554" s="59">
        <v>0</v>
      </c>
      <c r="L554" s="59">
        <v>0</v>
      </c>
      <c r="M554" s="59">
        <v>-13.92</v>
      </c>
      <c r="N554" s="59">
        <v>-116</v>
      </c>
      <c r="O554" s="59">
        <f t="shared" si="64"/>
        <v>2922.89</v>
      </c>
      <c r="P554" s="59">
        <v>-2700</v>
      </c>
      <c r="Q554" s="59">
        <v>0</v>
      </c>
      <c r="R554" s="59">
        <v>-500</v>
      </c>
      <c r="S554" s="59">
        <v>0</v>
      </c>
      <c r="T554" s="59">
        <v>0</v>
      </c>
      <c r="U554" s="59">
        <v>0</v>
      </c>
      <c r="V554" s="59">
        <v>0</v>
      </c>
      <c r="W554" s="59">
        <f t="shared" si="55"/>
        <v>-277.11000000000013</v>
      </c>
      <c r="X554" s="59">
        <f t="shared" si="61"/>
        <v>0</v>
      </c>
      <c r="Y554" s="59">
        <f t="shared" si="62"/>
        <v>-277.11000000000013</v>
      </c>
      <c r="Z554" s="59">
        <v>0</v>
      </c>
      <c r="AA554" s="59">
        <f t="shared" si="63"/>
        <v>-277.11000000000013</v>
      </c>
      <c r="AB554" s="59">
        <f t="shared" si="56"/>
        <v>2645.7799999999997</v>
      </c>
      <c r="AF554" s="59"/>
    </row>
    <row r="555" spans="1:34" x14ac:dyDescent="0.3">
      <c r="A555" s="49">
        <v>10</v>
      </c>
      <c r="B555" s="50" t="s">
        <v>1956</v>
      </c>
      <c r="C555" s="50" t="s">
        <v>257</v>
      </c>
      <c r="D555" s="50" t="s">
        <v>1605</v>
      </c>
      <c r="E555" s="50" t="s">
        <v>25</v>
      </c>
      <c r="F555" s="50" t="s">
        <v>25</v>
      </c>
      <c r="G555" s="50" t="s">
        <v>866</v>
      </c>
      <c r="H555" s="59">
        <v>753.64</v>
      </c>
      <c r="I555" s="59">
        <v>-219.93</v>
      </c>
      <c r="J555" s="59">
        <v>0</v>
      </c>
      <c r="K555" s="59">
        <v>0</v>
      </c>
      <c r="L555" s="59">
        <v>0</v>
      </c>
      <c r="M555" s="59">
        <f>-8.88-8</f>
        <v>-16.880000000000003</v>
      </c>
      <c r="N555" s="59">
        <v>-74</v>
      </c>
      <c r="O555" s="59">
        <f t="shared" si="64"/>
        <v>442.83000000000004</v>
      </c>
      <c r="P555" s="59">
        <v>-2500</v>
      </c>
      <c r="Q555" s="59">
        <v>0</v>
      </c>
      <c r="R555" s="59">
        <v>-500</v>
      </c>
      <c r="S555" s="59">
        <v>0</v>
      </c>
      <c r="T555" s="59">
        <v>0</v>
      </c>
      <c r="U555" s="59">
        <v>0</v>
      </c>
      <c r="V555" s="59">
        <v>0</v>
      </c>
      <c r="W555" s="59">
        <f t="shared" si="55"/>
        <v>-2557.17</v>
      </c>
      <c r="X555" s="59">
        <f t="shared" si="61"/>
        <v>0</v>
      </c>
      <c r="Y555" s="59">
        <f t="shared" si="62"/>
        <v>-2557.17</v>
      </c>
      <c r="Z555" s="59">
        <v>2557</v>
      </c>
      <c r="AA555" s="59">
        <f t="shared" si="63"/>
        <v>-0.17000000000007276</v>
      </c>
      <c r="AB555" s="59">
        <f t="shared" si="56"/>
        <v>2999.66</v>
      </c>
      <c r="AD555" s="50" t="s">
        <v>3289</v>
      </c>
      <c r="AF555" s="59"/>
    </row>
    <row r="556" spans="1:34" x14ac:dyDescent="0.3">
      <c r="A556" s="49">
        <v>10</v>
      </c>
      <c r="B556" s="50" t="s">
        <v>1958</v>
      </c>
      <c r="C556" s="50" t="s">
        <v>51</v>
      </c>
      <c r="D556" s="50" t="s">
        <v>1115</v>
      </c>
      <c r="E556" s="50" t="s">
        <v>25</v>
      </c>
      <c r="F556" s="50" t="s">
        <v>25</v>
      </c>
      <c r="G556" s="50" t="s">
        <v>866</v>
      </c>
      <c r="H556" s="59">
        <v>3929.19</v>
      </c>
      <c r="I556" s="59">
        <v>0</v>
      </c>
      <c r="J556" s="59">
        <v>-38.4</v>
      </c>
      <c r="K556" s="59">
        <v>0</v>
      </c>
      <c r="L556" s="59">
        <v>0</v>
      </c>
      <c r="M556" s="59">
        <v>0</v>
      </c>
      <c r="N556" s="59">
        <v>0</v>
      </c>
      <c r="O556" s="59">
        <f t="shared" si="64"/>
        <v>3890.79</v>
      </c>
      <c r="P556" s="59">
        <v>-2500</v>
      </c>
      <c r="Q556" s="59">
        <v>0</v>
      </c>
      <c r="R556" s="59">
        <v>-500</v>
      </c>
      <c r="S556" s="59">
        <v>0</v>
      </c>
      <c r="T556" s="59">
        <v>0</v>
      </c>
      <c r="U556" s="59">
        <v>0</v>
      </c>
      <c r="V556" s="59">
        <v>0</v>
      </c>
      <c r="W556" s="59">
        <f t="shared" si="55"/>
        <v>890.79</v>
      </c>
      <c r="X556" s="59">
        <f t="shared" si="61"/>
        <v>890.79</v>
      </c>
      <c r="Y556" s="59">
        <f t="shared" si="62"/>
        <v>0</v>
      </c>
      <c r="Z556" s="59">
        <v>0</v>
      </c>
      <c r="AA556" s="59">
        <f t="shared" si="63"/>
        <v>0</v>
      </c>
      <c r="AB556" s="59">
        <f t="shared" si="56"/>
        <v>3000</v>
      </c>
      <c r="AF556" s="59"/>
    </row>
    <row r="557" spans="1:34" x14ac:dyDescent="0.3">
      <c r="A557" s="49">
        <v>10</v>
      </c>
      <c r="B557" s="50" t="s">
        <v>1960</v>
      </c>
      <c r="C557" s="50" t="s">
        <v>123</v>
      </c>
      <c r="D557" s="50" t="s">
        <v>1608</v>
      </c>
      <c r="E557" s="50" t="s">
        <v>25</v>
      </c>
      <c r="F557" s="50" t="s">
        <v>25</v>
      </c>
      <c r="G557" s="50" t="s">
        <v>737</v>
      </c>
      <c r="H557" s="59">
        <v>4514.83</v>
      </c>
      <c r="I557" s="59">
        <v>-2823.73</v>
      </c>
      <c r="J557" s="59">
        <v>-285.19673</v>
      </c>
      <c r="K557" s="59">
        <v>0</v>
      </c>
      <c r="L557" s="59">
        <v>0</v>
      </c>
      <c r="M557" s="59">
        <v>-55</v>
      </c>
      <c r="N557" s="59">
        <v>0</v>
      </c>
      <c r="O557" s="59">
        <f t="shared" si="64"/>
        <v>1350.9032699999998</v>
      </c>
      <c r="P557" s="59">
        <v>-2500</v>
      </c>
      <c r="Q557" s="59">
        <f>(-2279.96737*1.12)</f>
        <v>-2553.5634544</v>
      </c>
      <c r="R557" s="59">
        <v>-500</v>
      </c>
      <c r="S557" s="59">
        <v>0</v>
      </c>
      <c r="T557" s="59">
        <v>0</v>
      </c>
      <c r="U557" s="59">
        <v>0</v>
      </c>
      <c r="V557" s="59">
        <v>0</v>
      </c>
      <c r="W557" s="59">
        <f t="shared" si="55"/>
        <v>-4202.6601843999997</v>
      </c>
      <c r="X557" s="59">
        <v>0</v>
      </c>
      <c r="Y557" s="59">
        <f t="shared" si="62"/>
        <v>-4202.6601843999997</v>
      </c>
      <c r="Z557" s="59">
        <v>2000</v>
      </c>
      <c r="AA557" s="59">
        <f t="shared" si="63"/>
        <v>-2202.6601843999997</v>
      </c>
      <c r="AB557" s="59">
        <f t="shared" si="56"/>
        <v>1148.2430856000001</v>
      </c>
      <c r="AD557" s="50" t="s">
        <v>3290</v>
      </c>
      <c r="AF557" s="59"/>
    </row>
    <row r="558" spans="1:34" x14ac:dyDescent="0.3">
      <c r="A558" s="237">
        <v>10</v>
      </c>
      <c r="B558" s="41" t="s">
        <v>1010</v>
      </c>
      <c r="C558" s="50" t="s">
        <v>409</v>
      </c>
      <c r="D558" s="50" t="s">
        <v>946</v>
      </c>
      <c r="E558" s="50" t="s">
        <v>25</v>
      </c>
      <c r="F558" s="51" t="s">
        <v>25</v>
      </c>
      <c r="G558" s="50" t="s">
        <v>866</v>
      </c>
      <c r="H558" s="59">
        <v>2097.39</v>
      </c>
      <c r="I558" s="59">
        <v>-200</v>
      </c>
      <c r="J558" s="59">
        <v>0</v>
      </c>
      <c r="K558" s="59">
        <v>-11.79</v>
      </c>
      <c r="L558" s="59">
        <v>-22.84</v>
      </c>
      <c r="M558" s="59">
        <f>-62.448-8</f>
        <v>-70.448000000000008</v>
      </c>
      <c r="N558" s="59">
        <v>-520.4</v>
      </c>
      <c r="O558" s="238">
        <f t="shared" si="64"/>
        <v>1271.9119999999998</v>
      </c>
      <c r="P558" s="238">
        <v>-3500</v>
      </c>
      <c r="Q558" s="238">
        <f>-28*1.12</f>
        <v>-31.360000000000003</v>
      </c>
      <c r="R558" s="238">
        <v>0</v>
      </c>
      <c r="S558" s="238">
        <v>0</v>
      </c>
      <c r="T558" s="238">
        <v>0</v>
      </c>
      <c r="U558" s="238">
        <v>0</v>
      </c>
      <c r="V558" s="238">
        <v>0</v>
      </c>
      <c r="W558" s="238">
        <f t="shared" si="55"/>
        <v>-2259.4480000000003</v>
      </c>
      <c r="X558" s="238">
        <f t="shared" si="61"/>
        <v>0</v>
      </c>
      <c r="Y558" s="238">
        <f t="shared" si="62"/>
        <v>-2259.4480000000003</v>
      </c>
      <c r="Z558" s="238">
        <f>1567+230</f>
        <v>1797</v>
      </c>
      <c r="AA558" s="238">
        <f t="shared" si="63"/>
        <v>-462.44800000000032</v>
      </c>
      <c r="AB558" s="238">
        <f>+O558-X558+Z558+AA558</f>
        <v>2606.4639999999995</v>
      </c>
      <c r="AD558" s="50" t="s">
        <v>3291</v>
      </c>
      <c r="AF558" s="59"/>
    </row>
    <row r="559" spans="1:34" x14ac:dyDescent="0.3">
      <c r="A559" s="49">
        <v>10</v>
      </c>
      <c r="B559" s="41" t="s">
        <v>1142</v>
      </c>
      <c r="C559" s="50" t="s">
        <v>1443</v>
      </c>
      <c r="D559" s="50" t="s">
        <v>1554</v>
      </c>
      <c r="E559" s="50" t="s">
        <v>25</v>
      </c>
      <c r="F559" s="51" t="s">
        <v>25</v>
      </c>
      <c r="G559" s="50" t="s">
        <v>866</v>
      </c>
      <c r="H559" s="59">
        <v>2602.44</v>
      </c>
      <c r="I559" s="59">
        <v>-1138.7999999999997</v>
      </c>
      <c r="J559" s="59">
        <v>0</v>
      </c>
      <c r="K559" s="59">
        <v>0</v>
      </c>
      <c r="L559" s="59">
        <v>0</v>
      </c>
      <c r="M559" s="59">
        <f>-4.0032-35</f>
        <v>-39.0032</v>
      </c>
      <c r="N559" s="59">
        <v>-33.360000000000014</v>
      </c>
      <c r="O559" s="59">
        <f t="shared" si="64"/>
        <v>1391.2768000000001</v>
      </c>
      <c r="P559" s="59">
        <v>-2700</v>
      </c>
      <c r="Q559" s="59">
        <f>-1930*1.12</f>
        <v>-2161.6000000000004</v>
      </c>
      <c r="R559" s="59">
        <v>-500</v>
      </c>
      <c r="S559" s="59">
        <v>0</v>
      </c>
      <c r="T559" s="59">
        <v>0</v>
      </c>
      <c r="U559" s="59">
        <v>0</v>
      </c>
      <c r="V559" s="59">
        <v>0</v>
      </c>
      <c r="W559" s="59">
        <f t="shared" si="55"/>
        <v>-3970.3232000000003</v>
      </c>
      <c r="X559" s="59">
        <f t="shared" si="61"/>
        <v>0</v>
      </c>
      <c r="Y559" s="59">
        <f t="shared" si="62"/>
        <v>-3970.3232000000003</v>
      </c>
      <c r="Z559" s="59">
        <v>1000</v>
      </c>
      <c r="AA559" s="59">
        <f t="shared" si="63"/>
        <v>-2970.3232000000003</v>
      </c>
      <c r="AB559" s="59">
        <f t="shared" si="56"/>
        <v>-579.04640000000018</v>
      </c>
      <c r="AD559" s="50" t="s">
        <v>3292</v>
      </c>
      <c r="AF559" s="59"/>
      <c r="AH559" s="50" t="s">
        <v>1044</v>
      </c>
    </row>
    <row r="560" spans="1:34" x14ac:dyDescent="0.3">
      <c r="A560" s="49">
        <v>10</v>
      </c>
      <c r="B560" s="41" t="s">
        <v>1558</v>
      </c>
      <c r="C560" s="50" t="s">
        <v>571</v>
      </c>
      <c r="D560" s="50" t="s">
        <v>974</v>
      </c>
      <c r="E560" s="50" t="s">
        <v>25</v>
      </c>
      <c r="F560" s="51" t="s">
        <v>25</v>
      </c>
      <c r="G560" s="50" t="s">
        <v>866</v>
      </c>
      <c r="H560" s="59">
        <v>4709.54</v>
      </c>
      <c r="I560" s="59">
        <v>-3407.3700000000003</v>
      </c>
      <c r="J560" s="59">
        <v>0</v>
      </c>
      <c r="K560" s="59">
        <v>0</v>
      </c>
      <c r="L560" s="59">
        <v>0</v>
      </c>
      <c r="M560" s="59">
        <v>-65</v>
      </c>
      <c r="N560" s="59">
        <v>0</v>
      </c>
      <c r="O560" s="59">
        <f t="shared" si="64"/>
        <v>1237.1699999999996</v>
      </c>
      <c r="P560" s="59">
        <f>(-2500/7)*7</f>
        <v>-2500</v>
      </c>
      <c r="Q560" s="59">
        <v>0</v>
      </c>
      <c r="R560" s="59">
        <v>-500</v>
      </c>
      <c r="S560" s="59">
        <v>0</v>
      </c>
      <c r="T560" s="59">
        <v>0</v>
      </c>
      <c r="U560" s="59">
        <v>0</v>
      </c>
      <c r="V560" s="59">
        <v>0</v>
      </c>
      <c r="W560" s="59">
        <f t="shared" si="55"/>
        <v>-1762.8300000000004</v>
      </c>
      <c r="X560" s="59">
        <f t="shared" si="61"/>
        <v>0</v>
      </c>
      <c r="Y560" s="59">
        <f t="shared" si="62"/>
        <v>-1762.8300000000004</v>
      </c>
      <c r="Z560" s="59">
        <f>1063+700</f>
        <v>1763</v>
      </c>
      <c r="AA560" s="59">
        <f t="shared" si="63"/>
        <v>0.16999999999961801</v>
      </c>
      <c r="AB560" s="59">
        <f t="shared" si="56"/>
        <v>3000.3399999999992</v>
      </c>
      <c r="AD560" s="50" t="s">
        <v>3293</v>
      </c>
      <c r="AF560" s="59"/>
    </row>
    <row r="561" spans="1:32" x14ac:dyDescent="0.3">
      <c r="A561" s="49">
        <v>10</v>
      </c>
      <c r="B561" s="41" t="s">
        <v>585</v>
      </c>
      <c r="C561" s="50" t="s">
        <v>42</v>
      </c>
      <c r="D561" s="50" t="s">
        <v>948</v>
      </c>
      <c r="E561" s="50" t="s">
        <v>25</v>
      </c>
      <c r="F561" s="51" t="s">
        <v>25</v>
      </c>
      <c r="G561" s="50" t="s">
        <v>866</v>
      </c>
      <c r="H561" s="59">
        <v>0</v>
      </c>
      <c r="I561" s="59">
        <v>0</v>
      </c>
      <c r="J561" s="59">
        <v>0</v>
      </c>
      <c r="K561" s="59">
        <v>0</v>
      </c>
      <c r="L561" s="59">
        <v>0</v>
      </c>
      <c r="M561" s="59">
        <v>0</v>
      </c>
      <c r="N561" s="59">
        <v>0</v>
      </c>
      <c r="O561" s="59">
        <f t="shared" si="64"/>
        <v>0</v>
      </c>
      <c r="P561" s="59">
        <v>-2500</v>
      </c>
      <c r="Q561" s="59">
        <v>0</v>
      </c>
      <c r="R561" s="59">
        <v>0</v>
      </c>
      <c r="S561" s="59">
        <v>0</v>
      </c>
      <c r="T561" s="59">
        <v>0</v>
      </c>
      <c r="U561" s="59">
        <v>0</v>
      </c>
      <c r="V561" s="59">
        <v>0</v>
      </c>
      <c r="W561" s="59">
        <f t="shared" si="55"/>
        <v>-2500</v>
      </c>
      <c r="X561" s="59">
        <f t="shared" si="61"/>
        <v>0</v>
      </c>
      <c r="Y561" s="59">
        <f t="shared" si="62"/>
        <v>-2500</v>
      </c>
      <c r="Z561" s="59">
        <v>2500</v>
      </c>
      <c r="AA561" s="59">
        <f t="shared" si="63"/>
        <v>0</v>
      </c>
      <c r="AB561" s="59">
        <f t="shared" si="56"/>
        <v>2500</v>
      </c>
      <c r="AD561" s="50" t="s">
        <v>3294</v>
      </c>
      <c r="AF561" s="59"/>
    </row>
    <row r="562" spans="1:32" x14ac:dyDescent="0.3">
      <c r="A562" s="49">
        <v>10</v>
      </c>
      <c r="B562" s="41" t="s">
        <v>837</v>
      </c>
      <c r="C562" s="50" t="s">
        <v>357</v>
      </c>
      <c r="D562" s="50" t="s">
        <v>1150</v>
      </c>
      <c r="E562" s="50" t="s">
        <v>25</v>
      </c>
      <c r="F562" s="51" t="s">
        <v>25</v>
      </c>
      <c r="G562" s="50" t="s">
        <v>866</v>
      </c>
      <c r="H562" s="59">
        <v>11087.22</v>
      </c>
      <c r="I562" s="59">
        <v>0</v>
      </c>
      <c r="J562" s="59">
        <v>-344.8</v>
      </c>
      <c r="K562" s="59">
        <v>34.26</v>
      </c>
      <c r="L562" s="59">
        <v>0</v>
      </c>
      <c r="M562" s="59">
        <v>-1.3319999999999992</v>
      </c>
      <c r="N562" s="59">
        <v>-11.099999999999994</v>
      </c>
      <c r="O562" s="59">
        <f t="shared" si="64"/>
        <v>10764.248</v>
      </c>
      <c r="P562" s="59">
        <v>-2700</v>
      </c>
      <c r="Q562" s="59">
        <v>0</v>
      </c>
      <c r="R562" s="59">
        <v>0</v>
      </c>
      <c r="S562" s="59">
        <v>0</v>
      </c>
      <c r="T562" s="59">
        <v>0</v>
      </c>
      <c r="U562" s="59">
        <v>0</v>
      </c>
      <c r="V562" s="59">
        <v>0</v>
      </c>
      <c r="W562" s="59">
        <f t="shared" si="55"/>
        <v>8064.2479999999996</v>
      </c>
      <c r="X562" s="59">
        <f t="shared" si="61"/>
        <v>8064.2479999999996</v>
      </c>
      <c r="Y562" s="59">
        <f t="shared" si="62"/>
        <v>0</v>
      </c>
      <c r="Z562" s="59">
        <v>0</v>
      </c>
      <c r="AA562" s="59">
        <f t="shared" si="63"/>
        <v>0</v>
      </c>
      <c r="AB562" s="59">
        <f t="shared" si="56"/>
        <v>2700</v>
      </c>
      <c r="AF562" s="59"/>
    </row>
    <row r="563" spans="1:32" x14ac:dyDescent="0.3">
      <c r="A563" s="49">
        <v>10</v>
      </c>
      <c r="B563" s="41" t="s">
        <v>1454</v>
      </c>
      <c r="C563" s="50" t="s">
        <v>563</v>
      </c>
      <c r="D563" s="50" t="s">
        <v>1230</v>
      </c>
      <c r="E563" s="50" t="s">
        <v>25</v>
      </c>
      <c r="F563" s="51" t="s">
        <v>25</v>
      </c>
      <c r="G563" s="50" t="s">
        <v>866</v>
      </c>
      <c r="H563" s="59">
        <v>3081.63</v>
      </c>
      <c r="I563" s="59">
        <v>-337.03</v>
      </c>
      <c r="J563" s="59">
        <v>0</v>
      </c>
      <c r="K563" s="59">
        <v>0</v>
      </c>
      <c r="L563" s="59">
        <v>0</v>
      </c>
      <c r="M563" s="59">
        <v>-10</v>
      </c>
      <c r="N563" s="59">
        <v>0</v>
      </c>
      <c r="O563" s="59">
        <f t="shared" si="64"/>
        <v>2734.6000000000004</v>
      </c>
      <c r="P563" s="59">
        <v>-2500</v>
      </c>
      <c r="Q563" s="59">
        <v>0</v>
      </c>
      <c r="R563" s="59">
        <v>-286</v>
      </c>
      <c r="S563" s="59">
        <v>0</v>
      </c>
      <c r="T563" s="59">
        <v>0</v>
      </c>
      <c r="U563" s="59">
        <v>0</v>
      </c>
      <c r="V563" s="59">
        <v>0</v>
      </c>
      <c r="W563" s="59">
        <f t="shared" si="55"/>
        <v>-51.399999999999636</v>
      </c>
      <c r="X563" s="59">
        <f t="shared" si="61"/>
        <v>0</v>
      </c>
      <c r="Y563" s="59">
        <f t="shared" si="62"/>
        <v>-51.399999999999636</v>
      </c>
      <c r="Z563" s="59">
        <v>51</v>
      </c>
      <c r="AA563" s="59">
        <f t="shared" si="63"/>
        <v>-0.3999999999996362</v>
      </c>
      <c r="AB563" s="59">
        <f t="shared" si="56"/>
        <v>2785.2000000000007</v>
      </c>
      <c r="AD563" s="50" t="s">
        <v>3295</v>
      </c>
      <c r="AF563" s="59"/>
    </row>
    <row r="564" spans="1:32" x14ac:dyDescent="0.3">
      <c r="A564" s="49">
        <v>10</v>
      </c>
      <c r="B564" s="41" t="s">
        <v>944</v>
      </c>
      <c r="C564" s="50" t="s">
        <v>372</v>
      </c>
      <c r="D564" s="50" t="s">
        <v>1004</v>
      </c>
      <c r="E564" s="50" t="s">
        <v>39</v>
      </c>
      <c r="F564" s="51" t="s">
        <v>39</v>
      </c>
      <c r="G564" s="50" t="s">
        <v>866</v>
      </c>
      <c r="H564" s="59">
        <v>6860.75</v>
      </c>
      <c r="I564" s="59">
        <v>-1762.59</v>
      </c>
      <c r="J564" s="59">
        <v>0</v>
      </c>
      <c r="K564" s="59">
        <v>0</v>
      </c>
      <c r="L564" s="59">
        <v>0</v>
      </c>
      <c r="M564" s="59">
        <v>-19</v>
      </c>
      <c r="N564" s="59">
        <v>0</v>
      </c>
      <c r="O564" s="59">
        <f t="shared" si="64"/>
        <v>5079.16</v>
      </c>
      <c r="P564" s="59">
        <v>-2500</v>
      </c>
      <c r="Q564" s="59">
        <v>0</v>
      </c>
      <c r="R564" s="59">
        <v>0</v>
      </c>
      <c r="S564" s="59">
        <v>0</v>
      </c>
      <c r="T564" s="59">
        <v>0</v>
      </c>
      <c r="U564" s="59">
        <v>0</v>
      </c>
      <c r="V564" s="59">
        <v>0</v>
      </c>
      <c r="W564" s="59">
        <f t="shared" si="55"/>
        <v>2579.16</v>
      </c>
      <c r="X564" s="59">
        <f t="shared" si="61"/>
        <v>2579.16</v>
      </c>
      <c r="Y564" s="59">
        <f t="shared" si="62"/>
        <v>0</v>
      </c>
      <c r="Z564" s="59">
        <v>0</v>
      </c>
      <c r="AA564" s="59">
        <f t="shared" si="63"/>
        <v>0</v>
      </c>
      <c r="AB564" s="59">
        <f t="shared" si="56"/>
        <v>2500</v>
      </c>
      <c r="AF564" s="59"/>
    </row>
    <row r="565" spans="1:32" x14ac:dyDescent="0.3">
      <c r="A565" s="49">
        <v>10</v>
      </c>
      <c r="B565" s="41" t="s">
        <v>1453</v>
      </c>
      <c r="C565" s="50" t="s">
        <v>1829</v>
      </c>
      <c r="D565" s="50" t="s">
        <v>3279</v>
      </c>
      <c r="E565" s="50" t="s">
        <v>25</v>
      </c>
      <c r="F565" s="51" t="s">
        <v>25</v>
      </c>
      <c r="G565" s="50" t="s">
        <v>866</v>
      </c>
      <c r="H565" s="59">
        <v>6937.67</v>
      </c>
      <c r="I565" s="59">
        <v>-2362.4899999999998</v>
      </c>
      <c r="J565" s="59">
        <v>-51.2</v>
      </c>
      <c r="K565" s="59">
        <v>0</v>
      </c>
      <c r="L565" s="59">
        <v>0</v>
      </c>
      <c r="M565" s="59">
        <v>-45</v>
      </c>
      <c r="N565" s="59">
        <v>0</v>
      </c>
      <c r="O565" s="59">
        <f t="shared" si="64"/>
        <v>4478.9800000000005</v>
      </c>
      <c r="P565" s="59">
        <v>-2700</v>
      </c>
      <c r="Q565" s="59">
        <v>0</v>
      </c>
      <c r="R565" s="59">
        <v>-179</v>
      </c>
      <c r="S565" s="59">
        <v>0</v>
      </c>
      <c r="T565" s="59">
        <v>0</v>
      </c>
      <c r="U565" s="59">
        <v>0</v>
      </c>
      <c r="V565" s="59">
        <v>0</v>
      </c>
      <c r="W565" s="59">
        <f t="shared" si="55"/>
        <v>1599.9800000000005</v>
      </c>
      <c r="X565" s="59">
        <f t="shared" si="61"/>
        <v>1599.9800000000005</v>
      </c>
      <c r="Y565" s="59">
        <f t="shared" si="62"/>
        <v>0</v>
      </c>
      <c r="Z565" s="59">
        <v>0</v>
      </c>
      <c r="AA565" s="59">
        <f t="shared" si="63"/>
        <v>0</v>
      </c>
      <c r="AB565" s="59">
        <f t="shared" si="56"/>
        <v>2879</v>
      </c>
      <c r="AF565" s="59"/>
    </row>
    <row r="566" spans="1:32" x14ac:dyDescent="0.3">
      <c r="A566" s="49">
        <v>10</v>
      </c>
      <c r="B566" s="41" t="s">
        <v>604</v>
      </c>
      <c r="C566" s="50" t="s">
        <v>605</v>
      </c>
      <c r="D566" s="50" t="s">
        <v>1223</v>
      </c>
      <c r="E566" s="50" t="s">
        <v>25</v>
      </c>
      <c r="F566" s="51" t="s">
        <v>25</v>
      </c>
      <c r="G566" s="50" t="s">
        <v>866</v>
      </c>
      <c r="H566" s="59">
        <v>5072.38</v>
      </c>
      <c r="I566" s="59">
        <v>-1465.45</v>
      </c>
      <c r="J566" s="59">
        <v>0</v>
      </c>
      <c r="K566" s="59">
        <v>0</v>
      </c>
      <c r="L566" s="59">
        <v>0</v>
      </c>
      <c r="M566" s="59">
        <v>-40</v>
      </c>
      <c r="N566" s="59">
        <v>0</v>
      </c>
      <c r="O566" s="59">
        <f t="shared" si="64"/>
        <v>3566.9300000000003</v>
      </c>
      <c r="P566" s="59">
        <v>-2700</v>
      </c>
      <c r="Q566" s="59">
        <v>-1225</v>
      </c>
      <c r="R566" s="59">
        <v>0</v>
      </c>
      <c r="S566" s="59">
        <v>0</v>
      </c>
      <c r="T566" s="59">
        <v>0</v>
      </c>
      <c r="U566" s="59">
        <v>0</v>
      </c>
      <c r="V566" s="59">
        <v>0</v>
      </c>
      <c r="W566" s="59">
        <f t="shared" si="55"/>
        <v>-358.06999999999971</v>
      </c>
      <c r="X566" s="59">
        <f t="shared" si="61"/>
        <v>0</v>
      </c>
      <c r="Y566" s="59">
        <f t="shared" si="62"/>
        <v>-358.06999999999971</v>
      </c>
      <c r="Z566" s="59">
        <v>358</v>
      </c>
      <c r="AA566" s="59">
        <f t="shared" si="63"/>
        <v>-6.9999999999708962E-2</v>
      </c>
      <c r="AB566" s="59">
        <f t="shared" si="56"/>
        <v>3924.8600000000006</v>
      </c>
      <c r="AD566" s="50" t="s">
        <v>3296</v>
      </c>
      <c r="AF566" s="59"/>
    </row>
    <row r="567" spans="1:32" x14ac:dyDescent="0.3">
      <c r="A567" s="49">
        <v>10</v>
      </c>
      <c r="B567" s="41" t="s">
        <v>1029</v>
      </c>
      <c r="C567" s="50" t="s">
        <v>68</v>
      </c>
      <c r="D567" s="50" t="s">
        <v>869</v>
      </c>
      <c r="E567" s="50" t="s">
        <v>25</v>
      </c>
      <c r="F567" s="51" t="s">
        <v>25</v>
      </c>
      <c r="G567" s="50" t="s">
        <v>866</v>
      </c>
      <c r="H567" s="59">
        <v>6203.31</v>
      </c>
      <c r="I567" s="59">
        <v>-359.3</v>
      </c>
      <c r="J567" s="59">
        <v>0</v>
      </c>
      <c r="K567" s="59">
        <v>0</v>
      </c>
      <c r="L567" s="59">
        <v>-52.23</v>
      </c>
      <c r="M567" s="59">
        <v>-10</v>
      </c>
      <c r="N567" s="59">
        <v>0</v>
      </c>
      <c r="O567" s="59">
        <f t="shared" si="64"/>
        <v>5781.7800000000007</v>
      </c>
      <c r="P567" s="59">
        <v>-2500</v>
      </c>
      <c r="Q567" s="59">
        <v>0</v>
      </c>
      <c r="R567" s="59">
        <v>0</v>
      </c>
      <c r="S567" s="59">
        <v>0</v>
      </c>
      <c r="T567" s="59">
        <v>0</v>
      </c>
      <c r="U567" s="59">
        <v>0</v>
      </c>
      <c r="V567" s="59">
        <v>0</v>
      </c>
      <c r="W567" s="59">
        <f t="shared" si="55"/>
        <v>3281.7800000000007</v>
      </c>
      <c r="X567" s="59">
        <f t="shared" si="61"/>
        <v>3281.7800000000007</v>
      </c>
      <c r="Y567" s="59">
        <f t="shared" si="62"/>
        <v>0</v>
      </c>
      <c r="Z567" s="59">
        <v>0</v>
      </c>
      <c r="AA567" s="59">
        <f t="shared" si="63"/>
        <v>0</v>
      </c>
      <c r="AB567" s="59">
        <f t="shared" si="56"/>
        <v>2500</v>
      </c>
      <c r="AF567" s="59"/>
    </row>
    <row r="568" spans="1:32" x14ac:dyDescent="0.3">
      <c r="A568" s="49">
        <v>10</v>
      </c>
      <c r="B568" s="41" t="s">
        <v>1449</v>
      </c>
      <c r="C568" s="50" t="s">
        <v>1611</v>
      </c>
      <c r="D568" s="50" t="s">
        <v>3280</v>
      </c>
      <c r="E568" s="50" t="s">
        <v>25</v>
      </c>
      <c r="F568" s="51" t="s">
        <v>25</v>
      </c>
      <c r="G568" s="50" t="s">
        <v>866</v>
      </c>
      <c r="H568" s="59">
        <v>10311.77</v>
      </c>
      <c r="I568" s="59">
        <v>-4863.8199999999988</v>
      </c>
      <c r="J568" s="59">
        <v>-144.07999999999998</v>
      </c>
      <c r="K568" s="59">
        <v>391.7</v>
      </c>
      <c r="L568" s="59">
        <v>0</v>
      </c>
      <c r="M568" s="59">
        <v>-75</v>
      </c>
      <c r="N568" s="59">
        <v>0</v>
      </c>
      <c r="O568" s="59">
        <f t="shared" si="64"/>
        <v>5620.5700000000015</v>
      </c>
      <c r="P568" s="59">
        <v>-2500</v>
      </c>
      <c r="Q568" s="59">
        <v>0</v>
      </c>
      <c r="R568" s="59">
        <v>-393</v>
      </c>
      <c r="S568" s="59">
        <v>0</v>
      </c>
      <c r="T568" s="59">
        <v>0</v>
      </c>
      <c r="U568" s="59">
        <v>0</v>
      </c>
      <c r="V568" s="59">
        <v>0</v>
      </c>
      <c r="W568" s="59">
        <f t="shared" si="55"/>
        <v>2727.5700000000015</v>
      </c>
      <c r="X568" s="59">
        <f t="shared" si="61"/>
        <v>2727.5700000000015</v>
      </c>
      <c r="Y568" s="59">
        <f t="shared" si="62"/>
        <v>0</v>
      </c>
      <c r="Z568" s="59">
        <v>0</v>
      </c>
      <c r="AA568" s="59">
        <f t="shared" si="63"/>
        <v>0</v>
      </c>
      <c r="AB568" s="59">
        <f t="shared" si="56"/>
        <v>2893</v>
      </c>
      <c r="AF568" s="59"/>
    </row>
    <row r="569" spans="1:32" x14ac:dyDescent="0.3">
      <c r="A569" s="49">
        <v>10</v>
      </c>
      <c r="B569" s="41" t="s">
        <v>1141</v>
      </c>
      <c r="C569" s="50" t="s">
        <v>120</v>
      </c>
      <c r="D569" s="50" t="s">
        <v>950</v>
      </c>
      <c r="E569" s="50" t="s">
        <v>25</v>
      </c>
      <c r="F569" s="51" t="s">
        <v>25</v>
      </c>
      <c r="G569" s="50" t="s">
        <v>866</v>
      </c>
      <c r="H569" s="59">
        <v>0</v>
      </c>
      <c r="I569" s="59">
        <v>0</v>
      </c>
      <c r="J569" s="59">
        <v>0</v>
      </c>
      <c r="K569" s="59">
        <v>0</v>
      </c>
      <c r="L569" s="59">
        <v>0</v>
      </c>
      <c r="M569" s="59">
        <v>0</v>
      </c>
      <c r="N569" s="59">
        <v>0</v>
      </c>
      <c r="O569" s="59">
        <f t="shared" si="64"/>
        <v>0</v>
      </c>
      <c r="P569" s="59">
        <v>-2500</v>
      </c>
      <c r="Q569" s="59">
        <v>-848</v>
      </c>
      <c r="R569" s="59">
        <v>0</v>
      </c>
      <c r="S569" s="59">
        <v>0</v>
      </c>
      <c r="T569" s="59">
        <v>-700</v>
      </c>
      <c r="U569" s="59">
        <v>0</v>
      </c>
      <c r="V569" s="59">
        <v>0</v>
      </c>
      <c r="W569" s="59">
        <f t="shared" si="55"/>
        <v>-4048</v>
      </c>
      <c r="X569" s="59">
        <f t="shared" si="61"/>
        <v>0</v>
      </c>
      <c r="Y569" s="59">
        <f t="shared" si="62"/>
        <v>-4048</v>
      </c>
      <c r="Z569" s="59">
        <v>0</v>
      </c>
      <c r="AA569" s="59">
        <f t="shared" si="63"/>
        <v>-4048</v>
      </c>
      <c r="AB569" s="59">
        <f t="shared" si="56"/>
        <v>-4048</v>
      </c>
      <c r="AD569" s="50" t="s">
        <v>2717</v>
      </c>
      <c r="AF569" s="59"/>
    </row>
    <row r="570" spans="1:32" x14ac:dyDescent="0.3">
      <c r="A570" s="49">
        <v>10</v>
      </c>
      <c r="B570" s="41" t="s">
        <v>1151</v>
      </c>
      <c r="C570" s="50" t="s">
        <v>1285</v>
      </c>
      <c r="D570" s="50" t="s">
        <v>1340</v>
      </c>
      <c r="E570" s="50" t="s">
        <v>25</v>
      </c>
      <c r="F570" s="51" t="s">
        <v>25</v>
      </c>
      <c r="G570" s="50" t="s">
        <v>866</v>
      </c>
      <c r="H570" s="59">
        <v>5593.44</v>
      </c>
      <c r="I570" s="59">
        <v>0</v>
      </c>
      <c r="J570" s="59">
        <v>-62.4</v>
      </c>
      <c r="K570" s="59">
        <v>81.3</v>
      </c>
      <c r="L570" s="59">
        <v>0</v>
      </c>
      <c r="M570" s="59">
        <v>0</v>
      </c>
      <c r="N570" s="59">
        <v>0</v>
      </c>
      <c r="O570" s="59">
        <f t="shared" si="64"/>
        <v>5612.34</v>
      </c>
      <c r="P570" s="59">
        <v>-2700</v>
      </c>
      <c r="Q570" s="59">
        <v>0</v>
      </c>
      <c r="R570" s="59">
        <v>0</v>
      </c>
      <c r="S570" s="59">
        <v>0</v>
      </c>
      <c r="T570" s="59">
        <v>0</v>
      </c>
      <c r="U570" s="59">
        <v>0</v>
      </c>
      <c r="V570" s="59">
        <v>0</v>
      </c>
      <c r="W570" s="59">
        <f t="shared" si="55"/>
        <v>2912.34</v>
      </c>
      <c r="X570" s="59">
        <f t="shared" si="61"/>
        <v>2912.34</v>
      </c>
      <c r="Y570" s="59">
        <f t="shared" si="62"/>
        <v>0</v>
      </c>
      <c r="Z570" s="59">
        <v>0</v>
      </c>
      <c r="AA570" s="59">
        <f t="shared" si="63"/>
        <v>0</v>
      </c>
      <c r="AB570" s="59">
        <f t="shared" si="56"/>
        <v>2700</v>
      </c>
      <c r="AF570" s="59"/>
    </row>
    <row r="571" spans="1:32" x14ac:dyDescent="0.3">
      <c r="A571" s="49">
        <v>10</v>
      </c>
      <c r="B571" s="41" t="s">
        <v>1310</v>
      </c>
      <c r="C571" s="50" t="s">
        <v>101</v>
      </c>
      <c r="D571" s="50" t="s">
        <v>945</v>
      </c>
      <c r="E571" s="50" t="s">
        <v>25</v>
      </c>
      <c r="F571" s="51" t="s">
        <v>25</v>
      </c>
      <c r="G571" s="50" t="s">
        <v>866</v>
      </c>
      <c r="H571" s="59">
        <v>8264.65</v>
      </c>
      <c r="I571" s="59">
        <v>-2920.4600000000005</v>
      </c>
      <c r="J571" s="59">
        <v>-125.6</v>
      </c>
      <c r="K571" s="59">
        <v>0</v>
      </c>
      <c r="L571" s="59">
        <v>0</v>
      </c>
      <c r="M571" s="59">
        <v>-55</v>
      </c>
      <c r="N571" s="59">
        <v>0</v>
      </c>
      <c r="O571" s="59">
        <f t="shared" si="64"/>
        <v>5163.5899999999983</v>
      </c>
      <c r="P571" s="59">
        <v>-2500</v>
      </c>
      <c r="Q571" s="59">
        <v>0</v>
      </c>
      <c r="R571" s="59">
        <v>-500</v>
      </c>
      <c r="S571" s="59">
        <v>0</v>
      </c>
      <c r="T571" s="59">
        <v>0</v>
      </c>
      <c r="U571" s="59">
        <v>0</v>
      </c>
      <c r="V571" s="59">
        <v>0</v>
      </c>
      <c r="W571" s="59">
        <f t="shared" si="55"/>
        <v>2163.5899999999983</v>
      </c>
      <c r="X571" s="59">
        <f t="shared" si="61"/>
        <v>2163.5899999999983</v>
      </c>
      <c r="Y571" s="59">
        <f t="shared" si="62"/>
        <v>0</v>
      </c>
      <c r="Z571" s="59">
        <v>0</v>
      </c>
      <c r="AA571" s="59">
        <f t="shared" si="63"/>
        <v>0</v>
      </c>
      <c r="AB571" s="59">
        <f t="shared" si="56"/>
        <v>3000</v>
      </c>
      <c r="AF571" s="59"/>
    </row>
    <row r="572" spans="1:32" x14ac:dyDescent="0.3">
      <c r="A572" s="49">
        <v>10</v>
      </c>
      <c r="B572" s="41" t="s">
        <v>913</v>
      </c>
      <c r="C572" s="50" t="s">
        <v>361</v>
      </c>
      <c r="D572" s="50" t="s">
        <v>1164</v>
      </c>
      <c r="E572" s="50" t="s">
        <v>25</v>
      </c>
      <c r="F572" s="51" t="s">
        <v>25</v>
      </c>
      <c r="G572" s="50" t="s">
        <v>866</v>
      </c>
      <c r="H572" s="59">
        <v>2513.8000000000002</v>
      </c>
      <c r="I572" s="59">
        <v>-2149.3100000000004</v>
      </c>
      <c r="J572" s="59">
        <v>0</v>
      </c>
      <c r="K572" s="59">
        <v>0</v>
      </c>
      <c r="L572" s="59">
        <v>0</v>
      </c>
      <c r="M572" s="59">
        <f>-21.7284-55</f>
        <v>-76.728399999999993</v>
      </c>
      <c r="N572" s="59">
        <v>-181.07</v>
      </c>
      <c r="O572" s="59">
        <f t="shared" si="64"/>
        <v>106.69159999999982</v>
      </c>
      <c r="P572" s="59">
        <v>-2700</v>
      </c>
      <c r="Q572" s="59">
        <v>-936</v>
      </c>
      <c r="R572" s="59">
        <v>0</v>
      </c>
      <c r="S572" s="59">
        <v>0</v>
      </c>
      <c r="T572" s="59">
        <v>0</v>
      </c>
      <c r="U572" s="59">
        <v>0</v>
      </c>
      <c r="V572" s="59">
        <v>0</v>
      </c>
      <c r="W572" s="59">
        <f t="shared" si="55"/>
        <v>-3529.3084000000003</v>
      </c>
      <c r="X572" s="59">
        <f t="shared" si="61"/>
        <v>0</v>
      </c>
      <c r="Y572" s="59">
        <f t="shared" si="62"/>
        <v>-3529.3084000000003</v>
      </c>
      <c r="Z572" s="59">
        <f>1500+700</f>
        <v>2200</v>
      </c>
      <c r="AA572" s="59">
        <f t="shared" si="63"/>
        <v>-1329.3084000000003</v>
      </c>
      <c r="AB572" s="59">
        <f t="shared" si="56"/>
        <v>977.38319999999931</v>
      </c>
      <c r="AD572" s="50" t="s">
        <v>3297</v>
      </c>
      <c r="AF572" s="59"/>
    </row>
    <row r="573" spans="1:32" ht="13.5" customHeight="1" x14ac:dyDescent="0.3">
      <c r="A573" s="49">
        <v>10</v>
      </c>
      <c r="B573" s="41" t="s">
        <v>913</v>
      </c>
      <c r="C573" s="50" t="s">
        <v>120</v>
      </c>
      <c r="D573" s="50" t="s">
        <v>950</v>
      </c>
      <c r="E573" s="50" t="s">
        <v>25</v>
      </c>
      <c r="F573" s="51" t="s">
        <v>25</v>
      </c>
      <c r="G573" s="50" t="s">
        <v>866</v>
      </c>
      <c r="H573" s="59">
        <v>0</v>
      </c>
      <c r="I573" s="59">
        <v>0</v>
      </c>
      <c r="J573" s="59">
        <v>0</v>
      </c>
      <c r="K573" s="59">
        <v>0</v>
      </c>
      <c r="L573" s="59">
        <v>0</v>
      </c>
      <c r="M573" s="59">
        <v>0</v>
      </c>
      <c r="N573" s="59">
        <v>0</v>
      </c>
      <c r="O573" s="59">
        <f t="shared" si="64"/>
        <v>0</v>
      </c>
      <c r="P573" s="59">
        <v>0</v>
      </c>
      <c r="Q573" s="59">
        <v>0</v>
      </c>
      <c r="R573" s="59">
        <v>0</v>
      </c>
      <c r="S573" s="59">
        <v>0</v>
      </c>
      <c r="T573" s="59">
        <v>-500</v>
      </c>
      <c r="U573" s="59">
        <v>0</v>
      </c>
      <c r="V573" s="59">
        <v>0</v>
      </c>
      <c r="W573" s="59">
        <f t="shared" si="55"/>
        <v>-500</v>
      </c>
      <c r="X573" s="59">
        <f t="shared" si="61"/>
        <v>0</v>
      </c>
      <c r="Y573" s="59">
        <f t="shared" si="62"/>
        <v>-500</v>
      </c>
      <c r="Z573" s="59">
        <v>500</v>
      </c>
      <c r="AA573" s="59">
        <f t="shared" si="63"/>
        <v>0</v>
      </c>
      <c r="AB573" s="59">
        <f t="shared" si="56"/>
        <v>500</v>
      </c>
      <c r="AD573" s="50" t="s">
        <v>3298</v>
      </c>
      <c r="AF573" s="59"/>
    </row>
    <row r="574" spans="1:32" x14ac:dyDescent="0.3">
      <c r="A574" s="49">
        <v>10</v>
      </c>
      <c r="B574" s="41" t="s">
        <v>1403</v>
      </c>
      <c r="C574" s="50" t="s">
        <v>195</v>
      </c>
      <c r="D574" s="50" t="s">
        <v>1404</v>
      </c>
      <c r="E574" s="50" t="s">
        <v>871</v>
      </c>
      <c r="F574" s="51" t="s">
        <v>39</v>
      </c>
      <c r="G574" s="50" t="s">
        <v>866</v>
      </c>
      <c r="H574" s="59">
        <v>6875.6</v>
      </c>
      <c r="I574" s="59">
        <v>-2221.21</v>
      </c>
      <c r="J574" s="59">
        <v>-64</v>
      </c>
      <c r="K574" s="59">
        <v>0</v>
      </c>
      <c r="L574" s="59">
        <v>0</v>
      </c>
      <c r="M574" s="59">
        <v>-72</v>
      </c>
      <c r="N574" s="59">
        <v>0</v>
      </c>
      <c r="O574" s="59">
        <f t="shared" si="64"/>
        <v>4518.3900000000003</v>
      </c>
      <c r="P574" s="59">
        <v>-2500</v>
      </c>
      <c r="Q574" s="59">
        <v>0</v>
      </c>
      <c r="R574" s="59">
        <v>0</v>
      </c>
      <c r="S574" s="59">
        <v>0</v>
      </c>
      <c r="T574" s="59">
        <v>-700</v>
      </c>
      <c r="U574" s="59">
        <v>0</v>
      </c>
      <c r="V574" s="59">
        <v>0</v>
      </c>
      <c r="W574" s="59">
        <f t="shared" si="55"/>
        <v>1318.3900000000003</v>
      </c>
      <c r="X574" s="59">
        <f t="shared" si="61"/>
        <v>1318.3900000000003</v>
      </c>
      <c r="Y574" s="59">
        <f t="shared" si="62"/>
        <v>0</v>
      </c>
      <c r="Z574" s="59">
        <v>0</v>
      </c>
      <c r="AA574" s="59">
        <f t="shared" si="63"/>
        <v>0</v>
      </c>
      <c r="AB574" s="59">
        <f t="shared" si="56"/>
        <v>3200</v>
      </c>
      <c r="AF574" s="59"/>
    </row>
    <row r="575" spans="1:32" x14ac:dyDescent="0.3">
      <c r="A575" s="49">
        <v>10</v>
      </c>
      <c r="B575" s="41" t="s">
        <v>1295</v>
      </c>
      <c r="C575" s="50" t="s">
        <v>53</v>
      </c>
      <c r="D575" s="50" t="s">
        <v>1167</v>
      </c>
      <c r="E575" s="50" t="s">
        <v>25</v>
      </c>
      <c r="F575" s="51" t="s">
        <v>25</v>
      </c>
      <c r="G575" s="50" t="s">
        <v>866</v>
      </c>
      <c r="H575" s="59">
        <v>3035.21</v>
      </c>
      <c r="I575" s="59">
        <v>-544.81000000000006</v>
      </c>
      <c r="J575" s="59">
        <v>0</v>
      </c>
      <c r="K575" s="59">
        <v>0</v>
      </c>
      <c r="L575" s="59">
        <v>0</v>
      </c>
      <c r="M575" s="59">
        <v>-20</v>
      </c>
      <c r="N575" s="59">
        <v>0</v>
      </c>
      <c r="O575" s="59">
        <f t="shared" si="64"/>
        <v>2470.4</v>
      </c>
      <c r="P575" s="59">
        <f>(-2500/7)*3.5</f>
        <v>-1250</v>
      </c>
      <c r="Q575" s="59">
        <v>-1714</v>
      </c>
      <c r="R575" s="59">
        <v>-500</v>
      </c>
      <c r="S575" s="59">
        <v>0</v>
      </c>
      <c r="T575" s="59">
        <v>0</v>
      </c>
      <c r="U575" s="59">
        <v>0</v>
      </c>
      <c r="V575" s="59">
        <v>0</v>
      </c>
      <c r="W575" s="59">
        <f t="shared" si="55"/>
        <v>-993.59999999999991</v>
      </c>
      <c r="X575" s="59">
        <f t="shared" si="61"/>
        <v>0</v>
      </c>
      <c r="Y575" s="59">
        <f t="shared" si="62"/>
        <v>-993.59999999999991</v>
      </c>
      <c r="Z575" s="59">
        <v>993</v>
      </c>
      <c r="AA575" s="59">
        <f t="shared" si="63"/>
        <v>-0.59999999999990905</v>
      </c>
      <c r="AB575" s="59">
        <f t="shared" si="56"/>
        <v>3462.8</v>
      </c>
      <c r="AD575" s="50" t="s">
        <v>3299</v>
      </c>
      <c r="AF575" s="59"/>
    </row>
    <row r="576" spans="1:32" x14ac:dyDescent="0.3">
      <c r="A576" s="49">
        <v>10</v>
      </c>
      <c r="B576" s="41" t="s">
        <v>1522</v>
      </c>
      <c r="C576" s="50" t="s">
        <v>169</v>
      </c>
      <c r="D576" s="50" t="s">
        <v>967</v>
      </c>
      <c r="E576" s="50" t="s">
        <v>871</v>
      </c>
      <c r="F576" s="51" t="s">
        <v>39</v>
      </c>
      <c r="G576" s="50" t="s">
        <v>866</v>
      </c>
      <c r="H576" s="59">
        <v>2525.62</v>
      </c>
      <c r="I576" s="59">
        <v>-252.43</v>
      </c>
      <c r="J576" s="59">
        <v>-114</v>
      </c>
      <c r="K576" s="59">
        <v>709.39</v>
      </c>
      <c r="L576" s="59">
        <v>0</v>
      </c>
      <c r="M576" s="59">
        <v>-38</v>
      </c>
      <c r="N576" s="59">
        <v>0</v>
      </c>
      <c r="O576" s="59">
        <f t="shared" si="64"/>
        <v>2830.58</v>
      </c>
      <c r="P576" s="59">
        <v>-2500</v>
      </c>
      <c r="Q576" s="59">
        <v>0</v>
      </c>
      <c r="R576" s="59">
        <v>-500</v>
      </c>
      <c r="S576" s="59">
        <v>0</v>
      </c>
      <c r="T576" s="59">
        <v>0</v>
      </c>
      <c r="U576" s="59">
        <v>0</v>
      </c>
      <c r="V576" s="59">
        <v>0</v>
      </c>
      <c r="W576" s="59">
        <f t="shared" si="55"/>
        <v>-169.42000000000007</v>
      </c>
      <c r="X576" s="59">
        <f t="shared" si="61"/>
        <v>0</v>
      </c>
      <c r="Y576" s="59">
        <f t="shared" si="62"/>
        <v>-169.42000000000007</v>
      </c>
      <c r="Z576" s="59">
        <v>0</v>
      </c>
      <c r="AA576" s="59">
        <f t="shared" si="63"/>
        <v>-169.42000000000007</v>
      </c>
      <c r="AB576" s="59">
        <f t="shared" si="56"/>
        <v>2661.16</v>
      </c>
      <c r="AF576" s="59"/>
    </row>
    <row r="577" spans="1:33" x14ac:dyDescent="0.3">
      <c r="A577" s="49">
        <v>10</v>
      </c>
      <c r="B577" s="41" t="s">
        <v>457</v>
      </c>
      <c r="C577" s="50" t="s">
        <v>672</v>
      </c>
      <c r="D577" s="50" t="s">
        <v>1226</v>
      </c>
      <c r="E577" s="50" t="s">
        <v>25</v>
      </c>
      <c r="F577" s="51" t="s">
        <v>25</v>
      </c>
      <c r="G577" s="50" t="s">
        <v>866</v>
      </c>
      <c r="H577" s="59">
        <v>1372.88</v>
      </c>
      <c r="I577" s="59">
        <v>-323.89999999999992</v>
      </c>
      <c r="J577" s="59">
        <v>0</v>
      </c>
      <c r="K577" s="59">
        <v>0</v>
      </c>
      <c r="L577" s="59">
        <v>0</v>
      </c>
      <c r="M577" s="59">
        <v>-10</v>
      </c>
      <c r="N577" s="59">
        <v>0</v>
      </c>
      <c r="O577" s="59">
        <f t="shared" si="64"/>
        <v>1038.9800000000002</v>
      </c>
      <c r="P577" s="59">
        <v>-2500</v>
      </c>
      <c r="Q577" s="59">
        <f>-3375*1.12</f>
        <v>-3780.0000000000005</v>
      </c>
      <c r="R577" s="59">
        <v>0</v>
      </c>
      <c r="S577" s="59">
        <v>0</v>
      </c>
      <c r="T577" s="59">
        <v>-333</v>
      </c>
      <c r="U577" s="59">
        <v>0</v>
      </c>
      <c r="V577" s="59">
        <v>0</v>
      </c>
      <c r="W577" s="59">
        <f t="shared" si="55"/>
        <v>-5574.02</v>
      </c>
      <c r="X577" s="59">
        <f t="shared" si="61"/>
        <v>0</v>
      </c>
      <c r="Y577" s="59">
        <f t="shared" si="62"/>
        <v>-5574.02</v>
      </c>
      <c r="Z577" s="59">
        <v>400</v>
      </c>
      <c r="AA577" s="59">
        <f t="shared" si="63"/>
        <v>-5174.0200000000004</v>
      </c>
      <c r="AB577" s="59">
        <f t="shared" si="56"/>
        <v>-3735.04</v>
      </c>
      <c r="AD577" s="50" t="s">
        <v>3300</v>
      </c>
      <c r="AF577" s="59"/>
      <c r="AG577" s="50" t="s">
        <v>1044</v>
      </c>
    </row>
    <row r="578" spans="1:33" x14ac:dyDescent="0.3">
      <c r="A578" s="49">
        <v>10</v>
      </c>
      <c r="B578" s="41" t="s">
        <v>620</v>
      </c>
      <c r="C578" s="50" t="s">
        <v>571</v>
      </c>
      <c r="D578" s="50" t="s">
        <v>974</v>
      </c>
      <c r="E578" s="50" t="s">
        <v>25</v>
      </c>
      <c r="F578" s="51" t="s">
        <v>25</v>
      </c>
      <c r="G578" s="50" t="s">
        <v>737</v>
      </c>
      <c r="H578" s="59">
        <v>0</v>
      </c>
      <c r="I578" s="59">
        <v>0</v>
      </c>
      <c r="J578" s="59">
        <v>0</v>
      </c>
      <c r="K578" s="59">
        <v>0</v>
      </c>
      <c r="L578" s="59">
        <v>0</v>
      </c>
      <c r="M578" s="59">
        <v>0</v>
      </c>
      <c r="N578" s="59">
        <v>0</v>
      </c>
      <c r="O578" s="59">
        <f t="shared" si="64"/>
        <v>0</v>
      </c>
      <c r="P578" s="59">
        <v>0</v>
      </c>
      <c r="Q578" s="59">
        <v>-700</v>
      </c>
      <c r="R578" s="59">
        <v>0</v>
      </c>
      <c r="S578" s="59">
        <v>0</v>
      </c>
      <c r="T578" s="59">
        <v>0</v>
      </c>
      <c r="U578" s="59">
        <v>0</v>
      </c>
      <c r="V578" s="59">
        <v>0</v>
      </c>
      <c r="W578" s="59">
        <f t="shared" ref="W578:W641" si="65">SUM(O578:V578)</f>
        <v>-700</v>
      </c>
      <c r="X578" s="59">
        <f t="shared" si="61"/>
        <v>0</v>
      </c>
      <c r="Y578" s="59">
        <f t="shared" si="62"/>
        <v>-700</v>
      </c>
      <c r="Z578" s="59">
        <v>0</v>
      </c>
      <c r="AA578" s="59">
        <f t="shared" si="63"/>
        <v>-700</v>
      </c>
      <c r="AB578" s="59">
        <f t="shared" ref="AB578:AB641" si="66">+O578-X578+Z578+AA578</f>
        <v>-700</v>
      </c>
      <c r="AD578" s="50" t="s">
        <v>2718</v>
      </c>
      <c r="AF578" s="59"/>
    </row>
    <row r="579" spans="1:33" x14ac:dyDescent="0.3">
      <c r="A579" s="49">
        <v>10</v>
      </c>
      <c r="B579" s="41" t="s">
        <v>1056</v>
      </c>
      <c r="C579" s="50" t="s">
        <v>760</v>
      </c>
      <c r="D579" s="50" t="s">
        <v>1239</v>
      </c>
      <c r="E579" s="50" t="s">
        <v>25</v>
      </c>
      <c r="F579" s="51" t="s">
        <v>25</v>
      </c>
      <c r="G579" s="50" t="s">
        <v>866</v>
      </c>
      <c r="H579" s="59">
        <v>2438.6999999999998</v>
      </c>
      <c r="I579" s="59">
        <v>0</v>
      </c>
      <c r="J579" s="59">
        <v>0</v>
      </c>
      <c r="K579" s="59">
        <v>0</v>
      </c>
      <c r="L579" s="59">
        <v>0</v>
      </c>
      <c r="M579" s="59">
        <v>0</v>
      </c>
      <c r="N579" s="59">
        <v>0</v>
      </c>
      <c r="O579" s="59">
        <f t="shared" si="64"/>
        <v>2438.6999999999998</v>
      </c>
      <c r="P579" s="59">
        <v>-2439</v>
      </c>
      <c r="Q579" s="59">
        <v>0</v>
      </c>
      <c r="R579" s="59">
        <v>0</v>
      </c>
      <c r="S579" s="59">
        <v>0</v>
      </c>
      <c r="T579" s="59">
        <v>0</v>
      </c>
      <c r="U579" s="59">
        <v>0</v>
      </c>
      <c r="V579" s="59">
        <v>0</v>
      </c>
      <c r="W579" s="59">
        <f t="shared" si="65"/>
        <v>-0.3000000000001819</v>
      </c>
      <c r="X579" s="59">
        <f t="shared" si="61"/>
        <v>0</v>
      </c>
      <c r="Y579" s="59">
        <f t="shared" si="62"/>
        <v>-0.3000000000001819</v>
      </c>
      <c r="Z579" s="59">
        <v>0</v>
      </c>
      <c r="AA579" s="59">
        <f t="shared" si="63"/>
        <v>-0.3000000000001819</v>
      </c>
      <c r="AB579" s="59">
        <f t="shared" si="66"/>
        <v>2438.3999999999996</v>
      </c>
      <c r="AF579" s="59"/>
    </row>
    <row r="580" spans="1:33" x14ac:dyDescent="0.3">
      <c r="A580" s="49">
        <v>10</v>
      </c>
      <c r="B580" s="41" t="s">
        <v>1153</v>
      </c>
      <c r="C580" s="50" t="s">
        <v>1328</v>
      </c>
      <c r="D580" s="50" t="s">
        <v>1576</v>
      </c>
      <c r="E580" s="50" t="s">
        <v>25</v>
      </c>
      <c r="F580" s="51" t="s">
        <v>25</v>
      </c>
      <c r="G580" s="50" t="s">
        <v>866</v>
      </c>
      <c r="H580" s="59">
        <v>4251.6899999999996</v>
      </c>
      <c r="I580" s="59">
        <v>-1433.4</v>
      </c>
      <c r="J580" s="59">
        <v>0</v>
      </c>
      <c r="K580" s="59">
        <v>0</v>
      </c>
      <c r="L580" s="59">
        <v>0</v>
      </c>
      <c r="M580" s="59">
        <f>-3.2196-40</f>
        <v>-43.2196</v>
      </c>
      <c r="N580" s="59">
        <v>-26.829999999999984</v>
      </c>
      <c r="O580" s="59">
        <f t="shared" si="64"/>
        <v>2748.2403999999997</v>
      </c>
      <c r="P580" s="59">
        <v>-2700</v>
      </c>
      <c r="Q580" s="59">
        <f>-1120*1.12</f>
        <v>-1254.4000000000001</v>
      </c>
      <c r="R580" s="59">
        <v>0</v>
      </c>
      <c r="S580" s="59">
        <v>0</v>
      </c>
      <c r="T580" s="59">
        <v>0</v>
      </c>
      <c r="U580" s="59">
        <v>0</v>
      </c>
      <c r="V580" s="59">
        <v>0</v>
      </c>
      <c r="W580" s="59">
        <f t="shared" si="65"/>
        <v>-1206.1596000000004</v>
      </c>
      <c r="X580" s="59">
        <f t="shared" si="61"/>
        <v>0</v>
      </c>
      <c r="Y580" s="59">
        <f t="shared" si="62"/>
        <v>-1206.1596000000004</v>
      </c>
      <c r="Z580" s="59">
        <v>1206</v>
      </c>
      <c r="AA580" s="59">
        <f t="shared" si="63"/>
        <v>-0.15960000000040964</v>
      </c>
      <c r="AB580" s="59">
        <f t="shared" si="66"/>
        <v>3954.0807999999993</v>
      </c>
      <c r="AD580" s="50" t="s">
        <v>3301</v>
      </c>
      <c r="AF580" s="59"/>
    </row>
    <row r="581" spans="1:33" x14ac:dyDescent="0.3">
      <c r="A581" s="49">
        <v>10</v>
      </c>
      <c r="B581" s="41" t="s">
        <v>872</v>
      </c>
      <c r="C581" s="50" t="s">
        <v>256</v>
      </c>
      <c r="D581" s="50" t="s">
        <v>997</v>
      </c>
      <c r="E581" s="50" t="s">
        <v>871</v>
      </c>
      <c r="F581" s="51" t="s">
        <v>39</v>
      </c>
      <c r="G581" s="50" t="s">
        <v>866</v>
      </c>
      <c r="H581" s="59">
        <v>12952.02</v>
      </c>
      <c r="I581" s="59">
        <v>-4837.6499999999996</v>
      </c>
      <c r="J581" s="59">
        <v>-178.4</v>
      </c>
      <c r="K581" s="59">
        <v>0</v>
      </c>
      <c r="L581" s="59">
        <v>-105.36</v>
      </c>
      <c r="M581" s="59">
        <v>-78</v>
      </c>
      <c r="N581" s="59">
        <v>-25</v>
      </c>
      <c r="O581" s="59">
        <f t="shared" si="64"/>
        <v>7727.6100000000015</v>
      </c>
      <c r="P581" s="59">
        <v>-2500</v>
      </c>
      <c r="Q581" s="59">
        <v>0</v>
      </c>
      <c r="R581" s="59">
        <v>0</v>
      </c>
      <c r="S581" s="59">
        <v>-700</v>
      </c>
      <c r="T581" s="59">
        <v>0</v>
      </c>
      <c r="U581" s="59">
        <v>0</v>
      </c>
      <c r="V581" s="59">
        <v>0</v>
      </c>
      <c r="W581" s="59">
        <f t="shared" si="65"/>
        <v>4527.6100000000015</v>
      </c>
      <c r="X581" s="59">
        <f t="shared" si="61"/>
        <v>4527.6100000000015</v>
      </c>
      <c r="Y581" s="59">
        <f t="shared" si="62"/>
        <v>0</v>
      </c>
      <c r="Z581" s="59">
        <v>0</v>
      </c>
      <c r="AA581" s="59">
        <f t="shared" si="63"/>
        <v>0</v>
      </c>
      <c r="AB581" s="59">
        <f t="shared" si="66"/>
        <v>3200</v>
      </c>
      <c r="AF581" s="59"/>
    </row>
    <row r="582" spans="1:33" x14ac:dyDescent="0.3">
      <c r="A582" s="49">
        <v>10</v>
      </c>
      <c r="B582" s="41" t="s">
        <v>1314</v>
      </c>
      <c r="C582" s="50" t="s">
        <v>334</v>
      </c>
      <c r="D582" s="50" t="s">
        <v>1169</v>
      </c>
      <c r="E582" s="50" t="s">
        <v>25</v>
      </c>
      <c r="F582" s="51" t="s">
        <v>25</v>
      </c>
      <c r="G582" s="50" t="s">
        <v>866</v>
      </c>
      <c r="H582" s="59">
        <v>7777.39</v>
      </c>
      <c r="I582" s="59">
        <v>-4364.5299999999988</v>
      </c>
      <c r="J582" s="59">
        <v>-65.52</v>
      </c>
      <c r="K582" s="59">
        <v>-41.47</v>
      </c>
      <c r="L582" s="59">
        <v>0</v>
      </c>
      <c r="M582" s="59">
        <v>-65</v>
      </c>
      <c r="N582" s="59">
        <v>0</v>
      </c>
      <c r="O582" s="59">
        <f t="shared" si="64"/>
        <v>3240.8700000000017</v>
      </c>
      <c r="P582" s="59">
        <v>-2500</v>
      </c>
      <c r="Q582" s="59">
        <v>0</v>
      </c>
      <c r="R582" s="59">
        <v>-500</v>
      </c>
      <c r="S582" s="59">
        <v>0</v>
      </c>
      <c r="T582" s="59">
        <v>0</v>
      </c>
      <c r="U582" s="59">
        <v>0</v>
      </c>
      <c r="V582" s="59">
        <v>0</v>
      </c>
      <c r="W582" s="59">
        <f t="shared" si="65"/>
        <v>240.87000000000171</v>
      </c>
      <c r="X582" s="59">
        <f t="shared" si="61"/>
        <v>240.87000000000171</v>
      </c>
      <c r="Y582" s="59">
        <f t="shared" si="62"/>
        <v>0</v>
      </c>
      <c r="Z582" s="59">
        <v>0</v>
      </c>
      <c r="AA582" s="59">
        <f t="shared" si="63"/>
        <v>0</v>
      </c>
      <c r="AB582" s="59">
        <f t="shared" si="66"/>
        <v>3000</v>
      </c>
      <c r="AD582" s="50" t="s">
        <v>3287</v>
      </c>
      <c r="AF582" s="59"/>
    </row>
    <row r="583" spans="1:33" x14ac:dyDescent="0.3">
      <c r="A583" s="49">
        <v>10</v>
      </c>
      <c r="B583" s="41" t="s">
        <v>874</v>
      </c>
      <c r="C583" s="50" t="s">
        <v>100</v>
      </c>
      <c r="D583" s="50" t="s">
        <v>1300</v>
      </c>
      <c r="E583" s="50" t="s">
        <v>25</v>
      </c>
      <c r="F583" s="51" t="s">
        <v>25</v>
      </c>
      <c r="G583" s="50" t="s">
        <v>737</v>
      </c>
      <c r="H583" s="59">
        <v>0</v>
      </c>
      <c r="I583" s="59">
        <v>0</v>
      </c>
      <c r="J583" s="59">
        <v>0</v>
      </c>
      <c r="K583" s="59">
        <v>0</v>
      </c>
      <c r="L583" s="59">
        <v>0</v>
      </c>
      <c r="M583" s="59">
        <v>0</v>
      </c>
      <c r="N583" s="59">
        <v>0</v>
      </c>
      <c r="O583" s="59">
        <f t="shared" si="64"/>
        <v>0</v>
      </c>
      <c r="P583" s="59">
        <v>-2500</v>
      </c>
      <c r="Q583" s="59">
        <v>0</v>
      </c>
      <c r="R583" s="59">
        <v>0</v>
      </c>
      <c r="S583" s="59">
        <v>0</v>
      </c>
      <c r="T583" s="59">
        <v>0</v>
      </c>
      <c r="U583" s="59">
        <v>0</v>
      </c>
      <c r="V583" s="59">
        <v>0</v>
      </c>
      <c r="W583" s="59">
        <f t="shared" si="65"/>
        <v>-2500</v>
      </c>
      <c r="X583" s="59">
        <f t="shared" si="61"/>
        <v>0</v>
      </c>
      <c r="Y583" s="59">
        <f t="shared" si="62"/>
        <v>-2500</v>
      </c>
      <c r="Z583" s="59">
        <v>2500</v>
      </c>
      <c r="AA583" s="59">
        <f t="shared" si="63"/>
        <v>0</v>
      </c>
      <c r="AB583" s="59">
        <f t="shared" si="66"/>
        <v>2500</v>
      </c>
      <c r="AD583" s="145" t="s">
        <v>3294</v>
      </c>
      <c r="AF583" s="59"/>
    </row>
    <row r="584" spans="1:33" x14ac:dyDescent="0.3">
      <c r="A584" s="49">
        <v>10</v>
      </c>
      <c r="B584" s="41" t="s">
        <v>1157</v>
      </c>
      <c r="C584" s="50" t="s">
        <v>1265</v>
      </c>
      <c r="D584" s="50" t="s">
        <v>1580</v>
      </c>
      <c r="E584" s="50" t="s">
        <v>25</v>
      </c>
      <c r="F584" s="51" t="s">
        <v>25</v>
      </c>
      <c r="G584" s="50" t="s">
        <v>866</v>
      </c>
      <c r="H584" s="59">
        <v>12031.26</v>
      </c>
      <c r="I584" s="59">
        <v>-5956.3399999999956</v>
      </c>
      <c r="J584" s="59">
        <v>-229.6</v>
      </c>
      <c r="K584" s="59">
        <v>0</v>
      </c>
      <c r="L584" s="59">
        <v>0</v>
      </c>
      <c r="M584" s="59">
        <f>-9.7848-75</f>
        <v>-84.784800000000004</v>
      </c>
      <c r="N584" s="59">
        <v>-81.539999999999992</v>
      </c>
      <c r="O584" s="59">
        <f t="shared" si="64"/>
        <v>5678.9952000000039</v>
      </c>
      <c r="P584" s="59">
        <v>-2700</v>
      </c>
      <c r="Q584" s="59">
        <v>0</v>
      </c>
      <c r="R584" s="59">
        <v>0</v>
      </c>
      <c r="S584" s="59">
        <v>0</v>
      </c>
      <c r="T584" s="59">
        <v>0</v>
      </c>
      <c r="U584" s="59">
        <v>0</v>
      </c>
      <c r="V584" s="59">
        <v>0</v>
      </c>
      <c r="W584" s="59">
        <f t="shared" si="65"/>
        <v>2978.9952000000039</v>
      </c>
      <c r="X584" s="59">
        <f t="shared" si="61"/>
        <v>2978.9952000000039</v>
      </c>
      <c r="Y584" s="59">
        <f t="shared" si="62"/>
        <v>0</v>
      </c>
      <c r="Z584" s="59">
        <v>0</v>
      </c>
      <c r="AA584" s="59">
        <f t="shared" si="63"/>
        <v>0</v>
      </c>
      <c r="AB584" s="59">
        <f t="shared" si="66"/>
        <v>2700</v>
      </c>
      <c r="AF584" s="59"/>
    </row>
    <row r="585" spans="1:33" x14ac:dyDescent="0.3">
      <c r="A585" s="49">
        <v>10</v>
      </c>
      <c r="B585" s="41" t="s">
        <v>1312</v>
      </c>
      <c r="C585" s="50" t="s">
        <v>1439</v>
      </c>
      <c r="D585" s="50" t="s">
        <v>1582</v>
      </c>
      <c r="E585" s="50" t="s">
        <v>25</v>
      </c>
      <c r="F585" s="51" t="s">
        <v>25</v>
      </c>
      <c r="G585" s="50" t="s">
        <v>866</v>
      </c>
      <c r="H585" s="59">
        <v>3427.26</v>
      </c>
      <c r="I585" s="59">
        <v>-317.49</v>
      </c>
      <c r="J585" s="59">
        <v>0</v>
      </c>
      <c r="K585" s="59">
        <v>0</v>
      </c>
      <c r="L585" s="59">
        <v>0</v>
      </c>
      <c r="M585" s="59">
        <v>-10</v>
      </c>
      <c r="N585" s="59">
        <v>0</v>
      </c>
      <c r="O585" s="59">
        <f t="shared" si="64"/>
        <v>3099.7700000000004</v>
      </c>
      <c r="P585" s="59">
        <v>-2700</v>
      </c>
      <c r="Q585" s="59">
        <f>-2497*1.06</f>
        <v>-2646.82</v>
      </c>
      <c r="R585" s="59">
        <v>-250</v>
      </c>
      <c r="S585" s="59">
        <v>0</v>
      </c>
      <c r="T585" s="59">
        <v>0</v>
      </c>
      <c r="U585" s="59">
        <v>0</v>
      </c>
      <c r="V585" s="59">
        <v>0</v>
      </c>
      <c r="W585" s="59">
        <f t="shared" si="65"/>
        <v>-2497.0499999999997</v>
      </c>
      <c r="X585" s="59">
        <f t="shared" si="61"/>
        <v>0</v>
      </c>
      <c r="Y585" s="59">
        <f t="shared" si="62"/>
        <v>-2497.0499999999997</v>
      </c>
      <c r="Z585" s="59">
        <v>750</v>
      </c>
      <c r="AA585" s="59">
        <f t="shared" si="63"/>
        <v>-1747.0499999999997</v>
      </c>
      <c r="AB585" s="59">
        <f t="shared" si="66"/>
        <v>2102.7200000000007</v>
      </c>
      <c r="AD585" s="50" t="s">
        <v>3302</v>
      </c>
      <c r="AF585" s="59"/>
      <c r="AG585" s="50" t="s">
        <v>1044</v>
      </c>
    </row>
    <row r="586" spans="1:33" x14ac:dyDescent="0.3">
      <c r="A586" s="49">
        <v>10</v>
      </c>
      <c r="B586" s="41" t="s">
        <v>1190</v>
      </c>
      <c r="C586" s="50" t="s">
        <v>573</v>
      </c>
      <c r="D586" s="50" t="s">
        <v>1149</v>
      </c>
      <c r="E586" s="50" t="s">
        <v>25</v>
      </c>
      <c r="F586" s="51" t="s">
        <v>25</v>
      </c>
      <c r="G586" s="50" t="s">
        <v>866</v>
      </c>
      <c r="H586" s="59">
        <v>2038.78</v>
      </c>
      <c r="I586" s="59">
        <v>-434.21</v>
      </c>
      <c r="J586" s="59">
        <v>0</v>
      </c>
      <c r="K586" s="59">
        <v>9.7899999999999991</v>
      </c>
      <c r="L586" s="59">
        <v>0</v>
      </c>
      <c r="M586" s="59">
        <v>-20</v>
      </c>
      <c r="N586" s="59">
        <v>0</v>
      </c>
      <c r="O586" s="59">
        <f t="shared" si="64"/>
        <v>1594.36</v>
      </c>
      <c r="P586" s="59">
        <v>-2500</v>
      </c>
      <c r="Q586" s="59">
        <f>-3617*1.12</f>
        <v>-4051.0400000000004</v>
      </c>
      <c r="R586" s="59">
        <v>0</v>
      </c>
      <c r="S586" s="59">
        <v>0</v>
      </c>
      <c r="T586" s="59">
        <v>0</v>
      </c>
      <c r="U586" s="59">
        <v>0</v>
      </c>
      <c r="V586" s="59">
        <v>0</v>
      </c>
      <c r="W586" s="59">
        <f t="shared" si="65"/>
        <v>-4956.68</v>
      </c>
      <c r="X586" s="59">
        <f t="shared" si="61"/>
        <v>0</v>
      </c>
      <c r="Y586" s="59">
        <f t="shared" si="62"/>
        <v>-4956.68</v>
      </c>
      <c r="Z586" s="59">
        <v>0</v>
      </c>
      <c r="AA586" s="59">
        <f t="shared" si="63"/>
        <v>-4956.68</v>
      </c>
      <c r="AB586" s="59">
        <f t="shared" si="66"/>
        <v>-3362.3200000000006</v>
      </c>
      <c r="AF586" s="59"/>
    </row>
    <row r="587" spans="1:33" x14ac:dyDescent="0.3">
      <c r="A587" s="49">
        <v>10</v>
      </c>
      <c r="B587" s="41" t="s">
        <v>484</v>
      </c>
      <c r="C587" s="50" t="s">
        <v>1065</v>
      </c>
      <c r="D587" s="50" t="s">
        <v>1159</v>
      </c>
      <c r="E587" s="50" t="s">
        <v>25</v>
      </c>
      <c r="F587" s="51" t="s">
        <v>25</v>
      </c>
      <c r="G587" s="50" t="s">
        <v>866</v>
      </c>
      <c r="H587" s="59">
        <v>7341.93</v>
      </c>
      <c r="I587" s="59">
        <v>-3610.28</v>
      </c>
      <c r="J587" s="59">
        <v>-61.6</v>
      </c>
      <c r="K587" s="59">
        <v>0</v>
      </c>
      <c r="L587" s="59">
        <v>0</v>
      </c>
      <c r="M587" s="59">
        <v>-65</v>
      </c>
      <c r="N587" s="59">
        <v>0</v>
      </c>
      <c r="O587" s="59">
        <f t="shared" si="64"/>
        <v>3605.05</v>
      </c>
      <c r="P587" s="59">
        <v>-2500</v>
      </c>
      <c r="Q587" s="59">
        <v>0</v>
      </c>
      <c r="R587" s="59">
        <v>0</v>
      </c>
      <c r="S587" s="59">
        <v>0</v>
      </c>
      <c r="T587" s="59">
        <v>0</v>
      </c>
      <c r="U587" s="59">
        <v>0</v>
      </c>
      <c r="V587" s="59">
        <v>0</v>
      </c>
      <c r="W587" s="59">
        <f t="shared" si="65"/>
        <v>1105.0500000000002</v>
      </c>
      <c r="X587" s="59">
        <f t="shared" si="61"/>
        <v>1105.0500000000002</v>
      </c>
      <c r="Y587" s="59">
        <f t="shared" si="62"/>
        <v>0</v>
      </c>
      <c r="Z587" s="59">
        <v>0</v>
      </c>
      <c r="AA587" s="59">
        <f t="shared" si="63"/>
        <v>0</v>
      </c>
      <c r="AB587" s="59">
        <f t="shared" si="66"/>
        <v>2500</v>
      </c>
      <c r="AF587" s="59"/>
    </row>
    <row r="588" spans="1:33" x14ac:dyDescent="0.3">
      <c r="A588" s="49">
        <v>10</v>
      </c>
      <c r="B588" s="41" t="s">
        <v>1432</v>
      </c>
      <c r="C588" s="50" t="s">
        <v>183</v>
      </c>
      <c r="D588" s="50" t="s">
        <v>887</v>
      </c>
      <c r="E588" s="50" t="s">
        <v>25</v>
      </c>
      <c r="F588" s="51" t="s">
        <v>25</v>
      </c>
      <c r="G588" s="50" t="s">
        <v>866</v>
      </c>
      <c r="H588" s="59">
        <v>1319.66</v>
      </c>
      <c r="I588" s="59">
        <v>-279.88</v>
      </c>
      <c r="J588" s="59">
        <v>0</v>
      </c>
      <c r="K588" s="59">
        <v>0</v>
      </c>
      <c r="L588" s="59">
        <v>0</v>
      </c>
      <c r="M588" s="59">
        <v>-8</v>
      </c>
      <c r="N588" s="59">
        <v>0</v>
      </c>
      <c r="O588" s="59">
        <f t="shared" si="64"/>
        <v>1031.7800000000002</v>
      </c>
      <c r="P588" s="59">
        <v>-2500</v>
      </c>
      <c r="Q588" s="59">
        <f>-53*1.12</f>
        <v>-59.360000000000007</v>
      </c>
      <c r="R588" s="59">
        <v>-500</v>
      </c>
      <c r="S588" s="59">
        <v>0</v>
      </c>
      <c r="T588" s="59">
        <v>0</v>
      </c>
      <c r="U588" s="59">
        <v>0</v>
      </c>
      <c r="V588" s="59">
        <v>0</v>
      </c>
      <c r="W588" s="59">
        <f t="shared" si="65"/>
        <v>-2027.5799999999997</v>
      </c>
      <c r="X588" s="59">
        <f t="shared" si="61"/>
        <v>0</v>
      </c>
      <c r="Y588" s="59">
        <f t="shared" si="62"/>
        <v>-2027.5799999999997</v>
      </c>
      <c r="Z588" s="59">
        <v>1800</v>
      </c>
      <c r="AA588" s="59">
        <f t="shared" si="63"/>
        <v>-227.5799999999997</v>
      </c>
      <c r="AB588" s="59">
        <f t="shared" si="66"/>
        <v>2604.2000000000007</v>
      </c>
      <c r="AD588" s="50" t="s">
        <v>3303</v>
      </c>
      <c r="AF588" s="59"/>
    </row>
    <row r="589" spans="1:33" x14ac:dyDescent="0.3">
      <c r="A589" s="49">
        <v>10</v>
      </c>
      <c r="B589" s="41" t="s">
        <v>747</v>
      </c>
      <c r="C589" s="50" t="s">
        <v>1586</v>
      </c>
      <c r="D589" s="50" t="s">
        <v>1587</v>
      </c>
      <c r="E589" s="50" t="s">
        <v>25</v>
      </c>
      <c r="F589" s="51" t="s">
        <v>25</v>
      </c>
      <c r="G589" s="50" t="s">
        <v>866</v>
      </c>
      <c r="H589" s="59">
        <v>201.73</v>
      </c>
      <c r="I589" s="59">
        <v>0</v>
      </c>
      <c r="J589" s="59">
        <v>0</v>
      </c>
      <c r="K589" s="59">
        <v>0</v>
      </c>
      <c r="L589" s="59">
        <v>0</v>
      </c>
      <c r="M589" s="59">
        <v>-1.3199999999999998</v>
      </c>
      <c r="N589" s="59">
        <v>-11</v>
      </c>
      <c r="O589" s="59">
        <f t="shared" si="64"/>
        <v>189.41</v>
      </c>
      <c r="P589" s="59">
        <f>(-2700/7)*6</f>
        <v>-2314.2857142857142</v>
      </c>
      <c r="Q589" s="59">
        <v>-373</v>
      </c>
      <c r="R589" s="59">
        <v>0</v>
      </c>
      <c r="S589" s="59">
        <v>0</v>
      </c>
      <c r="T589" s="59">
        <v>0</v>
      </c>
      <c r="U589" s="59">
        <v>0</v>
      </c>
      <c r="V589" s="59">
        <v>0</v>
      </c>
      <c r="W589" s="59">
        <f t="shared" si="65"/>
        <v>-2497.8757142857144</v>
      </c>
      <c r="X589" s="59">
        <f t="shared" si="61"/>
        <v>0</v>
      </c>
      <c r="Y589" s="59">
        <f t="shared" si="62"/>
        <v>-2497.8757142857144</v>
      </c>
      <c r="Z589" s="59">
        <v>1500</v>
      </c>
      <c r="AA589" s="59">
        <f t="shared" si="63"/>
        <v>-997.87571428571437</v>
      </c>
      <c r="AB589" s="59">
        <f t="shared" si="66"/>
        <v>691.53428571428572</v>
      </c>
      <c r="AD589" s="50" t="s">
        <v>3304</v>
      </c>
      <c r="AF589" s="59"/>
    </row>
    <row r="590" spans="1:33" x14ac:dyDescent="0.3">
      <c r="A590" s="49">
        <v>10</v>
      </c>
      <c r="B590" s="41" t="s">
        <v>1244</v>
      </c>
      <c r="C590" s="50" t="s">
        <v>1429</v>
      </c>
      <c r="D590" s="50" t="s">
        <v>1588</v>
      </c>
      <c r="E590" s="50" t="s">
        <v>25</v>
      </c>
      <c r="F590" s="51" t="s">
        <v>25</v>
      </c>
      <c r="G590" s="50" t="s">
        <v>866</v>
      </c>
      <c r="H590" s="59">
        <v>4982.1499999999996</v>
      </c>
      <c r="I590" s="59">
        <v>-2379.3199999999997</v>
      </c>
      <c r="J590" s="59">
        <v>0</v>
      </c>
      <c r="K590" s="59">
        <v>0</v>
      </c>
      <c r="L590" s="59">
        <v>0</v>
      </c>
      <c r="M590" s="59">
        <f>-6.48-45</f>
        <v>-51.480000000000004</v>
      </c>
      <c r="N590" s="59">
        <v>-54</v>
      </c>
      <c r="O590" s="59">
        <f t="shared" si="64"/>
        <v>2497.35</v>
      </c>
      <c r="P590" s="59">
        <v>-2700</v>
      </c>
      <c r="Q590" s="59">
        <v>0</v>
      </c>
      <c r="R590" s="59">
        <v>0</v>
      </c>
      <c r="S590" s="59">
        <v>0</v>
      </c>
      <c r="T590" s="59">
        <v>0</v>
      </c>
      <c r="U590" s="59">
        <v>145</v>
      </c>
      <c r="V590" s="59">
        <v>0</v>
      </c>
      <c r="W590" s="59">
        <f t="shared" si="65"/>
        <v>-57.650000000000091</v>
      </c>
      <c r="X590" s="59">
        <f t="shared" si="61"/>
        <v>0</v>
      </c>
      <c r="Y590" s="59">
        <f t="shared" si="62"/>
        <v>-57.650000000000091</v>
      </c>
      <c r="Z590" s="59">
        <v>0</v>
      </c>
      <c r="AA590" s="59">
        <f t="shared" si="63"/>
        <v>-57.650000000000091</v>
      </c>
      <c r="AB590" s="59">
        <f t="shared" si="66"/>
        <v>2439.6999999999998</v>
      </c>
      <c r="AD590" s="50" t="s">
        <v>2719</v>
      </c>
      <c r="AF590" s="59"/>
    </row>
    <row r="591" spans="1:33" x14ac:dyDescent="0.3">
      <c r="A591" s="49">
        <v>10</v>
      </c>
      <c r="B591" s="41" t="s">
        <v>1307</v>
      </c>
      <c r="C591" s="50" t="s">
        <v>150</v>
      </c>
      <c r="D591" s="50" t="s">
        <v>1308</v>
      </c>
      <c r="E591" s="50" t="s">
        <v>25</v>
      </c>
      <c r="F591" s="51" t="s">
        <v>25</v>
      </c>
      <c r="G591" s="50" t="s">
        <v>866</v>
      </c>
      <c r="H591" s="59">
        <v>3058.19</v>
      </c>
      <c r="I591" s="59">
        <v>-1211.7200000000005</v>
      </c>
      <c r="J591" s="59">
        <v>0</v>
      </c>
      <c r="K591" s="59">
        <v>0</v>
      </c>
      <c r="L591" s="59">
        <v>0</v>
      </c>
      <c r="M591" s="59">
        <v>-35</v>
      </c>
      <c r="N591" s="59">
        <v>0</v>
      </c>
      <c r="O591" s="59">
        <f t="shared" si="64"/>
        <v>1811.4699999999996</v>
      </c>
      <c r="P591" s="59">
        <v>-2500</v>
      </c>
      <c r="Q591" s="59">
        <v>0</v>
      </c>
      <c r="R591" s="59">
        <v>-500</v>
      </c>
      <c r="S591" s="59">
        <v>0</v>
      </c>
      <c r="T591" s="59">
        <v>0</v>
      </c>
      <c r="U591" s="59">
        <v>0</v>
      </c>
      <c r="V591" s="59">
        <v>0</v>
      </c>
      <c r="W591" s="59">
        <f t="shared" si="65"/>
        <v>-1188.5300000000004</v>
      </c>
      <c r="X591" s="59">
        <f t="shared" si="61"/>
        <v>0</v>
      </c>
      <c r="Y591" s="59">
        <f t="shared" si="62"/>
        <v>-1188.5300000000004</v>
      </c>
      <c r="Z591" s="59">
        <f>650+539</f>
        <v>1189</v>
      </c>
      <c r="AA591" s="59">
        <f t="shared" si="63"/>
        <v>0.46999999999957254</v>
      </c>
      <c r="AB591" s="59">
        <f t="shared" si="66"/>
        <v>3000.9399999999987</v>
      </c>
      <c r="AD591" s="50" t="s">
        <v>3305</v>
      </c>
      <c r="AF591" s="59"/>
    </row>
    <row r="592" spans="1:33" x14ac:dyDescent="0.3">
      <c r="A592" s="49">
        <v>10</v>
      </c>
      <c r="B592" s="41" t="s">
        <v>1423</v>
      </c>
      <c r="C592" s="50" t="s">
        <v>55</v>
      </c>
      <c r="D592" s="50" t="s">
        <v>1147</v>
      </c>
      <c r="E592" s="50" t="s">
        <v>25</v>
      </c>
      <c r="F592" s="51" t="s">
        <v>25</v>
      </c>
      <c r="G592" s="50" t="s">
        <v>866</v>
      </c>
      <c r="H592" s="59">
        <v>4902.3100000000004</v>
      </c>
      <c r="I592" s="59">
        <v>-2847.6099999999997</v>
      </c>
      <c r="J592" s="59">
        <v>0</v>
      </c>
      <c r="K592" s="59">
        <v>0</v>
      </c>
      <c r="L592" s="59">
        <v>0</v>
      </c>
      <c r="M592" s="59">
        <v>-55</v>
      </c>
      <c r="N592" s="59">
        <v>0</v>
      </c>
      <c r="O592" s="59">
        <f t="shared" si="64"/>
        <v>1999.7000000000007</v>
      </c>
      <c r="P592" s="59">
        <f>(-2500/7)*3.5</f>
        <v>-1250</v>
      </c>
      <c r="Q592" s="59">
        <v>0</v>
      </c>
      <c r="R592" s="59">
        <v>-357</v>
      </c>
      <c r="S592" s="59">
        <v>0</v>
      </c>
      <c r="T592" s="59">
        <v>0</v>
      </c>
      <c r="U592" s="59">
        <v>0</v>
      </c>
      <c r="V592" s="59">
        <v>0</v>
      </c>
      <c r="W592" s="59">
        <f t="shared" si="65"/>
        <v>392.70000000000073</v>
      </c>
      <c r="X592" s="59">
        <f t="shared" si="61"/>
        <v>392.70000000000073</v>
      </c>
      <c r="Y592" s="59">
        <f t="shared" si="62"/>
        <v>0</v>
      </c>
      <c r="Z592" s="59">
        <v>0</v>
      </c>
      <c r="AA592" s="59">
        <f t="shared" si="63"/>
        <v>0</v>
      </c>
      <c r="AB592" s="59">
        <f t="shared" si="66"/>
        <v>1607</v>
      </c>
      <c r="AF592" s="59"/>
    </row>
    <row r="593" spans="1:32" x14ac:dyDescent="0.3">
      <c r="A593" s="49">
        <v>10</v>
      </c>
      <c r="B593" s="41" t="s">
        <v>1423</v>
      </c>
      <c r="C593" s="50" t="s">
        <v>760</v>
      </c>
      <c r="D593" s="50" t="s">
        <v>1239</v>
      </c>
      <c r="E593" s="50" t="s">
        <v>25</v>
      </c>
      <c r="F593" s="51" t="s">
        <v>25</v>
      </c>
      <c r="G593" s="50" t="s">
        <v>866</v>
      </c>
      <c r="H593" s="59">
        <v>0</v>
      </c>
      <c r="I593" s="59">
        <v>0</v>
      </c>
      <c r="J593" s="59">
        <v>0</v>
      </c>
      <c r="K593" s="59">
        <v>0</v>
      </c>
      <c r="L593" s="59">
        <v>0</v>
      </c>
      <c r="M593" s="59">
        <v>0</v>
      </c>
      <c r="N593" s="59">
        <v>0</v>
      </c>
      <c r="O593" s="59">
        <f t="shared" si="64"/>
        <v>0</v>
      </c>
      <c r="P593" s="59">
        <f>(-2700/7)*3.5</f>
        <v>-1350</v>
      </c>
      <c r="Q593" s="59">
        <v>0</v>
      </c>
      <c r="R593" s="59">
        <v>0</v>
      </c>
      <c r="S593" s="59">
        <v>0</v>
      </c>
      <c r="T593" s="59">
        <v>0</v>
      </c>
      <c r="U593" s="59">
        <v>0</v>
      </c>
      <c r="V593" s="59">
        <v>0</v>
      </c>
      <c r="W593" s="59">
        <f t="shared" si="65"/>
        <v>-1350</v>
      </c>
      <c r="X593" s="59">
        <f t="shared" si="61"/>
        <v>0</v>
      </c>
      <c r="Y593" s="59">
        <f t="shared" si="62"/>
        <v>-1350</v>
      </c>
      <c r="Z593" s="59">
        <f>957+393</f>
        <v>1350</v>
      </c>
      <c r="AA593" s="59">
        <f>+Y593+Z593</f>
        <v>0</v>
      </c>
      <c r="AB593" s="59">
        <f t="shared" si="66"/>
        <v>1350</v>
      </c>
      <c r="AD593" s="50" t="s">
        <v>3306</v>
      </c>
      <c r="AF593" s="59"/>
    </row>
    <row r="594" spans="1:32" x14ac:dyDescent="0.3">
      <c r="A594" s="49">
        <v>10</v>
      </c>
      <c r="B594" s="41" t="s">
        <v>922</v>
      </c>
      <c r="C594" s="50" t="s">
        <v>670</v>
      </c>
      <c r="D594" s="50" t="s">
        <v>1221</v>
      </c>
      <c r="E594" s="50" t="s">
        <v>25</v>
      </c>
      <c r="F594" s="51" t="s">
        <v>25</v>
      </c>
      <c r="G594" s="50" t="s">
        <v>737</v>
      </c>
      <c r="H594" s="59">
        <v>0</v>
      </c>
      <c r="I594" s="59">
        <v>0</v>
      </c>
      <c r="J594" s="59">
        <v>0</v>
      </c>
      <c r="K594" s="59">
        <v>0</v>
      </c>
      <c r="L594" s="59">
        <v>0</v>
      </c>
      <c r="M594" s="59">
        <v>0</v>
      </c>
      <c r="N594" s="59">
        <v>0</v>
      </c>
      <c r="O594" s="59">
        <f t="shared" si="64"/>
        <v>0</v>
      </c>
      <c r="P594" s="59">
        <v>-2500</v>
      </c>
      <c r="Q594" s="59">
        <f>-2527*1.12</f>
        <v>-2830.2400000000002</v>
      </c>
      <c r="R594" s="59">
        <v>0</v>
      </c>
      <c r="S594" s="59">
        <v>0</v>
      </c>
      <c r="T594" s="59">
        <v>0</v>
      </c>
      <c r="U594" s="59">
        <v>0</v>
      </c>
      <c r="V594" s="59">
        <v>0</v>
      </c>
      <c r="W594" s="59">
        <f t="shared" si="65"/>
        <v>-5330.24</v>
      </c>
      <c r="X594" s="59">
        <f t="shared" si="61"/>
        <v>0</v>
      </c>
      <c r="Y594" s="59">
        <f t="shared" si="62"/>
        <v>-5330.24</v>
      </c>
      <c r="Z594" s="59">
        <f>3000+600+670</f>
        <v>4270</v>
      </c>
      <c r="AA594" s="59">
        <f t="shared" si="63"/>
        <v>-1060.2399999999998</v>
      </c>
      <c r="AB594" s="59">
        <f t="shared" si="66"/>
        <v>3209.76</v>
      </c>
      <c r="AD594" s="50" t="s">
        <v>3307</v>
      </c>
      <c r="AF594" s="59"/>
    </row>
    <row r="595" spans="1:32" x14ac:dyDescent="0.3">
      <c r="A595" s="49">
        <v>10</v>
      </c>
      <c r="B595" s="41" t="s">
        <v>922</v>
      </c>
      <c r="C595" s="50" t="s">
        <v>347</v>
      </c>
      <c r="D595" s="50" t="s">
        <v>1221</v>
      </c>
      <c r="E595" s="50" t="s">
        <v>25</v>
      </c>
      <c r="F595" s="51" t="s">
        <v>25</v>
      </c>
      <c r="G595" s="50" t="s">
        <v>737</v>
      </c>
      <c r="H595" s="59">
        <v>0</v>
      </c>
      <c r="I595" s="59">
        <v>0</v>
      </c>
      <c r="J595" s="59">
        <v>0</v>
      </c>
      <c r="K595" s="59">
        <v>0</v>
      </c>
      <c r="L595" s="59">
        <v>0</v>
      </c>
      <c r="M595" s="59">
        <v>0</v>
      </c>
      <c r="N595" s="59">
        <v>0</v>
      </c>
      <c r="O595" s="59">
        <f t="shared" si="64"/>
        <v>0</v>
      </c>
      <c r="P595" s="59">
        <v>0</v>
      </c>
      <c r="Q595" s="59">
        <v>0</v>
      </c>
      <c r="R595" s="59">
        <v>0</v>
      </c>
      <c r="S595" s="59">
        <v>-700</v>
      </c>
      <c r="T595" s="59">
        <v>0</v>
      </c>
      <c r="U595" s="59">
        <v>0</v>
      </c>
      <c r="V595" s="59">
        <v>0</v>
      </c>
      <c r="W595" s="59">
        <f t="shared" si="65"/>
        <v>-700</v>
      </c>
      <c r="X595" s="59">
        <f t="shared" si="61"/>
        <v>0</v>
      </c>
      <c r="Y595" s="59">
        <f t="shared" si="62"/>
        <v>-700</v>
      </c>
      <c r="Z595" s="59">
        <v>700</v>
      </c>
      <c r="AA595" s="59">
        <f t="shared" si="63"/>
        <v>0</v>
      </c>
      <c r="AB595" s="59">
        <f t="shared" si="66"/>
        <v>700</v>
      </c>
      <c r="AD595" s="50" t="s">
        <v>3308</v>
      </c>
      <c r="AF595" s="59"/>
    </row>
    <row r="596" spans="1:32" x14ac:dyDescent="0.3">
      <c r="A596" s="49">
        <v>10</v>
      </c>
      <c r="B596" s="41" t="s">
        <v>1120</v>
      </c>
      <c r="C596" s="50" t="s">
        <v>1273</v>
      </c>
      <c r="D596" s="50" t="s">
        <v>1593</v>
      </c>
      <c r="E596" s="50" t="s">
        <v>25</v>
      </c>
      <c r="F596" s="51" t="s">
        <v>25</v>
      </c>
      <c r="G596" s="50" t="s">
        <v>866</v>
      </c>
      <c r="H596" s="59">
        <v>5439.95</v>
      </c>
      <c r="I596" s="59">
        <v>-2160.4800000000005</v>
      </c>
      <c r="J596" s="59">
        <v>0</v>
      </c>
      <c r="K596" s="59">
        <v>225.14</v>
      </c>
      <c r="L596" s="59">
        <v>-64.599999999999966</v>
      </c>
      <c r="M596" s="59">
        <v>-45</v>
      </c>
      <c r="N596" s="59">
        <v>0</v>
      </c>
      <c r="O596" s="59">
        <f t="shared" si="64"/>
        <v>3395.0099999999993</v>
      </c>
      <c r="P596" s="59">
        <v>-2700</v>
      </c>
      <c r="Q596" s="59">
        <v>0</v>
      </c>
      <c r="R596" s="59">
        <v>0</v>
      </c>
      <c r="S596" s="59">
        <v>0</v>
      </c>
      <c r="T596" s="59">
        <v>0</v>
      </c>
      <c r="U596" s="59">
        <v>0</v>
      </c>
      <c r="V596" s="59">
        <v>0</v>
      </c>
      <c r="W596" s="59">
        <f t="shared" si="65"/>
        <v>695.00999999999931</v>
      </c>
      <c r="X596" s="59">
        <f t="shared" si="61"/>
        <v>695.00999999999931</v>
      </c>
      <c r="Y596" s="59">
        <f t="shared" si="62"/>
        <v>0</v>
      </c>
      <c r="Z596" s="59">
        <v>0</v>
      </c>
      <c r="AA596" s="59">
        <f t="shared" si="63"/>
        <v>0</v>
      </c>
      <c r="AB596" s="59">
        <f t="shared" si="66"/>
        <v>2700</v>
      </c>
      <c r="AD596" s="50" t="s">
        <v>3287</v>
      </c>
      <c r="AF596" s="59"/>
    </row>
    <row r="597" spans="1:32" x14ac:dyDescent="0.3">
      <c r="A597" s="49">
        <v>10</v>
      </c>
      <c r="B597" s="41" t="s">
        <v>515</v>
      </c>
      <c r="C597" s="50" t="s">
        <v>360</v>
      </c>
      <c r="D597" s="50" t="s">
        <v>1158</v>
      </c>
      <c r="E597" s="50" t="s">
        <v>25</v>
      </c>
      <c r="F597" s="51" t="s">
        <v>25</v>
      </c>
      <c r="G597" s="50" t="s">
        <v>866</v>
      </c>
      <c r="H597" s="59">
        <v>7158.74</v>
      </c>
      <c r="I597" s="59">
        <v>-50</v>
      </c>
      <c r="J597" s="59">
        <v>-62.4</v>
      </c>
      <c r="K597" s="59">
        <v>118.14</v>
      </c>
      <c r="L597" s="59">
        <v>0</v>
      </c>
      <c r="M597" s="59">
        <v>-1</v>
      </c>
      <c r="N597" s="59">
        <v>0</v>
      </c>
      <c r="O597" s="59">
        <f t="shared" si="64"/>
        <v>7163.4800000000005</v>
      </c>
      <c r="P597" s="59">
        <v>-2700</v>
      </c>
      <c r="Q597" s="59">
        <v>0</v>
      </c>
      <c r="R597" s="59">
        <v>0</v>
      </c>
      <c r="S597" s="59">
        <v>0</v>
      </c>
      <c r="T597" s="59">
        <v>0</v>
      </c>
      <c r="U597" s="59">
        <v>0</v>
      </c>
      <c r="V597" s="59">
        <v>0</v>
      </c>
      <c r="W597" s="59">
        <f t="shared" si="65"/>
        <v>4463.4800000000005</v>
      </c>
      <c r="X597" s="59">
        <f t="shared" si="61"/>
        <v>4463.4800000000005</v>
      </c>
      <c r="Y597" s="59">
        <f t="shared" si="62"/>
        <v>0</v>
      </c>
      <c r="Z597" s="59">
        <v>0</v>
      </c>
      <c r="AA597" s="59">
        <f t="shared" si="63"/>
        <v>0</v>
      </c>
      <c r="AB597" s="59">
        <f t="shared" si="66"/>
        <v>2700</v>
      </c>
      <c r="AD597" s="50" t="s">
        <v>3287</v>
      </c>
      <c r="AF597" s="59"/>
    </row>
    <row r="598" spans="1:32" x14ac:dyDescent="0.3">
      <c r="A598" s="49">
        <v>10</v>
      </c>
      <c r="B598" s="41" t="s">
        <v>515</v>
      </c>
      <c r="C598" s="50" t="s">
        <v>110</v>
      </c>
      <c r="D598" s="50" t="s">
        <v>912</v>
      </c>
      <c r="E598" s="50" t="s">
        <v>18</v>
      </c>
      <c r="F598" s="51" t="s">
        <v>25</v>
      </c>
      <c r="G598" s="50" t="s">
        <v>866</v>
      </c>
      <c r="H598" s="59">
        <v>0</v>
      </c>
      <c r="I598" s="59">
        <v>0</v>
      </c>
      <c r="J598" s="59">
        <v>0</v>
      </c>
      <c r="K598" s="59">
        <v>0</v>
      </c>
      <c r="L598" s="59">
        <v>0</v>
      </c>
      <c r="M598" s="59">
        <v>0</v>
      </c>
      <c r="N598" s="59">
        <v>0</v>
      </c>
      <c r="O598" s="59">
        <f t="shared" si="64"/>
        <v>0</v>
      </c>
      <c r="P598" s="59">
        <v>0</v>
      </c>
      <c r="Q598" s="59">
        <v>0</v>
      </c>
      <c r="R598" s="59">
        <v>0</v>
      </c>
      <c r="S598" s="59">
        <v>0</v>
      </c>
      <c r="T598" s="59">
        <v>-700</v>
      </c>
      <c r="U598" s="59">
        <v>0</v>
      </c>
      <c r="V598" s="59">
        <v>0</v>
      </c>
      <c r="W598" s="59">
        <f t="shared" si="65"/>
        <v>-700</v>
      </c>
      <c r="X598" s="59">
        <f t="shared" si="61"/>
        <v>0</v>
      </c>
      <c r="Y598" s="59">
        <f t="shared" si="62"/>
        <v>-700</v>
      </c>
      <c r="Z598" s="59">
        <v>700</v>
      </c>
      <c r="AA598" s="59">
        <f t="shared" si="63"/>
        <v>0</v>
      </c>
      <c r="AB598" s="59">
        <f t="shared" si="66"/>
        <v>700</v>
      </c>
      <c r="AD598" s="50" t="s">
        <v>3309</v>
      </c>
      <c r="AF598" s="59"/>
    </row>
    <row r="599" spans="1:32" x14ac:dyDescent="0.3">
      <c r="A599" s="49">
        <v>10</v>
      </c>
      <c r="B599" s="41" t="s">
        <v>2703</v>
      </c>
      <c r="C599" s="50" t="s">
        <v>104</v>
      </c>
      <c r="D599" s="50" t="s">
        <v>1419</v>
      </c>
      <c r="E599" s="50" t="s">
        <v>25</v>
      </c>
      <c r="F599" s="51" t="s">
        <v>25</v>
      </c>
      <c r="G599" s="50" t="s">
        <v>866</v>
      </c>
      <c r="H599" s="59">
        <v>3531.89</v>
      </c>
      <c r="I599" s="59">
        <v>-1395.6200000000001</v>
      </c>
      <c r="J599" s="59">
        <v>0</v>
      </c>
      <c r="K599" s="59">
        <v>0.01</v>
      </c>
      <c r="L599" s="59">
        <v>0</v>
      </c>
      <c r="M599" s="59">
        <v>-35</v>
      </c>
      <c r="N599" s="59">
        <v>0</v>
      </c>
      <c r="O599" s="59">
        <f t="shared" si="64"/>
        <v>2101.2799999999997</v>
      </c>
      <c r="P599" s="59">
        <v>-2500</v>
      </c>
      <c r="Q599" s="59">
        <v>0</v>
      </c>
      <c r="R599" s="59">
        <v>-500</v>
      </c>
      <c r="S599" s="59">
        <v>0</v>
      </c>
      <c r="T599" s="59">
        <v>0</v>
      </c>
      <c r="U599" s="59">
        <v>0</v>
      </c>
      <c r="V599" s="59">
        <v>0</v>
      </c>
      <c r="W599" s="59">
        <f t="shared" si="65"/>
        <v>-898.72000000000025</v>
      </c>
      <c r="X599" s="59">
        <f t="shared" si="61"/>
        <v>0</v>
      </c>
      <c r="Y599" s="59">
        <f t="shared" si="62"/>
        <v>-898.72000000000025</v>
      </c>
      <c r="Z599" s="59">
        <v>899</v>
      </c>
      <c r="AA599" s="59">
        <f t="shared" si="63"/>
        <v>0.27999999999974534</v>
      </c>
      <c r="AB599" s="59">
        <f t="shared" si="66"/>
        <v>3000.5599999999995</v>
      </c>
      <c r="AD599" s="50" t="s">
        <v>3310</v>
      </c>
      <c r="AF599" s="59"/>
    </row>
    <row r="600" spans="1:32" x14ac:dyDescent="0.3">
      <c r="A600" s="49">
        <v>10</v>
      </c>
      <c r="B600" s="41" t="s">
        <v>1088</v>
      </c>
      <c r="C600" s="50" t="s">
        <v>257</v>
      </c>
      <c r="D600" s="50" t="s">
        <v>943</v>
      </c>
      <c r="E600" s="50" t="s">
        <v>25</v>
      </c>
      <c r="F600" s="51" t="s">
        <v>25</v>
      </c>
      <c r="G600" s="50" t="s">
        <v>866</v>
      </c>
      <c r="H600" s="59">
        <v>2267.4299999999998</v>
      </c>
      <c r="I600" s="59">
        <v>0</v>
      </c>
      <c r="J600" s="59">
        <v>0</v>
      </c>
      <c r="K600" s="59">
        <v>0</v>
      </c>
      <c r="L600" s="59">
        <v>-19.240000000000002</v>
      </c>
      <c r="M600" s="59">
        <v>0</v>
      </c>
      <c r="N600" s="59">
        <v>0</v>
      </c>
      <c r="O600" s="59">
        <f t="shared" si="64"/>
        <v>2248.19</v>
      </c>
      <c r="P600" s="59">
        <v>-2500</v>
      </c>
      <c r="Q600" s="59">
        <v>0</v>
      </c>
      <c r="R600" s="59">
        <v>0</v>
      </c>
      <c r="S600" s="59">
        <v>0</v>
      </c>
      <c r="T600" s="59">
        <v>-700</v>
      </c>
      <c r="U600" s="59">
        <v>0</v>
      </c>
      <c r="V600" s="59">
        <v>0</v>
      </c>
      <c r="W600" s="59">
        <f t="shared" si="65"/>
        <v>-951.81</v>
      </c>
      <c r="X600" s="59">
        <f t="shared" si="61"/>
        <v>0</v>
      </c>
      <c r="Y600" s="59">
        <f t="shared" si="62"/>
        <v>-951.81</v>
      </c>
      <c r="Z600" s="59">
        <v>952</v>
      </c>
      <c r="AA600" s="59">
        <f t="shared" si="63"/>
        <v>0.19000000000005457</v>
      </c>
      <c r="AB600" s="59">
        <f t="shared" si="66"/>
        <v>3200.38</v>
      </c>
      <c r="AD600" s="50" t="s">
        <v>3311</v>
      </c>
      <c r="AF600" s="59"/>
    </row>
    <row r="601" spans="1:32" x14ac:dyDescent="0.3">
      <c r="A601" s="49">
        <v>10</v>
      </c>
      <c r="B601" s="41" t="s">
        <v>1509</v>
      </c>
      <c r="C601" s="50" t="s">
        <v>798</v>
      </c>
      <c r="D601" s="50" t="s">
        <v>1599</v>
      </c>
      <c r="E601" s="50" t="s">
        <v>39</v>
      </c>
      <c r="F601" s="51" t="s">
        <v>39</v>
      </c>
      <c r="G601" s="50" t="s">
        <v>866</v>
      </c>
      <c r="H601" s="59">
        <v>5098.75</v>
      </c>
      <c r="I601" s="59">
        <v>-1424.91</v>
      </c>
      <c r="J601" s="59">
        <v>0.33</v>
      </c>
      <c r="K601" s="59">
        <v>2.06</v>
      </c>
      <c r="L601" s="59">
        <v>-55.93</v>
      </c>
      <c r="M601" s="59">
        <v>-51</v>
      </c>
      <c r="N601" s="59">
        <v>0</v>
      </c>
      <c r="O601" s="59">
        <f t="shared" si="64"/>
        <v>3569.3</v>
      </c>
      <c r="P601" s="59">
        <v>-2500</v>
      </c>
      <c r="Q601" s="59">
        <v>0</v>
      </c>
      <c r="R601" s="59">
        <v>-500</v>
      </c>
      <c r="S601" s="59">
        <v>0</v>
      </c>
      <c r="T601" s="59">
        <v>0</v>
      </c>
      <c r="U601" s="59">
        <v>0</v>
      </c>
      <c r="V601" s="59">
        <v>0</v>
      </c>
      <c r="W601" s="59">
        <f t="shared" si="65"/>
        <v>569.30000000000018</v>
      </c>
      <c r="X601" s="59">
        <f t="shared" si="61"/>
        <v>569.30000000000018</v>
      </c>
      <c r="Y601" s="59">
        <f t="shared" si="62"/>
        <v>0</v>
      </c>
      <c r="Z601" s="59">
        <v>0</v>
      </c>
      <c r="AA601" s="59">
        <f t="shared" si="63"/>
        <v>0</v>
      </c>
      <c r="AB601" s="59">
        <f t="shared" si="66"/>
        <v>3000</v>
      </c>
      <c r="AD601" s="50" t="s">
        <v>3287</v>
      </c>
      <c r="AF601" s="59"/>
    </row>
    <row r="602" spans="1:32" x14ac:dyDescent="0.3">
      <c r="A602" s="49">
        <v>10</v>
      </c>
      <c r="B602" s="41" t="s">
        <v>1401</v>
      </c>
      <c r="C602" s="50" t="s">
        <v>1464</v>
      </c>
      <c r="D602" s="50" t="s">
        <v>1602</v>
      </c>
      <c r="E602" s="50" t="s">
        <v>25</v>
      </c>
      <c r="F602" s="51" t="s">
        <v>25</v>
      </c>
      <c r="G602" s="50" t="s">
        <v>866</v>
      </c>
      <c r="H602" s="59">
        <v>4139.3100000000004</v>
      </c>
      <c r="I602" s="59">
        <v>-1363.95</v>
      </c>
      <c r="J602" s="59">
        <v>0</v>
      </c>
      <c r="K602" s="59">
        <v>0</v>
      </c>
      <c r="L602" s="59">
        <v>0</v>
      </c>
      <c r="M602" s="59">
        <f>-35.16-35</f>
        <v>-70.16</v>
      </c>
      <c r="N602" s="59">
        <v>-293</v>
      </c>
      <c r="O602" s="59">
        <f t="shared" si="64"/>
        <v>2412.2000000000007</v>
      </c>
      <c r="P602" s="59">
        <v>-2700</v>
      </c>
      <c r="Q602" s="59">
        <v>0</v>
      </c>
      <c r="R602" s="59">
        <v>0</v>
      </c>
      <c r="S602" s="59">
        <v>-700</v>
      </c>
      <c r="T602" s="59">
        <v>0</v>
      </c>
      <c r="U602" s="59">
        <v>0</v>
      </c>
      <c r="V602" s="59">
        <v>0</v>
      </c>
      <c r="W602" s="59">
        <f t="shared" si="65"/>
        <v>-987.79999999999927</v>
      </c>
      <c r="X602" s="59">
        <f t="shared" si="61"/>
        <v>0</v>
      </c>
      <c r="Y602" s="59">
        <f t="shared" si="62"/>
        <v>-987.79999999999927</v>
      </c>
      <c r="Z602" s="59">
        <v>1000</v>
      </c>
      <c r="AA602" s="59">
        <f t="shared" si="63"/>
        <v>12.200000000000728</v>
      </c>
      <c r="AB602" s="59">
        <f t="shared" si="66"/>
        <v>3424.4000000000015</v>
      </c>
      <c r="AD602" s="50" t="s">
        <v>3312</v>
      </c>
      <c r="AF602" s="59"/>
    </row>
    <row r="603" spans="1:32" x14ac:dyDescent="0.3">
      <c r="A603" s="49">
        <v>10</v>
      </c>
      <c r="B603" s="41" t="s">
        <v>1297</v>
      </c>
      <c r="C603" s="50" t="s">
        <v>480</v>
      </c>
      <c r="D603" s="50" t="s">
        <v>1243</v>
      </c>
      <c r="E603" s="50" t="s">
        <v>25</v>
      </c>
      <c r="F603" s="51" t="s">
        <v>25</v>
      </c>
      <c r="G603" s="50" t="s">
        <v>866</v>
      </c>
      <c r="H603" s="59">
        <v>945.08</v>
      </c>
      <c r="I603" s="59">
        <v>-363.18</v>
      </c>
      <c r="J603" s="59">
        <v>0</v>
      </c>
      <c r="K603" s="59">
        <v>-59.93</v>
      </c>
      <c r="L603" s="59">
        <v>0</v>
      </c>
      <c r="M603" s="59">
        <v>-10</v>
      </c>
      <c r="N603" s="59">
        <v>0</v>
      </c>
      <c r="O603" s="59">
        <f t="shared" si="64"/>
        <v>511.97000000000014</v>
      </c>
      <c r="P603" s="59">
        <v>-2700</v>
      </c>
      <c r="Q603" s="59">
        <v>0</v>
      </c>
      <c r="R603" s="59">
        <v>0</v>
      </c>
      <c r="S603" s="59">
        <v>0</v>
      </c>
      <c r="T603" s="59">
        <v>-500</v>
      </c>
      <c r="U603" s="59">
        <v>0</v>
      </c>
      <c r="V603" s="59">
        <v>0</v>
      </c>
      <c r="W603" s="59">
        <f t="shared" si="65"/>
        <v>-2688.0299999999997</v>
      </c>
      <c r="X603" s="59">
        <f t="shared" si="61"/>
        <v>0</v>
      </c>
      <c r="Y603" s="59">
        <f t="shared" si="62"/>
        <v>-2688.0299999999997</v>
      </c>
      <c r="Z603" s="59">
        <v>1000</v>
      </c>
      <c r="AA603" s="59">
        <f t="shared" si="63"/>
        <v>-1688.0299999999997</v>
      </c>
      <c r="AB603" s="59">
        <f t="shared" si="66"/>
        <v>-176.05999999999949</v>
      </c>
      <c r="AD603" s="50" t="s">
        <v>3313</v>
      </c>
      <c r="AF603" s="59"/>
    </row>
    <row r="604" spans="1:32" x14ac:dyDescent="0.3">
      <c r="A604" s="49">
        <v>10</v>
      </c>
      <c r="B604" s="41" t="s">
        <v>1412</v>
      </c>
      <c r="C604" s="50" t="s">
        <v>774</v>
      </c>
      <c r="D604" s="50" t="s">
        <v>1605</v>
      </c>
      <c r="E604" s="50" t="s">
        <v>25</v>
      </c>
      <c r="F604" s="51" t="s">
        <v>25</v>
      </c>
      <c r="G604" s="50" t="s">
        <v>866</v>
      </c>
      <c r="H604" s="59">
        <v>7616.57</v>
      </c>
      <c r="I604" s="59">
        <v>-5254.2999999999984</v>
      </c>
      <c r="J604" s="59">
        <v>-64</v>
      </c>
      <c r="K604" s="59">
        <v>-13.13</v>
      </c>
      <c r="L604" s="59">
        <v>-71.47</v>
      </c>
      <c r="M604" s="59">
        <f>-28.2-75</f>
        <v>-103.2</v>
      </c>
      <c r="N604" s="59">
        <v>-235</v>
      </c>
      <c r="O604" s="59">
        <f t="shared" si="64"/>
        <v>1875.4700000000016</v>
      </c>
      <c r="P604" s="59">
        <v>-2500</v>
      </c>
      <c r="Q604" s="59">
        <v>0</v>
      </c>
      <c r="R604" s="59">
        <v>-321</v>
      </c>
      <c r="S604" s="59">
        <v>0</v>
      </c>
      <c r="T604" s="59">
        <v>0</v>
      </c>
      <c r="U604" s="59">
        <v>0</v>
      </c>
      <c r="V604" s="59">
        <v>0</v>
      </c>
      <c r="W604" s="59">
        <f t="shared" si="65"/>
        <v>-945.52999999999838</v>
      </c>
      <c r="X604" s="59">
        <f t="shared" si="61"/>
        <v>0</v>
      </c>
      <c r="Y604" s="59">
        <f t="shared" si="62"/>
        <v>-945.52999999999838</v>
      </c>
      <c r="Z604" s="59">
        <v>942</v>
      </c>
      <c r="AA604" s="59">
        <f t="shared" si="63"/>
        <v>-3.5299999999983811</v>
      </c>
      <c r="AB604" s="59">
        <f t="shared" si="66"/>
        <v>2813.9400000000032</v>
      </c>
      <c r="AD604" s="50" t="s">
        <v>3314</v>
      </c>
      <c r="AF604" s="59"/>
    </row>
    <row r="605" spans="1:32" x14ac:dyDescent="0.3">
      <c r="A605" s="49">
        <v>10</v>
      </c>
      <c r="B605" s="41" t="s">
        <v>1003</v>
      </c>
      <c r="C605" s="50" t="s">
        <v>1409</v>
      </c>
      <c r="E605" s="50" t="s">
        <v>25</v>
      </c>
      <c r="F605" s="51" t="s">
        <v>25</v>
      </c>
      <c r="G605" s="50" t="s">
        <v>866</v>
      </c>
      <c r="H605" s="59">
        <v>1813.17</v>
      </c>
      <c r="I605" s="59">
        <v>0</v>
      </c>
      <c r="J605" s="59">
        <v>0</v>
      </c>
      <c r="K605" s="59">
        <v>0</v>
      </c>
      <c r="L605" s="59">
        <v>0</v>
      </c>
      <c r="M605" s="59">
        <v>-35.879999999999995</v>
      </c>
      <c r="N605" s="59">
        <v>-299</v>
      </c>
      <c r="O605" s="59">
        <f t="shared" si="64"/>
        <v>1478.29</v>
      </c>
      <c r="P605" s="59">
        <v>-2500</v>
      </c>
      <c r="Q605" s="59">
        <f>-129*1.12</f>
        <v>-144.48000000000002</v>
      </c>
      <c r="R605" s="59">
        <v>0</v>
      </c>
      <c r="S605" s="59">
        <v>0</v>
      </c>
      <c r="T605" s="59">
        <v>-2500</v>
      </c>
      <c r="U605" s="59">
        <v>0</v>
      </c>
      <c r="V605" s="59">
        <v>0</v>
      </c>
      <c r="W605" s="59">
        <f t="shared" si="65"/>
        <v>-3666.19</v>
      </c>
      <c r="X605" s="59">
        <f t="shared" si="61"/>
        <v>0</v>
      </c>
      <c r="Y605" s="59">
        <f t="shared" si="62"/>
        <v>-3666.19</v>
      </c>
      <c r="Z605" s="59">
        <v>2500</v>
      </c>
      <c r="AA605" s="59">
        <f t="shared" si="63"/>
        <v>-1166.19</v>
      </c>
      <c r="AB605" s="59">
        <f t="shared" si="66"/>
        <v>2812.1</v>
      </c>
      <c r="AF605" s="59"/>
    </row>
    <row r="606" spans="1:32" x14ac:dyDescent="0.3">
      <c r="A606" s="49">
        <v>10</v>
      </c>
      <c r="B606" s="41" t="s">
        <v>1425</v>
      </c>
      <c r="C606" s="50" t="s">
        <v>426</v>
      </c>
      <c r="D606" s="50" t="s">
        <v>903</v>
      </c>
      <c r="E606" s="50" t="s">
        <v>25</v>
      </c>
      <c r="F606" s="51" t="s">
        <v>25</v>
      </c>
      <c r="G606" s="50" t="s">
        <v>866</v>
      </c>
      <c r="H606" s="59">
        <v>0</v>
      </c>
      <c r="I606" s="59">
        <v>0</v>
      </c>
      <c r="J606" s="59">
        <v>0</v>
      </c>
      <c r="K606" s="59">
        <v>0</v>
      </c>
      <c r="L606" s="59">
        <v>0</v>
      </c>
      <c r="M606" s="59">
        <v>0</v>
      </c>
      <c r="N606" s="59">
        <v>0</v>
      </c>
      <c r="O606" s="59">
        <f t="shared" si="64"/>
        <v>0</v>
      </c>
      <c r="P606" s="59">
        <v>0</v>
      </c>
      <c r="Q606" s="59">
        <v>0</v>
      </c>
      <c r="R606" s="59">
        <v>500</v>
      </c>
      <c r="S606" s="59">
        <v>0</v>
      </c>
      <c r="T606" s="59">
        <v>0</v>
      </c>
      <c r="U606" s="59">
        <v>0</v>
      </c>
      <c r="V606" s="59">
        <v>0</v>
      </c>
      <c r="W606" s="59">
        <f t="shared" si="65"/>
        <v>500</v>
      </c>
      <c r="X606" s="59">
        <f t="shared" si="61"/>
        <v>500</v>
      </c>
      <c r="Y606" s="59">
        <f t="shared" si="62"/>
        <v>0</v>
      </c>
      <c r="Z606" s="59">
        <v>0</v>
      </c>
      <c r="AA606" s="59">
        <f t="shared" si="63"/>
        <v>0</v>
      </c>
      <c r="AB606" s="59">
        <f t="shared" si="66"/>
        <v>-500</v>
      </c>
      <c r="AD606" s="50" t="s">
        <v>3287</v>
      </c>
      <c r="AF606" s="59"/>
    </row>
    <row r="607" spans="1:32" x14ac:dyDescent="0.3">
      <c r="A607" s="49">
        <v>10</v>
      </c>
      <c r="B607" s="50" t="s">
        <v>2711</v>
      </c>
      <c r="C607" s="50" t="s">
        <v>347</v>
      </c>
      <c r="D607" s="50" t="s">
        <v>1122</v>
      </c>
      <c r="E607" s="50" t="s">
        <v>25</v>
      </c>
      <c r="F607" s="51" t="s">
        <v>25</v>
      </c>
      <c r="G607" s="50" t="s">
        <v>866</v>
      </c>
      <c r="H607" s="59">
        <v>6530.44</v>
      </c>
      <c r="I607" s="59">
        <v>-1646.6700000000003</v>
      </c>
      <c r="J607" s="59">
        <v>0</v>
      </c>
      <c r="K607" s="59">
        <v>0</v>
      </c>
      <c r="L607" s="59">
        <v>0</v>
      </c>
      <c r="M607" s="59">
        <v>-40</v>
      </c>
      <c r="N607" s="59">
        <v>0</v>
      </c>
      <c r="O607" s="59">
        <f t="shared" si="64"/>
        <v>4843.7699999999995</v>
      </c>
      <c r="P607" s="59">
        <v>-2500</v>
      </c>
      <c r="Q607" s="59">
        <v>0</v>
      </c>
      <c r="R607" s="59">
        <v>-500</v>
      </c>
      <c r="S607" s="59">
        <v>0</v>
      </c>
      <c r="T607" s="59">
        <v>0</v>
      </c>
      <c r="U607" s="59">
        <v>18</v>
      </c>
      <c r="V607" s="59">
        <v>0</v>
      </c>
      <c r="W607" s="59">
        <f t="shared" si="65"/>
        <v>1861.7699999999995</v>
      </c>
      <c r="X607" s="59">
        <f t="shared" si="61"/>
        <v>1861.7699999999995</v>
      </c>
      <c r="Y607" s="59">
        <f t="shared" si="62"/>
        <v>0</v>
      </c>
      <c r="Z607" s="59">
        <v>0</v>
      </c>
      <c r="AA607" s="59">
        <f t="shared" si="63"/>
        <v>0</v>
      </c>
      <c r="AB607" s="59">
        <f t="shared" si="66"/>
        <v>2982</v>
      </c>
      <c r="AD607" s="50" t="s">
        <v>2720</v>
      </c>
      <c r="AF607" s="59"/>
    </row>
    <row r="608" spans="1:32" ht="14.4" x14ac:dyDescent="0.3">
      <c r="A608" s="49">
        <v>10</v>
      </c>
      <c r="B608" t="s">
        <v>2004</v>
      </c>
      <c r="C608" s="50" t="s">
        <v>2005</v>
      </c>
      <c r="E608" s="50" t="s">
        <v>25</v>
      </c>
      <c r="F608" s="51" t="s">
        <v>25</v>
      </c>
      <c r="G608" s="50" t="s">
        <v>866</v>
      </c>
      <c r="H608" s="59">
        <v>712.7</v>
      </c>
      <c r="I608" s="59">
        <v>0</v>
      </c>
      <c r="J608" s="59">
        <v>0</v>
      </c>
      <c r="K608" s="59">
        <v>0</v>
      </c>
      <c r="L608" s="59">
        <v>0</v>
      </c>
      <c r="M608" s="59">
        <v>0</v>
      </c>
      <c r="N608" s="59">
        <v>0</v>
      </c>
      <c r="O608" s="59">
        <f t="shared" si="64"/>
        <v>712.7</v>
      </c>
      <c r="P608" s="59">
        <v>-713</v>
      </c>
      <c r="Q608" s="59">
        <v>0</v>
      </c>
      <c r="R608" s="59">
        <v>0</v>
      </c>
      <c r="S608" s="59">
        <v>0</v>
      </c>
      <c r="T608" s="59">
        <v>0</v>
      </c>
      <c r="U608" s="59">
        <v>0</v>
      </c>
      <c r="V608" s="59">
        <v>0</v>
      </c>
      <c r="W608" s="59">
        <f t="shared" si="65"/>
        <v>-0.29999999999995453</v>
      </c>
      <c r="X608" s="59">
        <f t="shared" si="61"/>
        <v>0</v>
      </c>
      <c r="Y608" s="59">
        <f t="shared" si="62"/>
        <v>-0.29999999999995453</v>
      </c>
      <c r="Z608" s="59">
        <v>0</v>
      </c>
      <c r="AA608" s="59">
        <f t="shared" si="63"/>
        <v>-0.29999999999995453</v>
      </c>
      <c r="AB608" s="59">
        <f t="shared" si="66"/>
        <v>712.40000000000009</v>
      </c>
      <c r="AF608" s="59"/>
    </row>
    <row r="609" spans="1:32" x14ac:dyDescent="0.3">
      <c r="A609" s="49">
        <v>10</v>
      </c>
      <c r="B609" s="50" t="s">
        <v>2713</v>
      </c>
      <c r="C609" s="50" t="s">
        <v>213</v>
      </c>
      <c r="D609" s="50" t="s">
        <v>1116</v>
      </c>
      <c r="E609" s="50" t="s">
        <v>39</v>
      </c>
      <c r="F609" s="51" t="s">
        <v>39</v>
      </c>
      <c r="G609" s="50" t="s">
        <v>866</v>
      </c>
      <c r="H609" s="59">
        <v>183.59</v>
      </c>
      <c r="I609" s="59">
        <v>0</v>
      </c>
      <c r="J609" s="59">
        <v>0</v>
      </c>
      <c r="K609" s="59">
        <v>0</v>
      </c>
      <c r="L609" s="59">
        <v>0</v>
      </c>
      <c r="M609" s="59">
        <v>0</v>
      </c>
      <c r="N609" s="59">
        <v>0</v>
      </c>
      <c r="O609" s="59">
        <f t="shared" si="64"/>
        <v>183.59</v>
      </c>
      <c r="P609" s="59">
        <v>-184</v>
      </c>
      <c r="Q609" s="59">
        <v>0</v>
      </c>
      <c r="R609" s="59">
        <v>0</v>
      </c>
      <c r="S609" s="59">
        <v>0</v>
      </c>
      <c r="T609" s="59">
        <v>0</v>
      </c>
      <c r="U609" s="59">
        <v>0</v>
      </c>
      <c r="V609" s="59">
        <v>0</v>
      </c>
      <c r="W609" s="59">
        <f t="shared" si="65"/>
        <v>-0.40999999999999659</v>
      </c>
      <c r="X609" s="59">
        <f t="shared" si="61"/>
        <v>0</v>
      </c>
      <c r="Y609" s="59">
        <f t="shared" si="62"/>
        <v>-0.40999999999999659</v>
      </c>
      <c r="Z609" s="59">
        <v>0</v>
      </c>
      <c r="AA609" s="59">
        <f t="shared" si="63"/>
        <v>-0.40999999999999659</v>
      </c>
      <c r="AB609" s="59">
        <f t="shared" si="66"/>
        <v>183.18</v>
      </c>
      <c r="AF609" s="59"/>
    </row>
    <row r="610" spans="1:32" ht="14.4" x14ac:dyDescent="0.3">
      <c r="A610" s="49">
        <v>10</v>
      </c>
      <c r="B610" t="s">
        <v>1818</v>
      </c>
      <c r="C610" s="50" t="s">
        <v>1860</v>
      </c>
      <c r="E610" s="50" t="s">
        <v>25</v>
      </c>
      <c r="F610" s="51" t="s">
        <v>25</v>
      </c>
      <c r="G610" s="50" t="s">
        <v>866</v>
      </c>
      <c r="H610" s="59">
        <v>2969.94</v>
      </c>
      <c r="I610" s="59">
        <v>0</v>
      </c>
      <c r="J610" s="59">
        <v>0</v>
      </c>
      <c r="K610" s="59">
        <v>0</v>
      </c>
      <c r="L610" s="59">
        <v>0</v>
      </c>
      <c r="M610" s="59">
        <v>0</v>
      </c>
      <c r="N610" s="59">
        <v>0</v>
      </c>
      <c r="O610" s="59">
        <f t="shared" si="64"/>
        <v>2969.94</v>
      </c>
      <c r="P610" s="59">
        <v>-2970</v>
      </c>
      <c r="Q610" s="59">
        <v>0</v>
      </c>
      <c r="R610" s="59">
        <v>0</v>
      </c>
      <c r="S610" s="59">
        <v>0</v>
      </c>
      <c r="T610" s="59">
        <v>0</v>
      </c>
      <c r="U610" s="59">
        <v>0</v>
      </c>
      <c r="V610" s="59">
        <v>0</v>
      </c>
      <c r="W610" s="59">
        <f t="shared" si="65"/>
        <v>-5.999999999994543E-2</v>
      </c>
      <c r="X610" s="59">
        <f t="shared" si="61"/>
        <v>0</v>
      </c>
      <c r="Y610" s="59">
        <f t="shared" si="62"/>
        <v>-5.999999999994543E-2</v>
      </c>
      <c r="Z610" s="59">
        <v>0</v>
      </c>
      <c r="AA610" s="59">
        <f t="shared" si="63"/>
        <v>-5.999999999994543E-2</v>
      </c>
      <c r="AB610" s="59">
        <f t="shared" si="66"/>
        <v>2969.88</v>
      </c>
      <c r="AF610" s="59"/>
    </row>
    <row r="611" spans="1:32" x14ac:dyDescent="0.3">
      <c r="A611" s="49">
        <v>10</v>
      </c>
      <c r="B611" s="41" t="s">
        <v>612</v>
      </c>
      <c r="C611" s="50" t="s">
        <v>1443</v>
      </c>
      <c r="D611" s="50" t="s">
        <v>1554</v>
      </c>
      <c r="E611" s="50" t="s">
        <v>25</v>
      </c>
      <c r="F611" s="51" t="s">
        <v>25</v>
      </c>
      <c r="G611" s="50" t="s">
        <v>866</v>
      </c>
      <c r="H611" s="59">
        <v>0</v>
      </c>
      <c r="I611" s="59">
        <v>0</v>
      </c>
      <c r="J611" s="59">
        <v>0</v>
      </c>
      <c r="K611" s="59">
        <v>0</v>
      </c>
      <c r="L611" s="59">
        <v>0</v>
      </c>
      <c r="M611" s="59">
        <v>0</v>
      </c>
      <c r="N611" s="59">
        <v>0</v>
      </c>
      <c r="O611" s="59">
        <f t="shared" si="64"/>
        <v>0</v>
      </c>
      <c r="P611" s="59">
        <v>0</v>
      </c>
      <c r="Q611" s="59">
        <v>0</v>
      </c>
      <c r="R611" s="59">
        <v>500</v>
      </c>
      <c r="S611" s="59">
        <v>0</v>
      </c>
      <c r="T611" s="59">
        <v>0</v>
      </c>
      <c r="U611" s="59">
        <v>0</v>
      </c>
      <c r="V611" s="59">
        <v>0</v>
      </c>
      <c r="W611" s="59">
        <f t="shared" si="65"/>
        <v>500</v>
      </c>
      <c r="X611" s="59">
        <f t="shared" si="61"/>
        <v>500</v>
      </c>
      <c r="Y611" s="59">
        <f t="shared" si="62"/>
        <v>0</v>
      </c>
      <c r="Z611" s="59">
        <v>0</v>
      </c>
      <c r="AA611" s="59">
        <f t="shared" si="63"/>
        <v>0</v>
      </c>
      <c r="AB611" s="59">
        <f t="shared" si="66"/>
        <v>-500</v>
      </c>
      <c r="AD611" s="50" t="s">
        <v>3287</v>
      </c>
      <c r="AF611" s="59"/>
    </row>
    <row r="612" spans="1:32" x14ac:dyDescent="0.3">
      <c r="A612" s="49">
        <v>11</v>
      </c>
      <c r="B612" s="41" t="s">
        <v>1556</v>
      </c>
      <c r="C612" s="50" t="s">
        <v>347</v>
      </c>
      <c r="D612" s="50" t="s">
        <v>1122</v>
      </c>
      <c r="E612" s="50" t="s">
        <v>25</v>
      </c>
      <c r="F612" s="51" t="s">
        <v>25</v>
      </c>
      <c r="G612" s="50" t="s">
        <v>866</v>
      </c>
      <c r="I612" s="236">
        <v>0</v>
      </c>
      <c r="J612" s="236">
        <v>0</v>
      </c>
      <c r="K612" s="236">
        <v>0</v>
      </c>
      <c r="L612" s="236">
        <v>0</v>
      </c>
      <c r="M612" s="236">
        <v>0</v>
      </c>
      <c r="N612" s="236">
        <v>0</v>
      </c>
      <c r="O612" s="59">
        <f t="shared" si="64"/>
        <v>0</v>
      </c>
      <c r="P612" s="59">
        <v>0</v>
      </c>
      <c r="Q612" s="59">
        <v>0</v>
      </c>
      <c r="R612" s="59">
        <v>500</v>
      </c>
      <c r="S612" s="59">
        <v>0</v>
      </c>
      <c r="T612" s="59">
        <v>0</v>
      </c>
      <c r="U612" s="59">
        <v>0</v>
      </c>
      <c r="V612" s="59">
        <v>0</v>
      </c>
      <c r="W612" s="59">
        <f t="shared" si="65"/>
        <v>500</v>
      </c>
      <c r="X612" s="59">
        <f t="shared" ref="X612" si="67">IF(W612&gt;=0,W612,0)</f>
        <v>500</v>
      </c>
      <c r="Y612" s="59">
        <f t="shared" ref="Y612" si="68">IF(W612&lt;=0,W612,0)</f>
        <v>0</v>
      </c>
      <c r="Z612" s="59">
        <v>0</v>
      </c>
      <c r="AA612" s="59">
        <f t="shared" ref="AA612" si="69">+Y612+Z612</f>
        <v>0</v>
      </c>
      <c r="AB612" s="59">
        <f t="shared" si="66"/>
        <v>-500</v>
      </c>
      <c r="AE612" s="50"/>
      <c r="AF612" s="59"/>
    </row>
    <row r="613" spans="1:32" x14ac:dyDescent="0.3">
      <c r="A613" s="49">
        <v>11</v>
      </c>
      <c r="B613" s="50" t="s">
        <v>2995</v>
      </c>
      <c r="C613" s="50" t="s">
        <v>36</v>
      </c>
      <c r="D613" s="50" t="s">
        <v>904</v>
      </c>
      <c r="E613" s="50" t="s">
        <v>25</v>
      </c>
      <c r="F613" s="51" t="s">
        <v>25</v>
      </c>
      <c r="G613" s="50" t="s">
        <v>866</v>
      </c>
      <c r="H613" s="59">
        <v>5109.3599999999997</v>
      </c>
      <c r="I613" s="59">
        <v>-2294.62</v>
      </c>
      <c r="J613" s="59">
        <v>0</v>
      </c>
      <c r="K613" s="59">
        <v>0</v>
      </c>
      <c r="L613" s="59">
        <v>0</v>
      </c>
      <c r="M613" s="59">
        <v>-45</v>
      </c>
      <c r="N613" s="59">
        <v>0</v>
      </c>
      <c r="O613" s="59">
        <f t="shared" si="64"/>
        <v>2769.74</v>
      </c>
      <c r="P613" s="59">
        <f>(-2500/7)*4.5</f>
        <v>-1607.1428571428573</v>
      </c>
      <c r="Q613" s="59">
        <v>0</v>
      </c>
      <c r="R613" s="59">
        <v>-357.14285714285717</v>
      </c>
      <c r="S613" s="59">
        <v>0</v>
      </c>
      <c r="T613" s="59">
        <v>0</v>
      </c>
      <c r="U613" s="59">
        <v>160</v>
      </c>
      <c r="V613" s="59">
        <v>0</v>
      </c>
      <c r="W613" s="59">
        <f t="shared" si="65"/>
        <v>965.45428571428533</v>
      </c>
      <c r="X613" s="59">
        <f>IF(W613&gt;=0,W613,0)</f>
        <v>965.45428571428533</v>
      </c>
      <c r="Y613" s="59">
        <f>IF(W613&lt;=0,W613,0)</f>
        <v>0</v>
      </c>
      <c r="Z613" s="59">
        <v>0</v>
      </c>
      <c r="AA613" s="59">
        <f>+Y613+Z613</f>
        <v>0</v>
      </c>
      <c r="AB613" s="59">
        <f t="shared" si="66"/>
        <v>1804.2857142857144</v>
      </c>
      <c r="AD613" s="50" t="s">
        <v>3315</v>
      </c>
      <c r="AE613" s="50"/>
      <c r="AF613" s="59"/>
    </row>
    <row r="614" spans="1:32" x14ac:dyDescent="0.3">
      <c r="A614" s="49">
        <v>11</v>
      </c>
      <c r="B614" s="50" t="s">
        <v>1056</v>
      </c>
      <c r="C614" s="50" t="s">
        <v>672</v>
      </c>
      <c r="D614" s="50" t="s">
        <v>1226</v>
      </c>
      <c r="E614" s="50" t="s">
        <v>25</v>
      </c>
      <c r="F614" s="51" t="s">
        <v>25</v>
      </c>
      <c r="G614" s="50" t="s">
        <v>866</v>
      </c>
      <c r="H614" s="59">
        <v>1135.44</v>
      </c>
      <c r="I614" s="59">
        <v>-29.95</v>
      </c>
      <c r="J614" s="59">
        <v>0</v>
      </c>
      <c r="K614" s="59">
        <v>0</v>
      </c>
      <c r="L614" s="59">
        <v>0</v>
      </c>
      <c r="M614" s="59">
        <v>-5</v>
      </c>
      <c r="N614" s="59">
        <v>0</v>
      </c>
      <c r="O614" s="59">
        <f>IF(H614+I614&lt;0,SUM(J614:N614),SUM(H614:N614))</f>
        <v>1100.49</v>
      </c>
      <c r="P614" s="59">
        <f>(-2500/7)*2</f>
        <v>-714.28571428571433</v>
      </c>
      <c r="Q614" s="59">
        <v>0</v>
      </c>
      <c r="R614" s="59">
        <v>-142.85714285714286</v>
      </c>
      <c r="S614" s="59">
        <v>0</v>
      </c>
      <c r="T614" s="59">
        <v>0</v>
      </c>
      <c r="U614" s="59">
        <v>0</v>
      </c>
      <c r="V614" s="59">
        <v>0</v>
      </c>
      <c r="W614" s="59">
        <f t="shared" si="65"/>
        <v>243.34714285714281</v>
      </c>
      <c r="X614" s="59">
        <f>IF(W614&gt;=0,W614,0)</f>
        <v>243.34714285714281</v>
      </c>
      <c r="Y614" s="59">
        <f>IF(W614&lt;=0,W614,0)</f>
        <v>0</v>
      </c>
      <c r="Z614" s="59">
        <v>0</v>
      </c>
      <c r="AA614" s="59">
        <f>+Y614+Z614</f>
        <v>0</v>
      </c>
      <c r="AB614" s="59">
        <f t="shared" si="66"/>
        <v>857.14285714285722</v>
      </c>
      <c r="AE614" s="50"/>
      <c r="AF614" s="59"/>
    </row>
    <row r="615" spans="1:32" x14ac:dyDescent="0.3">
      <c r="A615" s="49">
        <v>11</v>
      </c>
      <c r="B615" s="41" t="s">
        <v>1513</v>
      </c>
      <c r="C615" s="50" t="s">
        <v>645</v>
      </c>
      <c r="D615" s="50" t="s">
        <v>2715</v>
      </c>
      <c r="E615" s="50" t="s">
        <v>25</v>
      </c>
      <c r="F615" s="51" t="s">
        <v>25</v>
      </c>
      <c r="G615" s="50" t="s">
        <v>737</v>
      </c>
      <c r="H615" s="59">
        <v>0</v>
      </c>
      <c r="I615" s="59">
        <v>0</v>
      </c>
      <c r="J615" s="59">
        <v>0</v>
      </c>
      <c r="K615" s="59">
        <v>0</v>
      </c>
      <c r="L615" s="59">
        <v>0</v>
      </c>
      <c r="M615" s="59">
        <v>0</v>
      </c>
      <c r="N615" s="59">
        <v>0</v>
      </c>
      <c r="O615" s="59">
        <f>IF(H615+I615&lt;0,SUM(J615:N615),SUM(H615:N615))</f>
        <v>0</v>
      </c>
      <c r="P615" s="59">
        <v>-2500</v>
      </c>
      <c r="Q615" s="59">
        <v>0</v>
      </c>
      <c r="R615" s="59">
        <v>-500</v>
      </c>
      <c r="S615" s="59">
        <v>0</v>
      </c>
      <c r="T615" s="59">
        <v>0</v>
      </c>
      <c r="U615" s="59">
        <v>0</v>
      </c>
      <c r="V615" s="59">
        <v>0</v>
      </c>
      <c r="W615" s="59">
        <f t="shared" si="65"/>
        <v>-3000</v>
      </c>
      <c r="X615" s="59">
        <f t="shared" ref="X615:X678" si="70">IF(W615&gt;=0,W615,0)</f>
        <v>0</v>
      </c>
      <c r="Y615" s="59">
        <f t="shared" ref="Y615:Y678" si="71">IF(W615&lt;=0,W615,0)</f>
        <v>-3000</v>
      </c>
      <c r="Z615" s="59">
        <v>3000</v>
      </c>
      <c r="AA615" s="59">
        <f t="shared" ref="AA615:AA678" si="72">+Y615+Z615</f>
        <v>0</v>
      </c>
      <c r="AB615" s="59">
        <f t="shared" si="66"/>
        <v>3000</v>
      </c>
      <c r="AD615" s="50" t="s">
        <v>3316</v>
      </c>
      <c r="AE615" s="50"/>
      <c r="AF615" s="59"/>
    </row>
    <row r="616" spans="1:32" x14ac:dyDescent="0.3">
      <c r="A616" s="49">
        <v>11</v>
      </c>
      <c r="B616" s="41" t="s">
        <v>2716</v>
      </c>
      <c r="C616" s="50" t="s">
        <v>213</v>
      </c>
      <c r="D616" s="50" t="s">
        <v>1116</v>
      </c>
      <c r="E616" s="50" t="s">
        <v>39</v>
      </c>
      <c r="F616" s="51" t="s">
        <v>39</v>
      </c>
      <c r="G616" s="50" t="s">
        <v>866</v>
      </c>
      <c r="H616" s="59">
        <v>1501.55</v>
      </c>
      <c r="I616" s="59">
        <v>-910.19</v>
      </c>
      <c r="J616" s="59">
        <v>0</v>
      </c>
      <c r="K616" s="59">
        <v>0</v>
      </c>
      <c r="L616" s="59">
        <v>0</v>
      </c>
      <c r="M616" s="59">
        <v>-35</v>
      </c>
      <c r="N616" s="59">
        <v>0</v>
      </c>
      <c r="O616" s="59">
        <f>IF(H616+I616&lt;0,SUM(J616:N616),SUM(H616:N616))</f>
        <v>556.3599999999999</v>
      </c>
      <c r="P616" s="59">
        <v>-2500</v>
      </c>
      <c r="Q616" s="59">
        <v>0</v>
      </c>
      <c r="R616" s="59">
        <v>-500</v>
      </c>
      <c r="S616" s="59">
        <v>0</v>
      </c>
      <c r="T616" s="59">
        <v>0</v>
      </c>
      <c r="U616" s="59">
        <v>0</v>
      </c>
      <c r="V616" s="59">
        <v>0</v>
      </c>
      <c r="W616" s="59">
        <f t="shared" si="65"/>
        <v>-2443.6400000000003</v>
      </c>
      <c r="X616" s="59">
        <f t="shared" si="70"/>
        <v>0</v>
      </c>
      <c r="Y616" s="59">
        <f t="shared" si="71"/>
        <v>-2443.6400000000003</v>
      </c>
      <c r="Z616" s="59">
        <v>0</v>
      </c>
      <c r="AA616" s="59">
        <f t="shared" si="72"/>
        <v>-2443.6400000000003</v>
      </c>
      <c r="AB616" s="59">
        <f t="shared" si="66"/>
        <v>-1887.2800000000004</v>
      </c>
      <c r="AE616" s="50"/>
      <c r="AF616" s="59"/>
    </row>
    <row r="617" spans="1:32" x14ac:dyDescent="0.3">
      <c r="A617" s="49">
        <v>11</v>
      </c>
      <c r="B617" s="50" t="s">
        <v>2007</v>
      </c>
      <c r="C617" s="50" t="s">
        <v>64</v>
      </c>
      <c r="D617" s="50" t="s">
        <v>949</v>
      </c>
      <c r="E617" s="50" t="s">
        <v>25</v>
      </c>
      <c r="F617" s="50" t="s">
        <v>25</v>
      </c>
      <c r="G617" s="50" t="s">
        <v>866</v>
      </c>
      <c r="H617" s="59">
        <v>2000.54</v>
      </c>
      <c r="I617" s="59">
        <v>-1530.7700000000004</v>
      </c>
      <c r="J617" s="59">
        <v>0</v>
      </c>
      <c r="K617" s="59">
        <v>0</v>
      </c>
      <c r="L617" s="59">
        <v>0</v>
      </c>
      <c r="M617" s="59">
        <v>-45</v>
      </c>
      <c r="N617" s="59">
        <v>0</v>
      </c>
      <c r="O617" s="59">
        <f>IF(H617+I617&lt;0,SUM(J617:N617),SUM(H617:N617))</f>
        <v>424.76999999999953</v>
      </c>
      <c r="P617" s="59">
        <v>-2500</v>
      </c>
      <c r="Q617" s="59">
        <v>0</v>
      </c>
      <c r="R617" s="59">
        <v>-500</v>
      </c>
      <c r="S617" s="59">
        <v>0</v>
      </c>
      <c r="T617" s="59">
        <v>0</v>
      </c>
      <c r="U617" s="59">
        <v>0</v>
      </c>
      <c r="V617" s="59">
        <v>0</v>
      </c>
      <c r="W617" s="59">
        <f t="shared" si="65"/>
        <v>-2575.2300000000005</v>
      </c>
      <c r="X617" s="59">
        <f t="shared" si="70"/>
        <v>0</v>
      </c>
      <c r="Y617" s="59">
        <f t="shared" si="71"/>
        <v>-2575.2300000000005</v>
      </c>
      <c r="Z617" s="59">
        <v>1500</v>
      </c>
      <c r="AA617" s="59">
        <f t="shared" si="72"/>
        <v>-1075.2300000000005</v>
      </c>
      <c r="AB617" s="59">
        <f t="shared" si="66"/>
        <v>849.53999999999905</v>
      </c>
      <c r="AD617" s="50" t="s">
        <v>3317</v>
      </c>
      <c r="AE617" s="50"/>
      <c r="AF617" s="59"/>
    </row>
    <row r="618" spans="1:32" x14ac:dyDescent="0.3">
      <c r="A618" s="49">
        <v>11</v>
      </c>
      <c r="B618" s="50" t="s">
        <v>2008</v>
      </c>
      <c r="C618" s="50" t="s">
        <v>409</v>
      </c>
      <c r="D618" s="50" t="s">
        <v>946</v>
      </c>
      <c r="E618" s="50" t="s">
        <v>25</v>
      </c>
      <c r="F618" s="50" t="s">
        <v>25</v>
      </c>
      <c r="G618" s="50" t="s">
        <v>866</v>
      </c>
      <c r="H618" s="59">
        <v>2273.7399999999998</v>
      </c>
      <c r="I618" s="59">
        <v>-1397.6400000000003</v>
      </c>
      <c r="J618" s="59">
        <v>-22.880000000000003</v>
      </c>
      <c r="K618" s="59">
        <v>0</v>
      </c>
      <c r="L618" s="59">
        <v>0</v>
      </c>
      <c r="M618" s="59">
        <v>-45</v>
      </c>
      <c r="N618" s="59">
        <v>0</v>
      </c>
      <c r="O618" s="59">
        <f t="shared" ref="O618:O681" si="73">IF(H618+I618&lt;0,SUM(J618:N618),SUM(H618:N618))</f>
        <v>808.21999999999946</v>
      </c>
      <c r="P618" s="59">
        <v>-2500</v>
      </c>
      <c r="Q618" s="59">
        <f>-266*1.12</f>
        <v>-297.92</v>
      </c>
      <c r="R618" s="59">
        <v>-500</v>
      </c>
      <c r="S618" s="59">
        <v>0</v>
      </c>
      <c r="T618" s="59">
        <v>0</v>
      </c>
      <c r="U618" s="59">
        <v>0</v>
      </c>
      <c r="V618" s="59">
        <v>0</v>
      </c>
      <c r="W618" s="59">
        <f t="shared" si="65"/>
        <v>-2489.7000000000007</v>
      </c>
      <c r="X618" s="59">
        <f t="shared" si="70"/>
        <v>0</v>
      </c>
      <c r="Y618" s="59">
        <f t="shared" si="71"/>
        <v>-2489.7000000000007</v>
      </c>
      <c r="Z618" s="59">
        <f>500+400+300+350</f>
        <v>1550</v>
      </c>
      <c r="AA618" s="59">
        <f t="shared" si="72"/>
        <v>-939.70000000000073</v>
      </c>
      <c r="AB618" s="59">
        <f t="shared" si="66"/>
        <v>1418.5199999999986</v>
      </c>
      <c r="AD618" s="50" t="s">
        <v>3318</v>
      </c>
      <c r="AE618" s="50"/>
      <c r="AF618" s="59"/>
    </row>
    <row r="619" spans="1:32" x14ac:dyDescent="0.3">
      <c r="A619" s="49">
        <v>11</v>
      </c>
      <c r="B619" s="50" t="s">
        <v>2009</v>
      </c>
      <c r="C619" s="50" t="s">
        <v>152</v>
      </c>
      <c r="D619" s="50" t="s">
        <v>1108</v>
      </c>
      <c r="E619" s="50" t="s">
        <v>25</v>
      </c>
      <c r="F619" s="50" t="s">
        <v>25</v>
      </c>
      <c r="G619" s="50" t="s">
        <v>866</v>
      </c>
      <c r="H619" s="59">
        <v>1322.85</v>
      </c>
      <c r="I619" s="59">
        <v>-1371.1500000000003</v>
      </c>
      <c r="J619" s="59">
        <v>0</v>
      </c>
      <c r="K619" s="59">
        <v>0</v>
      </c>
      <c r="L619" s="59">
        <v>0</v>
      </c>
      <c r="M619" s="59">
        <v>-45</v>
      </c>
      <c r="N619" s="59">
        <v>0</v>
      </c>
      <c r="O619" s="59">
        <f t="shared" si="73"/>
        <v>-45</v>
      </c>
      <c r="P619" s="59">
        <f>(-2500/7)*4</f>
        <v>-1428.5714285714287</v>
      </c>
      <c r="Q619" s="59">
        <v>0</v>
      </c>
      <c r="R619" s="59">
        <v>-500</v>
      </c>
      <c r="S619" s="59">
        <v>0</v>
      </c>
      <c r="T619" s="59">
        <v>0</v>
      </c>
      <c r="U619" s="59">
        <v>0</v>
      </c>
      <c r="V619" s="59">
        <v>0</v>
      </c>
      <c r="W619" s="59">
        <f t="shared" si="65"/>
        <v>-1973.5714285714287</v>
      </c>
      <c r="X619" s="59">
        <f t="shared" si="70"/>
        <v>0</v>
      </c>
      <c r="Y619" s="59">
        <f t="shared" si="71"/>
        <v>-1973.5714285714287</v>
      </c>
      <c r="Z619" s="59">
        <v>1974</v>
      </c>
      <c r="AA619" s="59">
        <f t="shared" si="72"/>
        <v>0.42857142857133113</v>
      </c>
      <c r="AB619" s="59">
        <f t="shared" si="66"/>
        <v>1929.4285714285713</v>
      </c>
      <c r="AD619" s="50" t="s">
        <v>3319</v>
      </c>
      <c r="AE619" s="50"/>
      <c r="AF619" s="59"/>
    </row>
    <row r="620" spans="1:32" x14ac:dyDescent="0.3">
      <c r="A620" s="49">
        <v>11</v>
      </c>
      <c r="B620" s="50" t="s">
        <v>2010</v>
      </c>
      <c r="C620" s="50" t="s">
        <v>1316</v>
      </c>
      <c r="D620" s="50" t="s">
        <v>3281</v>
      </c>
      <c r="E620" s="50" t="s">
        <v>25</v>
      </c>
      <c r="F620" s="50" t="s">
        <v>25</v>
      </c>
      <c r="G620" s="50" t="s">
        <v>866</v>
      </c>
      <c r="H620" s="59">
        <v>8665.24</v>
      </c>
      <c r="I620" s="59">
        <v>0</v>
      </c>
      <c r="J620" s="59">
        <v>0</v>
      </c>
      <c r="K620" s="59">
        <v>0</v>
      </c>
      <c r="L620" s="59">
        <v>0</v>
      </c>
      <c r="M620" s="59">
        <v>0</v>
      </c>
      <c r="N620" s="59">
        <v>0</v>
      </c>
      <c r="O620" s="59">
        <f t="shared" si="73"/>
        <v>8665.24</v>
      </c>
      <c r="P620" s="59">
        <v>-2700</v>
      </c>
      <c r="Q620" s="59">
        <v>0</v>
      </c>
      <c r="R620" s="59">
        <v>-500</v>
      </c>
      <c r="S620" s="59">
        <v>0</v>
      </c>
      <c r="T620" s="59">
        <v>0</v>
      </c>
      <c r="U620" s="59">
        <v>0</v>
      </c>
      <c r="V620" s="59">
        <v>0</v>
      </c>
      <c r="W620" s="59">
        <f t="shared" si="65"/>
        <v>5465.24</v>
      </c>
      <c r="X620" s="59">
        <f t="shared" si="70"/>
        <v>5465.24</v>
      </c>
      <c r="Y620" s="59">
        <f t="shared" si="71"/>
        <v>0</v>
      </c>
      <c r="Z620" s="59">
        <v>0</v>
      </c>
      <c r="AA620" s="59">
        <f t="shared" si="72"/>
        <v>0</v>
      </c>
      <c r="AB620" s="59">
        <f t="shared" si="66"/>
        <v>3200</v>
      </c>
      <c r="AE620" s="50"/>
      <c r="AF620" s="59"/>
    </row>
    <row r="621" spans="1:32" x14ac:dyDescent="0.3">
      <c r="A621" s="49">
        <v>11</v>
      </c>
      <c r="B621" s="50" t="s">
        <v>2011</v>
      </c>
      <c r="C621" s="50" t="s">
        <v>46</v>
      </c>
      <c r="D621" s="50" t="s">
        <v>915</v>
      </c>
      <c r="E621" s="50" t="s">
        <v>25</v>
      </c>
      <c r="F621" s="50" t="s">
        <v>25</v>
      </c>
      <c r="G621" s="50" t="s">
        <v>866</v>
      </c>
      <c r="H621" s="59">
        <v>3388.99</v>
      </c>
      <c r="I621" s="59">
        <v>-1210.8900000000001</v>
      </c>
      <c r="J621" s="59">
        <v>0</v>
      </c>
      <c r="K621" s="59">
        <v>0</v>
      </c>
      <c r="L621" s="59">
        <v>0</v>
      </c>
      <c r="M621" s="59">
        <f>-1.32-45</f>
        <v>-46.32</v>
      </c>
      <c r="N621" s="59">
        <v>-11</v>
      </c>
      <c r="O621" s="59">
        <f t="shared" si="73"/>
        <v>2120.7799999999993</v>
      </c>
      <c r="P621" s="59">
        <v>-2500</v>
      </c>
      <c r="Q621" s="59">
        <v>0</v>
      </c>
      <c r="R621" s="59">
        <v>-500</v>
      </c>
      <c r="S621" s="59">
        <v>0</v>
      </c>
      <c r="T621" s="59">
        <v>0</v>
      </c>
      <c r="U621" s="59">
        <v>0</v>
      </c>
      <c r="V621" s="59">
        <v>0</v>
      </c>
      <c r="W621" s="59">
        <f t="shared" si="65"/>
        <v>-879.22000000000071</v>
      </c>
      <c r="X621" s="59">
        <f t="shared" si="70"/>
        <v>0</v>
      </c>
      <c r="Y621" s="59">
        <f t="shared" si="71"/>
        <v>-879.22000000000071</v>
      </c>
      <c r="Z621" s="59">
        <v>879</v>
      </c>
      <c r="AA621" s="59">
        <f t="shared" si="72"/>
        <v>-0.22000000000070941</v>
      </c>
      <c r="AB621" s="59">
        <f t="shared" si="66"/>
        <v>2999.5599999999986</v>
      </c>
      <c r="AD621" s="50" t="s">
        <v>3320</v>
      </c>
      <c r="AE621" s="50"/>
      <c r="AF621" s="59"/>
    </row>
    <row r="622" spans="1:32" x14ac:dyDescent="0.3">
      <c r="A622" s="49">
        <v>11</v>
      </c>
      <c r="B622" s="50" t="s">
        <v>2012</v>
      </c>
      <c r="C622" s="50" t="s">
        <v>361</v>
      </c>
      <c r="D622" s="50" t="s">
        <v>1164</v>
      </c>
      <c r="E622" s="50" t="s">
        <v>25</v>
      </c>
      <c r="F622" s="50" t="s">
        <v>25</v>
      </c>
      <c r="G622" s="50" t="s">
        <v>866</v>
      </c>
      <c r="H622" s="59">
        <v>2244.13</v>
      </c>
      <c r="I622" s="59">
        <v>0</v>
      </c>
      <c r="J622" s="59">
        <v>0</v>
      </c>
      <c r="K622" s="59">
        <v>66.81</v>
      </c>
      <c r="L622" s="59">
        <v>0</v>
      </c>
      <c r="M622" s="59">
        <v>-33.479999999999997</v>
      </c>
      <c r="N622" s="59">
        <v>-279</v>
      </c>
      <c r="O622" s="59">
        <f t="shared" si="73"/>
        <v>1998.46</v>
      </c>
      <c r="P622" s="59">
        <v>-2700</v>
      </c>
      <c r="Q622" s="59">
        <f>-277*1.12</f>
        <v>-310.24</v>
      </c>
      <c r="R622" s="59">
        <v>-500</v>
      </c>
      <c r="S622" s="59">
        <v>0</v>
      </c>
      <c r="T622" s="59">
        <v>0</v>
      </c>
      <c r="U622" s="59">
        <v>0</v>
      </c>
      <c r="V622" s="59">
        <v>0</v>
      </c>
      <c r="W622" s="59">
        <f t="shared" si="65"/>
        <v>-1511.78</v>
      </c>
      <c r="X622" s="59">
        <f t="shared" si="70"/>
        <v>0</v>
      </c>
      <c r="Y622" s="59">
        <f t="shared" si="71"/>
        <v>-1511.78</v>
      </c>
      <c r="Z622" s="59">
        <f>500+600+300+112</f>
        <v>1512</v>
      </c>
      <c r="AA622" s="59">
        <f t="shared" si="72"/>
        <v>0.22000000000002728</v>
      </c>
      <c r="AB622" s="59">
        <f t="shared" si="66"/>
        <v>3510.6800000000003</v>
      </c>
      <c r="AD622" s="50" t="s">
        <v>3321</v>
      </c>
      <c r="AE622" s="50"/>
      <c r="AF622" s="59"/>
    </row>
    <row r="623" spans="1:32" x14ac:dyDescent="0.3">
      <c r="A623" s="49">
        <v>11</v>
      </c>
      <c r="B623" s="50" t="s">
        <v>1956</v>
      </c>
      <c r="C623" s="50" t="s">
        <v>257</v>
      </c>
      <c r="D623" s="50" t="s">
        <v>1605</v>
      </c>
      <c r="E623" s="50" t="s">
        <v>25</v>
      </c>
      <c r="F623" s="50" t="s">
        <v>25</v>
      </c>
      <c r="G623" s="50" t="s">
        <v>866</v>
      </c>
      <c r="H623" s="59">
        <v>1924.78</v>
      </c>
      <c r="I623" s="59">
        <v>-249.85000000000002</v>
      </c>
      <c r="J623" s="59">
        <v>-33.090000000000003</v>
      </c>
      <c r="K623" s="59">
        <v>216.58</v>
      </c>
      <c r="L623" s="59">
        <v>0</v>
      </c>
      <c r="M623" s="59">
        <f>-8.88-20</f>
        <v>-28.880000000000003</v>
      </c>
      <c r="N623" s="59">
        <v>-74</v>
      </c>
      <c r="O623" s="59">
        <f t="shared" si="73"/>
        <v>1755.5399999999997</v>
      </c>
      <c r="P623" s="59">
        <v>-2500</v>
      </c>
      <c r="Q623" s="59">
        <v>0</v>
      </c>
      <c r="R623" s="59">
        <v>-500</v>
      </c>
      <c r="S623" s="59">
        <v>0</v>
      </c>
      <c r="T623" s="59">
        <v>0</v>
      </c>
      <c r="U623" s="59">
        <v>0</v>
      </c>
      <c r="V623" s="59">
        <v>0</v>
      </c>
      <c r="W623" s="59">
        <f t="shared" si="65"/>
        <v>-1244.4600000000003</v>
      </c>
      <c r="X623" s="59">
        <f t="shared" si="70"/>
        <v>0</v>
      </c>
      <c r="Y623" s="59">
        <f t="shared" si="71"/>
        <v>-1244.4600000000003</v>
      </c>
      <c r="Z623" s="59">
        <f>800+444</f>
        <v>1244</v>
      </c>
      <c r="AA623" s="59">
        <f t="shared" si="72"/>
        <v>-0.46000000000026375</v>
      </c>
      <c r="AB623" s="59">
        <f t="shared" si="66"/>
        <v>2999.08</v>
      </c>
      <c r="AD623" s="50" t="s">
        <v>3322</v>
      </c>
      <c r="AE623" s="50"/>
      <c r="AF623" s="59"/>
    </row>
    <row r="624" spans="1:32" x14ac:dyDescent="0.3">
      <c r="A624" s="49">
        <v>11</v>
      </c>
      <c r="B624" s="50" t="s">
        <v>1958</v>
      </c>
      <c r="C624" s="50" t="s">
        <v>51</v>
      </c>
      <c r="D624" s="50" t="s">
        <v>1115</v>
      </c>
      <c r="E624" s="50" t="s">
        <v>25</v>
      </c>
      <c r="F624" s="50" t="s">
        <v>25</v>
      </c>
      <c r="G624" s="50" t="s">
        <v>866</v>
      </c>
      <c r="H624" s="59">
        <v>3958.2</v>
      </c>
      <c r="I624" s="59">
        <v>-339.03</v>
      </c>
      <c r="J624" s="59">
        <v>-24</v>
      </c>
      <c r="K624" s="59">
        <v>124.64</v>
      </c>
      <c r="L624" s="59">
        <v>0</v>
      </c>
      <c r="M624" s="59">
        <v>-20</v>
      </c>
      <c r="N624" s="59">
        <v>0</v>
      </c>
      <c r="O624" s="59">
        <f t="shared" si="73"/>
        <v>3699.81</v>
      </c>
      <c r="P624" s="59">
        <v>-2500</v>
      </c>
      <c r="Q624" s="59">
        <v>0</v>
      </c>
      <c r="R624" s="59">
        <v>-500</v>
      </c>
      <c r="S624" s="59">
        <v>0</v>
      </c>
      <c r="T624" s="59">
        <v>0</v>
      </c>
      <c r="U624" s="59">
        <v>0</v>
      </c>
      <c r="V624" s="59">
        <v>0</v>
      </c>
      <c r="W624" s="59">
        <f t="shared" si="65"/>
        <v>699.81</v>
      </c>
      <c r="X624" s="59">
        <f t="shared" si="70"/>
        <v>699.81</v>
      </c>
      <c r="Y624" s="59">
        <f t="shared" si="71"/>
        <v>0</v>
      </c>
      <c r="Z624" s="59">
        <v>0</v>
      </c>
      <c r="AA624" s="59">
        <f t="shared" si="72"/>
        <v>0</v>
      </c>
      <c r="AB624" s="59">
        <f t="shared" si="66"/>
        <v>3000</v>
      </c>
      <c r="AE624" s="50"/>
      <c r="AF624" s="59"/>
    </row>
    <row r="625" spans="1:34" x14ac:dyDescent="0.3">
      <c r="A625" s="49">
        <v>11</v>
      </c>
      <c r="B625" s="50" t="s">
        <v>1960</v>
      </c>
      <c r="C625" s="50" t="s">
        <v>123</v>
      </c>
      <c r="D625" s="50" t="s">
        <v>1608</v>
      </c>
      <c r="E625" s="50" t="s">
        <v>25</v>
      </c>
      <c r="F625" s="50" t="s">
        <v>25</v>
      </c>
      <c r="G625" s="50" t="s">
        <v>737</v>
      </c>
      <c r="H625" s="59">
        <v>3275.17</v>
      </c>
      <c r="I625" s="59">
        <v>-1618.31</v>
      </c>
      <c r="J625" s="59">
        <f>+I625*0.101</f>
        <v>-163.44931</v>
      </c>
      <c r="K625" s="59">
        <v>0</v>
      </c>
      <c r="L625" s="59">
        <v>0</v>
      </c>
      <c r="M625" s="59">
        <v>0</v>
      </c>
      <c r="N625" s="59">
        <v>0</v>
      </c>
      <c r="O625" s="59">
        <f t="shared" si="73"/>
        <v>1493.4106900000002</v>
      </c>
      <c r="P625" s="59">
        <f>(-2500/7)*6</f>
        <v>-2142.8571428571431</v>
      </c>
      <c r="Q625" s="59">
        <f>-2203*1.12</f>
        <v>-2467.36</v>
      </c>
      <c r="R625" s="59">
        <v>-500</v>
      </c>
      <c r="S625" s="59">
        <v>0</v>
      </c>
      <c r="T625" s="59">
        <v>0</v>
      </c>
      <c r="U625" s="59">
        <v>0</v>
      </c>
      <c r="V625" s="59">
        <v>0</v>
      </c>
      <c r="W625" s="59">
        <f t="shared" si="65"/>
        <v>-3616.8064528571431</v>
      </c>
      <c r="X625" s="59">
        <f t="shared" si="70"/>
        <v>0</v>
      </c>
      <c r="Y625" s="59">
        <f t="shared" si="71"/>
        <v>-3616.8064528571431</v>
      </c>
      <c r="Z625" s="59">
        <v>3617</v>
      </c>
      <c r="AA625" s="59">
        <f t="shared" si="72"/>
        <v>0.19354714285691443</v>
      </c>
      <c r="AB625" s="59">
        <f t="shared" si="66"/>
        <v>5110.6042371428575</v>
      </c>
      <c r="AD625" s="50" t="s">
        <v>3323</v>
      </c>
      <c r="AE625" s="50"/>
      <c r="AF625" s="59"/>
    </row>
    <row r="626" spans="1:34" x14ac:dyDescent="0.3">
      <c r="A626" s="49">
        <v>11</v>
      </c>
      <c r="B626" s="41" t="s">
        <v>1010</v>
      </c>
      <c r="C626" s="50" t="s">
        <v>409</v>
      </c>
      <c r="D626" s="50" t="s">
        <v>946</v>
      </c>
      <c r="E626" s="50" t="s">
        <v>25</v>
      </c>
      <c r="F626" s="51" t="s">
        <v>25</v>
      </c>
      <c r="G626" s="50" t="s">
        <v>866</v>
      </c>
      <c r="H626" s="59">
        <v>3813.39</v>
      </c>
      <c r="I626" s="59">
        <v>-1304.8599999999999</v>
      </c>
      <c r="J626" s="59">
        <v>0</v>
      </c>
      <c r="K626" s="59">
        <v>0</v>
      </c>
      <c r="L626" s="59">
        <v>-49.490000000000009</v>
      </c>
      <c r="M626" s="59">
        <f>-8.88-45</f>
        <v>-53.88</v>
      </c>
      <c r="N626" s="59">
        <v>-74</v>
      </c>
      <c r="O626" s="238">
        <f t="shared" si="73"/>
        <v>2331.16</v>
      </c>
      <c r="P626" s="238">
        <v>-3500</v>
      </c>
      <c r="Q626" s="238">
        <f>-520*1.12</f>
        <v>-582.40000000000009</v>
      </c>
      <c r="R626" s="238">
        <v>0</v>
      </c>
      <c r="S626" s="238">
        <v>0</v>
      </c>
      <c r="T626" s="238">
        <v>0</v>
      </c>
      <c r="U626" s="238">
        <v>0</v>
      </c>
      <c r="V626" s="238">
        <v>0</v>
      </c>
      <c r="W626" s="238">
        <f t="shared" si="65"/>
        <v>-1751.2400000000002</v>
      </c>
      <c r="X626" s="238">
        <f t="shared" si="70"/>
        <v>0</v>
      </c>
      <c r="Y626" s="238">
        <f t="shared" si="71"/>
        <v>-1751.2400000000002</v>
      </c>
      <c r="Z626" s="238">
        <f>1000+665</f>
        <v>1665</v>
      </c>
      <c r="AA626" s="238">
        <f t="shared" si="72"/>
        <v>-86.240000000000236</v>
      </c>
      <c r="AB626" s="238">
        <f t="shared" si="66"/>
        <v>3909.9199999999996</v>
      </c>
      <c r="AD626" s="50" t="s">
        <v>3324</v>
      </c>
      <c r="AE626" s="50"/>
      <c r="AF626" s="59"/>
    </row>
    <row r="627" spans="1:34" x14ac:dyDescent="0.3">
      <c r="A627" s="49">
        <v>11</v>
      </c>
      <c r="B627" s="41" t="s">
        <v>1142</v>
      </c>
      <c r="C627" s="50" t="s">
        <v>1443</v>
      </c>
      <c r="D627" s="50" t="s">
        <v>1554</v>
      </c>
      <c r="E627" s="50" t="s">
        <v>25</v>
      </c>
      <c r="F627" s="51" t="s">
        <v>25</v>
      </c>
      <c r="G627" s="50" t="s">
        <v>866</v>
      </c>
      <c r="H627" s="59">
        <v>2553.0500000000002</v>
      </c>
      <c r="I627" s="59">
        <v>-244.84</v>
      </c>
      <c r="J627" s="59">
        <v>-2.14</v>
      </c>
      <c r="K627" s="59">
        <v>13.36</v>
      </c>
      <c r="L627" s="59">
        <v>0</v>
      </c>
      <c r="M627" s="59">
        <f>-8.88-20</f>
        <v>-28.880000000000003</v>
      </c>
      <c r="N627" s="59">
        <v>-74</v>
      </c>
      <c r="O627" s="59">
        <f t="shared" si="73"/>
        <v>2216.5500000000002</v>
      </c>
      <c r="P627" s="59">
        <v>-2700</v>
      </c>
      <c r="Q627" s="59">
        <f>-2970*1.12</f>
        <v>-3326.4</v>
      </c>
      <c r="R627" s="59">
        <v>-250</v>
      </c>
      <c r="S627" s="59">
        <v>0</v>
      </c>
      <c r="T627" s="59">
        <v>0</v>
      </c>
      <c r="U627" s="59">
        <v>0</v>
      </c>
      <c r="V627" s="59">
        <v>0</v>
      </c>
      <c r="W627" s="59">
        <f t="shared" si="65"/>
        <v>-4059.85</v>
      </c>
      <c r="X627" s="59">
        <f t="shared" si="70"/>
        <v>0</v>
      </c>
      <c r="Y627" s="59">
        <f t="shared" si="71"/>
        <v>-4059.85</v>
      </c>
      <c r="Z627" s="59">
        <f>1450+900</f>
        <v>2350</v>
      </c>
      <c r="AA627" s="59">
        <f t="shared" si="72"/>
        <v>-1709.85</v>
      </c>
      <c r="AB627" s="59">
        <f t="shared" si="66"/>
        <v>2856.7000000000003</v>
      </c>
      <c r="AD627" s="50" t="s">
        <v>3325</v>
      </c>
      <c r="AE627" s="50"/>
      <c r="AF627" s="59"/>
    </row>
    <row r="628" spans="1:34" x14ac:dyDescent="0.3">
      <c r="A628" s="49">
        <v>11</v>
      </c>
      <c r="B628" s="41" t="s">
        <v>1558</v>
      </c>
      <c r="C628" s="50" t="s">
        <v>571</v>
      </c>
      <c r="D628" s="50" t="s">
        <v>974</v>
      </c>
      <c r="E628" s="50" t="s">
        <v>25</v>
      </c>
      <c r="F628" s="51" t="s">
        <v>25</v>
      </c>
      <c r="G628" s="50" t="s">
        <v>866</v>
      </c>
      <c r="H628" s="59">
        <v>6436.07</v>
      </c>
      <c r="I628" s="59">
        <v>-4257.2599999999993</v>
      </c>
      <c r="J628" s="59">
        <v>0</v>
      </c>
      <c r="K628" s="59">
        <v>0</v>
      </c>
      <c r="L628" s="59">
        <v>0</v>
      </c>
      <c r="M628" s="59">
        <v>-60</v>
      </c>
      <c r="N628" s="59">
        <v>0</v>
      </c>
      <c r="O628" s="59">
        <f t="shared" si="73"/>
        <v>2118.8100000000004</v>
      </c>
      <c r="P628" s="59">
        <v>-2500</v>
      </c>
      <c r="Q628" s="59">
        <v>0</v>
      </c>
      <c r="R628" s="59">
        <v>-500</v>
      </c>
      <c r="S628" s="59">
        <v>0</v>
      </c>
      <c r="T628" s="59">
        <v>0</v>
      </c>
      <c r="U628" s="59">
        <v>0</v>
      </c>
      <c r="V628" s="59">
        <v>0</v>
      </c>
      <c r="W628" s="59">
        <f t="shared" si="65"/>
        <v>-881.1899999999996</v>
      </c>
      <c r="X628" s="59">
        <f t="shared" si="70"/>
        <v>0</v>
      </c>
      <c r="Y628" s="59">
        <f t="shared" si="71"/>
        <v>-881.1899999999996</v>
      </c>
      <c r="Z628" s="59">
        <v>881</v>
      </c>
      <c r="AA628" s="59">
        <f t="shared" si="72"/>
        <v>-0.18999999999959982</v>
      </c>
      <c r="AB628" s="59">
        <f t="shared" si="66"/>
        <v>2999.6200000000008</v>
      </c>
      <c r="AD628" s="50" t="s">
        <v>3326</v>
      </c>
      <c r="AE628" s="50"/>
      <c r="AF628" s="59"/>
    </row>
    <row r="629" spans="1:34" x14ac:dyDescent="0.3">
      <c r="A629" s="49">
        <v>11</v>
      </c>
      <c r="B629" s="41" t="s">
        <v>585</v>
      </c>
      <c r="C629" s="50" t="s">
        <v>42</v>
      </c>
      <c r="D629" s="50" t="s">
        <v>948</v>
      </c>
      <c r="E629" s="50" t="s">
        <v>25</v>
      </c>
      <c r="F629" s="51" t="s">
        <v>25</v>
      </c>
      <c r="G629" s="50" t="s">
        <v>866</v>
      </c>
      <c r="H629" s="59">
        <v>0</v>
      </c>
      <c r="I629" s="59">
        <v>0</v>
      </c>
      <c r="J629" s="59">
        <v>0</v>
      </c>
      <c r="K629" s="59">
        <v>0</v>
      </c>
      <c r="L629" s="59">
        <v>0</v>
      </c>
      <c r="M629" s="59">
        <v>0</v>
      </c>
      <c r="N629" s="59">
        <v>0</v>
      </c>
      <c r="O629" s="59">
        <f t="shared" si="73"/>
        <v>0</v>
      </c>
      <c r="P629" s="59">
        <v>-2500</v>
      </c>
      <c r="Q629" s="59">
        <v>0</v>
      </c>
      <c r="R629" s="59">
        <v>0</v>
      </c>
      <c r="S629" s="59">
        <v>0</v>
      </c>
      <c r="T629" s="59">
        <v>0</v>
      </c>
      <c r="U629" s="59">
        <v>0</v>
      </c>
      <c r="V629" s="59">
        <v>0</v>
      </c>
      <c r="W629" s="59">
        <f t="shared" si="65"/>
        <v>-2500</v>
      </c>
      <c r="X629" s="59">
        <f t="shared" si="70"/>
        <v>0</v>
      </c>
      <c r="Y629" s="59">
        <f t="shared" si="71"/>
        <v>-2500</v>
      </c>
      <c r="Z629" s="59">
        <v>2500</v>
      </c>
      <c r="AA629" s="59">
        <f t="shared" si="72"/>
        <v>0</v>
      </c>
      <c r="AB629" s="59">
        <f t="shared" si="66"/>
        <v>2500</v>
      </c>
      <c r="AD629" s="50" t="s">
        <v>3327</v>
      </c>
      <c r="AE629" s="50"/>
      <c r="AF629" s="59"/>
    </row>
    <row r="630" spans="1:34" x14ac:dyDescent="0.3">
      <c r="A630" s="49">
        <v>11</v>
      </c>
      <c r="B630" s="41" t="s">
        <v>837</v>
      </c>
      <c r="C630" s="50" t="s">
        <v>357</v>
      </c>
      <c r="D630" s="50" t="s">
        <v>1150</v>
      </c>
      <c r="E630" s="50" t="s">
        <v>25</v>
      </c>
      <c r="F630" s="51" t="s">
        <v>25</v>
      </c>
      <c r="G630" s="50" t="s">
        <v>866</v>
      </c>
      <c r="H630" s="59">
        <v>8520.52</v>
      </c>
      <c r="I630" s="59">
        <v>0</v>
      </c>
      <c r="J630" s="59">
        <v>-166.4</v>
      </c>
      <c r="K630" s="59">
        <v>429.57</v>
      </c>
      <c r="L630" s="59">
        <v>0</v>
      </c>
      <c r="M630" s="59">
        <v>0</v>
      </c>
      <c r="N630" s="59">
        <v>0</v>
      </c>
      <c r="O630" s="59">
        <f t="shared" si="73"/>
        <v>8783.69</v>
      </c>
      <c r="P630" s="59">
        <f>(-2700/7)*6.5</f>
        <v>-2507.1428571428573</v>
      </c>
      <c r="Q630" s="59">
        <v>0</v>
      </c>
      <c r="R630" s="59">
        <v>0</v>
      </c>
      <c r="S630" s="59">
        <v>0</v>
      </c>
      <c r="T630" s="59">
        <v>0</v>
      </c>
      <c r="U630" s="59">
        <v>0</v>
      </c>
      <c r="V630" s="59">
        <v>0</v>
      </c>
      <c r="W630" s="59">
        <f t="shared" si="65"/>
        <v>6276.5471428571436</v>
      </c>
      <c r="X630" s="59">
        <f t="shared" si="70"/>
        <v>6276.5471428571436</v>
      </c>
      <c r="Y630" s="59">
        <f t="shared" si="71"/>
        <v>0</v>
      </c>
      <c r="Z630" s="59">
        <v>0</v>
      </c>
      <c r="AA630" s="59">
        <f t="shared" si="72"/>
        <v>0</v>
      </c>
      <c r="AB630" s="59">
        <f t="shared" si="66"/>
        <v>2507.1428571428569</v>
      </c>
      <c r="AD630" s="50" t="s">
        <v>3328</v>
      </c>
      <c r="AE630" s="50"/>
      <c r="AF630" s="59"/>
    </row>
    <row r="631" spans="1:34" x14ac:dyDescent="0.3">
      <c r="A631" s="49">
        <v>11</v>
      </c>
      <c r="B631" s="41" t="s">
        <v>1454</v>
      </c>
      <c r="C631" s="50" t="s">
        <v>563</v>
      </c>
      <c r="D631" s="50" t="s">
        <v>1230</v>
      </c>
      <c r="E631" s="50" t="s">
        <v>25</v>
      </c>
      <c r="F631" s="51" t="s">
        <v>25</v>
      </c>
      <c r="G631" s="50" t="s">
        <v>866</v>
      </c>
      <c r="H631" s="59">
        <v>3221.15</v>
      </c>
      <c r="I631" s="59">
        <v>-1072.2400000000002</v>
      </c>
      <c r="J631" s="59">
        <v>-22.880000000000003</v>
      </c>
      <c r="K631" s="59">
        <v>0</v>
      </c>
      <c r="L631" s="59">
        <v>0</v>
      </c>
      <c r="M631" s="59">
        <v>-45</v>
      </c>
      <c r="N631" s="59">
        <v>0</v>
      </c>
      <c r="O631" s="59">
        <f t="shared" si="73"/>
        <v>2081.0299999999997</v>
      </c>
      <c r="P631" s="59">
        <v>-2500</v>
      </c>
      <c r="Q631" s="59">
        <v>0</v>
      </c>
      <c r="R631" s="59">
        <v>0</v>
      </c>
      <c r="S631" s="59">
        <v>0</v>
      </c>
      <c r="T631" s="59">
        <v>0</v>
      </c>
      <c r="U631" s="59">
        <v>0</v>
      </c>
      <c r="V631" s="59">
        <v>0</v>
      </c>
      <c r="W631" s="59">
        <f t="shared" si="65"/>
        <v>-418.97000000000025</v>
      </c>
      <c r="X631" s="59">
        <f t="shared" si="70"/>
        <v>0</v>
      </c>
      <c r="Y631" s="59">
        <f t="shared" si="71"/>
        <v>-418.97000000000025</v>
      </c>
      <c r="Z631" s="59">
        <v>420</v>
      </c>
      <c r="AA631" s="59">
        <f t="shared" si="72"/>
        <v>1.0299999999997453</v>
      </c>
      <c r="AB631" s="59">
        <f t="shared" si="66"/>
        <v>2502.0599999999995</v>
      </c>
      <c r="AD631" s="50" t="s">
        <v>3329</v>
      </c>
      <c r="AE631" s="50"/>
      <c r="AF631" s="59"/>
      <c r="AG631" s="50" t="s">
        <v>1044</v>
      </c>
    </row>
    <row r="632" spans="1:34" x14ac:dyDescent="0.3">
      <c r="A632" s="49">
        <v>11</v>
      </c>
      <c r="B632" s="41" t="s">
        <v>944</v>
      </c>
      <c r="C632" s="50" t="s">
        <v>372</v>
      </c>
      <c r="D632" s="50" t="s">
        <v>1004</v>
      </c>
      <c r="E632" s="50" t="s">
        <v>39</v>
      </c>
      <c r="F632" s="51" t="s">
        <v>39</v>
      </c>
      <c r="G632" s="50" t="s">
        <v>866</v>
      </c>
      <c r="H632" s="59">
        <v>6607.03</v>
      </c>
      <c r="I632" s="59">
        <v>-2083.0500000000002</v>
      </c>
      <c r="J632" s="59">
        <v>0</v>
      </c>
      <c r="K632" s="59">
        <v>0</v>
      </c>
      <c r="L632" s="59">
        <v>0</v>
      </c>
      <c r="M632" s="59">
        <f>-36-45</f>
        <v>-81</v>
      </c>
      <c r="N632" s="59">
        <v>0</v>
      </c>
      <c r="O632" s="59">
        <f t="shared" si="73"/>
        <v>4442.9799999999996</v>
      </c>
      <c r="P632" s="59">
        <v>-2500</v>
      </c>
      <c r="Q632" s="59">
        <v>0</v>
      </c>
      <c r="R632" s="59">
        <v>0</v>
      </c>
      <c r="S632" s="59">
        <v>0</v>
      </c>
      <c r="T632" s="59">
        <v>0</v>
      </c>
      <c r="U632" s="59">
        <v>0</v>
      </c>
      <c r="V632" s="59">
        <v>0</v>
      </c>
      <c r="W632" s="59">
        <f t="shared" si="65"/>
        <v>1942.9799999999996</v>
      </c>
      <c r="X632" s="59">
        <f t="shared" si="70"/>
        <v>1942.9799999999996</v>
      </c>
      <c r="Y632" s="59">
        <f t="shared" si="71"/>
        <v>0</v>
      </c>
      <c r="Z632" s="59">
        <v>0</v>
      </c>
      <c r="AA632" s="59">
        <f t="shared" si="72"/>
        <v>0</v>
      </c>
      <c r="AB632" s="59">
        <f t="shared" si="66"/>
        <v>2500</v>
      </c>
      <c r="AD632" s="50" t="s">
        <v>1044</v>
      </c>
      <c r="AE632" s="50"/>
      <c r="AF632" s="59"/>
      <c r="AG632" s="50" t="s">
        <v>1044</v>
      </c>
    </row>
    <row r="633" spans="1:34" x14ac:dyDescent="0.3">
      <c r="A633" s="49">
        <v>11</v>
      </c>
      <c r="B633" s="41" t="s">
        <v>1453</v>
      </c>
      <c r="C633" s="50" t="s">
        <v>1829</v>
      </c>
      <c r="D633" s="50" t="s">
        <v>3279</v>
      </c>
      <c r="E633" s="50" t="s">
        <v>25</v>
      </c>
      <c r="F633" s="51" t="s">
        <v>25</v>
      </c>
      <c r="G633" s="50" t="s">
        <v>866</v>
      </c>
      <c r="H633" s="59">
        <v>6918.61</v>
      </c>
      <c r="I633" s="59">
        <v>-1480.98</v>
      </c>
      <c r="J633" s="59">
        <v>-53.41</v>
      </c>
      <c r="K633" s="59">
        <v>0</v>
      </c>
      <c r="L633" s="59">
        <v>0</v>
      </c>
      <c r="M633" s="59">
        <v>-45</v>
      </c>
      <c r="N633" s="59">
        <v>0</v>
      </c>
      <c r="O633" s="59">
        <f t="shared" si="73"/>
        <v>5339.2199999999993</v>
      </c>
      <c r="P633" s="59">
        <f>(-2700/7)*6.5</f>
        <v>-2507.1428571428573</v>
      </c>
      <c r="Q633" s="59">
        <v>0</v>
      </c>
      <c r="R633" s="59">
        <v>0</v>
      </c>
      <c r="S633" s="59">
        <v>0</v>
      </c>
      <c r="T633" s="59">
        <v>0</v>
      </c>
      <c r="U633" s="59">
        <v>0</v>
      </c>
      <c r="V633" s="59">
        <v>0</v>
      </c>
      <c r="W633" s="59">
        <f t="shared" si="65"/>
        <v>2832.077142857142</v>
      </c>
      <c r="X633" s="59">
        <f t="shared" si="70"/>
        <v>2832.077142857142</v>
      </c>
      <c r="Y633" s="59">
        <f t="shared" si="71"/>
        <v>0</v>
      </c>
      <c r="Z633" s="59">
        <v>0</v>
      </c>
      <c r="AA633" s="59">
        <f t="shared" si="72"/>
        <v>0</v>
      </c>
      <c r="AB633" s="59">
        <f t="shared" si="66"/>
        <v>2507.1428571428573</v>
      </c>
      <c r="AD633" s="50" t="s">
        <v>3328</v>
      </c>
      <c r="AE633" s="50"/>
      <c r="AF633" s="59"/>
    </row>
    <row r="634" spans="1:34" x14ac:dyDescent="0.3">
      <c r="A634" s="49">
        <v>11</v>
      </c>
      <c r="B634" s="41" t="s">
        <v>604</v>
      </c>
      <c r="C634" s="50" t="s">
        <v>605</v>
      </c>
      <c r="D634" s="50" t="s">
        <v>1223</v>
      </c>
      <c r="E634" s="50" t="s">
        <v>25</v>
      </c>
      <c r="F634" s="51" t="s">
        <v>25</v>
      </c>
      <c r="G634" s="50" t="s">
        <v>866</v>
      </c>
      <c r="H634" s="59">
        <v>5206.3100000000004</v>
      </c>
      <c r="I634" s="59">
        <v>-2502.92</v>
      </c>
      <c r="J634" s="59">
        <v>-40</v>
      </c>
      <c r="K634" s="59">
        <v>0</v>
      </c>
      <c r="L634" s="59">
        <v>0</v>
      </c>
      <c r="M634" s="59">
        <v>-45</v>
      </c>
      <c r="N634" s="59">
        <v>0</v>
      </c>
      <c r="O634" s="59">
        <f t="shared" si="73"/>
        <v>2618.3900000000003</v>
      </c>
      <c r="P634" s="59">
        <v>-2700</v>
      </c>
      <c r="Q634" s="59">
        <v>0</v>
      </c>
      <c r="R634" s="59">
        <v>0</v>
      </c>
      <c r="S634" s="59">
        <v>0</v>
      </c>
      <c r="T634" s="59">
        <v>0</v>
      </c>
      <c r="U634" s="59">
        <v>0</v>
      </c>
      <c r="V634" s="59">
        <v>0</v>
      </c>
      <c r="W634" s="59">
        <f t="shared" si="65"/>
        <v>-81.609999999999673</v>
      </c>
      <c r="X634" s="59">
        <f t="shared" si="70"/>
        <v>0</v>
      </c>
      <c r="Y634" s="59">
        <f t="shared" si="71"/>
        <v>-81.609999999999673</v>
      </c>
      <c r="Z634" s="59">
        <v>82</v>
      </c>
      <c r="AA634" s="59">
        <f t="shared" si="72"/>
        <v>0.39000000000032742</v>
      </c>
      <c r="AB634" s="59">
        <f t="shared" si="66"/>
        <v>2700.7800000000007</v>
      </c>
      <c r="AD634" s="239">
        <v>46095</v>
      </c>
      <c r="AE634" s="50"/>
      <c r="AF634" s="59"/>
    </row>
    <row r="635" spans="1:34" s="207" customFormat="1" x14ac:dyDescent="0.3">
      <c r="A635" s="49">
        <v>11</v>
      </c>
      <c r="B635" s="41" t="s">
        <v>1029</v>
      </c>
      <c r="C635" s="50" t="s">
        <v>68</v>
      </c>
      <c r="D635" s="50" t="s">
        <v>869</v>
      </c>
      <c r="E635" s="50" t="s">
        <v>25</v>
      </c>
      <c r="F635" s="51" t="s">
        <v>25</v>
      </c>
      <c r="G635" s="50" t="s">
        <v>866</v>
      </c>
      <c r="H635" s="59">
        <v>5324.82</v>
      </c>
      <c r="I635" s="59">
        <v>-427.45000000000005</v>
      </c>
      <c r="J635" s="59">
        <v>-19.72</v>
      </c>
      <c r="K635" s="59">
        <v>142.81</v>
      </c>
      <c r="L635" s="59">
        <v>-54.470000000000013</v>
      </c>
      <c r="M635" s="59">
        <v>-20</v>
      </c>
      <c r="N635" s="59">
        <v>0</v>
      </c>
      <c r="O635" s="59">
        <f t="shared" si="73"/>
        <v>4945.99</v>
      </c>
      <c r="P635" s="59">
        <f>(-2500/7)*6.5</f>
        <v>-2321.4285714285716</v>
      </c>
      <c r="Q635" s="59">
        <v>0</v>
      </c>
      <c r="R635" s="59">
        <v>0</v>
      </c>
      <c r="S635" s="59">
        <v>0</v>
      </c>
      <c r="T635" s="59">
        <v>0</v>
      </c>
      <c r="U635" s="59">
        <v>0</v>
      </c>
      <c r="V635" s="59">
        <v>0</v>
      </c>
      <c r="W635" s="59">
        <f t="shared" si="65"/>
        <v>2624.5614285714282</v>
      </c>
      <c r="X635" s="59">
        <f t="shared" si="70"/>
        <v>2624.5614285714282</v>
      </c>
      <c r="Y635" s="59">
        <f t="shared" si="71"/>
        <v>0</v>
      </c>
      <c r="Z635" s="59">
        <v>0</v>
      </c>
      <c r="AA635" s="59">
        <f t="shared" si="72"/>
        <v>0</v>
      </c>
      <c r="AB635" s="59">
        <f t="shared" si="66"/>
        <v>2321.4285714285716</v>
      </c>
      <c r="AC635" s="59"/>
      <c r="AD635" s="50"/>
      <c r="AE635" s="50"/>
      <c r="AF635" s="59"/>
      <c r="AG635" s="50"/>
      <c r="AH635" s="50"/>
    </row>
    <row r="636" spans="1:34" x14ac:dyDescent="0.3">
      <c r="A636" s="49">
        <v>11</v>
      </c>
      <c r="B636" s="41" t="s">
        <v>1449</v>
      </c>
      <c r="C636" s="50" t="s">
        <v>1611</v>
      </c>
      <c r="D636" s="50" t="s">
        <v>3280</v>
      </c>
      <c r="E636" s="50" t="s">
        <v>25</v>
      </c>
      <c r="F636" s="51" t="s">
        <v>25</v>
      </c>
      <c r="G636" s="50" t="s">
        <v>866</v>
      </c>
      <c r="H636" s="59">
        <v>8996.16</v>
      </c>
      <c r="I636" s="59">
        <v>-3345.7999999999993</v>
      </c>
      <c r="J636" s="59">
        <v>-106.64000000000001</v>
      </c>
      <c r="K636" s="59">
        <v>147.91999999999999</v>
      </c>
      <c r="L636" s="59">
        <v>0</v>
      </c>
      <c r="M636" s="59">
        <v>-50</v>
      </c>
      <c r="N636" s="59">
        <v>0</v>
      </c>
      <c r="O636" s="59">
        <f t="shared" si="73"/>
        <v>5641.64</v>
      </c>
      <c r="P636" s="59">
        <v>-2500</v>
      </c>
      <c r="Q636" s="59">
        <v>0</v>
      </c>
      <c r="R636" s="59">
        <v>0</v>
      </c>
      <c r="S636" s="59">
        <v>0</v>
      </c>
      <c r="T636" s="59">
        <v>0</v>
      </c>
      <c r="U636" s="59">
        <v>0</v>
      </c>
      <c r="V636" s="59">
        <v>0</v>
      </c>
      <c r="W636" s="59">
        <f t="shared" si="65"/>
        <v>3141.6400000000003</v>
      </c>
      <c r="X636" s="59">
        <f t="shared" si="70"/>
        <v>3141.6400000000003</v>
      </c>
      <c r="Y636" s="59">
        <f t="shared" si="71"/>
        <v>0</v>
      </c>
      <c r="Z636" s="59">
        <v>0</v>
      </c>
      <c r="AA636" s="59">
        <f t="shared" si="72"/>
        <v>0</v>
      </c>
      <c r="AB636" s="59">
        <f t="shared" si="66"/>
        <v>2500</v>
      </c>
      <c r="AE636" s="50"/>
      <c r="AF636" s="59"/>
    </row>
    <row r="637" spans="1:34" x14ac:dyDescent="0.3">
      <c r="A637" s="49">
        <v>11</v>
      </c>
      <c r="B637" s="41" t="s">
        <v>1141</v>
      </c>
      <c r="C637" s="50" t="s">
        <v>120</v>
      </c>
      <c r="D637" s="50" t="s">
        <v>950</v>
      </c>
      <c r="E637" s="50" t="s">
        <v>25</v>
      </c>
      <c r="F637" s="51" t="s">
        <v>25</v>
      </c>
      <c r="G637" s="50" t="s">
        <v>866</v>
      </c>
      <c r="H637" s="59">
        <v>2975.99</v>
      </c>
      <c r="I637" s="59">
        <v>-1182.9000000000001</v>
      </c>
      <c r="J637" s="59">
        <v>0</v>
      </c>
      <c r="K637" s="59">
        <v>0</v>
      </c>
      <c r="L637" s="59">
        <v>0</v>
      </c>
      <c r="M637" s="59">
        <v>-45</v>
      </c>
      <c r="N637" s="59">
        <v>0</v>
      </c>
      <c r="O637" s="59">
        <f t="shared" si="73"/>
        <v>1748.0899999999997</v>
      </c>
      <c r="P637" s="59">
        <v>-2500</v>
      </c>
      <c r="Q637" s="59">
        <f>-4048*1.12</f>
        <v>-4533.76</v>
      </c>
      <c r="R637" s="59">
        <v>0</v>
      </c>
      <c r="S637" s="59">
        <v>0</v>
      </c>
      <c r="T637" s="59">
        <v>-700</v>
      </c>
      <c r="U637" s="59">
        <v>0</v>
      </c>
      <c r="V637" s="59">
        <v>0</v>
      </c>
      <c r="W637" s="59">
        <f t="shared" si="65"/>
        <v>-5985.67</v>
      </c>
      <c r="X637" s="59">
        <f t="shared" si="70"/>
        <v>0</v>
      </c>
      <c r="Y637" s="59">
        <f t="shared" si="71"/>
        <v>-5985.67</v>
      </c>
      <c r="Z637" s="59">
        <v>0</v>
      </c>
      <c r="AA637" s="59">
        <f t="shared" si="72"/>
        <v>-5985.67</v>
      </c>
      <c r="AB637" s="59">
        <f t="shared" si="66"/>
        <v>-4237.58</v>
      </c>
      <c r="AE637" s="50"/>
      <c r="AF637" s="59"/>
    </row>
    <row r="638" spans="1:34" x14ac:dyDescent="0.3">
      <c r="A638" s="49">
        <v>11</v>
      </c>
      <c r="B638" s="41" t="s">
        <v>1151</v>
      </c>
      <c r="C638" s="50" t="s">
        <v>1285</v>
      </c>
      <c r="D638" s="50" t="s">
        <v>1340</v>
      </c>
      <c r="E638" s="50" t="s">
        <v>25</v>
      </c>
      <c r="F638" s="51" t="s">
        <v>25</v>
      </c>
      <c r="G638" s="50" t="s">
        <v>866</v>
      </c>
      <c r="H638" s="59">
        <v>5403.49</v>
      </c>
      <c r="I638" s="59">
        <v>0</v>
      </c>
      <c r="J638" s="59">
        <v>-54.4</v>
      </c>
      <c r="K638" s="59">
        <v>14.68</v>
      </c>
      <c r="L638" s="59">
        <v>0</v>
      </c>
      <c r="M638" s="59">
        <v>0</v>
      </c>
      <c r="N638" s="59">
        <v>0</v>
      </c>
      <c r="O638" s="59">
        <f t="shared" si="73"/>
        <v>5363.77</v>
      </c>
      <c r="P638" s="59">
        <v>-2700</v>
      </c>
      <c r="Q638" s="59">
        <v>0</v>
      </c>
      <c r="R638" s="59">
        <v>0</v>
      </c>
      <c r="S638" s="59">
        <v>0</v>
      </c>
      <c r="T638" s="59">
        <v>0</v>
      </c>
      <c r="U638" s="59">
        <v>0</v>
      </c>
      <c r="V638" s="59">
        <v>0</v>
      </c>
      <c r="W638" s="59">
        <f t="shared" si="65"/>
        <v>2663.7700000000004</v>
      </c>
      <c r="X638" s="59">
        <f t="shared" si="70"/>
        <v>2663.7700000000004</v>
      </c>
      <c r="Y638" s="59">
        <f t="shared" si="71"/>
        <v>0</v>
      </c>
      <c r="Z638" s="59">
        <v>0</v>
      </c>
      <c r="AA638" s="59">
        <f t="shared" si="72"/>
        <v>0</v>
      </c>
      <c r="AB638" s="59">
        <f t="shared" si="66"/>
        <v>2700</v>
      </c>
      <c r="AE638" s="50"/>
      <c r="AF638" s="59"/>
    </row>
    <row r="639" spans="1:34" x14ac:dyDescent="0.3">
      <c r="A639" s="49">
        <v>11</v>
      </c>
      <c r="B639" s="41" t="s">
        <v>1310</v>
      </c>
      <c r="C639" s="50" t="s">
        <v>101</v>
      </c>
      <c r="D639" s="50" t="s">
        <v>945</v>
      </c>
      <c r="E639" s="50" t="s">
        <v>25</v>
      </c>
      <c r="F639" s="51" t="s">
        <v>25</v>
      </c>
      <c r="G639" s="50" t="s">
        <v>866</v>
      </c>
      <c r="H639" s="59">
        <v>10684.62</v>
      </c>
      <c r="I639" s="59">
        <v>-2702.1099999999997</v>
      </c>
      <c r="J639" s="59">
        <v>-152.80000000000001</v>
      </c>
      <c r="K639" s="59">
        <v>0</v>
      </c>
      <c r="L639" s="59">
        <v>0</v>
      </c>
      <c r="M639" s="59">
        <v>-45</v>
      </c>
      <c r="N639" s="59">
        <v>0</v>
      </c>
      <c r="O639" s="59">
        <f t="shared" si="73"/>
        <v>7784.7100000000009</v>
      </c>
      <c r="P639" s="59">
        <v>-2500</v>
      </c>
      <c r="Q639" s="59">
        <v>0</v>
      </c>
      <c r="R639" s="59">
        <v>-500</v>
      </c>
      <c r="S639" s="59">
        <v>0</v>
      </c>
      <c r="T639" s="59">
        <v>0</v>
      </c>
      <c r="U639" s="59">
        <v>0</v>
      </c>
      <c r="V639" s="59">
        <v>0</v>
      </c>
      <c r="W639" s="59">
        <f t="shared" si="65"/>
        <v>4784.7100000000009</v>
      </c>
      <c r="X639" s="59">
        <f t="shared" si="70"/>
        <v>4784.7100000000009</v>
      </c>
      <c r="Y639" s="59">
        <f t="shared" si="71"/>
        <v>0</v>
      </c>
      <c r="Z639" s="59">
        <v>0</v>
      </c>
      <c r="AA639" s="59">
        <f t="shared" si="72"/>
        <v>0</v>
      </c>
      <c r="AB639" s="59">
        <f t="shared" si="66"/>
        <v>3000</v>
      </c>
      <c r="AE639" s="50"/>
      <c r="AF639" s="59"/>
    </row>
    <row r="640" spans="1:34" x14ac:dyDescent="0.3">
      <c r="A640" s="49">
        <v>11</v>
      </c>
      <c r="B640" s="41" t="s">
        <v>913</v>
      </c>
      <c r="C640" s="50" t="s">
        <v>361</v>
      </c>
      <c r="D640" s="50" t="s">
        <v>1164</v>
      </c>
      <c r="E640" s="50" t="s">
        <v>25</v>
      </c>
      <c r="F640" s="51" t="s">
        <v>25</v>
      </c>
      <c r="G640" s="50" t="s">
        <v>866</v>
      </c>
      <c r="H640" s="59">
        <v>4226.93</v>
      </c>
      <c r="I640" s="59">
        <v>-3010.95</v>
      </c>
      <c r="J640" s="59">
        <v>-10.56</v>
      </c>
      <c r="K640" s="59">
        <v>0</v>
      </c>
      <c r="L640" s="59">
        <v>0</v>
      </c>
      <c r="M640" s="59">
        <f>-63.6312-50</f>
        <v>-113.63120000000001</v>
      </c>
      <c r="N640" s="59">
        <v>-530.26</v>
      </c>
      <c r="O640" s="59">
        <f t="shared" si="73"/>
        <v>561.5288000000005</v>
      </c>
      <c r="P640" s="59">
        <v>-2700</v>
      </c>
      <c r="Q640" s="59">
        <f>-1329*1.12</f>
        <v>-1488.4800000000002</v>
      </c>
      <c r="R640" s="59">
        <v>0</v>
      </c>
      <c r="S640" s="59">
        <v>0</v>
      </c>
      <c r="T640" s="59">
        <v>0</v>
      </c>
      <c r="U640" s="59">
        <v>0</v>
      </c>
      <c r="V640" s="59">
        <v>0</v>
      </c>
      <c r="W640" s="59">
        <f t="shared" si="65"/>
        <v>-3626.9511999999995</v>
      </c>
      <c r="X640" s="59">
        <f t="shared" si="70"/>
        <v>0</v>
      </c>
      <c r="Y640" s="59">
        <f t="shared" si="71"/>
        <v>-3626.9511999999995</v>
      </c>
      <c r="Z640" s="59">
        <f>600+1000+1120+900</f>
        <v>3620</v>
      </c>
      <c r="AA640" s="59">
        <f t="shared" si="72"/>
        <v>-6.9511999999995169</v>
      </c>
      <c r="AB640" s="59">
        <f t="shared" si="66"/>
        <v>4174.5776000000005</v>
      </c>
      <c r="AD640" s="50" t="s">
        <v>3330</v>
      </c>
      <c r="AE640" s="50"/>
      <c r="AF640" s="59"/>
    </row>
    <row r="641" spans="1:32" x14ac:dyDescent="0.3">
      <c r="A641" s="49">
        <v>11</v>
      </c>
      <c r="B641" s="41" t="s">
        <v>913</v>
      </c>
      <c r="C641" s="50" t="s">
        <v>120</v>
      </c>
      <c r="D641" s="50" t="s">
        <v>950</v>
      </c>
      <c r="E641" s="50" t="s">
        <v>25</v>
      </c>
      <c r="F641" s="51" t="s">
        <v>25</v>
      </c>
      <c r="G641" s="50" t="s">
        <v>866</v>
      </c>
      <c r="H641" s="59">
        <v>0</v>
      </c>
      <c r="I641" s="59">
        <v>0</v>
      </c>
      <c r="J641" s="59">
        <v>0</v>
      </c>
      <c r="K641" s="59">
        <v>0</v>
      </c>
      <c r="L641" s="59">
        <v>0</v>
      </c>
      <c r="M641" s="59">
        <v>0</v>
      </c>
      <c r="N641" s="59">
        <v>0</v>
      </c>
      <c r="O641" s="59">
        <f t="shared" si="73"/>
        <v>0</v>
      </c>
      <c r="P641" s="59">
        <v>0</v>
      </c>
      <c r="Q641" s="59">
        <v>0</v>
      </c>
      <c r="R641" s="59">
        <v>0</v>
      </c>
      <c r="S641" s="59">
        <v>0</v>
      </c>
      <c r="T641" s="59">
        <v>-700</v>
      </c>
      <c r="U641" s="59">
        <v>0</v>
      </c>
      <c r="V641" s="59">
        <v>0</v>
      </c>
      <c r="W641" s="59">
        <f t="shared" si="65"/>
        <v>-700</v>
      </c>
      <c r="X641" s="59">
        <f t="shared" si="70"/>
        <v>0</v>
      </c>
      <c r="Y641" s="59">
        <f t="shared" si="71"/>
        <v>-700</v>
      </c>
      <c r="Z641" s="59">
        <v>700</v>
      </c>
      <c r="AA641" s="59">
        <f t="shared" si="72"/>
        <v>0</v>
      </c>
      <c r="AB641" s="59">
        <f t="shared" si="66"/>
        <v>700</v>
      </c>
      <c r="AD641" s="50" t="s">
        <v>3331</v>
      </c>
      <c r="AE641" s="50"/>
      <c r="AF641" s="59"/>
    </row>
    <row r="642" spans="1:32" x14ac:dyDescent="0.3">
      <c r="A642" s="49">
        <v>11</v>
      </c>
      <c r="B642" s="41" t="s">
        <v>1403</v>
      </c>
      <c r="C642" s="50" t="s">
        <v>195</v>
      </c>
      <c r="D642" s="50" t="s">
        <v>1404</v>
      </c>
      <c r="E642" s="50" t="s">
        <v>871</v>
      </c>
      <c r="F642" s="51" t="s">
        <v>39</v>
      </c>
      <c r="G642" s="50" t="s">
        <v>866</v>
      </c>
      <c r="H642" s="59">
        <v>5706.14</v>
      </c>
      <c r="I642" s="59">
        <v>-1712.92</v>
      </c>
      <c r="J642" s="59">
        <v>-5.76</v>
      </c>
      <c r="K642" s="59">
        <v>0</v>
      </c>
      <c r="L642" s="59">
        <v>0</v>
      </c>
      <c r="M642" s="59">
        <f>-34-45</f>
        <v>-79</v>
      </c>
      <c r="N642" s="59">
        <v>0</v>
      </c>
      <c r="O642" s="59">
        <f t="shared" si="73"/>
        <v>3908.46</v>
      </c>
      <c r="P642" s="59">
        <f>(-2500/7)*6.5</f>
        <v>-2321.4285714285716</v>
      </c>
      <c r="Q642" s="59">
        <v>0</v>
      </c>
      <c r="R642" s="59">
        <v>0</v>
      </c>
      <c r="S642" s="59">
        <v>0</v>
      </c>
      <c r="T642" s="59">
        <v>-700</v>
      </c>
      <c r="U642" s="59">
        <v>0</v>
      </c>
      <c r="V642" s="59">
        <v>0</v>
      </c>
      <c r="W642" s="59">
        <f t="shared" ref="W642:W705" si="74">SUM(O642:V642)</f>
        <v>887.03142857142848</v>
      </c>
      <c r="X642" s="59">
        <f t="shared" si="70"/>
        <v>887.03142857142848</v>
      </c>
      <c r="Y642" s="59">
        <f t="shared" si="71"/>
        <v>0</v>
      </c>
      <c r="Z642" s="59">
        <v>0</v>
      </c>
      <c r="AA642" s="59">
        <f t="shared" si="72"/>
        <v>0</v>
      </c>
      <c r="AB642" s="59">
        <f t="shared" ref="AB642:AB705" si="75">+O642-X642+Z642+AA642</f>
        <v>3021.4285714285716</v>
      </c>
      <c r="AD642" s="50" t="s">
        <v>3328</v>
      </c>
      <c r="AE642" s="50"/>
      <c r="AF642" s="59"/>
    </row>
    <row r="643" spans="1:32" x14ac:dyDescent="0.3">
      <c r="A643" s="49">
        <v>11</v>
      </c>
      <c r="B643" s="41" t="s">
        <v>1295</v>
      </c>
      <c r="C643" s="50" t="s">
        <v>53</v>
      </c>
      <c r="D643" s="50" t="s">
        <v>1167</v>
      </c>
      <c r="E643" s="50" t="s">
        <v>25</v>
      </c>
      <c r="F643" s="51" t="s">
        <v>25</v>
      </c>
      <c r="G643" s="50" t="s">
        <v>866</v>
      </c>
      <c r="H643" s="59">
        <v>0</v>
      </c>
      <c r="I643" s="59">
        <v>0</v>
      </c>
      <c r="J643" s="59">
        <v>0</v>
      </c>
      <c r="K643" s="59">
        <v>0</v>
      </c>
      <c r="L643" s="59">
        <v>0</v>
      </c>
      <c r="M643" s="59">
        <v>0</v>
      </c>
      <c r="N643" s="59">
        <v>0</v>
      </c>
      <c r="O643" s="59">
        <f t="shared" si="73"/>
        <v>0</v>
      </c>
      <c r="P643" s="59">
        <f>(-2500/7)*5.5</f>
        <v>-1964.2857142857144</v>
      </c>
      <c r="Q643" s="59">
        <f>-1*1.12</f>
        <v>-1.1200000000000001</v>
      </c>
      <c r="R643" s="59">
        <v>-107</v>
      </c>
      <c r="S643" s="59">
        <v>0</v>
      </c>
      <c r="T643" s="59">
        <v>0</v>
      </c>
      <c r="U643" s="59">
        <v>0</v>
      </c>
      <c r="V643" s="59">
        <v>0</v>
      </c>
      <c r="W643" s="59">
        <f t="shared" si="74"/>
        <v>-2072.4057142857146</v>
      </c>
      <c r="X643" s="59">
        <f t="shared" si="70"/>
        <v>0</v>
      </c>
      <c r="Y643" s="59">
        <f t="shared" si="71"/>
        <v>-2072.4057142857146</v>
      </c>
      <c r="Z643" s="59">
        <v>0</v>
      </c>
      <c r="AA643" s="59">
        <f t="shared" si="72"/>
        <v>-2072.4057142857146</v>
      </c>
      <c r="AB643" s="59">
        <f t="shared" si="75"/>
        <v>-2072.4057142857146</v>
      </c>
      <c r="AE643" s="50"/>
      <c r="AF643" s="59"/>
    </row>
    <row r="644" spans="1:32" x14ac:dyDescent="0.3">
      <c r="A644" s="49">
        <v>11</v>
      </c>
      <c r="B644" s="41" t="s">
        <v>1522</v>
      </c>
      <c r="C644" s="50" t="s">
        <v>169</v>
      </c>
      <c r="D644" s="50" t="s">
        <v>967</v>
      </c>
      <c r="E644" s="50" t="s">
        <v>871</v>
      </c>
      <c r="F644" s="51" t="s">
        <v>39</v>
      </c>
      <c r="G644" s="50" t="s">
        <v>866</v>
      </c>
      <c r="H644" s="59">
        <v>2200.4699999999998</v>
      </c>
      <c r="I644" s="59">
        <v>0</v>
      </c>
      <c r="J644" s="59">
        <v>-31.53</v>
      </c>
      <c r="K644" s="59">
        <v>234.1</v>
      </c>
      <c r="L644" s="59">
        <v>0</v>
      </c>
      <c r="M644" s="59">
        <v>-21</v>
      </c>
      <c r="N644" s="59">
        <v>0</v>
      </c>
      <c r="O644" s="59">
        <f t="shared" si="73"/>
        <v>2382.0399999999995</v>
      </c>
      <c r="P644" s="59">
        <v>-2500</v>
      </c>
      <c r="Q644" s="59">
        <f>-169*1.12</f>
        <v>-189.28000000000003</v>
      </c>
      <c r="R644" s="59">
        <v>-500</v>
      </c>
      <c r="S644" s="59">
        <v>0</v>
      </c>
      <c r="T644" s="59">
        <v>0</v>
      </c>
      <c r="U644" s="59">
        <v>0</v>
      </c>
      <c r="V644" s="59">
        <v>0</v>
      </c>
      <c r="W644" s="59">
        <f t="shared" si="74"/>
        <v>-807.24000000000046</v>
      </c>
      <c r="X644" s="59">
        <f t="shared" si="70"/>
        <v>0</v>
      </c>
      <c r="Y644" s="59">
        <f t="shared" si="71"/>
        <v>-807.24000000000046</v>
      </c>
      <c r="Z644" s="59">
        <f>507+280+20</f>
        <v>807</v>
      </c>
      <c r="AA644" s="59">
        <f t="shared" si="72"/>
        <v>-0.24000000000046384</v>
      </c>
      <c r="AB644" s="59">
        <f t="shared" si="75"/>
        <v>3188.7999999999993</v>
      </c>
      <c r="AD644" s="239" t="s">
        <v>3332</v>
      </c>
      <c r="AE644" s="50"/>
      <c r="AF644" s="59"/>
    </row>
    <row r="645" spans="1:32" x14ac:dyDescent="0.3">
      <c r="A645" s="49">
        <v>11</v>
      </c>
      <c r="B645" s="41" t="s">
        <v>457</v>
      </c>
      <c r="C645" s="50" t="s">
        <v>672</v>
      </c>
      <c r="D645" s="50" t="s">
        <v>1226</v>
      </c>
      <c r="E645" s="50" t="s">
        <v>25</v>
      </c>
      <c r="F645" s="51" t="s">
        <v>25</v>
      </c>
      <c r="G645" s="50" t="s">
        <v>866</v>
      </c>
      <c r="H645" s="59">
        <v>0</v>
      </c>
      <c r="I645" s="59">
        <v>0</v>
      </c>
      <c r="J645" s="59">
        <v>-21.37</v>
      </c>
      <c r="K645" s="59">
        <v>0</v>
      </c>
      <c r="L645" s="59">
        <v>0</v>
      </c>
      <c r="M645" s="59">
        <v>0</v>
      </c>
      <c r="N645" s="59">
        <v>0</v>
      </c>
      <c r="O645" s="59">
        <f t="shared" si="73"/>
        <v>-21.37</v>
      </c>
      <c r="P645" s="59">
        <f>(-2500/7)*3.5</f>
        <v>-1250</v>
      </c>
      <c r="Q645" s="59">
        <v>-5174</v>
      </c>
      <c r="R645" s="59">
        <v>5000</v>
      </c>
      <c r="S645" s="59">
        <v>0</v>
      </c>
      <c r="T645" s="59">
        <v>-334</v>
      </c>
      <c r="U645" s="59">
        <v>0</v>
      </c>
      <c r="V645" s="59">
        <v>0</v>
      </c>
      <c r="W645" s="59">
        <f t="shared" si="74"/>
        <v>-1779.37</v>
      </c>
      <c r="X645" s="59">
        <f t="shared" si="70"/>
        <v>0</v>
      </c>
      <c r="Y645" s="59">
        <f t="shared" si="71"/>
        <v>-1779.37</v>
      </c>
      <c r="Z645" s="59">
        <v>0</v>
      </c>
      <c r="AA645" s="59">
        <f t="shared" si="72"/>
        <v>-1779.37</v>
      </c>
      <c r="AB645" s="59">
        <f t="shared" si="75"/>
        <v>-1800.7399999999998</v>
      </c>
      <c r="AD645" s="50" t="s">
        <v>3333</v>
      </c>
      <c r="AE645" s="50"/>
      <c r="AF645" s="59"/>
    </row>
    <row r="646" spans="1:32" x14ac:dyDescent="0.3">
      <c r="A646" s="49">
        <v>11</v>
      </c>
      <c r="B646" s="41" t="s">
        <v>620</v>
      </c>
      <c r="C646" s="50" t="s">
        <v>571</v>
      </c>
      <c r="D646" s="50" t="s">
        <v>974</v>
      </c>
      <c r="E646" s="50" t="s">
        <v>25</v>
      </c>
      <c r="F646" s="51" t="s">
        <v>25</v>
      </c>
      <c r="G646" s="50" t="s">
        <v>737</v>
      </c>
      <c r="H646" s="59">
        <v>0</v>
      </c>
      <c r="I646" s="59">
        <v>0</v>
      </c>
      <c r="J646" s="59">
        <v>0</v>
      </c>
      <c r="K646" s="59">
        <v>0</v>
      </c>
      <c r="L646" s="59">
        <v>0</v>
      </c>
      <c r="M646" s="59">
        <v>0</v>
      </c>
      <c r="N646" s="59">
        <v>0</v>
      </c>
      <c r="O646" s="59">
        <f t="shared" si="73"/>
        <v>0</v>
      </c>
      <c r="P646" s="59">
        <v>0</v>
      </c>
      <c r="Q646" s="59">
        <v>-700</v>
      </c>
      <c r="R646" s="59">
        <v>5000</v>
      </c>
      <c r="S646" s="59">
        <v>-4525</v>
      </c>
      <c r="T646" s="59">
        <v>-7000</v>
      </c>
      <c r="U646" s="59">
        <v>0</v>
      </c>
      <c r="V646" s="59">
        <v>0</v>
      </c>
      <c r="W646" s="59">
        <f t="shared" si="74"/>
        <v>-7225</v>
      </c>
      <c r="X646" s="59">
        <f t="shared" si="70"/>
        <v>0</v>
      </c>
      <c r="Y646" s="59">
        <f t="shared" si="71"/>
        <v>-7225</v>
      </c>
      <c r="Z646" s="59">
        <v>0</v>
      </c>
      <c r="AA646" s="59">
        <f t="shared" si="72"/>
        <v>-7225</v>
      </c>
      <c r="AB646" s="59">
        <f t="shared" si="75"/>
        <v>-7225</v>
      </c>
      <c r="AD646" s="50" t="s">
        <v>1517</v>
      </c>
      <c r="AE646" s="50"/>
      <c r="AF646" s="59"/>
    </row>
    <row r="647" spans="1:32" x14ac:dyDescent="0.3">
      <c r="A647" s="49">
        <v>11</v>
      </c>
      <c r="B647" s="41" t="s">
        <v>1153</v>
      </c>
      <c r="C647" s="50" t="s">
        <v>1328</v>
      </c>
      <c r="D647" s="50" t="s">
        <v>1576</v>
      </c>
      <c r="E647" s="50" t="s">
        <v>25</v>
      </c>
      <c r="F647" s="51" t="s">
        <v>25</v>
      </c>
      <c r="G647" s="50" t="s">
        <v>866</v>
      </c>
      <c r="H647" s="59">
        <v>2477.37</v>
      </c>
      <c r="I647" s="59">
        <v>-115.35</v>
      </c>
      <c r="J647" s="59">
        <v>0</v>
      </c>
      <c r="K647" s="59">
        <v>0</v>
      </c>
      <c r="L647" s="59">
        <v>0</v>
      </c>
      <c r="M647" s="59">
        <f>-51.3756-20</f>
        <v>-71.375599999999991</v>
      </c>
      <c r="N647" s="59">
        <v>-428.13</v>
      </c>
      <c r="O647" s="59">
        <f t="shared" si="73"/>
        <v>1862.5144</v>
      </c>
      <c r="P647" s="59">
        <v>-2700</v>
      </c>
      <c r="Q647" s="59">
        <v>0</v>
      </c>
      <c r="R647" s="59">
        <v>0</v>
      </c>
      <c r="S647" s="59">
        <v>0</v>
      </c>
      <c r="T647" s="59">
        <v>0</v>
      </c>
      <c r="U647" s="59">
        <v>0</v>
      </c>
      <c r="V647" s="59">
        <v>0</v>
      </c>
      <c r="W647" s="59">
        <f t="shared" si="74"/>
        <v>-837.48559999999998</v>
      </c>
      <c r="X647" s="59">
        <f t="shared" si="70"/>
        <v>0</v>
      </c>
      <c r="Y647" s="59">
        <f t="shared" si="71"/>
        <v>-837.48559999999998</v>
      </c>
      <c r="Z647" s="59">
        <v>600</v>
      </c>
      <c r="AA647" s="59">
        <f t="shared" si="72"/>
        <v>-237.48559999999998</v>
      </c>
      <c r="AB647" s="59">
        <f t="shared" si="75"/>
        <v>2225.0288</v>
      </c>
      <c r="AD647" s="50" t="s">
        <v>3334</v>
      </c>
      <c r="AE647" s="50"/>
      <c r="AF647" s="59"/>
    </row>
    <row r="648" spans="1:32" x14ac:dyDescent="0.3">
      <c r="A648" s="49">
        <v>11</v>
      </c>
      <c r="B648" s="41" t="s">
        <v>872</v>
      </c>
      <c r="C648" s="50" t="s">
        <v>256</v>
      </c>
      <c r="D648" s="50" t="s">
        <v>997</v>
      </c>
      <c r="E648" s="50" t="s">
        <v>871</v>
      </c>
      <c r="F648" s="51" t="s">
        <v>39</v>
      </c>
      <c r="G648" s="50" t="s">
        <v>866</v>
      </c>
      <c r="H648" s="59">
        <v>11924.5</v>
      </c>
      <c r="I648" s="59">
        <v>-3758</v>
      </c>
      <c r="J648" s="59">
        <v>-172.8</v>
      </c>
      <c r="K648" s="59">
        <v>0</v>
      </c>
      <c r="L648" s="59">
        <v>-101.99</v>
      </c>
      <c r="M648" s="59">
        <f>-97-50</f>
        <v>-147</v>
      </c>
      <c r="N648" s="59">
        <v>-86.93</v>
      </c>
      <c r="O648" s="59">
        <f t="shared" si="73"/>
        <v>7657.78</v>
      </c>
      <c r="P648" s="59">
        <v>-2500</v>
      </c>
      <c r="Q648" s="59">
        <v>0</v>
      </c>
      <c r="R648" s="59">
        <v>0</v>
      </c>
      <c r="S648" s="59">
        <v>340</v>
      </c>
      <c r="T648" s="59">
        <v>0</v>
      </c>
      <c r="U648" s="59">
        <v>0</v>
      </c>
      <c r="V648" s="59">
        <v>0</v>
      </c>
      <c r="W648" s="59">
        <f t="shared" si="74"/>
        <v>5497.78</v>
      </c>
      <c r="X648" s="59">
        <f t="shared" si="70"/>
        <v>5497.78</v>
      </c>
      <c r="Y648" s="59">
        <f t="shared" si="71"/>
        <v>0</v>
      </c>
      <c r="Z648" s="59">
        <v>0</v>
      </c>
      <c r="AA648" s="59">
        <f t="shared" si="72"/>
        <v>0</v>
      </c>
      <c r="AB648" s="59">
        <f t="shared" si="75"/>
        <v>2160</v>
      </c>
      <c r="AD648" s="50" t="s">
        <v>3335</v>
      </c>
      <c r="AE648" s="50"/>
      <c r="AF648" s="59"/>
    </row>
    <row r="649" spans="1:32" x14ac:dyDescent="0.3">
      <c r="A649" s="49">
        <v>11</v>
      </c>
      <c r="B649" s="41" t="s">
        <v>1314</v>
      </c>
      <c r="C649" s="50" t="s">
        <v>334</v>
      </c>
      <c r="D649" s="50" t="s">
        <v>1169</v>
      </c>
      <c r="E649" s="50" t="s">
        <v>25</v>
      </c>
      <c r="F649" s="51" t="s">
        <v>25</v>
      </c>
      <c r="G649" s="50" t="s">
        <v>866</v>
      </c>
      <c r="H649" s="59">
        <v>7142.65</v>
      </c>
      <c r="I649" s="59">
        <v>-2975.2099999999996</v>
      </c>
      <c r="J649" s="59">
        <v>-15.12</v>
      </c>
      <c r="K649" s="59">
        <v>-94.77</v>
      </c>
      <c r="L649" s="59">
        <v>0</v>
      </c>
      <c r="M649" s="59">
        <v>-45</v>
      </c>
      <c r="N649" s="59">
        <v>0</v>
      </c>
      <c r="O649" s="59">
        <f t="shared" si="73"/>
        <v>4012.5500000000006</v>
      </c>
      <c r="P649" s="59">
        <v>-2500</v>
      </c>
      <c r="Q649" s="59">
        <v>0</v>
      </c>
      <c r="R649" s="59">
        <v>-500</v>
      </c>
      <c r="S649" s="59">
        <v>0</v>
      </c>
      <c r="T649" s="59">
        <v>0</v>
      </c>
      <c r="U649" s="59">
        <v>0</v>
      </c>
      <c r="V649" s="59">
        <v>0</v>
      </c>
      <c r="W649" s="59">
        <f t="shared" si="74"/>
        <v>1012.5500000000006</v>
      </c>
      <c r="X649" s="59">
        <f t="shared" si="70"/>
        <v>1012.5500000000006</v>
      </c>
      <c r="Y649" s="59">
        <f t="shared" si="71"/>
        <v>0</v>
      </c>
      <c r="Z649" s="59">
        <v>0</v>
      </c>
      <c r="AA649" s="59">
        <f t="shared" si="72"/>
        <v>0</v>
      </c>
      <c r="AB649" s="59">
        <f t="shared" si="75"/>
        <v>3000</v>
      </c>
      <c r="AE649" s="50"/>
      <c r="AF649" s="59"/>
    </row>
    <row r="650" spans="1:32" x14ac:dyDescent="0.3">
      <c r="A650" s="49">
        <v>11</v>
      </c>
      <c r="B650" s="41" t="s">
        <v>874</v>
      </c>
      <c r="C650" s="50" t="s">
        <v>100</v>
      </c>
      <c r="D650" s="50" t="s">
        <v>1300</v>
      </c>
      <c r="E650" s="50" t="s">
        <v>25</v>
      </c>
      <c r="F650" s="51" t="s">
        <v>25</v>
      </c>
      <c r="G650" s="50" t="s">
        <v>737</v>
      </c>
      <c r="H650" s="59">
        <v>0</v>
      </c>
      <c r="I650" s="59">
        <v>0</v>
      </c>
      <c r="J650" s="59">
        <v>0</v>
      </c>
      <c r="K650" s="59">
        <v>0</v>
      </c>
      <c r="L650" s="59">
        <v>0</v>
      </c>
      <c r="M650" s="59">
        <v>0</v>
      </c>
      <c r="N650" s="59">
        <v>0</v>
      </c>
      <c r="O650" s="59">
        <f t="shared" si="73"/>
        <v>0</v>
      </c>
      <c r="P650" s="59">
        <v>-2500</v>
      </c>
      <c r="Q650" s="59">
        <v>0</v>
      </c>
      <c r="R650" s="59">
        <v>0</v>
      </c>
      <c r="S650" s="59">
        <v>0</v>
      </c>
      <c r="T650" s="59">
        <v>0</v>
      </c>
      <c r="U650" s="59">
        <v>0</v>
      </c>
      <c r="V650" s="59">
        <v>0</v>
      </c>
      <c r="W650" s="59">
        <f t="shared" si="74"/>
        <v>-2500</v>
      </c>
      <c r="X650" s="59">
        <f t="shared" si="70"/>
        <v>0</v>
      </c>
      <c r="Y650" s="59">
        <f t="shared" si="71"/>
        <v>-2500</v>
      </c>
      <c r="Z650" s="59">
        <f>2500+100</f>
        <v>2600</v>
      </c>
      <c r="AA650" s="59">
        <f t="shared" si="72"/>
        <v>100</v>
      </c>
      <c r="AB650" s="59">
        <f t="shared" si="75"/>
        <v>2700</v>
      </c>
      <c r="AD650" s="50" t="s">
        <v>3336</v>
      </c>
      <c r="AE650" s="50"/>
      <c r="AF650" s="59"/>
    </row>
    <row r="651" spans="1:32" x14ac:dyDescent="0.3">
      <c r="A651" s="49">
        <v>11</v>
      </c>
      <c r="B651" s="41" t="s">
        <v>1157</v>
      </c>
      <c r="C651" s="50" t="s">
        <v>1265</v>
      </c>
      <c r="D651" s="50" t="s">
        <v>1580</v>
      </c>
      <c r="E651" s="50" t="s">
        <v>25</v>
      </c>
      <c r="F651" s="51" t="s">
        <v>25</v>
      </c>
      <c r="G651" s="50" t="s">
        <v>866</v>
      </c>
      <c r="H651" s="59">
        <v>12475.46</v>
      </c>
      <c r="I651" s="59">
        <v>-6410.8899999999967</v>
      </c>
      <c r="J651" s="59">
        <v>-288</v>
      </c>
      <c r="K651" s="59">
        <v>0</v>
      </c>
      <c r="L651" s="59">
        <v>0</v>
      </c>
      <c r="M651" s="59">
        <f>-13.2384-20</f>
        <v>-33.238399999999999</v>
      </c>
      <c r="N651" s="59">
        <v>-110.32</v>
      </c>
      <c r="O651" s="59">
        <f t="shared" si="73"/>
        <v>5633.0116000000025</v>
      </c>
      <c r="P651" s="59">
        <v>-2700</v>
      </c>
      <c r="Q651" s="59">
        <v>0</v>
      </c>
      <c r="R651" s="59">
        <v>0</v>
      </c>
      <c r="S651" s="59">
        <v>0</v>
      </c>
      <c r="T651" s="59">
        <v>0</v>
      </c>
      <c r="U651" s="59">
        <v>0</v>
      </c>
      <c r="V651" s="59">
        <v>0</v>
      </c>
      <c r="W651" s="59">
        <f t="shared" si="74"/>
        <v>2933.0116000000025</v>
      </c>
      <c r="X651" s="59">
        <f t="shared" si="70"/>
        <v>2933.0116000000025</v>
      </c>
      <c r="Y651" s="59">
        <f t="shared" si="71"/>
        <v>0</v>
      </c>
      <c r="Z651" s="59">
        <v>0</v>
      </c>
      <c r="AA651" s="59">
        <f t="shared" si="72"/>
        <v>0</v>
      </c>
      <c r="AB651" s="59">
        <f t="shared" si="75"/>
        <v>2700</v>
      </c>
      <c r="AE651" s="50"/>
      <c r="AF651" s="59"/>
    </row>
    <row r="652" spans="1:32" x14ac:dyDescent="0.3">
      <c r="A652" s="49">
        <v>11</v>
      </c>
      <c r="B652" s="41" t="s">
        <v>1312</v>
      </c>
      <c r="C652" s="50" t="s">
        <v>1439</v>
      </c>
      <c r="D652" s="50" t="s">
        <v>1582</v>
      </c>
      <c r="E652" s="50" t="s">
        <v>25</v>
      </c>
      <c r="F652" s="51" t="s">
        <v>25</v>
      </c>
      <c r="G652" s="50" t="s">
        <v>866</v>
      </c>
      <c r="H652" s="59">
        <v>2403.91</v>
      </c>
      <c r="I652" s="59">
        <v>0</v>
      </c>
      <c r="J652" s="59">
        <v>-33.6</v>
      </c>
      <c r="K652" s="59">
        <v>0</v>
      </c>
      <c r="L652" s="59">
        <v>0</v>
      </c>
      <c r="M652" s="59">
        <v>-6.4799999999999986</v>
      </c>
      <c r="N652" s="59">
        <v>-53.999999999999993</v>
      </c>
      <c r="O652" s="59">
        <f t="shared" si="73"/>
        <v>2309.83</v>
      </c>
      <c r="P652" s="59">
        <f>-2700-386</f>
        <v>-3086</v>
      </c>
      <c r="Q652" s="59">
        <f>-1747*1.12</f>
        <v>-1956.64</v>
      </c>
      <c r="R652" s="59">
        <v>0</v>
      </c>
      <c r="S652" s="59">
        <v>0</v>
      </c>
      <c r="T652" s="59">
        <v>0</v>
      </c>
      <c r="U652" s="59">
        <v>0</v>
      </c>
      <c r="V652" s="59">
        <v>0</v>
      </c>
      <c r="W652" s="59">
        <f t="shared" si="74"/>
        <v>-2732.8100000000004</v>
      </c>
      <c r="X652" s="59">
        <f t="shared" si="70"/>
        <v>0</v>
      </c>
      <c r="Y652" s="59">
        <f t="shared" si="71"/>
        <v>-2732.8100000000004</v>
      </c>
      <c r="Z652" s="59">
        <v>0</v>
      </c>
      <c r="AA652" s="59">
        <f t="shared" si="72"/>
        <v>-2732.8100000000004</v>
      </c>
      <c r="AB652" s="59">
        <f t="shared" si="75"/>
        <v>-422.98000000000047</v>
      </c>
      <c r="AE652" s="50"/>
      <c r="AF652" s="59"/>
    </row>
    <row r="653" spans="1:32" x14ac:dyDescent="0.3">
      <c r="A653" s="49">
        <v>11</v>
      </c>
      <c r="B653" s="41" t="s">
        <v>1190</v>
      </c>
      <c r="C653" s="50" t="s">
        <v>573</v>
      </c>
      <c r="D653" s="50" t="s">
        <v>1149</v>
      </c>
      <c r="E653" s="50" t="s">
        <v>25</v>
      </c>
      <c r="F653" s="51" t="s">
        <v>25</v>
      </c>
      <c r="G653" s="50" t="s">
        <v>866</v>
      </c>
      <c r="H653" s="59">
        <v>3361.18</v>
      </c>
      <c r="I653" s="59">
        <v>-159.94999999999999</v>
      </c>
      <c r="J653" s="59">
        <v>0</v>
      </c>
      <c r="K653" s="59">
        <v>0</v>
      </c>
      <c r="L653" s="59">
        <v>0</v>
      </c>
      <c r="M653" s="59">
        <v>-20</v>
      </c>
      <c r="N653" s="59">
        <v>0</v>
      </c>
      <c r="O653" s="59">
        <f t="shared" si="73"/>
        <v>3181.23</v>
      </c>
      <c r="P653" s="59">
        <f>(-2500/7)*5.5</f>
        <v>-1964.2857142857144</v>
      </c>
      <c r="Q653" s="59">
        <f>-2006*1.12</f>
        <v>-2246.7200000000003</v>
      </c>
      <c r="R653" s="59">
        <v>0</v>
      </c>
      <c r="S653" s="59">
        <v>0</v>
      </c>
      <c r="T653" s="59">
        <v>0</v>
      </c>
      <c r="U653" s="59">
        <v>0</v>
      </c>
      <c r="V653" s="59">
        <v>0</v>
      </c>
      <c r="W653" s="59">
        <f t="shared" si="74"/>
        <v>-1029.7757142857147</v>
      </c>
      <c r="X653" s="59">
        <f t="shared" si="70"/>
        <v>0</v>
      </c>
      <c r="Y653" s="59">
        <f t="shared" si="71"/>
        <v>-1029.7757142857147</v>
      </c>
      <c r="Z653" s="59">
        <v>419</v>
      </c>
      <c r="AA653" s="59">
        <f t="shared" si="72"/>
        <v>-610.77571428571468</v>
      </c>
      <c r="AB653" s="59">
        <f t="shared" si="75"/>
        <v>2989.4542857142851</v>
      </c>
      <c r="AD653" s="50" t="s">
        <v>3337</v>
      </c>
      <c r="AE653" s="50"/>
      <c r="AF653" s="59"/>
    </row>
    <row r="654" spans="1:32" x14ac:dyDescent="0.3">
      <c r="A654" s="49">
        <v>11</v>
      </c>
      <c r="B654" s="41" t="s">
        <v>484</v>
      </c>
      <c r="C654" s="50" t="s">
        <v>1065</v>
      </c>
      <c r="D654" s="50" t="s">
        <v>1159</v>
      </c>
      <c r="E654" s="50" t="s">
        <v>25</v>
      </c>
      <c r="F654" s="51" t="s">
        <v>25</v>
      </c>
      <c r="G654" s="50" t="s">
        <v>866</v>
      </c>
      <c r="H654" s="59">
        <v>7599.22</v>
      </c>
      <c r="I654" s="59">
        <v>-4749.9799999999996</v>
      </c>
      <c r="J654" s="59">
        <v>-70.400000000000006</v>
      </c>
      <c r="K654" s="59">
        <v>0</v>
      </c>
      <c r="L654" s="59">
        <v>0</v>
      </c>
      <c r="M654" s="59">
        <v>-60</v>
      </c>
      <c r="N654" s="59">
        <v>0</v>
      </c>
      <c r="O654" s="59">
        <f t="shared" si="73"/>
        <v>2718.8400000000006</v>
      </c>
      <c r="P654" s="59">
        <v>-2500</v>
      </c>
      <c r="Q654" s="59">
        <v>0</v>
      </c>
      <c r="R654" s="59">
        <v>0</v>
      </c>
      <c r="S654" s="59">
        <v>0</v>
      </c>
      <c r="T654" s="59">
        <v>0</v>
      </c>
      <c r="U654" s="59">
        <v>0</v>
      </c>
      <c r="V654" s="59">
        <v>0</v>
      </c>
      <c r="W654" s="59">
        <f t="shared" si="74"/>
        <v>218.8400000000006</v>
      </c>
      <c r="X654" s="59">
        <f t="shared" si="70"/>
        <v>218.8400000000006</v>
      </c>
      <c r="Y654" s="59">
        <f t="shared" si="71"/>
        <v>0</v>
      </c>
      <c r="Z654" s="59">
        <v>0</v>
      </c>
      <c r="AA654" s="59">
        <f t="shared" si="72"/>
        <v>0</v>
      </c>
      <c r="AB654" s="59">
        <f t="shared" si="75"/>
        <v>2500</v>
      </c>
      <c r="AE654" s="50"/>
      <c r="AF654" s="59"/>
    </row>
    <row r="655" spans="1:32" x14ac:dyDescent="0.3">
      <c r="A655" s="49">
        <v>11</v>
      </c>
      <c r="B655" s="41" t="s">
        <v>1432</v>
      </c>
      <c r="C655" s="50" t="s">
        <v>183</v>
      </c>
      <c r="D655" s="50" t="s">
        <v>887</v>
      </c>
      <c r="E655" s="50" t="s">
        <v>25</v>
      </c>
      <c r="F655" s="51" t="s">
        <v>25</v>
      </c>
      <c r="G655" s="50" t="s">
        <v>866</v>
      </c>
      <c r="H655" s="59">
        <v>0</v>
      </c>
      <c r="I655" s="59">
        <v>0</v>
      </c>
      <c r="J655" s="59">
        <v>0</v>
      </c>
      <c r="K655" s="59">
        <v>0</v>
      </c>
      <c r="L655" s="59">
        <v>0</v>
      </c>
      <c r="M655" s="59">
        <v>0</v>
      </c>
      <c r="N655" s="59">
        <v>0</v>
      </c>
      <c r="O655" s="59">
        <f t="shared" si="73"/>
        <v>0</v>
      </c>
      <c r="P655" s="59">
        <v>-2500</v>
      </c>
      <c r="Q655" s="59">
        <f>-228*1.12</f>
        <v>-255.36</v>
      </c>
      <c r="R655" s="59">
        <v>-500</v>
      </c>
      <c r="S655" s="59">
        <v>0</v>
      </c>
      <c r="T655" s="59">
        <v>0</v>
      </c>
      <c r="U655" s="59">
        <v>0</v>
      </c>
      <c r="V655" s="59">
        <v>0</v>
      </c>
      <c r="W655" s="59">
        <f t="shared" si="74"/>
        <v>-3255.36</v>
      </c>
      <c r="X655" s="59">
        <f t="shared" si="70"/>
        <v>0</v>
      </c>
      <c r="Y655" s="59">
        <f t="shared" si="71"/>
        <v>-3255.36</v>
      </c>
      <c r="Z655" s="59">
        <v>0</v>
      </c>
      <c r="AA655" s="59">
        <f t="shared" si="72"/>
        <v>-3255.36</v>
      </c>
      <c r="AB655" s="59">
        <f t="shared" si="75"/>
        <v>-3255.36</v>
      </c>
      <c r="AD655" s="50" t="s">
        <v>3338</v>
      </c>
      <c r="AE655" s="50"/>
      <c r="AF655" s="59"/>
    </row>
    <row r="656" spans="1:32" x14ac:dyDescent="0.3">
      <c r="A656" s="49">
        <v>11</v>
      </c>
      <c r="B656" s="41" t="s">
        <v>747</v>
      </c>
      <c r="C656" s="50" t="s">
        <v>1586</v>
      </c>
      <c r="D656" s="50" t="s">
        <v>1587</v>
      </c>
      <c r="E656" s="50" t="s">
        <v>25</v>
      </c>
      <c r="F656" s="51" t="s">
        <v>25</v>
      </c>
      <c r="G656" s="50" t="s">
        <v>866</v>
      </c>
      <c r="H656" s="59">
        <v>1252.6300000000001</v>
      </c>
      <c r="I656" s="59">
        <v>0</v>
      </c>
      <c r="J656" s="59">
        <v>-8.3699999999999992</v>
      </c>
      <c r="K656" s="59">
        <v>52.28</v>
      </c>
      <c r="L656" s="59">
        <v>0</v>
      </c>
      <c r="M656" s="59">
        <v>-13.2</v>
      </c>
      <c r="N656" s="59">
        <v>-110</v>
      </c>
      <c r="O656" s="59">
        <f t="shared" si="73"/>
        <v>1173.3400000000001</v>
      </c>
      <c r="P656" s="59">
        <v>-2700</v>
      </c>
      <c r="Q656" s="59">
        <f>-998*1.12</f>
        <v>-1117.7600000000002</v>
      </c>
      <c r="R656" s="59">
        <v>0</v>
      </c>
      <c r="S656" s="59">
        <v>0</v>
      </c>
      <c r="T656" s="59">
        <v>0</v>
      </c>
      <c r="U656" s="59">
        <v>0</v>
      </c>
      <c r="V656" s="59">
        <v>0</v>
      </c>
      <c r="W656" s="59">
        <f t="shared" si="74"/>
        <v>-2644.42</v>
      </c>
      <c r="X656" s="59">
        <f t="shared" si="70"/>
        <v>0</v>
      </c>
      <c r="Y656" s="59">
        <f t="shared" si="71"/>
        <v>-2644.42</v>
      </c>
      <c r="Z656" s="59">
        <f>1000+800+400</f>
        <v>2200</v>
      </c>
      <c r="AA656" s="59">
        <f t="shared" si="72"/>
        <v>-444.42000000000007</v>
      </c>
      <c r="AB656" s="59">
        <f t="shared" si="75"/>
        <v>2928.92</v>
      </c>
      <c r="AD656" s="50" t="s">
        <v>3339</v>
      </c>
      <c r="AE656" s="50"/>
      <c r="AF656" s="59"/>
    </row>
    <row r="657" spans="1:32" x14ac:dyDescent="0.3">
      <c r="A657" s="49">
        <v>11</v>
      </c>
      <c r="B657" s="41" t="s">
        <v>1244</v>
      </c>
      <c r="C657" s="50" t="s">
        <v>1429</v>
      </c>
      <c r="D657" s="50" t="s">
        <v>1588</v>
      </c>
      <c r="E657" s="50" t="s">
        <v>25</v>
      </c>
      <c r="F657" s="51" t="s">
        <v>25</v>
      </c>
      <c r="G657" s="50" t="s">
        <v>866</v>
      </c>
      <c r="H657" s="59">
        <v>6560.49</v>
      </c>
      <c r="I657" s="59">
        <v>-3629.18</v>
      </c>
      <c r="J657" s="59">
        <v>0</v>
      </c>
      <c r="K657" s="59">
        <v>0</v>
      </c>
      <c r="L657" s="59">
        <v>0</v>
      </c>
      <c r="M657" s="59">
        <f>-8.88-60</f>
        <v>-68.88</v>
      </c>
      <c r="N657" s="59">
        <v>-74</v>
      </c>
      <c r="O657" s="59">
        <f t="shared" si="73"/>
        <v>2788.43</v>
      </c>
      <c r="P657" s="59">
        <f>(-2700/7)*6.5</f>
        <v>-2507.1428571428573</v>
      </c>
      <c r="Q657" s="59">
        <f>-58*1.12</f>
        <v>-64.960000000000008</v>
      </c>
      <c r="R657" s="59">
        <v>0</v>
      </c>
      <c r="S657" s="59">
        <v>0</v>
      </c>
      <c r="T657" s="59">
        <v>0</v>
      </c>
      <c r="U657" s="59">
        <v>0</v>
      </c>
      <c r="V657" s="59">
        <v>0</v>
      </c>
      <c r="W657" s="59">
        <f t="shared" si="74"/>
        <v>216.32714285714249</v>
      </c>
      <c r="X657" s="59">
        <f t="shared" si="70"/>
        <v>216.32714285714249</v>
      </c>
      <c r="Y657" s="59">
        <f t="shared" si="71"/>
        <v>0</v>
      </c>
      <c r="Z657" s="59">
        <v>0</v>
      </c>
      <c r="AA657" s="59">
        <f t="shared" si="72"/>
        <v>0</v>
      </c>
      <c r="AB657" s="59">
        <f t="shared" si="75"/>
        <v>2572.1028571428574</v>
      </c>
      <c r="AE657" s="50"/>
      <c r="AF657" s="59"/>
    </row>
    <row r="658" spans="1:32" x14ac:dyDescent="0.3">
      <c r="A658" s="49">
        <v>11</v>
      </c>
      <c r="B658" s="41" t="s">
        <v>1307</v>
      </c>
      <c r="C658" s="50" t="s">
        <v>150</v>
      </c>
      <c r="D658" s="50" t="s">
        <v>1308</v>
      </c>
      <c r="E658" s="50" t="s">
        <v>25</v>
      </c>
      <c r="F658" s="51" t="s">
        <v>25</v>
      </c>
      <c r="G658" s="50" t="s">
        <v>866</v>
      </c>
      <c r="H658" s="59">
        <v>6852.26</v>
      </c>
      <c r="I658" s="59">
        <v>-2127.1200000000003</v>
      </c>
      <c r="J658" s="59">
        <v>-220.8</v>
      </c>
      <c r="K658" s="59">
        <v>0</v>
      </c>
      <c r="L658" s="59">
        <v>0</v>
      </c>
      <c r="M658" s="59">
        <v>-45</v>
      </c>
      <c r="N658" s="59">
        <v>0</v>
      </c>
      <c r="O658" s="59">
        <f t="shared" si="73"/>
        <v>4459.3399999999992</v>
      </c>
      <c r="P658" s="59">
        <v>-2500</v>
      </c>
      <c r="Q658" s="59">
        <v>0</v>
      </c>
      <c r="R658" s="59">
        <v>-500</v>
      </c>
      <c r="S658" s="59">
        <v>0</v>
      </c>
      <c r="T658" s="59">
        <v>0</v>
      </c>
      <c r="U658" s="59">
        <v>0</v>
      </c>
      <c r="V658" s="59">
        <v>0</v>
      </c>
      <c r="W658" s="59">
        <f t="shared" si="74"/>
        <v>1459.3399999999992</v>
      </c>
      <c r="X658" s="59">
        <f t="shared" si="70"/>
        <v>1459.3399999999992</v>
      </c>
      <c r="Y658" s="59">
        <f t="shared" si="71"/>
        <v>0</v>
      </c>
      <c r="Z658" s="59">
        <v>0</v>
      </c>
      <c r="AA658" s="59">
        <f t="shared" si="72"/>
        <v>0</v>
      </c>
      <c r="AB658" s="59">
        <f t="shared" si="75"/>
        <v>3000</v>
      </c>
      <c r="AE658" s="50"/>
      <c r="AF658" s="59"/>
    </row>
    <row r="659" spans="1:32" x14ac:dyDescent="0.3">
      <c r="A659" s="49">
        <v>11</v>
      </c>
      <c r="B659" s="41" t="s">
        <v>1423</v>
      </c>
      <c r="C659" s="50" t="s">
        <v>55</v>
      </c>
      <c r="D659" s="50" t="s">
        <v>1147</v>
      </c>
      <c r="E659" s="50" t="s">
        <v>25</v>
      </c>
      <c r="F659" s="51" t="s">
        <v>25</v>
      </c>
      <c r="G659" s="50" t="s">
        <v>866</v>
      </c>
      <c r="H659" s="59">
        <v>2060.37</v>
      </c>
      <c r="I659" s="59">
        <v>-859.82</v>
      </c>
      <c r="J659" s="59">
        <v>0</v>
      </c>
      <c r="K659" s="59">
        <v>0</v>
      </c>
      <c r="L659" s="59">
        <v>0</v>
      </c>
      <c r="M659" s="59">
        <v>-35</v>
      </c>
      <c r="N659" s="59">
        <v>0</v>
      </c>
      <c r="O659" s="59">
        <f t="shared" si="73"/>
        <v>1165.5499999999997</v>
      </c>
      <c r="P659" s="59">
        <f>(-2500/7)*4</f>
        <v>-1428.5714285714287</v>
      </c>
      <c r="Q659" s="59">
        <v>0</v>
      </c>
      <c r="R659" s="59">
        <v>0</v>
      </c>
      <c r="S659" s="59">
        <v>0</v>
      </c>
      <c r="T659" s="59">
        <v>0</v>
      </c>
      <c r="U659" s="59">
        <v>0</v>
      </c>
      <c r="V659" s="59">
        <v>0</v>
      </c>
      <c r="W659" s="59">
        <f t="shared" si="74"/>
        <v>-263.02142857142894</v>
      </c>
      <c r="X659" s="59">
        <f t="shared" si="70"/>
        <v>0</v>
      </c>
      <c r="Y659" s="59">
        <f t="shared" si="71"/>
        <v>-263.02142857142894</v>
      </c>
      <c r="Z659" s="59">
        <v>263</v>
      </c>
      <c r="AA659" s="59">
        <f t="shared" si="72"/>
        <v>-2.1428571428941723E-2</v>
      </c>
      <c r="AB659" s="59">
        <f t="shared" si="75"/>
        <v>1428.5285714285708</v>
      </c>
      <c r="AD659" s="50" t="s">
        <v>3340</v>
      </c>
      <c r="AE659" s="50"/>
      <c r="AF659" s="59"/>
    </row>
    <row r="660" spans="1:32" x14ac:dyDescent="0.3">
      <c r="A660" s="49">
        <v>11</v>
      </c>
      <c r="B660" s="41" t="s">
        <v>1423</v>
      </c>
      <c r="C660" s="50" t="s">
        <v>760</v>
      </c>
      <c r="D660" s="50" t="s">
        <v>1239</v>
      </c>
      <c r="E660" s="50" t="s">
        <v>25</v>
      </c>
      <c r="F660" s="51" t="s">
        <v>25</v>
      </c>
      <c r="G660" s="50" t="s">
        <v>866</v>
      </c>
      <c r="H660" s="59">
        <v>0</v>
      </c>
      <c r="I660" s="59">
        <v>0</v>
      </c>
      <c r="J660" s="59">
        <v>0</v>
      </c>
      <c r="K660" s="59">
        <v>0</v>
      </c>
      <c r="L660" s="59">
        <v>0</v>
      </c>
      <c r="M660" s="59">
        <v>0</v>
      </c>
      <c r="N660" s="59">
        <v>0</v>
      </c>
      <c r="O660" s="59">
        <f t="shared" si="73"/>
        <v>0</v>
      </c>
      <c r="P660" s="59">
        <f>(-2700/7)*3</f>
        <v>-1157.1428571428571</v>
      </c>
      <c r="Q660" s="59">
        <v>0</v>
      </c>
      <c r="R660" s="59">
        <v>0</v>
      </c>
      <c r="S660" s="59">
        <v>0</v>
      </c>
      <c r="T660" s="59">
        <v>0</v>
      </c>
      <c r="U660" s="59">
        <v>0</v>
      </c>
      <c r="V660" s="59">
        <v>0</v>
      </c>
      <c r="W660" s="59">
        <f t="shared" si="74"/>
        <v>-1157.1428571428571</v>
      </c>
      <c r="X660" s="59">
        <f t="shared" si="70"/>
        <v>0</v>
      </c>
      <c r="Y660" s="59">
        <f t="shared" si="71"/>
        <v>-1157.1428571428571</v>
      </c>
      <c r="Z660" s="59">
        <v>1157</v>
      </c>
      <c r="AA660" s="59">
        <f t="shared" si="72"/>
        <v>-0.14285714285711038</v>
      </c>
      <c r="AB660" s="59">
        <f t="shared" si="75"/>
        <v>1156.8571428571429</v>
      </c>
      <c r="AD660" s="50" t="s">
        <v>3340</v>
      </c>
      <c r="AE660" s="50"/>
      <c r="AF660" s="59"/>
    </row>
    <row r="661" spans="1:32" x14ac:dyDescent="0.3">
      <c r="A661" s="49">
        <v>11</v>
      </c>
      <c r="B661" s="41" t="s">
        <v>922</v>
      </c>
      <c r="C661" s="50" t="s">
        <v>670</v>
      </c>
      <c r="D661" s="50" t="s">
        <v>1221</v>
      </c>
      <c r="E661" s="50" t="s">
        <v>25</v>
      </c>
      <c r="F661" s="51" t="s">
        <v>25</v>
      </c>
      <c r="G661" s="50" t="s">
        <v>737</v>
      </c>
      <c r="H661" s="59">
        <v>0</v>
      </c>
      <c r="I661" s="59">
        <v>0</v>
      </c>
      <c r="J661" s="59">
        <v>0</v>
      </c>
      <c r="K661" s="59">
        <v>0</v>
      </c>
      <c r="L661" s="59">
        <v>0</v>
      </c>
      <c r="M661" s="59">
        <v>0</v>
      </c>
      <c r="N661" s="59">
        <v>0</v>
      </c>
      <c r="O661" s="59">
        <f t="shared" si="73"/>
        <v>0</v>
      </c>
      <c r="P661" s="59">
        <f>(-2500/7)*6.5</f>
        <v>-2321.4285714285716</v>
      </c>
      <c r="Q661" s="59">
        <f>-1060*1.12</f>
        <v>-1187.2</v>
      </c>
      <c r="R661" s="59">
        <v>0</v>
      </c>
      <c r="S661" s="59">
        <v>0</v>
      </c>
      <c r="T661" s="59">
        <v>0</v>
      </c>
      <c r="U661" s="59">
        <v>0</v>
      </c>
      <c r="V661" s="59">
        <v>0</v>
      </c>
      <c r="W661" s="59">
        <f t="shared" si="74"/>
        <v>-3508.6285714285714</v>
      </c>
      <c r="X661" s="59">
        <f t="shared" si="70"/>
        <v>0</v>
      </c>
      <c r="Y661" s="59">
        <f t="shared" si="71"/>
        <v>-3508.6285714285714</v>
      </c>
      <c r="Z661" s="59">
        <v>2500</v>
      </c>
      <c r="AA661" s="59">
        <f t="shared" si="72"/>
        <v>-1008.6285714285714</v>
      </c>
      <c r="AB661" s="59">
        <f t="shared" si="75"/>
        <v>1491.3714285714286</v>
      </c>
      <c r="AD661" s="50" t="s">
        <v>3340</v>
      </c>
      <c r="AE661" s="50"/>
      <c r="AF661" s="59"/>
    </row>
    <row r="662" spans="1:32" x14ac:dyDescent="0.3">
      <c r="A662" s="49">
        <v>11</v>
      </c>
      <c r="B662" s="41" t="s">
        <v>922</v>
      </c>
      <c r="C662" s="50" t="s">
        <v>347</v>
      </c>
      <c r="D662" s="50" t="s">
        <v>1221</v>
      </c>
      <c r="E662" s="50" t="s">
        <v>25</v>
      </c>
      <c r="F662" s="51" t="s">
        <v>25</v>
      </c>
      <c r="G662" s="50" t="s">
        <v>737</v>
      </c>
      <c r="H662" s="59">
        <v>0</v>
      </c>
      <c r="I662" s="59">
        <v>0</v>
      </c>
      <c r="J662" s="59">
        <v>0</v>
      </c>
      <c r="K662" s="59">
        <v>0</v>
      </c>
      <c r="L662" s="59">
        <v>0</v>
      </c>
      <c r="M662" s="59">
        <v>0</v>
      </c>
      <c r="N662" s="59">
        <v>0</v>
      </c>
      <c r="O662" s="59">
        <f t="shared" si="73"/>
        <v>0</v>
      </c>
      <c r="P662" s="59">
        <v>0</v>
      </c>
      <c r="Q662" s="59">
        <v>0</v>
      </c>
      <c r="R662" s="59">
        <v>0</v>
      </c>
      <c r="S662" s="59">
        <v>-700</v>
      </c>
      <c r="T662" s="59">
        <v>0</v>
      </c>
      <c r="U662" s="59">
        <v>0</v>
      </c>
      <c r="V662" s="59">
        <v>0</v>
      </c>
      <c r="W662" s="59">
        <f t="shared" si="74"/>
        <v>-700</v>
      </c>
      <c r="X662" s="59">
        <f t="shared" si="70"/>
        <v>0</v>
      </c>
      <c r="Y662" s="59">
        <f t="shared" si="71"/>
        <v>-700</v>
      </c>
      <c r="Z662" s="59">
        <v>700</v>
      </c>
      <c r="AA662" s="59">
        <f t="shared" si="72"/>
        <v>0</v>
      </c>
      <c r="AB662" s="59">
        <f t="shared" si="75"/>
        <v>700</v>
      </c>
      <c r="AD662" s="50" t="s">
        <v>3340</v>
      </c>
      <c r="AE662" s="50"/>
      <c r="AF662" s="59"/>
    </row>
    <row r="663" spans="1:32" x14ac:dyDescent="0.3">
      <c r="A663" s="49">
        <v>11</v>
      </c>
      <c r="B663" s="41" t="s">
        <v>1120</v>
      </c>
      <c r="C663" s="50" t="s">
        <v>1273</v>
      </c>
      <c r="D663" s="50" t="s">
        <v>1593</v>
      </c>
      <c r="E663" s="50" t="s">
        <v>25</v>
      </c>
      <c r="F663" s="51" t="s">
        <v>25</v>
      </c>
      <c r="G663" s="50" t="s">
        <v>866</v>
      </c>
      <c r="H663" s="59">
        <v>5205.59</v>
      </c>
      <c r="I663" s="59">
        <v>-1204.3600000000001</v>
      </c>
      <c r="J663" s="59">
        <v>0</v>
      </c>
      <c r="K663" s="59">
        <v>0</v>
      </c>
      <c r="L663" s="59">
        <v>-56.900000000000013</v>
      </c>
      <c r="M663" s="59">
        <v>-45</v>
      </c>
      <c r="N663" s="59">
        <v>0</v>
      </c>
      <c r="O663" s="59">
        <f t="shared" si="73"/>
        <v>3899.33</v>
      </c>
      <c r="P663" s="59">
        <v>-2700</v>
      </c>
      <c r="Q663" s="59">
        <v>0</v>
      </c>
      <c r="R663" s="59">
        <v>0</v>
      </c>
      <c r="S663" s="59">
        <v>0</v>
      </c>
      <c r="T663" s="59">
        <v>0</v>
      </c>
      <c r="U663" s="59">
        <v>0</v>
      </c>
      <c r="V663" s="59">
        <v>-1000</v>
      </c>
      <c r="W663" s="59">
        <f t="shared" si="74"/>
        <v>199.32999999999993</v>
      </c>
      <c r="X663" s="59">
        <f t="shared" si="70"/>
        <v>199.32999999999993</v>
      </c>
      <c r="Y663" s="59">
        <f t="shared" si="71"/>
        <v>0</v>
      </c>
      <c r="Z663" s="59">
        <v>0</v>
      </c>
      <c r="AA663" s="59">
        <f t="shared" si="72"/>
        <v>0</v>
      </c>
      <c r="AB663" s="59">
        <f t="shared" si="75"/>
        <v>3700</v>
      </c>
      <c r="AD663" s="50" t="s">
        <v>3341</v>
      </c>
      <c r="AE663" s="50"/>
      <c r="AF663" s="59"/>
    </row>
    <row r="664" spans="1:32" x14ac:dyDescent="0.3">
      <c r="A664" s="49">
        <v>11</v>
      </c>
      <c r="B664" s="41" t="s">
        <v>515</v>
      </c>
      <c r="C664" s="50" t="s">
        <v>360</v>
      </c>
      <c r="D664" s="50" t="s">
        <v>1158</v>
      </c>
      <c r="E664" s="50" t="s">
        <v>25</v>
      </c>
      <c r="F664" s="51" t="s">
        <v>25</v>
      </c>
      <c r="G664" s="50" t="s">
        <v>866</v>
      </c>
      <c r="H664" s="59">
        <v>6494.85</v>
      </c>
      <c r="I664" s="59">
        <v>-50</v>
      </c>
      <c r="J664" s="59">
        <v>-46.4</v>
      </c>
      <c r="K664" s="59">
        <v>0</v>
      </c>
      <c r="L664" s="59">
        <v>0</v>
      </c>
      <c r="M664" s="59">
        <v>-5</v>
      </c>
      <c r="N664" s="59">
        <v>0</v>
      </c>
      <c r="O664" s="59">
        <f t="shared" si="73"/>
        <v>6393.4500000000007</v>
      </c>
      <c r="P664" s="59">
        <v>-2700</v>
      </c>
      <c r="Q664" s="59">
        <v>0</v>
      </c>
      <c r="R664" s="59">
        <v>0</v>
      </c>
      <c r="S664" s="59">
        <v>0</v>
      </c>
      <c r="T664" s="59">
        <v>0</v>
      </c>
      <c r="U664" s="59">
        <v>0</v>
      </c>
      <c r="V664" s="59">
        <v>0</v>
      </c>
      <c r="W664" s="59">
        <f t="shared" si="74"/>
        <v>3693.4500000000007</v>
      </c>
      <c r="X664" s="59">
        <f t="shared" si="70"/>
        <v>3693.4500000000007</v>
      </c>
      <c r="Y664" s="59">
        <f t="shared" si="71"/>
        <v>0</v>
      </c>
      <c r="Z664" s="59">
        <v>0</v>
      </c>
      <c r="AA664" s="59">
        <f t="shared" si="72"/>
        <v>0</v>
      </c>
      <c r="AB664" s="59">
        <f t="shared" si="75"/>
        <v>2700</v>
      </c>
      <c r="AE664" s="50"/>
      <c r="AF664" s="59"/>
    </row>
    <row r="665" spans="1:32" x14ac:dyDescent="0.3">
      <c r="A665" s="49">
        <v>11</v>
      </c>
      <c r="B665" s="41" t="s">
        <v>515</v>
      </c>
      <c r="C665" s="50" t="s">
        <v>110</v>
      </c>
      <c r="D665" s="50" t="s">
        <v>912</v>
      </c>
      <c r="E665" s="50" t="s">
        <v>18</v>
      </c>
      <c r="F665" s="51" t="s">
        <v>25</v>
      </c>
      <c r="G665" s="50" t="s">
        <v>866</v>
      </c>
      <c r="H665" s="59">
        <v>0</v>
      </c>
      <c r="I665" s="59">
        <v>0</v>
      </c>
      <c r="J665" s="59">
        <v>0</v>
      </c>
      <c r="K665" s="59">
        <v>0</v>
      </c>
      <c r="L665" s="59">
        <v>0</v>
      </c>
      <c r="M665" s="59">
        <v>0</v>
      </c>
      <c r="N665" s="59">
        <v>0</v>
      </c>
      <c r="O665" s="59">
        <f t="shared" si="73"/>
        <v>0</v>
      </c>
      <c r="P665" s="59">
        <v>0</v>
      </c>
      <c r="Q665" s="59">
        <v>0</v>
      </c>
      <c r="R665" s="59">
        <v>0</v>
      </c>
      <c r="S665" s="59">
        <v>0</v>
      </c>
      <c r="T665" s="59">
        <v>-700</v>
      </c>
      <c r="U665" s="59">
        <v>0</v>
      </c>
      <c r="V665" s="59">
        <v>0</v>
      </c>
      <c r="W665" s="59">
        <f t="shared" si="74"/>
        <v>-700</v>
      </c>
      <c r="X665" s="59">
        <f t="shared" si="70"/>
        <v>0</v>
      </c>
      <c r="Y665" s="59">
        <f t="shared" si="71"/>
        <v>-700</v>
      </c>
      <c r="Z665" s="59">
        <v>700</v>
      </c>
      <c r="AA665" s="59">
        <f t="shared" si="72"/>
        <v>0</v>
      </c>
      <c r="AB665" s="59">
        <f t="shared" si="75"/>
        <v>700</v>
      </c>
      <c r="AD665" s="50" t="s">
        <v>3342</v>
      </c>
      <c r="AE665" s="50"/>
      <c r="AF665" s="59"/>
    </row>
    <row r="666" spans="1:32" x14ac:dyDescent="0.3">
      <c r="A666" s="49">
        <v>11</v>
      </c>
      <c r="B666" s="41" t="s">
        <v>2703</v>
      </c>
      <c r="C666" s="50" t="s">
        <v>104</v>
      </c>
      <c r="D666" s="50" t="s">
        <v>1419</v>
      </c>
      <c r="E666" s="50" t="s">
        <v>25</v>
      </c>
      <c r="F666" s="51" t="s">
        <v>25</v>
      </c>
      <c r="G666" s="50" t="s">
        <v>866</v>
      </c>
      <c r="H666" s="59">
        <v>2725.62</v>
      </c>
      <c r="I666" s="59">
        <v>-1111.24</v>
      </c>
      <c r="J666" s="59">
        <v>0</v>
      </c>
      <c r="K666" s="59">
        <v>0</v>
      </c>
      <c r="L666" s="59">
        <v>0</v>
      </c>
      <c r="M666" s="59">
        <v>-45</v>
      </c>
      <c r="N666" s="59">
        <v>0</v>
      </c>
      <c r="O666" s="59">
        <f t="shared" si="73"/>
        <v>1569.3799999999999</v>
      </c>
      <c r="P666" s="59">
        <v>-2500</v>
      </c>
      <c r="Q666" s="59">
        <v>0</v>
      </c>
      <c r="R666" s="59">
        <v>214</v>
      </c>
      <c r="S666" s="59">
        <v>0</v>
      </c>
      <c r="T666" s="59">
        <v>0</v>
      </c>
      <c r="U666" s="59">
        <v>0</v>
      </c>
      <c r="V666" s="59">
        <v>0</v>
      </c>
      <c r="W666" s="59">
        <f t="shared" si="74"/>
        <v>-716.62000000000012</v>
      </c>
      <c r="X666" s="59">
        <f t="shared" si="70"/>
        <v>0</v>
      </c>
      <c r="Y666" s="59">
        <f t="shared" si="71"/>
        <v>-716.62000000000012</v>
      </c>
      <c r="Z666" s="59">
        <v>717</v>
      </c>
      <c r="AA666" s="59">
        <f t="shared" si="72"/>
        <v>0.37999999999988177</v>
      </c>
      <c r="AB666" s="59">
        <f t="shared" si="75"/>
        <v>2286.7600000000002</v>
      </c>
      <c r="AD666" s="50" t="s">
        <v>3343</v>
      </c>
      <c r="AE666" s="50"/>
      <c r="AF666" s="59"/>
    </row>
    <row r="667" spans="1:32" x14ac:dyDescent="0.3">
      <c r="A667" s="49">
        <v>11</v>
      </c>
      <c r="B667" s="41" t="s">
        <v>1088</v>
      </c>
      <c r="C667" s="50" t="s">
        <v>257</v>
      </c>
      <c r="D667" s="50" t="s">
        <v>943</v>
      </c>
      <c r="E667" s="50" t="s">
        <v>25</v>
      </c>
      <c r="F667" s="51" t="s">
        <v>25</v>
      </c>
      <c r="G667" s="50" t="s">
        <v>866</v>
      </c>
      <c r="H667" s="59">
        <v>4106.62</v>
      </c>
      <c r="I667" s="59">
        <v>-150.78</v>
      </c>
      <c r="J667" s="59">
        <v>-19.760000000000002</v>
      </c>
      <c r="K667" s="59">
        <v>123.51</v>
      </c>
      <c r="L667" s="59">
        <v>-29.040000000000003</v>
      </c>
      <c r="M667" s="59">
        <v>-20</v>
      </c>
      <c r="N667" s="59">
        <v>0</v>
      </c>
      <c r="O667" s="59">
        <f t="shared" si="73"/>
        <v>4010.5499999999997</v>
      </c>
      <c r="P667" s="59">
        <v>-714.28571428571399</v>
      </c>
      <c r="Q667" s="59">
        <v>0</v>
      </c>
      <c r="R667" s="59">
        <v>0</v>
      </c>
      <c r="S667" s="59">
        <v>0</v>
      </c>
      <c r="T667" s="59">
        <v>0</v>
      </c>
      <c r="U667" s="59">
        <v>0</v>
      </c>
      <c r="V667" s="59">
        <v>0</v>
      </c>
      <c r="W667" s="59">
        <f t="shared" si="74"/>
        <v>3296.2642857142855</v>
      </c>
      <c r="X667" s="59">
        <f t="shared" si="70"/>
        <v>3296.2642857142855</v>
      </c>
      <c r="Y667" s="59">
        <f t="shared" si="71"/>
        <v>0</v>
      </c>
      <c r="Z667" s="59">
        <v>0</v>
      </c>
      <c r="AA667" s="59">
        <f t="shared" si="72"/>
        <v>0</v>
      </c>
      <c r="AB667" s="59">
        <f t="shared" si="75"/>
        <v>714.28571428571422</v>
      </c>
      <c r="AD667" s="207"/>
      <c r="AE667" s="50"/>
      <c r="AF667" s="59"/>
    </row>
    <row r="668" spans="1:32" x14ac:dyDescent="0.3">
      <c r="A668" s="49">
        <v>11</v>
      </c>
      <c r="B668" s="41" t="s">
        <v>1088</v>
      </c>
      <c r="C668" s="50" t="s">
        <v>1860</v>
      </c>
      <c r="E668" s="50" t="s">
        <v>25</v>
      </c>
      <c r="F668" s="51" t="s">
        <v>25</v>
      </c>
      <c r="G668" s="50" t="s">
        <v>866</v>
      </c>
      <c r="H668" s="59">
        <v>0</v>
      </c>
      <c r="I668" s="59">
        <v>0</v>
      </c>
      <c r="J668" s="59">
        <v>0</v>
      </c>
      <c r="K668" s="59">
        <v>0</v>
      </c>
      <c r="L668" s="59">
        <v>0</v>
      </c>
      <c r="M668" s="59">
        <v>0</v>
      </c>
      <c r="N668" s="59">
        <v>0</v>
      </c>
      <c r="O668" s="59">
        <f t="shared" si="73"/>
        <v>0</v>
      </c>
      <c r="P668" s="59">
        <v>-2142.8571428571399</v>
      </c>
      <c r="Q668" s="59">
        <v>0</v>
      </c>
      <c r="R668" s="59">
        <v>0</v>
      </c>
      <c r="S668" s="59">
        <v>0</v>
      </c>
      <c r="T668" s="59">
        <v>0</v>
      </c>
      <c r="U668" s="59">
        <v>0</v>
      </c>
      <c r="V668" s="59">
        <v>0</v>
      </c>
      <c r="W668" s="59">
        <f t="shared" si="74"/>
        <v>-2142.8571428571399</v>
      </c>
      <c r="X668" s="59">
        <f t="shared" si="70"/>
        <v>0</v>
      </c>
      <c r="Y668" s="59">
        <f t="shared" si="71"/>
        <v>-2142.8571428571399</v>
      </c>
      <c r="Z668" s="59">
        <v>2143</v>
      </c>
      <c r="AA668" s="59">
        <f>+Y668+Z668</f>
        <v>0.14285714286006623</v>
      </c>
      <c r="AB668" s="59">
        <f t="shared" si="75"/>
        <v>2143.1428571428601</v>
      </c>
      <c r="AD668" s="207" t="s">
        <v>3344</v>
      </c>
      <c r="AE668" s="50"/>
      <c r="AF668" s="59"/>
    </row>
    <row r="669" spans="1:32" x14ac:dyDescent="0.3">
      <c r="A669" s="49">
        <v>11</v>
      </c>
      <c r="B669" s="41" t="s">
        <v>1509</v>
      </c>
      <c r="C669" s="50" t="s">
        <v>798</v>
      </c>
      <c r="D669" s="50" t="s">
        <v>1599</v>
      </c>
      <c r="E669" s="50" t="s">
        <v>39</v>
      </c>
      <c r="F669" s="51" t="s">
        <v>39</v>
      </c>
      <c r="G669" s="50" t="s">
        <v>866</v>
      </c>
      <c r="H669" s="59">
        <v>4075.16</v>
      </c>
      <c r="I669" s="59">
        <v>0</v>
      </c>
      <c r="J669" s="59">
        <v>0</v>
      </c>
      <c r="K669" s="59">
        <v>0</v>
      </c>
      <c r="L669" s="59">
        <v>-44.93</v>
      </c>
      <c r="M669" s="59">
        <v>-12</v>
      </c>
      <c r="N669" s="59">
        <v>0</v>
      </c>
      <c r="O669" s="59">
        <f t="shared" si="73"/>
        <v>4018.23</v>
      </c>
      <c r="P669" s="59">
        <f>(-2500/7)*6.5</f>
        <v>-2321.4285714285716</v>
      </c>
      <c r="Q669" s="59">
        <v>0</v>
      </c>
      <c r="R669" s="59">
        <v>-393</v>
      </c>
      <c r="S669" s="59">
        <v>0</v>
      </c>
      <c r="T669" s="59">
        <v>0</v>
      </c>
      <c r="U669" s="59">
        <v>0</v>
      </c>
      <c r="V669" s="59">
        <v>0</v>
      </c>
      <c r="W669" s="59">
        <f t="shared" si="74"/>
        <v>1303.8014285714285</v>
      </c>
      <c r="X669" s="59">
        <f t="shared" si="70"/>
        <v>1303.8014285714285</v>
      </c>
      <c r="Y669" s="59">
        <f t="shared" si="71"/>
        <v>0</v>
      </c>
      <c r="Z669" s="59">
        <v>0</v>
      </c>
      <c r="AA669" s="59">
        <f t="shared" si="72"/>
        <v>0</v>
      </c>
      <c r="AB669" s="59">
        <f t="shared" si="75"/>
        <v>2714.4285714285716</v>
      </c>
      <c r="AD669" s="50" t="s">
        <v>3328</v>
      </c>
      <c r="AE669" s="50"/>
      <c r="AF669" s="59"/>
    </row>
    <row r="670" spans="1:32" x14ac:dyDescent="0.3">
      <c r="A670" s="49">
        <v>11</v>
      </c>
      <c r="B670" s="41" t="s">
        <v>1401</v>
      </c>
      <c r="C670" s="50" t="s">
        <v>1464</v>
      </c>
      <c r="D670" s="50" t="s">
        <v>1602</v>
      </c>
      <c r="E670" s="50" t="s">
        <v>25</v>
      </c>
      <c r="F670" s="51" t="s">
        <v>25</v>
      </c>
      <c r="G670" s="50" t="s">
        <v>866</v>
      </c>
      <c r="H670" s="59">
        <v>3145.35</v>
      </c>
      <c r="I670" s="59">
        <v>-823.41999999999985</v>
      </c>
      <c r="J670" s="59">
        <v>0</v>
      </c>
      <c r="K670" s="59">
        <v>0</v>
      </c>
      <c r="L670" s="59">
        <v>0</v>
      </c>
      <c r="M670" s="59">
        <f>-17.0052</f>
        <v>-17.005199999999999</v>
      </c>
      <c r="N670" s="59">
        <v>-141.71</v>
      </c>
      <c r="O670" s="59">
        <f t="shared" si="73"/>
        <v>2163.2148000000002</v>
      </c>
      <c r="P670" s="59">
        <f>(-2700/7)*6</f>
        <v>-2314.2857142857142</v>
      </c>
      <c r="Q670" s="59">
        <v>0</v>
      </c>
      <c r="R670" s="59">
        <v>0</v>
      </c>
      <c r="S670" s="59">
        <v>-700</v>
      </c>
      <c r="T670" s="59">
        <v>0</v>
      </c>
      <c r="U670" s="59">
        <v>0</v>
      </c>
      <c r="V670" s="59">
        <v>0</v>
      </c>
      <c r="W670" s="59">
        <f t="shared" si="74"/>
        <v>-851.07091428571403</v>
      </c>
      <c r="X670" s="59">
        <f t="shared" si="70"/>
        <v>0</v>
      </c>
      <c r="Y670" s="59">
        <f t="shared" si="71"/>
        <v>-851.07091428571403</v>
      </c>
      <c r="Z670" s="59">
        <f>500+351</f>
        <v>851</v>
      </c>
      <c r="AA670" s="59">
        <f t="shared" si="72"/>
        <v>-7.0914285714025027E-2</v>
      </c>
      <c r="AB670" s="59">
        <f t="shared" si="75"/>
        <v>3014.1438857142862</v>
      </c>
      <c r="AD670" s="239" t="s">
        <v>3345</v>
      </c>
      <c r="AE670" s="50"/>
      <c r="AF670" s="59"/>
    </row>
    <row r="671" spans="1:32" x14ac:dyDescent="0.3">
      <c r="A671" s="49">
        <v>11</v>
      </c>
      <c r="B671" s="41" t="s">
        <v>1297</v>
      </c>
      <c r="C671" s="50" t="s">
        <v>480</v>
      </c>
      <c r="D671" s="50" t="s">
        <v>1243</v>
      </c>
      <c r="E671" s="50" t="s">
        <v>25</v>
      </c>
      <c r="F671" s="51" t="s">
        <v>25</v>
      </c>
      <c r="G671" s="50" t="s">
        <v>866</v>
      </c>
      <c r="H671" s="59">
        <v>2040.01</v>
      </c>
      <c r="I671" s="59">
        <v>-888.34999999999991</v>
      </c>
      <c r="J671" s="59">
        <v>0</v>
      </c>
      <c r="K671" s="59">
        <v>0</v>
      </c>
      <c r="L671" s="59">
        <v>0</v>
      </c>
      <c r="M671" s="59">
        <v>0</v>
      </c>
      <c r="N671" s="59">
        <v>0</v>
      </c>
      <c r="O671" s="59">
        <f t="shared" si="73"/>
        <v>1151.6600000000001</v>
      </c>
      <c r="P671" s="59">
        <v>-2700</v>
      </c>
      <c r="Q671" s="59">
        <f>-1688*1.12</f>
        <v>-1890.5600000000002</v>
      </c>
      <c r="R671" s="59">
        <v>0</v>
      </c>
      <c r="S671" s="59">
        <v>0</v>
      </c>
      <c r="T671" s="59">
        <v>-500</v>
      </c>
      <c r="U671" s="59">
        <v>0</v>
      </c>
      <c r="V671" s="59">
        <v>0</v>
      </c>
      <c r="W671" s="59">
        <f t="shared" si="74"/>
        <v>-3938.9</v>
      </c>
      <c r="X671" s="59">
        <f t="shared" si="70"/>
        <v>0</v>
      </c>
      <c r="Y671" s="59">
        <f t="shared" si="71"/>
        <v>-3938.9</v>
      </c>
      <c r="Z671" s="59">
        <v>2048</v>
      </c>
      <c r="AA671" s="59">
        <f t="shared" si="72"/>
        <v>-1890.9</v>
      </c>
      <c r="AB671" s="59">
        <f t="shared" si="75"/>
        <v>1308.7599999999998</v>
      </c>
      <c r="AD671" s="50" t="s">
        <v>3346</v>
      </c>
      <c r="AE671" s="50"/>
      <c r="AF671" s="59"/>
    </row>
    <row r="672" spans="1:32" x14ac:dyDescent="0.3">
      <c r="A672" s="49">
        <v>11</v>
      </c>
      <c r="B672" s="41" t="s">
        <v>1412</v>
      </c>
      <c r="C672" s="50" t="s">
        <v>774</v>
      </c>
      <c r="D672" s="50" t="s">
        <v>1605</v>
      </c>
      <c r="E672" s="50" t="s">
        <v>25</v>
      </c>
      <c r="F672" s="51" t="s">
        <v>25</v>
      </c>
      <c r="G672" s="50" t="s">
        <v>866</v>
      </c>
      <c r="H672" s="59">
        <v>8492.1200000000008</v>
      </c>
      <c r="I672" s="59">
        <v>-6397.5899999999956</v>
      </c>
      <c r="J672" s="59">
        <v>-82.4</v>
      </c>
      <c r="K672" s="59">
        <v>0</v>
      </c>
      <c r="L672" s="59">
        <v>-83.659999999999968</v>
      </c>
      <c r="M672" s="59">
        <v>-75</v>
      </c>
      <c r="N672" s="59">
        <v>0</v>
      </c>
      <c r="O672" s="59">
        <f t="shared" si="73"/>
        <v>1853.4700000000053</v>
      </c>
      <c r="P672" s="59">
        <v>-2500</v>
      </c>
      <c r="Q672" s="59">
        <f>-4*1.12</f>
        <v>-4.4800000000000004</v>
      </c>
      <c r="R672" s="59">
        <v>0</v>
      </c>
      <c r="S672" s="59">
        <v>0</v>
      </c>
      <c r="T672" s="59">
        <v>-700</v>
      </c>
      <c r="U672" s="59">
        <v>0</v>
      </c>
      <c r="V672" s="59">
        <v>0</v>
      </c>
      <c r="W672" s="59">
        <f t="shared" si="74"/>
        <v>-1351.0099999999948</v>
      </c>
      <c r="X672" s="59">
        <f t="shared" si="70"/>
        <v>0</v>
      </c>
      <c r="Y672" s="59">
        <f t="shared" si="71"/>
        <v>-1351.0099999999948</v>
      </c>
      <c r="Z672" s="59">
        <v>1351</v>
      </c>
      <c r="AA672" s="59">
        <f t="shared" si="72"/>
        <v>-9.9999999947613105E-3</v>
      </c>
      <c r="AB672" s="59">
        <f t="shared" si="75"/>
        <v>3204.4600000000105</v>
      </c>
      <c r="AD672" s="239">
        <v>46098</v>
      </c>
      <c r="AE672" s="50"/>
      <c r="AF672" s="59"/>
    </row>
    <row r="673" spans="1:34" x14ac:dyDescent="0.3">
      <c r="A673" s="49">
        <v>11</v>
      </c>
      <c r="B673" s="41" t="s">
        <v>1003</v>
      </c>
      <c r="C673" s="50" t="s">
        <v>1409</v>
      </c>
      <c r="E673" s="50" t="s">
        <v>25</v>
      </c>
      <c r="F673" s="51" t="s">
        <v>25</v>
      </c>
      <c r="G673" s="50" t="s">
        <v>866</v>
      </c>
      <c r="H673" s="59">
        <v>0</v>
      </c>
      <c r="I673" s="59">
        <v>0</v>
      </c>
      <c r="J673" s="59">
        <v>0</v>
      </c>
      <c r="K673" s="59">
        <v>0</v>
      </c>
      <c r="L673" s="59">
        <v>0</v>
      </c>
      <c r="M673" s="59">
        <v>-41.879999999999995</v>
      </c>
      <c r="N673" s="59">
        <v>-349</v>
      </c>
      <c r="O673" s="59">
        <f t="shared" si="73"/>
        <v>-390.88</v>
      </c>
      <c r="P673" s="59">
        <v>-2500</v>
      </c>
      <c r="Q673" s="59">
        <f>-1166*1.12</f>
        <v>-1305.92</v>
      </c>
      <c r="R673" s="59">
        <v>0</v>
      </c>
      <c r="S673" s="59">
        <v>0</v>
      </c>
      <c r="T673" s="59">
        <v>-2500</v>
      </c>
      <c r="U673" s="59">
        <v>0</v>
      </c>
      <c r="V673" s="59">
        <v>0</v>
      </c>
      <c r="W673" s="59">
        <f t="shared" si="74"/>
        <v>-6696.8</v>
      </c>
      <c r="X673" s="59">
        <f t="shared" si="70"/>
        <v>0</v>
      </c>
      <c r="Y673" s="59">
        <f t="shared" si="71"/>
        <v>-6696.8</v>
      </c>
      <c r="Z673" s="59">
        <f>3000+3000</f>
        <v>6000</v>
      </c>
      <c r="AA673" s="59">
        <f t="shared" si="72"/>
        <v>-696.80000000000018</v>
      </c>
      <c r="AB673" s="59">
        <f t="shared" si="75"/>
        <v>4912.32</v>
      </c>
      <c r="AD673" s="50" t="s">
        <v>3347</v>
      </c>
      <c r="AE673" s="50"/>
      <c r="AF673" s="59"/>
    </row>
    <row r="674" spans="1:34" x14ac:dyDescent="0.3">
      <c r="A674" s="49">
        <v>11</v>
      </c>
      <c r="B674" s="41" t="s">
        <v>1425</v>
      </c>
      <c r="C674" s="50" t="s">
        <v>426</v>
      </c>
      <c r="D674" s="50" t="s">
        <v>903</v>
      </c>
      <c r="E674" s="50" t="s">
        <v>25</v>
      </c>
      <c r="F674" s="51" t="s">
        <v>25</v>
      </c>
      <c r="G674" s="50" t="s">
        <v>866</v>
      </c>
      <c r="H674" s="59">
        <v>0</v>
      </c>
      <c r="I674" s="59">
        <v>0</v>
      </c>
      <c r="J674" s="59">
        <v>0</v>
      </c>
      <c r="K674" s="59">
        <v>0</v>
      </c>
      <c r="L674" s="59">
        <v>0</v>
      </c>
      <c r="M674" s="59">
        <v>0</v>
      </c>
      <c r="N674" s="59">
        <v>0</v>
      </c>
      <c r="O674" s="59">
        <f t="shared" si="73"/>
        <v>0</v>
      </c>
      <c r="P674" s="59">
        <v>0</v>
      </c>
      <c r="Q674" s="59">
        <v>0</v>
      </c>
      <c r="R674" s="59">
        <v>500</v>
      </c>
      <c r="S674" s="59">
        <v>0</v>
      </c>
      <c r="T674" s="59">
        <v>0</v>
      </c>
      <c r="U674" s="59">
        <v>0</v>
      </c>
      <c r="V674" s="59">
        <v>0</v>
      </c>
      <c r="W674" s="59">
        <f t="shared" si="74"/>
        <v>500</v>
      </c>
      <c r="X674" s="59">
        <f t="shared" si="70"/>
        <v>500</v>
      </c>
      <c r="Y674" s="59">
        <f t="shared" si="71"/>
        <v>0</v>
      </c>
      <c r="Z674" s="59">
        <v>0</v>
      </c>
      <c r="AA674" s="59">
        <f t="shared" si="72"/>
        <v>0</v>
      </c>
      <c r="AB674" s="59">
        <f t="shared" si="75"/>
        <v>-500</v>
      </c>
      <c r="AE674" s="50"/>
      <c r="AF674" s="59"/>
    </row>
    <row r="675" spans="1:34" x14ac:dyDescent="0.3">
      <c r="A675" s="49">
        <v>11</v>
      </c>
      <c r="B675" s="50" t="s">
        <v>2711</v>
      </c>
      <c r="C675" s="50" t="s">
        <v>347</v>
      </c>
      <c r="D675" s="50" t="s">
        <v>1122</v>
      </c>
      <c r="E675" s="50" t="s">
        <v>25</v>
      </c>
      <c r="F675" s="51" t="s">
        <v>25</v>
      </c>
      <c r="G675" s="50" t="s">
        <v>866</v>
      </c>
      <c r="H675" s="59">
        <v>7463.03</v>
      </c>
      <c r="I675" s="59">
        <v>-1886.1299999999999</v>
      </c>
      <c r="J675" s="59">
        <v>0</v>
      </c>
      <c r="K675" s="59">
        <v>0</v>
      </c>
      <c r="L675" s="59">
        <v>0</v>
      </c>
      <c r="M675" s="59">
        <f>-12.12-45</f>
        <v>-57.12</v>
      </c>
      <c r="N675" s="59">
        <v>-101</v>
      </c>
      <c r="O675" s="59">
        <f t="shared" si="73"/>
        <v>5418.78</v>
      </c>
      <c r="P675" s="59">
        <v>-2500</v>
      </c>
      <c r="Q675" s="59">
        <v>0</v>
      </c>
      <c r="R675" s="59">
        <v>-500</v>
      </c>
      <c r="S675" s="59">
        <v>0</v>
      </c>
      <c r="T675" s="59">
        <v>0</v>
      </c>
      <c r="U675" s="59">
        <v>0</v>
      </c>
      <c r="V675" s="59">
        <v>0</v>
      </c>
      <c r="W675" s="59">
        <f t="shared" si="74"/>
        <v>2418.7799999999997</v>
      </c>
      <c r="X675" s="59">
        <f t="shared" si="70"/>
        <v>2418.7799999999997</v>
      </c>
      <c r="Y675" s="59">
        <f t="shared" si="71"/>
        <v>0</v>
      </c>
      <c r="Z675" s="59">
        <v>0</v>
      </c>
      <c r="AA675" s="59">
        <f t="shared" si="72"/>
        <v>0</v>
      </c>
      <c r="AB675" s="59">
        <f t="shared" si="75"/>
        <v>3000</v>
      </c>
      <c r="AE675" s="50"/>
      <c r="AF675" s="59"/>
    </row>
    <row r="676" spans="1:34" s="207" customFormat="1" x14ac:dyDescent="0.3">
      <c r="A676" s="49">
        <v>11</v>
      </c>
      <c r="B676" s="50" t="s">
        <v>2004</v>
      </c>
      <c r="C676" s="50" t="s">
        <v>2005</v>
      </c>
      <c r="D676" s="50"/>
      <c r="E676" s="50" t="s">
        <v>25</v>
      </c>
      <c r="F676" s="51" t="s">
        <v>25</v>
      </c>
      <c r="G676" s="50" t="s">
        <v>866</v>
      </c>
      <c r="H676" s="59">
        <v>0</v>
      </c>
      <c r="I676" s="59">
        <v>0</v>
      </c>
      <c r="J676" s="59">
        <v>-0.1</v>
      </c>
      <c r="K676" s="59">
        <v>0.64</v>
      </c>
      <c r="L676" s="59">
        <v>0</v>
      </c>
      <c r="M676" s="59">
        <v>0</v>
      </c>
      <c r="N676" s="59">
        <v>0</v>
      </c>
      <c r="O676" s="59">
        <f t="shared" si="73"/>
        <v>0.54</v>
      </c>
      <c r="P676" s="59">
        <v>-1</v>
      </c>
      <c r="Q676" s="59">
        <v>0</v>
      </c>
      <c r="R676" s="59">
        <v>0</v>
      </c>
      <c r="S676" s="59">
        <v>0</v>
      </c>
      <c r="T676" s="59">
        <v>0</v>
      </c>
      <c r="U676" s="59">
        <v>0</v>
      </c>
      <c r="V676" s="59">
        <v>0</v>
      </c>
      <c r="W676" s="59">
        <f t="shared" si="74"/>
        <v>-0.45999999999999996</v>
      </c>
      <c r="X676" s="59">
        <f t="shared" si="70"/>
        <v>0</v>
      </c>
      <c r="Y676" s="59">
        <f t="shared" si="71"/>
        <v>-0.45999999999999996</v>
      </c>
      <c r="Z676" s="59">
        <v>0</v>
      </c>
      <c r="AA676" s="59">
        <f t="shared" si="72"/>
        <v>-0.45999999999999996</v>
      </c>
      <c r="AB676" s="59">
        <f t="shared" si="75"/>
        <v>8.0000000000000071E-2</v>
      </c>
      <c r="AC676" s="59"/>
      <c r="AD676" s="50"/>
      <c r="AE676" s="50"/>
      <c r="AF676" s="59"/>
      <c r="AG676" s="50"/>
      <c r="AH676" s="50"/>
    </row>
    <row r="677" spans="1:34" s="207" customFormat="1" ht="15" customHeight="1" x14ac:dyDescent="0.3">
      <c r="A677" s="49">
        <v>11</v>
      </c>
      <c r="B677" s="50" t="s">
        <v>2009</v>
      </c>
      <c r="C677" s="51" t="s">
        <v>1071</v>
      </c>
      <c r="D677" s="50" t="s">
        <v>912</v>
      </c>
      <c r="E677" s="50" t="s">
        <v>18</v>
      </c>
      <c r="F677" s="51" t="s">
        <v>39</v>
      </c>
      <c r="G677" s="50" t="s">
        <v>866</v>
      </c>
      <c r="H677" s="59">
        <v>4557.9799999999996</v>
      </c>
      <c r="I677" s="59">
        <v>-1665.62</v>
      </c>
      <c r="J677" s="59">
        <v>0</v>
      </c>
      <c r="K677" s="59">
        <v>0</v>
      </c>
      <c r="L677" s="59">
        <v>0</v>
      </c>
      <c r="M677" s="59">
        <f>-56-45</f>
        <v>-101</v>
      </c>
      <c r="N677" s="59">
        <v>0</v>
      </c>
      <c r="O677" s="59">
        <f t="shared" si="73"/>
        <v>2791.3599999999997</v>
      </c>
      <c r="P677" s="59">
        <v>-1071</v>
      </c>
      <c r="Q677" s="59">
        <v>0</v>
      </c>
      <c r="R677" s="59">
        <v>0</v>
      </c>
      <c r="S677" s="59">
        <v>0</v>
      </c>
      <c r="T677" s="59">
        <v>0</v>
      </c>
      <c r="U677" s="59">
        <v>0</v>
      </c>
      <c r="V677" s="59">
        <v>0</v>
      </c>
      <c r="W677" s="59">
        <f t="shared" si="74"/>
        <v>1720.3599999999997</v>
      </c>
      <c r="X677" s="59">
        <f t="shared" si="70"/>
        <v>1720.3599999999997</v>
      </c>
      <c r="Y677" s="59">
        <f t="shared" si="71"/>
        <v>0</v>
      </c>
      <c r="Z677" s="59">
        <v>0</v>
      </c>
      <c r="AA677" s="59">
        <f t="shared" si="72"/>
        <v>0</v>
      </c>
      <c r="AB677" s="59">
        <f t="shared" si="75"/>
        <v>1071</v>
      </c>
      <c r="AC677" s="59"/>
      <c r="AD677" s="50"/>
      <c r="AE677" s="50"/>
      <c r="AF677" s="59"/>
      <c r="AG677" s="50"/>
      <c r="AH677" s="50"/>
    </row>
    <row r="678" spans="1:34" s="207" customFormat="1" x14ac:dyDescent="0.3">
      <c r="A678" s="49">
        <v>11</v>
      </c>
      <c r="B678" s="50" t="s">
        <v>1818</v>
      </c>
      <c r="C678" s="50" t="s">
        <v>1860</v>
      </c>
      <c r="D678" s="50"/>
      <c r="E678" s="50" t="s">
        <v>25</v>
      </c>
      <c r="F678" s="51" t="s">
        <v>25</v>
      </c>
      <c r="G678" s="50" t="s">
        <v>866</v>
      </c>
      <c r="H678" s="59">
        <v>799.76</v>
      </c>
      <c r="I678" s="59">
        <v>0</v>
      </c>
      <c r="J678" s="59">
        <v>0</v>
      </c>
      <c r="K678" s="59">
        <v>133.57</v>
      </c>
      <c r="L678" s="59">
        <v>0</v>
      </c>
      <c r="M678" s="59">
        <v>0</v>
      </c>
      <c r="N678" s="59">
        <v>0</v>
      </c>
      <c r="O678" s="59">
        <f t="shared" si="73"/>
        <v>933.32999999999993</v>
      </c>
      <c r="P678" s="59">
        <v>-933</v>
      </c>
      <c r="Q678" s="59">
        <v>0</v>
      </c>
      <c r="R678" s="59">
        <v>0</v>
      </c>
      <c r="S678" s="59">
        <v>0</v>
      </c>
      <c r="T678" s="59">
        <v>0</v>
      </c>
      <c r="U678" s="59">
        <v>0</v>
      </c>
      <c r="V678" s="59">
        <v>0</v>
      </c>
      <c r="W678" s="59">
        <f t="shared" si="74"/>
        <v>0.32999999999992724</v>
      </c>
      <c r="X678" s="59">
        <f t="shared" si="70"/>
        <v>0.32999999999992724</v>
      </c>
      <c r="Y678" s="59">
        <f t="shared" si="71"/>
        <v>0</v>
      </c>
      <c r="Z678" s="59">
        <v>0</v>
      </c>
      <c r="AA678" s="59">
        <f t="shared" si="72"/>
        <v>0</v>
      </c>
      <c r="AB678" s="59">
        <f t="shared" si="75"/>
        <v>933</v>
      </c>
      <c r="AC678" s="59"/>
      <c r="AD678" s="50"/>
      <c r="AE678" s="50"/>
      <c r="AF678" s="59"/>
      <c r="AG678" s="50"/>
      <c r="AH678" s="50"/>
    </row>
    <row r="679" spans="1:34" x14ac:dyDescent="0.3">
      <c r="A679" s="49">
        <v>11</v>
      </c>
      <c r="B679" s="41" t="s">
        <v>612</v>
      </c>
      <c r="C679" s="50" t="s">
        <v>1443</v>
      </c>
      <c r="D679" s="50" t="s">
        <v>1554</v>
      </c>
      <c r="E679" s="50" t="s">
        <v>25</v>
      </c>
      <c r="F679" s="51" t="s">
        <v>25</v>
      </c>
      <c r="G679" s="50" t="s">
        <v>866</v>
      </c>
      <c r="H679" s="59">
        <v>0</v>
      </c>
      <c r="I679" s="59">
        <v>0</v>
      </c>
      <c r="J679" s="59">
        <v>0</v>
      </c>
      <c r="K679" s="59">
        <v>0</v>
      </c>
      <c r="L679" s="59">
        <v>0</v>
      </c>
      <c r="M679" s="59">
        <v>0</v>
      </c>
      <c r="N679" s="59">
        <v>0</v>
      </c>
      <c r="O679" s="59">
        <f t="shared" si="73"/>
        <v>0</v>
      </c>
      <c r="P679" s="59">
        <v>0</v>
      </c>
      <c r="Q679" s="59">
        <v>0</v>
      </c>
      <c r="R679" s="59">
        <v>500</v>
      </c>
      <c r="S679" s="59">
        <v>0</v>
      </c>
      <c r="T679" s="59">
        <v>0</v>
      </c>
      <c r="U679" s="59">
        <v>0</v>
      </c>
      <c r="V679" s="59">
        <v>0</v>
      </c>
      <c r="W679" s="59">
        <f t="shared" si="74"/>
        <v>500</v>
      </c>
      <c r="X679" s="59">
        <f t="shared" ref="X679:X742" si="76">IF(W679&gt;=0,W679,0)</f>
        <v>500</v>
      </c>
      <c r="Y679" s="59">
        <f t="shared" ref="Y679:Y742" si="77">IF(W679&lt;=0,W679,0)</f>
        <v>0</v>
      </c>
      <c r="Z679" s="59">
        <v>0</v>
      </c>
      <c r="AA679" s="59">
        <f t="shared" ref="AA679:AA742" si="78">+Y679+Z679</f>
        <v>0</v>
      </c>
      <c r="AB679" s="59">
        <f t="shared" si="75"/>
        <v>-500</v>
      </c>
      <c r="AE679" s="50"/>
      <c r="AF679" s="59"/>
    </row>
    <row r="680" spans="1:34" x14ac:dyDescent="0.3">
      <c r="A680" s="49">
        <v>11</v>
      </c>
      <c r="B680" s="50" t="s">
        <v>2714</v>
      </c>
      <c r="C680" s="50" t="s">
        <v>213</v>
      </c>
      <c r="D680" s="50" t="s">
        <v>1169</v>
      </c>
      <c r="E680" s="50" t="s">
        <v>39</v>
      </c>
      <c r="F680" s="51" t="s">
        <v>39</v>
      </c>
      <c r="G680" s="50" t="s">
        <v>866</v>
      </c>
      <c r="H680" s="59">
        <v>0</v>
      </c>
      <c r="I680" s="59">
        <v>0</v>
      </c>
      <c r="J680" s="59">
        <v>0</v>
      </c>
      <c r="K680" s="59">
        <v>0</v>
      </c>
      <c r="L680" s="59">
        <v>0</v>
      </c>
      <c r="M680" s="59">
        <v>0</v>
      </c>
      <c r="N680" s="59">
        <v>0</v>
      </c>
      <c r="O680" s="59">
        <f t="shared" si="73"/>
        <v>0</v>
      </c>
      <c r="P680" s="59">
        <v>0</v>
      </c>
      <c r="Q680" s="59">
        <f>-168*1.12</f>
        <v>-188.16000000000003</v>
      </c>
      <c r="R680" s="59">
        <v>0</v>
      </c>
      <c r="S680" s="59">
        <v>0</v>
      </c>
      <c r="T680" s="59">
        <v>0</v>
      </c>
      <c r="U680" s="59">
        <v>0</v>
      </c>
      <c r="V680" s="59">
        <v>0</v>
      </c>
      <c r="W680" s="59">
        <f t="shared" si="74"/>
        <v>-188.16000000000003</v>
      </c>
      <c r="X680" s="59">
        <f t="shared" si="76"/>
        <v>0</v>
      </c>
      <c r="Y680" s="59">
        <f t="shared" si="77"/>
        <v>-188.16000000000003</v>
      </c>
      <c r="Z680" s="59">
        <v>0</v>
      </c>
      <c r="AA680" s="59">
        <f t="shared" si="78"/>
        <v>-188.16000000000003</v>
      </c>
      <c r="AB680" s="59">
        <f t="shared" si="75"/>
        <v>-188.16000000000003</v>
      </c>
      <c r="AD680" s="50" t="s">
        <v>3348</v>
      </c>
      <c r="AE680" s="50"/>
      <c r="AF680" s="59"/>
    </row>
    <row r="681" spans="1:34" x14ac:dyDescent="0.3">
      <c r="A681" s="49">
        <v>12</v>
      </c>
      <c r="B681" s="41" t="s">
        <v>1513</v>
      </c>
      <c r="C681" s="50" t="s">
        <v>645</v>
      </c>
      <c r="D681" s="50" t="s">
        <v>2715</v>
      </c>
      <c r="E681" s="50" t="s">
        <v>25</v>
      </c>
      <c r="F681" s="51" t="s">
        <v>25</v>
      </c>
      <c r="G681" s="50" t="s">
        <v>737</v>
      </c>
      <c r="H681" s="59">
        <v>0</v>
      </c>
      <c r="I681" s="59">
        <v>0</v>
      </c>
      <c r="J681" s="59">
        <v>0</v>
      </c>
      <c r="K681" s="59">
        <v>0</v>
      </c>
      <c r="L681" s="59">
        <v>0</v>
      </c>
      <c r="M681" s="59">
        <v>0</v>
      </c>
      <c r="N681" s="59">
        <v>0</v>
      </c>
      <c r="O681" s="59">
        <f t="shared" si="73"/>
        <v>0</v>
      </c>
      <c r="P681" s="59">
        <v>-2500</v>
      </c>
      <c r="Q681" s="59">
        <v>0</v>
      </c>
      <c r="R681" s="59">
        <v>-500</v>
      </c>
      <c r="S681" s="59">
        <v>0</v>
      </c>
      <c r="T681" s="59">
        <v>0</v>
      </c>
      <c r="U681" s="59">
        <v>0</v>
      </c>
      <c r="V681" s="59">
        <v>0</v>
      </c>
      <c r="W681" s="59">
        <f t="shared" si="74"/>
        <v>-3000</v>
      </c>
      <c r="X681" s="59">
        <f t="shared" si="76"/>
        <v>0</v>
      </c>
      <c r="Y681" s="59">
        <f t="shared" si="77"/>
        <v>-3000</v>
      </c>
      <c r="Z681" s="59">
        <f>1800+200+1000</f>
        <v>3000</v>
      </c>
      <c r="AA681" s="59">
        <f t="shared" si="78"/>
        <v>0</v>
      </c>
      <c r="AB681" s="59">
        <f t="shared" si="75"/>
        <v>3000</v>
      </c>
      <c r="AD681" s="50" t="s">
        <v>3349</v>
      </c>
      <c r="AE681" s="50"/>
      <c r="AF681" s="59"/>
    </row>
    <row r="682" spans="1:34" x14ac:dyDescent="0.3">
      <c r="A682" s="49">
        <v>12</v>
      </c>
      <c r="B682" s="41" t="s">
        <v>1558</v>
      </c>
      <c r="C682" s="50" t="s">
        <v>571</v>
      </c>
      <c r="D682" s="50" t="s">
        <v>974</v>
      </c>
      <c r="E682" s="50" t="s">
        <v>25</v>
      </c>
      <c r="F682" s="51" t="s">
        <v>25</v>
      </c>
      <c r="G682" s="50" t="s">
        <v>866</v>
      </c>
      <c r="H682" s="59">
        <v>2721.12</v>
      </c>
      <c r="I682" s="59">
        <v>-1654.68</v>
      </c>
      <c r="J682" s="59">
        <v>0</v>
      </c>
      <c r="K682" s="59">
        <v>0</v>
      </c>
      <c r="L682" s="59">
        <v>0</v>
      </c>
      <c r="M682" s="59">
        <v>-55</v>
      </c>
      <c r="N682" s="59">
        <v>0</v>
      </c>
      <c r="O682" s="59">
        <f t="shared" ref="O682:O745" si="79">IF(H682+I682&lt;0,SUM(J682:N682),SUM(H682:N682))</f>
        <v>1011.4399999999998</v>
      </c>
      <c r="P682" s="59">
        <v>-2500</v>
      </c>
      <c r="Q682" s="59">
        <v>0</v>
      </c>
      <c r="R682" s="59">
        <v>-500</v>
      </c>
      <c r="S682" s="59">
        <v>0</v>
      </c>
      <c r="T682" s="59">
        <v>0</v>
      </c>
      <c r="U682" s="59">
        <v>0</v>
      </c>
      <c r="V682" s="59">
        <v>0</v>
      </c>
      <c r="W682" s="59">
        <f t="shared" si="74"/>
        <v>-1988.5600000000002</v>
      </c>
      <c r="X682" s="59">
        <f t="shared" si="76"/>
        <v>0</v>
      </c>
      <c r="Y682" s="59">
        <f t="shared" si="77"/>
        <v>-1988.5600000000002</v>
      </c>
      <c r="Z682" s="59">
        <f>1000+989</f>
        <v>1989</v>
      </c>
      <c r="AA682" s="59">
        <f t="shared" si="78"/>
        <v>0.4399999999998272</v>
      </c>
      <c r="AB682" s="59">
        <f t="shared" si="75"/>
        <v>3000.8799999999992</v>
      </c>
      <c r="AD682" s="50" t="s">
        <v>3350</v>
      </c>
      <c r="AE682" s="50"/>
      <c r="AF682" s="59"/>
    </row>
    <row r="683" spans="1:34" x14ac:dyDescent="0.3">
      <c r="A683" s="49">
        <v>12</v>
      </c>
      <c r="B683" s="41" t="s">
        <v>585</v>
      </c>
      <c r="C683" s="50" t="s">
        <v>42</v>
      </c>
      <c r="D683" s="50" t="s">
        <v>948</v>
      </c>
      <c r="E683" s="50" t="s">
        <v>25</v>
      </c>
      <c r="F683" s="51" t="s">
        <v>25</v>
      </c>
      <c r="G683" s="50" t="s">
        <v>866</v>
      </c>
      <c r="H683" s="59">
        <v>0</v>
      </c>
      <c r="I683" s="59">
        <v>0</v>
      </c>
      <c r="J683" s="59">
        <v>0</v>
      </c>
      <c r="K683" s="59">
        <v>0</v>
      </c>
      <c r="L683" s="59">
        <v>0</v>
      </c>
      <c r="M683" s="59">
        <v>0</v>
      </c>
      <c r="N683" s="59">
        <v>0</v>
      </c>
      <c r="O683" s="59">
        <f t="shared" si="79"/>
        <v>0</v>
      </c>
      <c r="P683" s="59">
        <v>-2500</v>
      </c>
      <c r="Q683" s="59">
        <v>0</v>
      </c>
      <c r="R683" s="59">
        <v>0</v>
      </c>
      <c r="S683" s="59">
        <v>0</v>
      </c>
      <c r="T683" s="59">
        <v>0</v>
      </c>
      <c r="U683" s="59">
        <v>0</v>
      </c>
      <c r="V683" s="59">
        <v>0</v>
      </c>
      <c r="W683" s="59">
        <f t="shared" si="74"/>
        <v>-2500</v>
      </c>
      <c r="X683" s="59">
        <f t="shared" si="76"/>
        <v>0</v>
      </c>
      <c r="Y683" s="59">
        <f t="shared" si="77"/>
        <v>-2500</v>
      </c>
      <c r="Z683" s="59">
        <v>2500</v>
      </c>
      <c r="AA683" s="59">
        <f t="shared" si="78"/>
        <v>0</v>
      </c>
      <c r="AB683" s="59">
        <f t="shared" si="75"/>
        <v>2500</v>
      </c>
      <c r="AD683" s="50" t="s">
        <v>3351</v>
      </c>
      <c r="AE683" s="50"/>
      <c r="AF683" s="59"/>
    </row>
    <row r="684" spans="1:34" x14ac:dyDescent="0.3">
      <c r="A684" s="49">
        <v>12</v>
      </c>
      <c r="B684" s="41" t="s">
        <v>837</v>
      </c>
      <c r="C684" s="50" t="s">
        <v>357</v>
      </c>
      <c r="D684" s="50" t="s">
        <v>1150</v>
      </c>
      <c r="E684" s="50" t="s">
        <v>25</v>
      </c>
      <c r="F684" s="51" t="s">
        <v>25</v>
      </c>
      <c r="G684" s="50" t="s">
        <v>866</v>
      </c>
      <c r="H684" s="59">
        <v>6172.31</v>
      </c>
      <c r="I684" s="59">
        <v>0</v>
      </c>
      <c r="J684" s="59">
        <v>0</v>
      </c>
      <c r="K684" s="59">
        <v>0</v>
      </c>
      <c r="L684" s="59">
        <v>0</v>
      </c>
      <c r="M684" s="59">
        <v>0</v>
      </c>
      <c r="N684" s="59">
        <v>0</v>
      </c>
      <c r="O684" s="59">
        <f t="shared" si="79"/>
        <v>6172.31</v>
      </c>
      <c r="P684" s="59">
        <v>-2700</v>
      </c>
      <c r="Q684" s="59">
        <v>0</v>
      </c>
      <c r="R684" s="59">
        <v>0</v>
      </c>
      <c r="S684" s="59">
        <v>0</v>
      </c>
      <c r="T684" s="59">
        <v>0</v>
      </c>
      <c r="U684" s="59">
        <v>0</v>
      </c>
      <c r="V684" s="59">
        <v>0</v>
      </c>
      <c r="W684" s="59">
        <f t="shared" si="74"/>
        <v>3472.3100000000004</v>
      </c>
      <c r="X684" s="59">
        <f t="shared" si="76"/>
        <v>3472.3100000000004</v>
      </c>
      <c r="Y684" s="59">
        <f t="shared" si="77"/>
        <v>0</v>
      </c>
      <c r="Z684" s="59">
        <v>0</v>
      </c>
      <c r="AA684" s="59">
        <f t="shared" si="78"/>
        <v>0</v>
      </c>
      <c r="AB684" s="59">
        <f t="shared" si="75"/>
        <v>2700</v>
      </c>
      <c r="AE684" s="50"/>
      <c r="AF684" s="59"/>
    </row>
    <row r="685" spans="1:34" x14ac:dyDescent="0.3">
      <c r="A685" s="49">
        <v>12</v>
      </c>
      <c r="B685" s="50" t="s">
        <v>3352</v>
      </c>
      <c r="C685" s="50" t="s">
        <v>2976</v>
      </c>
      <c r="E685" s="50" t="s">
        <v>25</v>
      </c>
      <c r="F685" s="50" t="s">
        <v>25</v>
      </c>
      <c r="G685" s="50" t="s">
        <v>866</v>
      </c>
      <c r="H685" s="59">
        <v>4546.54</v>
      </c>
      <c r="I685" s="59">
        <v>-733.78</v>
      </c>
      <c r="J685" s="59">
        <v>-77.599999999999994</v>
      </c>
      <c r="K685" s="59">
        <v>0</v>
      </c>
      <c r="L685" s="59">
        <v>0</v>
      </c>
      <c r="M685" s="59">
        <v>-40</v>
      </c>
      <c r="N685" s="59">
        <v>0</v>
      </c>
      <c r="O685" s="59">
        <f t="shared" si="79"/>
        <v>3695.1600000000003</v>
      </c>
      <c r="P685" s="59">
        <f>(-2500/7)*3.5</f>
        <v>-1250</v>
      </c>
      <c r="Q685" s="59">
        <v>0</v>
      </c>
      <c r="R685" s="59">
        <v>-250</v>
      </c>
      <c r="S685" s="59">
        <v>0</v>
      </c>
      <c r="T685" s="59">
        <v>0</v>
      </c>
      <c r="U685" s="59">
        <v>-300</v>
      </c>
      <c r="V685" s="59">
        <v>0</v>
      </c>
      <c r="W685" s="59">
        <f t="shared" si="74"/>
        <v>1895.1600000000003</v>
      </c>
      <c r="X685" s="59">
        <f t="shared" si="76"/>
        <v>1895.1600000000003</v>
      </c>
      <c r="Y685" s="59">
        <f t="shared" si="77"/>
        <v>0</v>
      </c>
      <c r="Z685" s="59">
        <v>0</v>
      </c>
      <c r="AA685" s="59">
        <f t="shared" si="78"/>
        <v>0</v>
      </c>
      <c r="AB685" s="59">
        <f t="shared" si="75"/>
        <v>1800</v>
      </c>
      <c r="AD685" s="50" t="s">
        <v>3353</v>
      </c>
      <c r="AE685" s="50"/>
      <c r="AF685" s="59"/>
    </row>
    <row r="686" spans="1:34" x14ac:dyDescent="0.3">
      <c r="A686" s="49">
        <v>12</v>
      </c>
      <c r="B686" s="50" t="s">
        <v>2009</v>
      </c>
      <c r="C686" s="51" t="s">
        <v>1071</v>
      </c>
      <c r="D686" s="50" t="s">
        <v>912</v>
      </c>
      <c r="E686" s="50" t="s">
        <v>18</v>
      </c>
      <c r="F686" s="51" t="s">
        <v>39</v>
      </c>
      <c r="G686" s="50" t="s">
        <v>866</v>
      </c>
      <c r="H686" s="59">
        <v>5183.6000000000004</v>
      </c>
      <c r="I686" s="59">
        <v>-3599.28</v>
      </c>
      <c r="J686" s="59">
        <v>0</v>
      </c>
      <c r="K686" s="59">
        <v>31.72</v>
      </c>
      <c r="L686" s="59">
        <v>0</v>
      </c>
      <c r="M686" s="59">
        <v>-50</v>
      </c>
      <c r="N686" s="59">
        <v>0</v>
      </c>
      <c r="O686" s="59">
        <f t="shared" si="79"/>
        <v>1566.0400000000002</v>
      </c>
      <c r="P686" s="59">
        <v>-2500</v>
      </c>
      <c r="Q686" s="59">
        <v>0</v>
      </c>
      <c r="R686" s="59">
        <v>-500</v>
      </c>
      <c r="S686" s="59">
        <v>0</v>
      </c>
      <c r="T686" s="59">
        <v>0</v>
      </c>
      <c r="U686" s="59">
        <v>0</v>
      </c>
      <c r="V686" s="59">
        <v>0</v>
      </c>
      <c r="W686" s="59">
        <f t="shared" si="74"/>
        <v>-1433.9599999999998</v>
      </c>
      <c r="X686" s="59">
        <f t="shared" si="76"/>
        <v>0</v>
      </c>
      <c r="Y686" s="59">
        <f t="shared" si="77"/>
        <v>-1433.9599999999998</v>
      </c>
      <c r="Z686" s="59">
        <v>1434</v>
      </c>
      <c r="AA686" s="59">
        <f t="shared" si="78"/>
        <v>4.0000000000190994E-2</v>
      </c>
      <c r="AB686" s="59">
        <f t="shared" si="75"/>
        <v>3000.08</v>
      </c>
      <c r="AD686" s="50" t="s">
        <v>3354</v>
      </c>
      <c r="AE686" s="50"/>
      <c r="AF686" s="59"/>
    </row>
    <row r="687" spans="1:34" x14ac:dyDescent="0.3">
      <c r="A687" s="49">
        <v>12</v>
      </c>
      <c r="B687" s="50" t="s">
        <v>3230</v>
      </c>
      <c r="C687" s="50" t="s">
        <v>120</v>
      </c>
      <c r="D687" s="50" t="s">
        <v>950</v>
      </c>
      <c r="E687" s="50" t="s">
        <v>25</v>
      </c>
      <c r="F687" s="50" t="s">
        <v>25</v>
      </c>
      <c r="G687" s="50" t="s">
        <v>866</v>
      </c>
      <c r="H687" s="59">
        <v>1522.79</v>
      </c>
      <c r="I687" s="59">
        <v>0</v>
      </c>
      <c r="J687" s="59">
        <v>0</v>
      </c>
      <c r="K687" s="59">
        <v>0</v>
      </c>
      <c r="L687" s="59">
        <v>0</v>
      </c>
      <c r="M687" s="59">
        <v>0</v>
      </c>
      <c r="N687" s="59">
        <v>0</v>
      </c>
      <c r="O687" s="59">
        <f t="shared" si="79"/>
        <v>1522.79</v>
      </c>
      <c r="P687" s="59">
        <f>(-2500/7)*3.5</f>
        <v>-1250</v>
      </c>
      <c r="Q687" s="59">
        <v>0</v>
      </c>
      <c r="R687" s="59">
        <v>-250</v>
      </c>
      <c r="S687" s="59">
        <v>0</v>
      </c>
      <c r="T687" s="59">
        <v>0</v>
      </c>
      <c r="U687" s="59">
        <v>0</v>
      </c>
      <c r="V687" s="59">
        <v>0</v>
      </c>
      <c r="W687" s="59">
        <f t="shared" si="74"/>
        <v>22.789999999999964</v>
      </c>
      <c r="X687" s="59">
        <f t="shared" si="76"/>
        <v>22.789999999999964</v>
      </c>
      <c r="Y687" s="59">
        <f t="shared" si="77"/>
        <v>0</v>
      </c>
      <c r="Z687" s="59">
        <v>0</v>
      </c>
      <c r="AA687" s="59">
        <f t="shared" si="78"/>
        <v>0</v>
      </c>
      <c r="AB687" s="59">
        <f t="shared" si="75"/>
        <v>1500</v>
      </c>
      <c r="AC687" s="236">
        <v>2000</v>
      </c>
      <c r="AE687" s="50"/>
      <c r="AF687" s="59"/>
    </row>
    <row r="688" spans="1:34" x14ac:dyDescent="0.3">
      <c r="A688" s="49">
        <v>12</v>
      </c>
      <c r="B688" s="41" t="s">
        <v>1142</v>
      </c>
      <c r="C688" s="50" t="s">
        <v>1439</v>
      </c>
      <c r="D688" s="50" t="s">
        <v>1582</v>
      </c>
      <c r="E688" s="50" t="s">
        <v>25</v>
      </c>
      <c r="F688" s="50" t="s">
        <v>25</v>
      </c>
      <c r="G688" s="50" t="s">
        <v>866</v>
      </c>
      <c r="H688" s="59">
        <v>0</v>
      </c>
      <c r="I688" s="59">
        <v>0</v>
      </c>
      <c r="J688" s="59">
        <v>0</v>
      </c>
      <c r="K688" s="59">
        <v>0</v>
      </c>
      <c r="L688" s="59">
        <v>0</v>
      </c>
      <c r="M688" s="59">
        <v>0</v>
      </c>
      <c r="N688" s="59">
        <v>0</v>
      </c>
      <c r="O688" s="59">
        <f t="shared" si="79"/>
        <v>0</v>
      </c>
      <c r="P688" s="59">
        <f>(-2700/7)*2.5</f>
        <v>-964.28571428571433</v>
      </c>
      <c r="Q688" s="59">
        <v>0</v>
      </c>
      <c r="R688" s="59">
        <v>0</v>
      </c>
      <c r="S688" s="59">
        <v>0</v>
      </c>
      <c r="T688" s="59">
        <v>0</v>
      </c>
      <c r="U688" s="59">
        <v>0</v>
      </c>
      <c r="V688" s="59">
        <v>0</v>
      </c>
      <c r="W688" s="59">
        <f t="shared" si="74"/>
        <v>-964.28571428571433</v>
      </c>
      <c r="X688" s="59">
        <f t="shared" si="76"/>
        <v>0</v>
      </c>
      <c r="Y688" s="59">
        <f t="shared" si="77"/>
        <v>-964.28571428571433</v>
      </c>
      <c r="Z688" s="59">
        <f>964+500+600</f>
        <v>2064</v>
      </c>
      <c r="AA688" s="59">
        <f t="shared" si="78"/>
        <v>1099.7142857142858</v>
      </c>
      <c r="AB688" s="59">
        <f t="shared" si="75"/>
        <v>3163.7142857142858</v>
      </c>
      <c r="AD688" s="50" t="s">
        <v>3355</v>
      </c>
      <c r="AE688" s="50"/>
      <c r="AF688" s="59"/>
    </row>
    <row r="689" spans="1:32" x14ac:dyDescent="0.3">
      <c r="A689" s="49">
        <v>12</v>
      </c>
      <c r="B689" s="41" t="s">
        <v>1142</v>
      </c>
      <c r="C689" s="50" t="s">
        <v>1443</v>
      </c>
      <c r="D689" s="50" t="s">
        <v>1554</v>
      </c>
      <c r="E689" s="50" t="s">
        <v>25</v>
      </c>
      <c r="F689" s="51" t="s">
        <v>25</v>
      </c>
      <c r="G689" s="50" t="s">
        <v>866</v>
      </c>
      <c r="H689" s="59">
        <v>1692.85</v>
      </c>
      <c r="I689" s="59">
        <v>-295.55</v>
      </c>
      <c r="J689" s="59">
        <v>0</v>
      </c>
      <c r="K689" s="59">
        <v>0</v>
      </c>
      <c r="L689" s="59">
        <v>0</v>
      </c>
      <c r="M689" s="59">
        <v>-25</v>
      </c>
      <c r="N689" s="59">
        <v>0</v>
      </c>
      <c r="O689" s="59">
        <f t="shared" si="79"/>
        <v>1372.3</v>
      </c>
      <c r="P689" s="59">
        <f>(-2700/7)*4.5</f>
        <v>-1735.7142857142858</v>
      </c>
      <c r="Q689" s="59">
        <f>-1710*1.12</f>
        <v>-1915.2000000000003</v>
      </c>
      <c r="R689" s="59">
        <v>0</v>
      </c>
      <c r="S689" s="59">
        <v>0</v>
      </c>
      <c r="T689" s="59">
        <v>0</v>
      </c>
      <c r="U689" s="59">
        <v>0</v>
      </c>
      <c r="V689" s="59">
        <v>0</v>
      </c>
      <c r="W689" s="59">
        <f t="shared" si="74"/>
        <v>-2278.6142857142859</v>
      </c>
      <c r="X689" s="59">
        <f t="shared" si="76"/>
        <v>0</v>
      </c>
      <c r="Y689" s="59">
        <f t="shared" si="77"/>
        <v>-2278.6142857142859</v>
      </c>
      <c r="Z689" s="59">
        <v>436</v>
      </c>
      <c r="AA689" s="59">
        <f t="shared" si="78"/>
        <v>-1842.6142857142859</v>
      </c>
      <c r="AB689" s="59">
        <f t="shared" si="75"/>
        <v>-34.314285714285916</v>
      </c>
      <c r="AD689" s="50" t="s">
        <v>3356</v>
      </c>
      <c r="AE689" s="50"/>
      <c r="AF689" s="59"/>
    </row>
    <row r="690" spans="1:32" x14ac:dyDescent="0.3">
      <c r="A690" s="49">
        <v>12</v>
      </c>
      <c r="B690" s="41" t="s">
        <v>1454</v>
      </c>
      <c r="C690" s="50" t="s">
        <v>563</v>
      </c>
      <c r="D690" s="50" t="s">
        <v>1230</v>
      </c>
      <c r="E690" s="50" t="s">
        <v>25</v>
      </c>
      <c r="F690" s="51" t="s">
        <v>25</v>
      </c>
      <c r="G690" s="50" t="s">
        <v>866</v>
      </c>
      <c r="H690" s="59">
        <v>3506.95</v>
      </c>
      <c r="I690" s="59">
        <v>-1148.05</v>
      </c>
      <c r="J690" s="59">
        <v>-18.399999999999999</v>
      </c>
      <c r="K690" s="59">
        <v>0</v>
      </c>
      <c r="L690" s="59">
        <v>0</v>
      </c>
      <c r="M690" s="59">
        <v>-55</v>
      </c>
      <c r="N690" s="59">
        <v>0</v>
      </c>
      <c r="O690" s="59">
        <f t="shared" si="79"/>
        <v>2285.4999999999995</v>
      </c>
      <c r="P690" s="59">
        <v>-2500</v>
      </c>
      <c r="Q690" s="59">
        <v>0</v>
      </c>
      <c r="R690" s="59">
        <v>0</v>
      </c>
      <c r="S690" s="59">
        <v>0</v>
      </c>
      <c r="T690" s="59">
        <v>0</v>
      </c>
      <c r="U690" s="59">
        <v>0</v>
      </c>
      <c r="V690" s="59">
        <v>0</v>
      </c>
      <c r="W690" s="59">
        <f t="shared" si="74"/>
        <v>-214.50000000000045</v>
      </c>
      <c r="X690" s="59">
        <f t="shared" si="76"/>
        <v>0</v>
      </c>
      <c r="Y690" s="59">
        <f t="shared" si="77"/>
        <v>-214.50000000000045</v>
      </c>
      <c r="Z690" s="59">
        <v>215</v>
      </c>
      <c r="AA690" s="59">
        <f t="shared" si="78"/>
        <v>0.49999999999954525</v>
      </c>
      <c r="AB690" s="59">
        <f t="shared" si="75"/>
        <v>2500.9999999999991</v>
      </c>
      <c r="AD690" s="50" t="s">
        <v>3357</v>
      </c>
      <c r="AE690" s="50"/>
      <c r="AF690" s="59"/>
    </row>
    <row r="691" spans="1:32" x14ac:dyDescent="0.3">
      <c r="A691" s="49">
        <v>12</v>
      </c>
      <c r="B691" s="50" t="s">
        <v>2007</v>
      </c>
      <c r="C691" s="50" t="s">
        <v>64</v>
      </c>
      <c r="D691" s="50" t="s">
        <v>949</v>
      </c>
      <c r="E691" s="50" t="s">
        <v>25</v>
      </c>
      <c r="F691" s="50" t="s">
        <v>25</v>
      </c>
      <c r="G691" s="50" t="s">
        <v>866</v>
      </c>
      <c r="H691" s="59">
        <v>2200.81</v>
      </c>
      <c r="I691" s="59">
        <v>-94.62</v>
      </c>
      <c r="J691" s="59">
        <v>-95.2</v>
      </c>
      <c r="K691" s="59">
        <v>0</v>
      </c>
      <c r="L691" s="59">
        <v>0</v>
      </c>
      <c r="M691" s="59">
        <v>-10</v>
      </c>
      <c r="N691" s="59">
        <v>0</v>
      </c>
      <c r="O691" s="59">
        <f t="shared" si="79"/>
        <v>2000.99</v>
      </c>
      <c r="P691" s="59">
        <v>-2500</v>
      </c>
      <c r="Q691" s="59">
        <f>-1075*1.12</f>
        <v>-1204.0000000000002</v>
      </c>
      <c r="R691" s="59">
        <v>-500</v>
      </c>
      <c r="S691" s="59">
        <v>0</v>
      </c>
      <c r="T691" s="59">
        <v>0</v>
      </c>
      <c r="U691" s="59">
        <v>0</v>
      </c>
      <c r="V691" s="59">
        <v>0</v>
      </c>
      <c r="W691" s="59">
        <f t="shared" si="74"/>
        <v>-2203.0100000000002</v>
      </c>
      <c r="X691" s="59">
        <f t="shared" si="76"/>
        <v>0</v>
      </c>
      <c r="Y691" s="59">
        <f t="shared" si="77"/>
        <v>-2203.0100000000002</v>
      </c>
      <c r="Z691" s="59">
        <v>1000</v>
      </c>
      <c r="AA691" s="59">
        <f t="shared" si="78"/>
        <v>-1203.0100000000002</v>
      </c>
      <c r="AB691" s="59">
        <f t="shared" si="75"/>
        <v>1797.9799999999996</v>
      </c>
      <c r="AD691" s="50" t="s">
        <v>3358</v>
      </c>
      <c r="AE691" s="50"/>
      <c r="AF691" s="59"/>
    </row>
    <row r="692" spans="1:32" x14ac:dyDescent="0.3">
      <c r="A692" s="49">
        <v>12</v>
      </c>
      <c r="B692" s="41" t="s">
        <v>944</v>
      </c>
      <c r="C692" s="50" t="s">
        <v>372</v>
      </c>
      <c r="D692" s="50" t="s">
        <v>1004</v>
      </c>
      <c r="E692" s="50" t="s">
        <v>39</v>
      </c>
      <c r="F692" s="51" t="s">
        <v>39</v>
      </c>
      <c r="G692" s="50" t="s">
        <v>866</v>
      </c>
      <c r="H692" s="59">
        <v>5804.38</v>
      </c>
      <c r="I692" s="59">
        <v>-1975.45</v>
      </c>
      <c r="J692" s="59">
        <v>0</v>
      </c>
      <c r="K692" s="59">
        <v>0</v>
      </c>
      <c r="L692" s="59">
        <v>0</v>
      </c>
      <c r="M692" s="59">
        <v>-75</v>
      </c>
      <c r="N692" s="59">
        <v>0</v>
      </c>
      <c r="O692" s="59">
        <f t="shared" si="79"/>
        <v>3753.9300000000003</v>
      </c>
      <c r="P692" s="59">
        <v>-2500</v>
      </c>
      <c r="Q692" s="59">
        <v>0</v>
      </c>
      <c r="R692" s="59">
        <v>0</v>
      </c>
      <c r="S692" s="59">
        <v>0</v>
      </c>
      <c r="T692" s="59">
        <v>0</v>
      </c>
      <c r="U692" s="59">
        <v>0</v>
      </c>
      <c r="V692" s="59">
        <v>0</v>
      </c>
      <c r="W692" s="59">
        <f t="shared" si="74"/>
        <v>1253.9300000000003</v>
      </c>
      <c r="X692" s="59">
        <f t="shared" si="76"/>
        <v>1253.9300000000003</v>
      </c>
      <c r="Y692" s="59">
        <f t="shared" si="77"/>
        <v>0</v>
      </c>
      <c r="Z692" s="59">
        <v>0</v>
      </c>
      <c r="AA692" s="59">
        <f t="shared" si="78"/>
        <v>0</v>
      </c>
      <c r="AB692" s="59">
        <f t="shared" si="75"/>
        <v>2500</v>
      </c>
      <c r="AE692" s="50"/>
      <c r="AF692" s="59"/>
    </row>
    <row r="693" spans="1:32" x14ac:dyDescent="0.3">
      <c r="A693" s="49">
        <v>12</v>
      </c>
      <c r="B693" s="41" t="s">
        <v>1453</v>
      </c>
      <c r="C693" s="50" t="s">
        <v>1829</v>
      </c>
      <c r="D693" s="50" t="s">
        <v>3279</v>
      </c>
      <c r="E693" s="50" t="s">
        <v>25</v>
      </c>
      <c r="F693" s="51" t="s">
        <v>25</v>
      </c>
      <c r="G693" s="50" t="s">
        <v>866</v>
      </c>
      <c r="H693" s="59">
        <v>4278.84</v>
      </c>
      <c r="I693" s="59">
        <v>-1203.1200000000001</v>
      </c>
      <c r="J693" s="59">
        <v>-14.64</v>
      </c>
      <c r="K693" s="59">
        <v>0</v>
      </c>
      <c r="L693" s="59">
        <v>0</v>
      </c>
      <c r="M693" s="59">
        <v>-55</v>
      </c>
      <c r="N693" s="59">
        <v>0</v>
      </c>
      <c r="O693" s="59">
        <f t="shared" si="79"/>
        <v>3006.0800000000004</v>
      </c>
      <c r="P693" s="59">
        <v>-2700</v>
      </c>
      <c r="Q693" s="59">
        <v>0</v>
      </c>
      <c r="R693" s="59">
        <v>0</v>
      </c>
      <c r="S693" s="59">
        <v>0</v>
      </c>
      <c r="T693" s="59">
        <v>0</v>
      </c>
      <c r="U693" s="59">
        <v>0</v>
      </c>
      <c r="V693" s="59">
        <v>0</v>
      </c>
      <c r="W693" s="59">
        <f t="shared" si="74"/>
        <v>306.08000000000038</v>
      </c>
      <c r="X693" s="59">
        <f t="shared" si="76"/>
        <v>306.08000000000038</v>
      </c>
      <c r="Y693" s="59">
        <f t="shared" si="77"/>
        <v>0</v>
      </c>
      <c r="Z693" s="59">
        <v>0</v>
      </c>
      <c r="AA693" s="59">
        <f t="shared" si="78"/>
        <v>0</v>
      </c>
      <c r="AB693" s="59">
        <f t="shared" si="75"/>
        <v>2700</v>
      </c>
      <c r="AE693" s="50"/>
      <c r="AF693" s="59"/>
    </row>
    <row r="694" spans="1:32" x14ac:dyDescent="0.3">
      <c r="A694" s="49">
        <v>12</v>
      </c>
      <c r="B694" s="41" t="s">
        <v>604</v>
      </c>
      <c r="C694" s="50" t="s">
        <v>605</v>
      </c>
      <c r="D694" s="50" t="s">
        <v>1223</v>
      </c>
      <c r="E694" s="50" t="s">
        <v>25</v>
      </c>
      <c r="F694" s="51" t="s">
        <v>25</v>
      </c>
      <c r="G694" s="50" t="s">
        <v>866</v>
      </c>
      <c r="H694" s="59">
        <v>1398.84</v>
      </c>
      <c r="I694" s="59">
        <v>-612.23</v>
      </c>
      <c r="J694" s="59">
        <v>0</v>
      </c>
      <c r="K694" s="59">
        <v>0</v>
      </c>
      <c r="L694" s="59">
        <v>0</v>
      </c>
      <c r="M694" s="59">
        <v>-30</v>
      </c>
      <c r="N694" s="59">
        <v>0</v>
      </c>
      <c r="O694" s="59">
        <f t="shared" si="79"/>
        <v>756.6099999999999</v>
      </c>
      <c r="P694" s="59">
        <v>-2700</v>
      </c>
      <c r="Q694" s="59">
        <v>0</v>
      </c>
      <c r="R694" s="59">
        <v>0</v>
      </c>
      <c r="S694" s="59">
        <v>0</v>
      </c>
      <c r="T694" s="59">
        <v>0</v>
      </c>
      <c r="U694" s="59">
        <v>0</v>
      </c>
      <c r="V694" s="59">
        <v>0</v>
      </c>
      <c r="W694" s="59">
        <f t="shared" si="74"/>
        <v>-1943.39</v>
      </c>
      <c r="X694" s="59">
        <f t="shared" si="76"/>
        <v>0</v>
      </c>
      <c r="Y694" s="59">
        <f t="shared" si="77"/>
        <v>-1943.39</v>
      </c>
      <c r="Z694" s="59">
        <v>1943</v>
      </c>
      <c r="AA694" s="59">
        <f t="shared" si="78"/>
        <v>-0.39000000000010004</v>
      </c>
      <c r="AB694" s="59">
        <f t="shared" si="75"/>
        <v>2699.2199999999993</v>
      </c>
      <c r="AD694" s="239" t="s">
        <v>3359</v>
      </c>
      <c r="AE694" s="50"/>
      <c r="AF694" s="59"/>
    </row>
    <row r="695" spans="1:32" x14ac:dyDescent="0.3">
      <c r="A695" s="49">
        <v>12</v>
      </c>
      <c r="B695" s="41" t="s">
        <v>1029</v>
      </c>
      <c r="C695" s="50" t="s">
        <v>68</v>
      </c>
      <c r="D695" s="50" t="s">
        <v>869</v>
      </c>
      <c r="E695" s="50" t="s">
        <v>25</v>
      </c>
      <c r="F695" s="51" t="s">
        <v>25</v>
      </c>
      <c r="G695" s="50" t="s">
        <v>866</v>
      </c>
      <c r="H695" s="59">
        <v>5177.45</v>
      </c>
      <c r="I695" s="59">
        <v>-185.97</v>
      </c>
      <c r="J695" s="59">
        <v>0</v>
      </c>
      <c r="K695" s="59">
        <v>0</v>
      </c>
      <c r="L695" s="59">
        <v>-47.5</v>
      </c>
      <c r="M695" s="59">
        <v>-25</v>
      </c>
      <c r="N695" s="59">
        <v>0</v>
      </c>
      <c r="O695" s="59">
        <f t="shared" si="79"/>
        <v>4918.9799999999996</v>
      </c>
      <c r="P695" s="59">
        <v>-2500</v>
      </c>
      <c r="Q695" s="59">
        <v>0</v>
      </c>
      <c r="R695" s="59">
        <v>0</v>
      </c>
      <c r="S695" s="59">
        <v>0</v>
      </c>
      <c r="T695" s="59">
        <v>0</v>
      </c>
      <c r="U695" s="59">
        <v>-1321</v>
      </c>
      <c r="V695" s="59">
        <v>0</v>
      </c>
      <c r="W695" s="59">
        <f t="shared" si="74"/>
        <v>1097.9799999999996</v>
      </c>
      <c r="X695" s="59">
        <f t="shared" si="76"/>
        <v>1097.9799999999996</v>
      </c>
      <c r="Y695" s="59">
        <f t="shared" si="77"/>
        <v>0</v>
      </c>
      <c r="Z695" s="59">
        <v>0</v>
      </c>
      <c r="AA695" s="59">
        <f t="shared" si="78"/>
        <v>0</v>
      </c>
      <c r="AB695" s="59">
        <f t="shared" si="75"/>
        <v>3821</v>
      </c>
      <c r="AE695" s="50"/>
      <c r="AF695" s="59"/>
    </row>
    <row r="696" spans="1:32" x14ac:dyDescent="0.3">
      <c r="A696" s="49">
        <v>12</v>
      </c>
      <c r="B696" s="41" t="s">
        <v>1449</v>
      </c>
      <c r="C696" s="50" t="s">
        <v>1611</v>
      </c>
      <c r="D696" s="50" t="s">
        <v>3280</v>
      </c>
      <c r="E696" s="50" t="s">
        <v>25</v>
      </c>
      <c r="F696" s="51" t="s">
        <v>25</v>
      </c>
      <c r="G696" s="50" t="s">
        <v>866</v>
      </c>
      <c r="H696" s="59">
        <v>8093.01</v>
      </c>
      <c r="I696" s="59">
        <v>-3272.2299999999996</v>
      </c>
      <c r="J696" s="59">
        <v>-93.52</v>
      </c>
      <c r="K696" s="59">
        <v>0</v>
      </c>
      <c r="L696" s="59">
        <v>0</v>
      </c>
      <c r="M696" s="59">
        <v>-60</v>
      </c>
      <c r="N696" s="59">
        <v>0</v>
      </c>
      <c r="O696" s="59">
        <f t="shared" si="79"/>
        <v>4667.26</v>
      </c>
      <c r="P696" s="59">
        <v>-2500</v>
      </c>
      <c r="Q696" s="59">
        <v>0</v>
      </c>
      <c r="R696" s="59">
        <v>0</v>
      </c>
      <c r="S696" s="59">
        <v>0</v>
      </c>
      <c r="T696" s="59">
        <v>0</v>
      </c>
      <c r="U696" s="59">
        <v>0</v>
      </c>
      <c r="V696" s="59">
        <v>0</v>
      </c>
      <c r="W696" s="59">
        <f t="shared" si="74"/>
        <v>2167.2600000000002</v>
      </c>
      <c r="X696" s="59">
        <f t="shared" si="76"/>
        <v>2167.2600000000002</v>
      </c>
      <c r="Y696" s="59">
        <f t="shared" si="77"/>
        <v>0</v>
      </c>
      <c r="Z696" s="59">
        <v>0</v>
      </c>
      <c r="AA696" s="59">
        <f t="shared" si="78"/>
        <v>0</v>
      </c>
      <c r="AB696" s="59">
        <f t="shared" si="75"/>
        <v>2500</v>
      </c>
      <c r="AE696" s="50"/>
      <c r="AF696" s="59"/>
    </row>
    <row r="697" spans="1:32" x14ac:dyDescent="0.3">
      <c r="A697" s="49">
        <v>12</v>
      </c>
      <c r="B697" s="41" t="s">
        <v>1141</v>
      </c>
      <c r="C697" s="50" t="s">
        <v>120</v>
      </c>
      <c r="D697" s="50" t="s">
        <v>950</v>
      </c>
      <c r="E697" s="50" t="s">
        <v>25</v>
      </c>
      <c r="F697" s="51" t="s">
        <v>25</v>
      </c>
      <c r="G697" s="50" t="s">
        <v>866</v>
      </c>
      <c r="H697" s="59">
        <v>0</v>
      </c>
      <c r="I697" s="59">
        <v>0</v>
      </c>
      <c r="J697" s="59">
        <v>0</v>
      </c>
      <c r="K697" s="59">
        <v>102.23</v>
      </c>
      <c r="L697" s="59">
        <v>0</v>
      </c>
      <c r="M697" s="59">
        <v>0</v>
      </c>
      <c r="N697" s="59">
        <v>0</v>
      </c>
      <c r="O697" s="59">
        <f t="shared" si="79"/>
        <v>102.23</v>
      </c>
      <c r="P697" s="59">
        <v>-102</v>
      </c>
      <c r="Q697" s="59">
        <v>0</v>
      </c>
      <c r="R697" s="59">
        <v>0</v>
      </c>
      <c r="S697" s="59">
        <v>0</v>
      </c>
      <c r="T697" s="59">
        <v>0</v>
      </c>
      <c r="U697" s="59">
        <v>0</v>
      </c>
      <c r="V697" s="59">
        <v>0</v>
      </c>
      <c r="W697" s="59">
        <f t="shared" si="74"/>
        <v>0.23000000000000398</v>
      </c>
      <c r="X697" s="59">
        <f t="shared" si="76"/>
        <v>0.23000000000000398</v>
      </c>
      <c r="Y697" s="59">
        <f t="shared" si="77"/>
        <v>0</v>
      </c>
      <c r="Z697" s="59">
        <v>0</v>
      </c>
      <c r="AA697" s="59">
        <f t="shared" si="78"/>
        <v>0</v>
      </c>
      <c r="AB697" s="59">
        <f t="shared" si="75"/>
        <v>102</v>
      </c>
      <c r="AE697" s="50"/>
      <c r="AF697" s="59"/>
    </row>
    <row r="698" spans="1:32" x14ac:dyDescent="0.3">
      <c r="A698" s="49">
        <v>12</v>
      </c>
      <c r="B698" s="41" t="s">
        <v>1151</v>
      </c>
      <c r="C698" s="50" t="s">
        <v>1285</v>
      </c>
      <c r="D698" s="50" t="s">
        <v>1340</v>
      </c>
      <c r="E698" s="50" t="s">
        <v>25</v>
      </c>
      <c r="F698" s="51" t="s">
        <v>25</v>
      </c>
      <c r="G698" s="50" t="s">
        <v>866</v>
      </c>
      <c r="H698" s="59">
        <v>5914.95</v>
      </c>
      <c r="I698" s="59">
        <v>0</v>
      </c>
      <c r="J698" s="59">
        <v>-71.2</v>
      </c>
      <c r="K698" s="59">
        <v>0</v>
      </c>
      <c r="L698" s="59">
        <v>0</v>
      </c>
      <c r="M698" s="59">
        <v>0</v>
      </c>
      <c r="N698" s="59">
        <v>0</v>
      </c>
      <c r="O698" s="59">
        <f t="shared" si="79"/>
        <v>5843.75</v>
      </c>
      <c r="P698" s="59">
        <v>-2700</v>
      </c>
      <c r="Q698" s="59">
        <v>0</v>
      </c>
      <c r="R698" s="59">
        <v>0</v>
      </c>
      <c r="S698" s="59">
        <v>0</v>
      </c>
      <c r="T698" s="59">
        <v>0</v>
      </c>
      <c r="U698" s="59">
        <v>0</v>
      </c>
      <c r="V698" s="59">
        <v>0</v>
      </c>
      <c r="W698" s="59">
        <f t="shared" si="74"/>
        <v>3143.75</v>
      </c>
      <c r="X698" s="59">
        <f t="shared" si="76"/>
        <v>3143.75</v>
      </c>
      <c r="Y698" s="59">
        <f t="shared" si="77"/>
        <v>0</v>
      </c>
      <c r="Z698" s="59">
        <v>0</v>
      </c>
      <c r="AA698" s="59">
        <f t="shared" si="78"/>
        <v>0</v>
      </c>
      <c r="AB698" s="59">
        <f t="shared" si="75"/>
        <v>2700</v>
      </c>
      <c r="AE698" s="50"/>
      <c r="AF698" s="59"/>
    </row>
    <row r="699" spans="1:32" x14ac:dyDescent="0.3">
      <c r="A699" s="49">
        <v>12</v>
      </c>
      <c r="B699" s="41" t="s">
        <v>1310</v>
      </c>
      <c r="C699" s="50" t="s">
        <v>101</v>
      </c>
      <c r="D699" s="50" t="s">
        <v>945</v>
      </c>
      <c r="E699" s="50" t="s">
        <v>25</v>
      </c>
      <c r="F699" s="51" t="s">
        <v>25</v>
      </c>
      <c r="G699" s="50" t="s">
        <v>866</v>
      </c>
      <c r="H699" s="59">
        <v>9817.7199999999993</v>
      </c>
      <c r="I699" s="59">
        <v>-2693.7299999999996</v>
      </c>
      <c r="J699" s="59">
        <v>-145.6</v>
      </c>
      <c r="K699" s="59">
        <f>1206.8+108</f>
        <v>1314.8</v>
      </c>
      <c r="L699" s="59">
        <v>0</v>
      </c>
      <c r="M699" s="59">
        <v>-73</v>
      </c>
      <c r="N699" s="59">
        <v>0</v>
      </c>
      <c r="O699" s="59">
        <f t="shared" si="79"/>
        <v>8220.1899999999987</v>
      </c>
      <c r="P699" s="59">
        <v>-2500</v>
      </c>
      <c r="Q699" s="59">
        <v>0</v>
      </c>
      <c r="R699" s="59">
        <v>-107</v>
      </c>
      <c r="S699" s="59">
        <v>0</v>
      </c>
      <c r="T699" s="59">
        <v>0</v>
      </c>
      <c r="U699" s="59">
        <v>0</v>
      </c>
      <c r="V699" s="59">
        <v>0</v>
      </c>
      <c r="W699" s="59">
        <f t="shared" si="74"/>
        <v>5613.1899999999987</v>
      </c>
      <c r="X699" s="59">
        <f t="shared" si="76"/>
        <v>5613.1899999999987</v>
      </c>
      <c r="Y699" s="59">
        <f t="shared" si="77"/>
        <v>0</v>
      </c>
      <c r="Z699" s="59">
        <v>0</v>
      </c>
      <c r="AA699" s="59">
        <f t="shared" si="78"/>
        <v>0</v>
      </c>
      <c r="AB699" s="59">
        <f t="shared" si="75"/>
        <v>2607</v>
      </c>
      <c r="AE699" s="50"/>
      <c r="AF699" s="59"/>
    </row>
    <row r="700" spans="1:32" x14ac:dyDescent="0.3">
      <c r="A700" s="49">
        <v>12</v>
      </c>
      <c r="B700" s="41" t="s">
        <v>913</v>
      </c>
      <c r="C700" s="50" t="s">
        <v>361</v>
      </c>
      <c r="D700" s="50" t="s">
        <v>1164</v>
      </c>
      <c r="E700" s="50" t="s">
        <v>25</v>
      </c>
      <c r="F700" s="51" t="s">
        <v>25</v>
      </c>
      <c r="G700" s="50" t="s">
        <v>866</v>
      </c>
      <c r="H700" s="59">
        <v>3574.67</v>
      </c>
      <c r="I700" s="59">
        <v>-3530.8499999999995</v>
      </c>
      <c r="J700" s="59">
        <v>-20.8</v>
      </c>
      <c r="K700" s="59">
        <v>0</v>
      </c>
      <c r="L700" s="59">
        <v>0</v>
      </c>
      <c r="M700" s="59">
        <f>-17.88-60</f>
        <v>-77.88</v>
      </c>
      <c r="N700" s="59">
        <v>-149</v>
      </c>
      <c r="O700" s="59">
        <f t="shared" si="79"/>
        <v>-203.85999999999939</v>
      </c>
      <c r="P700" s="59">
        <v>-2700</v>
      </c>
      <c r="Q700" s="59">
        <f>-7*1.12</f>
        <v>-7.8400000000000007</v>
      </c>
      <c r="R700" s="59">
        <v>0</v>
      </c>
      <c r="S700" s="59">
        <v>0</v>
      </c>
      <c r="T700" s="59">
        <v>0</v>
      </c>
      <c r="U700" s="59">
        <v>0</v>
      </c>
      <c r="V700" s="59">
        <v>0</v>
      </c>
      <c r="W700" s="59">
        <f t="shared" si="74"/>
        <v>-2911.6999999999994</v>
      </c>
      <c r="X700" s="59">
        <f t="shared" si="76"/>
        <v>0</v>
      </c>
      <c r="Y700" s="59">
        <f t="shared" si="77"/>
        <v>-2911.6999999999994</v>
      </c>
      <c r="Z700" s="59">
        <f>800+1300+612+200</f>
        <v>2912</v>
      </c>
      <c r="AA700" s="59">
        <f t="shared" si="78"/>
        <v>0.30000000000063665</v>
      </c>
      <c r="AB700" s="59">
        <f t="shared" si="75"/>
        <v>2708.4400000000014</v>
      </c>
      <c r="AD700" s="50" t="s">
        <v>3360</v>
      </c>
      <c r="AE700" s="50"/>
      <c r="AF700" s="59"/>
    </row>
    <row r="701" spans="1:32" x14ac:dyDescent="0.3">
      <c r="A701" s="49">
        <v>12</v>
      </c>
      <c r="B701" s="41" t="s">
        <v>913</v>
      </c>
      <c r="C701" s="50" t="s">
        <v>120</v>
      </c>
      <c r="D701" s="50" t="s">
        <v>950</v>
      </c>
      <c r="E701" s="50" t="s">
        <v>25</v>
      </c>
      <c r="F701" s="51" t="s">
        <v>25</v>
      </c>
      <c r="G701" s="50" t="s">
        <v>866</v>
      </c>
      <c r="H701" s="59">
        <v>0</v>
      </c>
      <c r="I701" s="59">
        <v>0</v>
      </c>
      <c r="J701" s="59">
        <v>0</v>
      </c>
      <c r="K701" s="59">
        <v>0</v>
      </c>
      <c r="L701" s="59">
        <v>0</v>
      </c>
      <c r="M701" s="59">
        <v>0</v>
      </c>
      <c r="N701" s="59">
        <v>0</v>
      </c>
      <c r="O701" s="59">
        <f t="shared" si="79"/>
        <v>0</v>
      </c>
      <c r="P701" s="59">
        <v>0</v>
      </c>
      <c r="Q701" s="59">
        <v>0</v>
      </c>
      <c r="R701" s="59">
        <v>0</v>
      </c>
      <c r="S701" s="59">
        <v>0</v>
      </c>
      <c r="T701" s="59">
        <v>-500</v>
      </c>
      <c r="U701" s="59">
        <v>0</v>
      </c>
      <c r="V701" s="59">
        <v>0</v>
      </c>
      <c r="W701" s="59">
        <f t="shared" si="74"/>
        <v>-500</v>
      </c>
      <c r="X701" s="59">
        <f t="shared" si="76"/>
        <v>0</v>
      </c>
      <c r="Y701" s="59">
        <f t="shared" si="77"/>
        <v>-500</v>
      </c>
      <c r="Z701" s="59">
        <v>500</v>
      </c>
      <c r="AA701" s="59">
        <f t="shared" si="78"/>
        <v>0</v>
      </c>
      <c r="AB701" s="59">
        <f t="shared" si="75"/>
        <v>500</v>
      </c>
      <c r="AD701" s="50" t="s">
        <v>3361</v>
      </c>
      <c r="AE701" s="50"/>
      <c r="AF701" s="59"/>
    </row>
    <row r="702" spans="1:32" x14ac:dyDescent="0.3">
      <c r="A702" s="49">
        <v>12</v>
      </c>
      <c r="B702" s="41" t="s">
        <v>1403</v>
      </c>
      <c r="C702" s="50" t="s">
        <v>195</v>
      </c>
      <c r="D702" s="50" t="s">
        <v>1404</v>
      </c>
      <c r="E702" s="50" t="s">
        <v>871</v>
      </c>
      <c r="F702" s="51" t="s">
        <v>39</v>
      </c>
      <c r="G702" s="50" t="s">
        <v>866</v>
      </c>
      <c r="H702" s="59">
        <v>5625.16</v>
      </c>
      <c r="I702" s="59">
        <v>-1061.98</v>
      </c>
      <c r="J702" s="59">
        <v>-115.93</v>
      </c>
      <c r="K702" s="59">
        <v>100.57</v>
      </c>
      <c r="L702" s="59">
        <v>0</v>
      </c>
      <c r="M702" s="59">
        <v>-75</v>
      </c>
      <c r="N702" s="59">
        <v>0</v>
      </c>
      <c r="O702" s="59">
        <f t="shared" si="79"/>
        <v>4472.82</v>
      </c>
      <c r="P702" s="59">
        <v>-1786</v>
      </c>
      <c r="Q702" s="59">
        <v>0</v>
      </c>
      <c r="R702" s="59">
        <v>0</v>
      </c>
      <c r="S702" s="59">
        <v>0</v>
      </c>
      <c r="T702" s="59">
        <v>-700</v>
      </c>
      <c r="U702" s="59">
        <v>0</v>
      </c>
      <c r="V702" s="59">
        <v>0</v>
      </c>
      <c r="W702" s="59">
        <f t="shared" si="74"/>
        <v>1986.8199999999997</v>
      </c>
      <c r="X702" s="59">
        <f t="shared" si="76"/>
        <v>1986.8199999999997</v>
      </c>
      <c r="Y702" s="59">
        <f t="shared" si="77"/>
        <v>0</v>
      </c>
      <c r="Z702" s="59">
        <v>0</v>
      </c>
      <c r="AA702" s="59">
        <f t="shared" si="78"/>
        <v>0</v>
      </c>
      <c r="AB702" s="59">
        <f t="shared" si="75"/>
        <v>2486</v>
      </c>
      <c r="AD702" s="51"/>
      <c r="AE702" s="50"/>
      <c r="AF702" s="59"/>
    </row>
    <row r="703" spans="1:32" x14ac:dyDescent="0.3">
      <c r="A703" s="49">
        <v>12</v>
      </c>
      <c r="B703" s="41" t="s">
        <v>1295</v>
      </c>
      <c r="C703" s="50" t="s">
        <v>53</v>
      </c>
      <c r="D703" s="50" t="s">
        <v>1167</v>
      </c>
      <c r="E703" s="50" t="s">
        <v>25</v>
      </c>
      <c r="F703" s="51" t="s">
        <v>25</v>
      </c>
      <c r="G703" s="50" t="s">
        <v>866</v>
      </c>
      <c r="H703" s="59">
        <v>0</v>
      </c>
      <c r="I703" s="59">
        <v>0</v>
      </c>
      <c r="J703" s="59">
        <v>0</v>
      </c>
      <c r="K703" s="59">
        <v>0</v>
      </c>
      <c r="L703" s="59">
        <v>0</v>
      </c>
      <c r="M703" s="59">
        <v>0</v>
      </c>
      <c r="N703" s="59">
        <v>0</v>
      </c>
      <c r="O703" s="59">
        <f t="shared" si="79"/>
        <v>0</v>
      </c>
      <c r="P703" s="59">
        <v>0</v>
      </c>
      <c r="Q703" s="59">
        <f>-2072*1.12</f>
        <v>-2320.6400000000003</v>
      </c>
      <c r="R703" s="59">
        <v>0</v>
      </c>
      <c r="S703" s="59">
        <v>0</v>
      </c>
      <c r="T703" s="59">
        <v>0</v>
      </c>
      <c r="U703" s="59">
        <v>0</v>
      </c>
      <c r="V703" s="59">
        <v>0</v>
      </c>
      <c r="W703" s="59">
        <f t="shared" si="74"/>
        <v>-2320.6400000000003</v>
      </c>
      <c r="X703" s="59">
        <f t="shared" si="76"/>
        <v>0</v>
      </c>
      <c r="Y703" s="59">
        <f t="shared" si="77"/>
        <v>-2320.6400000000003</v>
      </c>
      <c r="Z703" s="59">
        <v>0</v>
      </c>
      <c r="AA703" s="59">
        <f t="shared" si="78"/>
        <v>-2320.6400000000003</v>
      </c>
      <c r="AB703" s="59">
        <f t="shared" si="75"/>
        <v>-2320.6400000000003</v>
      </c>
      <c r="AE703" s="50"/>
      <c r="AF703" s="59"/>
    </row>
    <row r="704" spans="1:32" x14ac:dyDescent="0.3">
      <c r="A704" s="49">
        <v>12</v>
      </c>
      <c r="B704" s="41" t="s">
        <v>1522</v>
      </c>
      <c r="C704" s="50" t="s">
        <v>169</v>
      </c>
      <c r="D704" s="50" t="s">
        <v>967</v>
      </c>
      <c r="E704" s="50" t="s">
        <v>871</v>
      </c>
      <c r="F704" s="51" t="s">
        <v>39</v>
      </c>
      <c r="G704" s="50" t="s">
        <v>866</v>
      </c>
      <c r="H704" s="59">
        <v>3406.45</v>
      </c>
      <c r="I704" s="59">
        <v>-890.57</v>
      </c>
      <c r="J704" s="59">
        <v>-44.17</v>
      </c>
      <c r="K704" s="59">
        <v>276.04000000000002</v>
      </c>
      <c r="L704" s="59">
        <v>0</v>
      </c>
      <c r="M704" s="59">
        <v>-34</v>
      </c>
      <c r="N704" s="59">
        <v>0</v>
      </c>
      <c r="O704" s="59">
        <f t="shared" si="79"/>
        <v>2713.7499999999995</v>
      </c>
      <c r="P704" s="59">
        <v>-2500</v>
      </c>
      <c r="Q704" s="59">
        <v>0</v>
      </c>
      <c r="R704" s="59">
        <v>-214</v>
      </c>
      <c r="S704" s="59">
        <v>0</v>
      </c>
      <c r="T704" s="59">
        <v>0</v>
      </c>
      <c r="U704" s="59">
        <v>0</v>
      </c>
      <c r="V704" s="59">
        <v>0</v>
      </c>
      <c r="W704" s="59">
        <f t="shared" si="74"/>
        <v>-0.25000000000045475</v>
      </c>
      <c r="X704" s="59">
        <f t="shared" si="76"/>
        <v>0</v>
      </c>
      <c r="Y704" s="59">
        <f t="shared" si="77"/>
        <v>-0.25000000000045475</v>
      </c>
      <c r="Z704" s="59">
        <v>0</v>
      </c>
      <c r="AA704" s="59">
        <f t="shared" si="78"/>
        <v>-0.25000000000045475</v>
      </c>
      <c r="AB704" s="59">
        <f t="shared" si="75"/>
        <v>2713.4999999999991</v>
      </c>
      <c r="AD704" s="239"/>
      <c r="AE704" s="50"/>
      <c r="AF704" s="59"/>
    </row>
    <row r="705" spans="1:34" x14ac:dyDescent="0.3">
      <c r="A705" s="49">
        <v>12</v>
      </c>
      <c r="B705" s="50" t="s">
        <v>3362</v>
      </c>
      <c r="C705" s="50" t="s">
        <v>760</v>
      </c>
      <c r="D705" s="50" t="s">
        <v>1239</v>
      </c>
      <c r="E705" s="207" t="s">
        <v>25</v>
      </c>
      <c r="F705" s="51" t="s">
        <v>39</v>
      </c>
      <c r="G705" s="50" t="s">
        <v>866</v>
      </c>
      <c r="H705" s="59">
        <v>2402.77</v>
      </c>
      <c r="I705" s="59">
        <v>0</v>
      </c>
      <c r="J705" s="59">
        <v>0</v>
      </c>
      <c r="K705" s="59">
        <v>0</v>
      </c>
      <c r="L705" s="59">
        <v>0</v>
      </c>
      <c r="M705" s="59">
        <v>0</v>
      </c>
      <c r="N705" s="59">
        <v>0</v>
      </c>
      <c r="O705" s="59">
        <f t="shared" si="79"/>
        <v>2402.77</v>
      </c>
      <c r="P705" s="59">
        <v>-2402.77</v>
      </c>
      <c r="Q705" s="59">
        <v>0</v>
      </c>
      <c r="R705" s="59">
        <v>0</v>
      </c>
      <c r="S705" s="59">
        <v>0</v>
      </c>
      <c r="T705" s="59">
        <v>0</v>
      </c>
      <c r="U705" s="59">
        <v>0</v>
      </c>
      <c r="V705" s="59">
        <v>0</v>
      </c>
      <c r="W705" s="59">
        <f t="shared" si="74"/>
        <v>0</v>
      </c>
      <c r="X705" s="59">
        <f t="shared" si="76"/>
        <v>0</v>
      </c>
      <c r="Y705" s="59">
        <f t="shared" si="77"/>
        <v>0</v>
      </c>
      <c r="Z705" s="59">
        <v>0</v>
      </c>
      <c r="AA705" s="59">
        <f t="shared" si="78"/>
        <v>0</v>
      </c>
      <c r="AB705" s="59">
        <f t="shared" si="75"/>
        <v>2402.77</v>
      </c>
      <c r="AE705" s="50"/>
      <c r="AF705" s="59"/>
    </row>
    <row r="706" spans="1:34" x14ac:dyDescent="0.3">
      <c r="A706" s="49">
        <v>12</v>
      </c>
      <c r="B706" s="50" t="s">
        <v>2010</v>
      </c>
      <c r="C706" s="50" t="s">
        <v>1316</v>
      </c>
      <c r="D706" s="50" t="s">
        <v>3281</v>
      </c>
      <c r="E706" s="50" t="s">
        <v>25</v>
      </c>
      <c r="F706" s="50" t="s">
        <v>25</v>
      </c>
      <c r="G706" s="50" t="s">
        <v>866</v>
      </c>
      <c r="H706" s="59">
        <v>6402.25</v>
      </c>
      <c r="I706" s="59">
        <v>0</v>
      </c>
      <c r="J706" s="59">
        <v>0</v>
      </c>
      <c r="K706" s="59">
        <v>9.7899999999999991</v>
      </c>
      <c r="L706" s="59">
        <v>0</v>
      </c>
      <c r="M706" s="59">
        <v>0</v>
      </c>
      <c r="N706" s="59">
        <v>0</v>
      </c>
      <c r="O706" s="59">
        <f t="shared" si="79"/>
        <v>6412.04</v>
      </c>
      <c r="P706" s="59">
        <v>-2700</v>
      </c>
      <c r="Q706" s="59">
        <v>0</v>
      </c>
      <c r="R706" s="59">
        <v>-500</v>
      </c>
      <c r="S706" s="59">
        <v>0</v>
      </c>
      <c r="T706" s="59">
        <v>0</v>
      </c>
      <c r="U706" s="59">
        <v>0</v>
      </c>
      <c r="V706" s="59">
        <v>0</v>
      </c>
      <c r="W706" s="59">
        <f t="shared" ref="W706:W744" si="80">SUM(O706:V706)</f>
        <v>3212.04</v>
      </c>
      <c r="X706" s="59">
        <f t="shared" si="76"/>
        <v>3212.04</v>
      </c>
      <c r="Y706" s="59">
        <f t="shared" si="77"/>
        <v>0</v>
      </c>
      <c r="Z706" s="59">
        <v>0</v>
      </c>
      <c r="AA706" s="59">
        <f t="shared" si="78"/>
        <v>0</v>
      </c>
      <c r="AB706" s="59">
        <f t="shared" ref="AB706:AB769" si="81">+O706-X706+Z706+AA706</f>
        <v>3200</v>
      </c>
      <c r="AE706" s="50"/>
      <c r="AF706" s="59"/>
    </row>
    <row r="707" spans="1:34" x14ac:dyDescent="0.3">
      <c r="A707" s="49">
        <v>12</v>
      </c>
      <c r="B707" s="50" t="s">
        <v>3180</v>
      </c>
      <c r="C707" s="50" t="s">
        <v>183</v>
      </c>
      <c r="D707" s="50" t="s">
        <v>887</v>
      </c>
      <c r="E707" s="50" t="s">
        <v>25</v>
      </c>
      <c r="F707" s="50" t="s">
        <v>25</v>
      </c>
      <c r="G707" s="50" t="s">
        <v>866</v>
      </c>
      <c r="H707" s="59">
        <v>1733.11</v>
      </c>
      <c r="I707" s="59">
        <v>-1416.0800000000002</v>
      </c>
      <c r="J707" s="59">
        <v>0</v>
      </c>
      <c r="K707" s="59">
        <v>0</v>
      </c>
      <c r="L707" s="59">
        <v>0</v>
      </c>
      <c r="M707" s="59">
        <v>-55</v>
      </c>
      <c r="N707" s="59">
        <v>0</v>
      </c>
      <c r="O707" s="59">
        <f t="shared" si="79"/>
        <v>262.02999999999975</v>
      </c>
      <c r="P707" s="59">
        <f>(-2500/7)*2</f>
        <v>-714.28571428571433</v>
      </c>
      <c r="Q707" s="59">
        <v>0</v>
      </c>
      <c r="R707" s="59">
        <v>-142.85714285714286</v>
      </c>
      <c r="S707" s="59">
        <v>0</v>
      </c>
      <c r="T707" s="59">
        <v>0</v>
      </c>
      <c r="U707" s="59">
        <v>0</v>
      </c>
      <c r="V707" s="59">
        <v>0</v>
      </c>
      <c r="W707" s="59">
        <f t="shared" si="80"/>
        <v>-595.11285714285748</v>
      </c>
      <c r="X707" s="59">
        <f t="shared" si="76"/>
        <v>0</v>
      </c>
      <c r="Y707" s="59">
        <f t="shared" si="77"/>
        <v>-595.11285714285748</v>
      </c>
      <c r="Z707" s="59">
        <v>595</v>
      </c>
      <c r="AA707" s="59">
        <f t="shared" si="78"/>
        <v>-0.11285714285747872</v>
      </c>
      <c r="AB707" s="59">
        <f t="shared" si="81"/>
        <v>856.91714285714227</v>
      </c>
      <c r="AD707" s="50" t="s">
        <v>3363</v>
      </c>
      <c r="AE707" s="50"/>
      <c r="AF707" s="59"/>
    </row>
    <row r="708" spans="1:34" x14ac:dyDescent="0.3">
      <c r="A708" s="49">
        <v>12</v>
      </c>
      <c r="B708" s="50" t="s">
        <v>1818</v>
      </c>
      <c r="C708" s="50" t="s">
        <v>1860</v>
      </c>
      <c r="E708" s="50" t="s">
        <v>25</v>
      </c>
      <c r="F708" s="51" t="s">
        <v>25</v>
      </c>
      <c r="G708" s="50" t="s">
        <v>866</v>
      </c>
      <c r="H708" s="59">
        <v>0</v>
      </c>
      <c r="I708" s="59">
        <v>0</v>
      </c>
      <c r="J708" s="59">
        <v>-0.37</v>
      </c>
      <c r="K708" s="59">
        <v>2.31</v>
      </c>
      <c r="L708" s="59">
        <v>0</v>
      </c>
      <c r="M708" s="59">
        <v>0</v>
      </c>
      <c r="N708" s="59">
        <v>0</v>
      </c>
      <c r="O708" s="59">
        <f t="shared" si="79"/>
        <v>1.94</v>
      </c>
      <c r="P708" s="59">
        <v>-2</v>
      </c>
      <c r="Q708" s="59">
        <v>0</v>
      </c>
      <c r="R708" s="59">
        <v>0</v>
      </c>
      <c r="S708" s="59">
        <v>0</v>
      </c>
      <c r="T708" s="59">
        <v>0</v>
      </c>
      <c r="U708" s="59">
        <v>0</v>
      </c>
      <c r="V708" s="59">
        <v>0</v>
      </c>
      <c r="W708" s="59">
        <f t="shared" si="80"/>
        <v>-6.0000000000000053E-2</v>
      </c>
      <c r="X708" s="59">
        <f t="shared" si="76"/>
        <v>0</v>
      </c>
      <c r="Y708" s="59">
        <f t="shared" si="77"/>
        <v>-6.0000000000000053E-2</v>
      </c>
      <c r="Z708" s="59">
        <v>0</v>
      </c>
      <c r="AA708" s="59">
        <f t="shared" si="78"/>
        <v>-6.0000000000000053E-2</v>
      </c>
      <c r="AB708" s="59">
        <f t="shared" si="81"/>
        <v>1.88</v>
      </c>
      <c r="AE708" s="50"/>
      <c r="AF708" s="59"/>
    </row>
    <row r="709" spans="1:34" x14ac:dyDescent="0.3">
      <c r="A709" s="49">
        <v>12</v>
      </c>
      <c r="B709" s="41" t="s">
        <v>612</v>
      </c>
      <c r="C709" s="50" t="s">
        <v>1443</v>
      </c>
      <c r="D709" s="50" t="s">
        <v>1554</v>
      </c>
      <c r="E709" s="50" t="s">
        <v>25</v>
      </c>
      <c r="F709" s="51" t="s">
        <v>25</v>
      </c>
      <c r="G709" s="50" t="s">
        <v>866</v>
      </c>
      <c r="H709" s="59">
        <v>0</v>
      </c>
      <c r="I709" s="59">
        <v>0</v>
      </c>
      <c r="J709" s="59">
        <v>0</v>
      </c>
      <c r="K709" s="59">
        <v>0</v>
      </c>
      <c r="L709" s="59">
        <v>0</v>
      </c>
      <c r="M709" s="59">
        <v>0</v>
      </c>
      <c r="N709" s="59">
        <v>0</v>
      </c>
      <c r="O709" s="59">
        <f t="shared" si="79"/>
        <v>0</v>
      </c>
      <c r="P709" s="59">
        <v>0</v>
      </c>
      <c r="Q709" s="59">
        <v>0</v>
      </c>
      <c r="R709" s="59">
        <v>500</v>
      </c>
      <c r="S709" s="59">
        <v>0</v>
      </c>
      <c r="T709" s="59">
        <v>0</v>
      </c>
      <c r="U709" s="59">
        <v>0</v>
      </c>
      <c r="V709" s="59">
        <v>0</v>
      </c>
      <c r="W709" s="59">
        <f t="shared" si="80"/>
        <v>500</v>
      </c>
      <c r="X709" s="59">
        <f t="shared" si="76"/>
        <v>500</v>
      </c>
      <c r="Y709" s="59">
        <f t="shared" si="77"/>
        <v>0</v>
      </c>
      <c r="Z709" s="59">
        <v>0</v>
      </c>
      <c r="AA709" s="59">
        <f t="shared" si="78"/>
        <v>0</v>
      </c>
      <c r="AB709" s="59">
        <f t="shared" si="81"/>
        <v>-500</v>
      </c>
      <c r="AE709" s="50"/>
      <c r="AF709" s="59"/>
    </row>
    <row r="710" spans="1:34" s="240" customFormat="1" x14ac:dyDescent="0.3">
      <c r="A710" s="49">
        <v>12</v>
      </c>
      <c r="B710" s="50" t="s">
        <v>2711</v>
      </c>
      <c r="C710" s="50" t="s">
        <v>347</v>
      </c>
      <c r="D710" s="50" t="s">
        <v>1122</v>
      </c>
      <c r="E710" s="50" t="s">
        <v>25</v>
      </c>
      <c r="F710" s="51" t="s">
        <v>25</v>
      </c>
      <c r="G710" s="50" t="s">
        <v>866</v>
      </c>
      <c r="H710" s="59">
        <v>7179.12</v>
      </c>
      <c r="I710" s="59">
        <v>-1294.9399999999998</v>
      </c>
      <c r="J710" s="59">
        <v>0</v>
      </c>
      <c r="K710" s="59">
        <v>0</v>
      </c>
      <c r="L710" s="59">
        <v>0</v>
      </c>
      <c r="M710" s="59">
        <v>-55</v>
      </c>
      <c r="N710" s="59">
        <v>0</v>
      </c>
      <c r="O710" s="59">
        <f t="shared" si="79"/>
        <v>5829.18</v>
      </c>
      <c r="P710" s="59">
        <v>-2500</v>
      </c>
      <c r="Q710" s="59">
        <v>0</v>
      </c>
      <c r="R710" s="59">
        <v>-500</v>
      </c>
      <c r="S710" s="59">
        <v>0</v>
      </c>
      <c r="T710" s="59">
        <v>0</v>
      </c>
      <c r="U710" s="59">
        <v>0</v>
      </c>
      <c r="V710" s="59">
        <v>0</v>
      </c>
      <c r="W710" s="59">
        <f t="shared" si="80"/>
        <v>2829.1800000000003</v>
      </c>
      <c r="X710" s="59">
        <f t="shared" si="76"/>
        <v>2829.1800000000003</v>
      </c>
      <c r="Y710" s="59">
        <f t="shared" si="77"/>
        <v>0</v>
      </c>
      <c r="Z710" s="59">
        <v>0</v>
      </c>
      <c r="AA710" s="59">
        <f t="shared" si="78"/>
        <v>0</v>
      </c>
      <c r="AB710" s="59">
        <f t="shared" si="81"/>
        <v>3000</v>
      </c>
      <c r="AC710" s="59"/>
      <c r="AD710" s="50"/>
      <c r="AE710" s="50"/>
      <c r="AF710" s="59"/>
      <c r="AG710" s="50"/>
      <c r="AH710" s="50"/>
    </row>
    <row r="711" spans="1:34" x14ac:dyDescent="0.3">
      <c r="A711" s="49">
        <v>12</v>
      </c>
      <c r="B711" s="50" t="s">
        <v>1056</v>
      </c>
      <c r="C711" s="50" t="s">
        <v>672</v>
      </c>
      <c r="D711" s="50" t="s">
        <v>1226</v>
      </c>
      <c r="E711" s="50" t="s">
        <v>25</v>
      </c>
      <c r="F711" s="51" t="s">
        <v>25</v>
      </c>
      <c r="G711" s="50" t="s">
        <v>866</v>
      </c>
      <c r="H711" s="59">
        <v>2920.84</v>
      </c>
      <c r="I711" s="59">
        <v>-135.49</v>
      </c>
      <c r="J711" s="59">
        <v>0</v>
      </c>
      <c r="K711" s="59">
        <v>0</v>
      </c>
      <c r="L711" s="59">
        <v>0</v>
      </c>
      <c r="M711" s="59">
        <v>-25</v>
      </c>
      <c r="N711" s="59">
        <v>0</v>
      </c>
      <c r="O711" s="59">
        <f t="shared" si="79"/>
        <v>2760.3500000000004</v>
      </c>
      <c r="P711" s="59">
        <v>-2500</v>
      </c>
      <c r="Q711" s="59">
        <v>0</v>
      </c>
      <c r="R711" s="59">
        <v>-500</v>
      </c>
      <c r="S711" s="59">
        <v>0</v>
      </c>
      <c r="T711" s="59">
        <v>0</v>
      </c>
      <c r="U711" s="59">
        <f>40</f>
        <v>40</v>
      </c>
      <c r="V711" s="59">
        <v>0</v>
      </c>
      <c r="W711" s="59">
        <f t="shared" si="80"/>
        <v>-199.64999999999964</v>
      </c>
      <c r="X711" s="59">
        <f t="shared" si="76"/>
        <v>0</v>
      </c>
      <c r="Y711" s="59">
        <f t="shared" si="77"/>
        <v>-199.64999999999964</v>
      </c>
      <c r="Z711" s="59">
        <v>200</v>
      </c>
      <c r="AA711" s="59">
        <f t="shared" si="78"/>
        <v>0.3500000000003638</v>
      </c>
      <c r="AB711" s="59">
        <f t="shared" si="81"/>
        <v>2960.7000000000007</v>
      </c>
      <c r="AD711" s="50" t="s">
        <v>3364</v>
      </c>
      <c r="AE711" s="50"/>
      <c r="AF711" s="59"/>
    </row>
    <row r="712" spans="1:34" x14ac:dyDescent="0.3">
      <c r="A712" s="49">
        <v>12</v>
      </c>
      <c r="B712" s="50" t="s">
        <v>2995</v>
      </c>
      <c r="C712" s="50" t="s">
        <v>36</v>
      </c>
      <c r="D712" s="50" t="s">
        <v>904</v>
      </c>
      <c r="E712" s="50" t="s">
        <v>25</v>
      </c>
      <c r="F712" s="51" t="s">
        <v>25</v>
      </c>
      <c r="G712" s="50" t="s">
        <v>866</v>
      </c>
      <c r="H712" s="59">
        <v>3436.78</v>
      </c>
      <c r="I712" s="59">
        <v>-1131.6299999999999</v>
      </c>
      <c r="J712" s="59">
        <v>0</v>
      </c>
      <c r="K712" s="59">
        <v>0</v>
      </c>
      <c r="L712" s="59">
        <v>0</v>
      </c>
      <c r="M712" s="59">
        <f>-27.24-55</f>
        <v>-82.24</v>
      </c>
      <c r="N712" s="59">
        <v>-227</v>
      </c>
      <c r="O712" s="59">
        <f t="shared" si="79"/>
        <v>1995.9100000000008</v>
      </c>
      <c r="P712" s="59">
        <f>-2500</f>
        <v>-2500</v>
      </c>
      <c r="Q712" s="59">
        <v>0</v>
      </c>
      <c r="R712" s="59">
        <v>-500</v>
      </c>
      <c r="S712" s="59">
        <v>0</v>
      </c>
      <c r="T712" s="59">
        <v>0</v>
      </c>
      <c r="U712" s="59">
        <v>0</v>
      </c>
      <c r="V712" s="59">
        <v>0</v>
      </c>
      <c r="W712" s="59">
        <f t="shared" si="80"/>
        <v>-1004.0899999999992</v>
      </c>
      <c r="X712" s="59">
        <f t="shared" si="76"/>
        <v>0</v>
      </c>
      <c r="Y712" s="59">
        <f t="shared" si="77"/>
        <v>-1004.0899999999992</v>
      </c>
      <c r="Z712" s="59">
        <f>450+560</f>
        <v>1010</v>
      </c>
      <c r="AA712" s="59">
        <f t="shared" si="78"/>
        <v>5.910000000000764</v>
      </c>
      <c r="AB712" s="59">
        <f t="shared" si="81"/>
        <v>3011.8200000000015</v>
      </c>
      <c r="AD712" s="50" t="s">
        <v>3365</v>
      </c>
      <c r="AE712" s="50"/>
      <c r="AF712" s="59"/>
    </row>
    <row r="713" spans="1:34" ht="12.75" customHeight="1" x14ac:dyDescent="0.3">
      <c r="A713" s="49">
        <v>12</v>
      </c>
      <c r="B713" s="41" t="s">
        <v>1153</v>
      </c>
      <c r="C713" s="50" t="s">
        <v>1328</v>
      </c>
      <c r="D713" s="50" t="s">
        <v>1576</v>
      </c>
      <c r="E713" s="50" t="s">
        <v>25</v>
      </c>
      <c r="F713" s="51" t="s">
        <v>25</v>
      </c>
      <c r="G713" s="50" t="s">
        <v>866</v>
      </c>
      <c r="H713" s="59">
        <v>1588.97</v>
      </c>
      <c r="I713" s="59">
        <v>-627.65</v>
      </c>
      <c r="J713" s="59">
        <v>0</v>
      </c>
      <c r="K713" s="59">
        <v>0</v>
      </c>
      <c r="L713" s="59">
        <v>0</v>
      </c>
      <c r="M713" s="59">
        <f>-26.6496-30</f>
        <v>-56.6496</v>
      </c>
      <c r="N713" s="59">
        <v>-222.08</v>
      </c>
      <c r="O713" s="59">
        <f t="shared" si="79"/>
        <v>682.59040000000005</v>
      </c>
      <c r="P713" s="59">
        <f>(-2700/7)*6</f>
        <v>-2314.2857142857142</v>
      </c>
      <c r="Q713" s="59">
        <f>-237*1.12</f>
        <v>-265.44</v>
      </c>
      <c r="R713" s="59">
        <v>0</v>
      </c>
      <c r="S713" s="59">
        <v>0</v>
      </c>
      <c r="T713" s="59">
        <v>0</v>
      </c>
      <c r="U713" s="59">
        <v>0</v>
      </c>
      <c r="V713" s="59">
        <v>0</v>
      </c>
      <c r="W713" s="59">
        <f t="shared" si="80"/>
        <v>-1897.1353142857142</v>
      </c>
      <c r="X713" s="59">
        <f t="shared" si="76"/>
        <v>0</v>
      </c>
      <c r="Y713" s="59">
        <f t="shared" si="77"/>
        <v>-1897.1353142857142</v>
      </c>
      <c r="Z713" s="59">
        <f>800+1097</f>
        <v>1897</v>
      </c>
      <c r="AA713" s="59">
        <f t="shared" si="78"/>
        <v>-0.13531428571423021</v>
      </c>
      <c r="AB713" s="59">
        <f t="shared" si="81"/>
        <v>2579.4550857142858</v>
      </c>
      <c r="AD713" s="50" t="s">
        <v>3366</v>
      </c>
      <c r="AE713" s="50"/>
      <c r="AF713" s="59"/>
    </row>
    <row r="714" spans="1:34" x14ac:dyDescent="0.3">
      <c r="A714" s="49">
        <v>12</v>
      </c>
      <c r="B714" s="41" t="s">
        <v>872</v>
      </c>
      <c r="C714" s="50" t="s">
        <v>256</v>
      </c>
      <c r="D714" s="50" t="s">
        <v>997</v>
      </c>
      <c r="E714" s="50" t="s">
        <v>871</v>
      </c>
      <c r="F714" s="51" t="s">
        <v>39</v>
      </c>
      <c r="G714" s="50" t="s">
        <v>866</v>
      </c>
      <c r="H714" s="59">
        <v>9007.89</v>
      </c>
      <c r="I714" s="59">
        <v>-3048.83</v>
      </c>
      <c r="J714" s="59">
        <v>-113.6</v>
      </c>
      <c r="K714" s="59">
        <v>0</v>
      </c>
      <c r="L714" s="59">
        <v>-81.94</v>
      </c>
      <c r="M714" s="59">
        <v>-50</v>
      </c>
      <c r="N714" s="59">
        <v>0</v>
      </c>
      <c r="O714" s="59">
        <f t="shared" si="79"/>
        <v>5713.5199999999995</v>
      </c>
      <c r="P714" s="59">
        <v>-2500</v>
      </c>
      <c r="Q714" s="59">
        <v>0</v>
      </c>
      <c r="R714" s="59">
        <v>0</v>
      </c>
      <c r="S714" s="59">
        <v>0</v>
      </c>
      <c r="T714" s="59">
        <v>0</v>
      </c>
      <c r="U714" s="59">
        <v>0</v>
      </c>
      <c r="V714" s="59">
        <v>0</v>
      </c>
      <c r="W714" s="59">
        <f t="shared" si="80"/>
        <v>3213.5199999999995</v>
      </c>
      <c r="X714" s="59">
        <f t="shared" si="76"/>
        <v>3213.5199999999995</v>
      </c>
      <c r="Y714" s="59">
        <f t="shared" si="77"/>
        <v>0</v>
      </c>
      <c r="Z714" s="59">
        <v>0</v>
      </c>
      <c r="AA714" s="59">
        <f t="shared" si="78"/>
        <v>0</v>
      </c>
      <c r="AB714" s="59">
        <f t="shared" si="81"/>
        <v>2500</v>
      </c>
      <c r="AE714" s="50"/>
      <c r="AF714" s="59"/>
    </row>
    <row r="715" spans="1:34" x14ac:dyDescent="0.3">
      <c r="A715" s="49">
        <v>12</v>
      </c>
      <c r="B715" s="41" t="s">
        <v>1314</v>
      </c>
      <c r="C715" s="50" t="s">
        <v>334</v>
      </c>
      <c r="D715" s="50" t="s">
        <v>1169</v>
      </c>
      <c r="E715" s="50" t="s">
        <v>25</v>
      </c>
      <c r="F715" s="51" t="s">
        <v>25</v>
      </c>
      <c r="G715" s="50" t="s">
        <v>866</v>
      </c>
      <c r="H715" s="59">
        <v>5153.7700000000004</v>
      </c>
      <c r="I715" s="59">
        <v>-2053.38</v>
      </c>
      <c r="J715" s="59">
        <v>0</v>
      </c>
      <c r="K715" s="59">
        <v>428.8</v>
      </c>
      <c r="L715" s="59">
        <v>0</v>
      </c>
      <c r="M715" s="59">
        <v>-60</v>
      </c>
      <c r="N715" s="59">
        <v>0</v>
      </c>
      <c r="O715" s="59">
        <f t="shared" si="79"/>
        <v>3469.1900000000005</v>
      </c>
      <c r="P715" s="59">
        <v>-2500</v>
      </c>
      <c r="Q715" s="59">
        <v>0</v>
      </c>
      <c r="R715" s="59">
        <f>-36</f>
        <v>-36</v>
      </c>
      <c r="S715" s="59">
        <v>0</v>
      </c>
      <c r="T715" s="59">
        <v>0</v>
      </c>
      <c r="U715" s="59">
        <v>0</v>
      </c>
      <c r="V715" s="59">
        <v>0</v>
      </c>
      <c r="W715" s="59">
        <f t="shared" si="80"/>
        <v>933.19000000000051</v>
      </c>
      <c r="X715" s="59">
        <f t="shared" si="76"/>
        <v>933.19000000000051</v>
      </c>
      <c r="Y715" s="59">
        <f t="shared" si="77"/>
        <v>0</v>
      </c>
      <c r="Z715" s="59">
        <v>0</v>
      </c>
      <c r="AA715" s="59">
        <f t="shared" si="78"/>
        <v>0</v>
      </c>
      <c r="AB715" s="59">
        <f t="shared" si="81"/>
        <v>2536</v>
      </c>
      <c r="AE715" s="50"/>
      <c r="AF715" s="59"/>
    </row>
    <row r="716" spans="1:34" x14ac:dyDescent="0.3">
      <c r="A716" s="49">
        <v>12</v>
      </c>
      <c r="B716" s="41" t="s">
        <v>874</v>
      </c>
      <c r="C716" s="50" t="s">
        <v>100</v>
      </c>
      <c r="D716" s="50" t="s">
        <v>1300</v>
      </c>
      <c r="E716" s="50" t="s">
        <v>25</v>
      </c>
      <c r="F716" s="51" t="s">
        <v>25</v>
      </c>
      <c r="G716" s="50" t="s">
        <v>737</v>
      </c>
      <c r="H716" s="59">
        <v>0</v>
      </c>
      <c r="I716" s="59">
        <v>0</v>
      </c>
      <c r="J716" s="59">
        <v>0</v>
      </c>
      <c r="K716" s="59">
        <v>0</v>
      </c>
      <c r="L716" s="59">
        <v>0</v>
      </c>
      <c r="M716" s="59">
        <v>0</v>
      </c>
      <c r="N716" s="59">
        <v>0</v>
      </c>
      <c r="O716" s="59">
        <f t="shared" si="79"/>
        <v>0</v>
      </c>
      <c r="P716" s="59">
        <v>-2500</v>
      </c>
      <c r="Q716" s="59">
        <v>0</v>
      </c>
      <c r="R716" s="59">
        <v>0</v>
      </c>
      <c r="S716" s="59">
        <v>0</v>
      </c>
      <c r="T716" s="59">
        <v>0</v>
      </c>
      <c r="U716" s="59">
        <v>0</v>
      </c>
      <c r="V716" s="59">
        <v>0</v>
      </c>
      <c r="W716" s="59">
        <f t="shared" si="80"/>
        <v>-2500</v>
      </c>
      <c r="X716" s="59">
        <f t="shared" si="76"/>
        <v>0</v>
      </c>
      <c r="Y716" s="59">
        <f t="shared" si="77"/>
        <v>-2500</v>
      </c>
      <c r="Z716" s="59">
        <v>2500</v>
      </c>
      <c r="AA716" s="59">
        <f t="shared" si="78"/>
        <v>0</v>
      </c>
      <c r="AB716" s="59">
        <f>+O716-X716+Z716+AA716</f>
        <v>2500</v>
      </c>
      <c r="AD716" s="50" t="s">
        <v>3367</v>
      </c>
      <c r="AE716" s="50"/>
      <c r="AF716" s="59"/>
    </row>
    <row r="717" spans="1:34" x14ac:dyDescent="0.3">
      <c r="A717" s="49">
        <v>12</v>
      </c>
      <c r="B717" s="41" t="s">
        <v>1157</v>
      </c>
      <c r="C717" s="50" t="s">
        <v>1265</v>
      </c>
      <c r="D717" s="50" t="s">
        <v>1580</v>
      </c>
      <c r="E717" s="50" t="s">
        <v>25</v>
      </c>
      <c r="F717" s="51" t="s">
        <v>25</v>
      </c>
      <c r="G717" s="50" t="s">
        <v>866</v>
      </c>
      <c r="H717" s="59">
        <v>12992.77</v>
      </c>
      <c r="I717" s="59">
        <v>-7163.5099999999966</v>
      </c>
      <c r="J717" s="59">
        <v>-379.2</v>
      </c>
      <c r="K717" s="59">
        <v>0</v>
      </c>
      <c r="L717" s="59">
        <v>0</v>
      </c>
      <c r="M717" s="59">
        <f>-1.5636-80</f>
        <v>-81.563599999999994</v>
      </c>
      <c r="N717" s="59">
        <v>-13.03</v>
      </c>
      <c r="O717" s="59">
        <f t="shared" si="79"/>
        <v>5355.4664000000039</v>
      </c>
      <c r="P717" s="59">
        <v>-2700</v>
      </c>
      <c r="Q717" s="59">
        <v>0</v>
      </c>
      <c r="R717" s="59">
        <v>0</v>
      </c>
      <c r="S717" s="59">
        <v>0</v>
      </c>
      <c r="T717" s="59">
        <v>0</v>
      </c>
      <c r="U717" s="59">
        <v>0</v>
      </c>
      <c r="V717" s="59">
        <v>0</v>
      </c>
      <c r="W717" s="59">
        <f t="shared" si="80"/>
        <v>2655.4664000000039</v>
      </c>
      <c r="X717" s="59">
        <f t="shared" si="76"/>
        <v>2655.4664000000039</v>
      </c>
      <c r="Y717" s="59">
        <f t="shared" si="77"/>
        <v>0</v>
      </c>
      <c r="Z717" s="59">
        <v>0</v>
      </c>
      <c r="AA717" s="59">
        <f t="shared" si="78"/>
        <v>0</v>
      </c>
      <c r="AB717" s="59">
        <f t="shared" si="81"/>
        <v>2700</v>
      </c>
      <c r="AE717" s="50"/>
      <c r="AF717" s="59"/>
    </row>
    <row r="718" spans="1:34" x14ac:dyDescent="0.3">
      <c r="A718" s="49">
        <v>12</v>
      </c>
      <c r="B718" s="41" t="s">
        <v>1190</v>
      </c>
      <c r="C718" s="50" t="s">
        <v>573</v>
      </c>
      <c r="D718" s="50" t="s">
        <v>1149</v>
      </c>
      <c r="E718" s="50" t="s">
        <v>25</v>
      </c>
      <c r="F718" s="51" t="s">
        <v>25</v>
      </c>
      <c r="G718" s="50" t="s">
        <v>866</v>
      </c>
      <c r="H718" s="60">
        <v>1021.95</v>
      </c>
      <c r="I718" s="59">
        <v>0</v>
      </c>
      <c r="J718" s="59">
        <v>0</v>
      </c>
      <c r="K718" s="59">
        <v>0</v>
      </c>
      <c r="L718" s="59">
        <v>0</v>
      </c>
      <c r="M718" s="59">
        <v>0</v>
      </c>
      <c r="N718" s="59">
        <v>0</v>
      </c>
      <c r="O718" s="59">
        <f t="shared" si="79"/>
        <v>1021.95</v>
      </c>
      <c r="P718" s="59">
        <v>-2500</v>
      </c>
      <c r="Q718" s="59">
        <f>-611*1.12</f>
        <v>-684.32</v>
      </c>
      <c r="R718" s="59">
        <v>0</v>
      </c>
      <c r="S718" s="59">
        <v>0</v>
      </c>
      <c r="T718" s="59">
        <v>0</v>
      </c>
      <c r="U718" s="59">
        <v>0</v>
      </c>
      <c r="V718" s="59">
        <v>0</v>
      </c>
      <c r="W718" s="59">
        <f t="shared" si="80"/>
        <v>-2162.37</v>
      </c>
      <c r="X718" s="59">
        <f t="shared" si="76"/>
        <v>0</v>
      </c>
      <c r="Y718" s="59">
        <f t="shared" si="77"/>
        <v>-2162.37</v>
      </c>
      <c r="Z718" s="59">
        <v>0</v>
      </c>
      <c r="AA718" s="59">
        <f t="shared" si="78"/>
        <v>-2162.37</v>
      </c>
      <c r="AB718" s="59">
        <f t="shared" si="81"/>
        <v>-1140.4199999999998</v>
      </c>
      <c r="AE718" s="50"/>
      <c r="AF718" s="59"/>
    </row>
    <row r="719" spans="1:34" x14ac:dyDescent="0.3">
      <c r="A719" s="49">
        <v>12</v>
      </c>
      <c r="B719" s="50" t="s">
        <v>1956</v>
      </c>
      <c r="C719" s="50" t="s">
        <v>257</v>
      </c>
      <c r="D719" s="50" t="s">
        <v>1605</v>
      </c>
      <c r="E719" s="50" t="s">
        <v>25</v>
      </c>
      <c r="F719" s="50" t="s">
        <v>25</v>
      </c>
      <c r="G719" s="50" t="s">
        <v>866</v>
      </c>
      <c r="H719" s="59">
        <v>0</v>
      </c>
      <c r="I719" s="59">
        <v>0</v>
      </c>
      <c r="J719" s="59">
        <v>0</v>
      </c>
      <c r="K719" s="59">
        <v>0</v>
      </c>
      <c r="L719" s="59">
        <v>0</v>
      </c>
      <c r="M719" s="59">
        <v>0</v>
      </c>
      <c r="N719" s="59">
        <v>0</v>
      </c>
      <c r="O719" s="59">
        <f t="shared" si="79"/>
        <v>0</v>
      </c>
      <c r="P719" s="59">
        <v>-2500</v>
      </c>
      <c r="Q719" s="59">
        <v>0</v>
      </c>
      <c r="R719" s="59">
        <v>-500</v>
      </c>
      <c r="S719" s="59">
        <v>0</v>
      </c>
      <c r="T719" s="59">
        <v>0</v>
      </c>
      <c r="U719" s="59">
        <v>0</v>
      </c>
      <c r="V719" s="59">
        <v>0</v>
      </c>
      <c r="W719" s="59">
        <f t="shared" si="80"/>
        <v>-3000</v>
      </c>
      <c r="X719" s="59">
        <f t="shared" si="76"/>
        <v>0</v>
      </c>
      <c r="Y719" s="59">
        <f t="shared" si="77"/>
        <v>-3000</v>
      </c>
      <c r="Z719" s="59">
        <f>1880+1120</f>
        <v>3000</v>
      </c>
      <c r="AA719" s="59">
        <f t="shared" si="78"/>
        <v>0</v>
      </c>
      <c r="AB719" s="59">
        <f t="shared" si="81"/>
        <v>3000</v>
      </c>
      <c r="AD719" s="50" t="s">
        <v>3368</v>
      </c>
      <c r="AE719" s="50"/>
      <c r="AF719" s="59"/>
    </row>
    <row r="720" spans="1:34" x14ac:dyDescent="0.3">
      <c r="A720" s="49">
        <v>12</v>
      </c>
      <c r="B720" s="50" t="s">
        <v>1960</v>
      </c>
      <c r="C720" s="50" t="s">
        <v>123</v>
      </c>
      <c r="D720" s="50" t="s">
        <v>1608</v>
      </c>
      <c r="E720" s="50" t="s">
        <v>25</v>
      </c>
      <c r="F720" s="50" t="s">
        <v>25</v>
      </c>
      <c r="G720" s="50" t="s">
        <v>737</v>
      </c>
      <c r="H720" s="59">
        <v>2577.6799999999998</v>
      </c>
      <c r="I720" s="59">
        <v>-1904.88</v>
      </c>
      <c r="J720" s="59">
        <v>-192.39288000000002</v>
      </c>
      <c r="K720" s="59">
        <v>0</v>
      </c>
      <c r="L720" s="59">
        <v>0</v>
      </c>
      <c r="M720" s="59">
        <v>0</v>
      </c>
      <c r="N720" s="59">
        <v>0</v>
      </c>
      <c r="O720" s="59">
        <f t="shared" si="79"/>
        <v>480.40711999999974</v>
      </c>
      <c r="P720" s="59">
        <v>-2500</v>
      </c>
      <c r="Q720" s="59">
        <v>0</v>
      </c>
      <c r="R720" s="59">
        <v>-500</v>
      </c>
      <c r="S720" s="59">
        <v>0</v>
      </c>
      <c r="T720" s="59">
        <v>0</v>
      </c>
      <c r="U720" s="59">
        <v>0</v>
      </c>
      <c r="V720" s="59">
        <v>0</v>
      </c>
      <c r="W720" s="59">
        <f t="shared" si="80"/>
        <v>-2519.5928800000002</v>
      </c>
      <c r="X720" s="59">
        <f t="shared" si="76"/>
        <v>0</v>
      </c>
      <c r="Y720" s="59">
        <f t="shared" si="77"/>
        <v>-2519.5928800000002</v>
      </c>
      <c r="Z720" s="59">
        <v>2520</v>
      </c>
      <c r="AA720" s="59">
        <f t="shared" si="78"/>
        <v>0.40711999999984982</v>
      </c>
      <c r="AB720" s="59">
        <f t="shared" si="81"/>
        <v>3000.8142399999997</v>
      </c>
      <c r="AD720" s="50" t="s">
        <v>3369</v>
      </c>
      <c r="AE720" s="50"/>
      <c r="AF720" s="59"/>
    </row>
    <row r="721" spans="1:32" x14ac:dyDescent="0.3">
      <c r="A721" s="49">
        <v>12</v>
      </c>
      <c r="B721" s="41" t="s">
        <v>484</v>
      </c>
      <c r="C721" s="50" t="s">
        <v>1065</v>
      </c>
      <c r="D721" s="50" t="s">
        <v>1159</v>
      </c>
      <c r="E721" s="50" t="s">
        <v>25</v>
      </c>
      <c r="F721" s="51" t="s">
        <v>25</v>
      </c>
      <c r="G721" s="50" t="s">
        <v>866</v>
      </c>
      <c r="H721" s="59">
        <v>8154.43</v>
      </c>
      <c r="I721" s="59">
        <v>-4573.0699999999979</v>
      </c>
      <c r="J721" s="59">
        <v>-113.6</v>
      </c>
      <c r="K721" s="59">
        <v>0</v>
      </c>
      <c r="L721" s="59">
        <v>0</v>
      </c>
      <c r="M721" s="59">
        <v>-75</v>
      </c>
      <c r="N721" s="59">
        <v>0</v>
      </c>
      <c r="O721" s="59">
        <f t="shared" si="79"/>
        <v>3392.7600000000025</v>
      </c>
      <c r="P721" s="59">
        <v>-2500</v>
      </c>
      <c r="Q721" s="59">
        <v>0</v>
      </c>
      <c r="R721" s="59">
        <v>0</v>
      </c>
      <c r="S721" s="59">
        <v>0</v>
      </c>
      <c r="T721" s="59">
        <v>0</v>
      </c>
      <c r="U721" s="59">
        <v>0</v>
      </c>
      <c r="V721" s="59">
        <v>0</v>
      </c>
      <c r="W721" s="59">
        <f t="shared" si="80"/>
        <v>892.76000000000249</v>
      </c>
      <c r="X721" s="59">
        <f t="shared" si="76"/>
        <v>892.76000000000249</v>
      </c>
      <c r="Y721" s="59">
        <f t="shared" si="77"/>
        <v>0</v>
      </c>
      <c r="Z721" s="59">
        <v>0</v>
      </c>
      <c r="AA721" s="59">
        <f t="shared" si="78"/>
        <v>0</v>
      </c>
      <c r="AB721" s="59">
        <f t="shared" si="81"/>
        <v>2500</v>
      </c>
      <c r="AE721" s="50"/>
      <c r="AF721" s="59"/>
    </row>
    <row r="722" spans="1:32" x14ac:dyDescent="0.3">
      <c r="A722" s="49">
        <v>12</v>
      </c>
      <c r="B722" s="50" t="s">
        <v>2008</v>
      </c>
      <c r="C722" s="50" t="s">
        <v>409</v>
      </c>
      <c r="D722" s="50" t="s">
        <v>946</v>
      </c>
      <c r="E722" s="50" t="s">
        <v>25</v>
      </c>
      <c r="F722" s="50" t="s">
        <v>25</v>
      </c>
      <c r="G722" s="50" t="s">
        <v>866</v>
      </c>
      <c r="H722" s="59">
        <v>2772.32</v>
      </c>
      <c r="I722" s="59">
        <v>-1221.8800000000001</v>
      </c>
      <c r="J722" s="59">
        <v>0</v>
      </c>
      <c r="K722" s="59">
        <v>14.69</v>
      </c>
      <c r="L722" s="59">
        <v>0</v>
      </c>
      <c r="M722" s="59">
        <v>-55</v>
      </c>
      <c r="N722" s="59">
        <v>0</v>
      </c>
      <c r="O722" s="59">
        <f t="shared" si="79"/>
        <v>1510.13</v>
      </c>
      <c r="P722" s="59">
        <v>-2500</v>
      </c>
      <c r="Q722" s="59">
        <f>-940*1.12</f>
        <v>-1052.8000000000002</v>
      </c>
      <c r="R722" s="59">
        <v>-500</v>
      </c>
      <c r="S722" s="59">
        <v>0</v>
      </c>
      <c r="T722" s="59">
        <v>0</v>
      </c>
      <c r="U722" s="59">
        <v>0</v>
      </c>
      <c r="V722" s="59">
        <v>0</v>
      </c>
      <c r="W722" s="59">
        <f t="shared" si="80"/>
        <v>-2542.67</v>
      </c>
      <c r="X722" s="59">
        <f t="shared" si="76"/>
        <v>0</v>
      </c>
      <c r="Y722" s="59">
        <f t="shared" si="77"/>
        <v>-2542.67</v>
      </c>
      <c r="Z722" s="59">
        <f>350+300+500</f>
        <v>1150</v>
      </c>
      <c r="AA722" s="59">
        <f t="shared" si="78"/>
        <v>-1392.67</v>
      </c>
      <c r="AB722" s="59">
        <f t="shared" si="81"/>
        <v>1267.46</v>
      </c>
      <c r="AD722" s="50" t="s">
        <v>3370</v>
      </c>
      <c r="AE722" s="50"/>
      <c r="AF722" s="59"/>
    </row>
    <row r="723" spans="1:32" x14ac:dyDescent="0.3">
      <c r="A723" s="49">
        <v>12</v>
      </c>
      <c r="B723" s="50" t="s">
        <v>2012</v>
      </c>
      <c r="C723" s="50" t="s">
        <v>361</v>
      </c>
      <c r="D723" s="50" t="s">
        <v>1164</v>
      </c>
      <c r="E723" s="50" t="s">
        <v>25</v>
      </c>
      <c r="F723" s="50" t="s">
        <v>25</v>
      </c>
      <c r="G723" s="50" t="s">
        <v>866</v>
      </c>
      <c r="H723" s="59">
        <v>2660.78</v>
      </c>
      <c r="I723" s="59">
        <v>0</v>
      </c>
      <c r="J723" s="59">
        <v>0</v>
      </c>
      <c r="K723" s="59">
        <v>0</v>
      </c>
      <c r="L723" s="59">
        <v>0</v>
      </c>
      <c r="M723" s="59">
        <v>-8.5223999999999975</v>
      </c>
      <c r="N723" s="59">
        <v>-71.019999999999982</v>
      </c>
      <c r="O723" s="59">
        <f t="shared" si="79"/>
        <v>2581.2376000000004</v>
      </c>
      <c r="P723" s="59">
        <v>-2700</v>
      </c>
      <c r="Q723" s="59">
        <v>0</v>
      </c>
      <c r="R723" s="59">
        <v>-500</v>
      </c>
      <c r="S723" s="59">
        <v>0</v>
      </c>
      <c r="T723" s="59">
        <v>0</v>
      </c>
      <c r="U723" s="59">
        <v>0</v>
      </c>
      <c r="V723" s="59">
        <v>0</v>
      </c>
      <c r="W723" s="59">
        <f t="shared" si="80"/>
        <v>-618.76239999999962</v>
      </c>
      <c r="X723" s="59">
        <f t="shared" si="76"/>
        <v>0</v>
      </c>
      <c r="Y723" s="59">
        <f t="shared" si="77"/>
        <v>-618.76239999999962</v>
      </c>
      <c r="Z723" s="59">
        <v>619</v>
      </c>
      <c r="AA723" s="59">
        <f t="shared" si="78"/>
        <v>0.23760000000038417</v>
      </c>
      <c r="AB723" s="59">
        <f t="shared" si="81"/>
        <v>3200.4752000000008</v>
      </c>
      <c r="AD723" s="50" t="s">
        <v>3371</v>
      </c>
      <c r="AE723" s="50"/>
      <c r="AF723" s="59"/>
    </row>
    <row r="724" spans="1:32" x14ac:dyDescent="0.3">
      <c r="A724" s="49">
        <v>12</v>
      </c>
      <c r="B724" s="50" t="s">
        <v>1958</v>
      </c>
      <c r="C724" s="50" t="s">
        <v>51</v>
      </c>
      <c r="D724" s="50" t="s">
        <v>1115</v>
      </c>
      <c r="E724" s="50" t="s">
        <v>25</v>
      </c>
      <c r="F724" s="50" t="s">
        <v>25</v>
      </c>
      <c r="G724" s="50" t="s">
        <v>866</v>
      </c>
      <c r="H724" s="59">
        <v>3764.02</v>
      </c>
      <c r="I724" s="59">
        <v>-663.05000000000007</v>
      </c>
      <c r="J724" s="59">
        <v>-16</v>
      </c>
      <c r="K724" s="59">
        <v>29.37</v>
      </c>
      <c r="L724" s="59">
        <v>0</v>
      </c>
      <c r="M724" s="59">
        <v>-30</v>
      </c>
      <c r="N724" s="59">
        <v>0</v>
      </c>
      <c r="O724" s="59">
        <f t="shared" si="79"/>
        <v>3084.3399999999997</v>
      </c>
      <c r="P724" s="59">
        <v>-2500</v>
      </c>
      <c r="Q724" s="59">
        <v>0</v>
      </c>
      <c r="R724" s="59">
        <v>-500</v>
      </c>
      <c r="S724" s="59">
        <v>0</v>
      </c>
      <c r="T724" s="59">
        <v>0</v>
      </c>
      <c r="U724" s="59">
        <v>0</v>
      </c>
      <c r="V724" s="59">
        <v>0</v>
      </c>
      <c r="W724" s="59">
        <f t="shared" si="80"/>
        <v>84.339999999999691</v>
      </c>
      <c r="X724" s="59">
        <f t="shared" si="76"/>
        <v>84.339999999999691</v>
      </c>
      <c r="Y724" s="59">
        <f t="shared" si="77"/>
        <v>0</v>
      </c>
      <c r="Z724" s="59">
        <v>0</v>
      </c>
      <c r="AA724" s="59">
        <f t="shared" si="78"/>
        <v>0</v>
      </c>
      <c r="AB724" s="59">
        <f t="shared" si="81"/>
        <v>3000</v>
      </c>
      <c r="AE724" s="50"/>
      <c r="AF724" s="59"/>
    </row>
    <row r="725" spans="1:32" x14ac:dyDescent="0.3">
      <c r="A725" s="49">
        <v>12</v>
      </c>
      <c r="B725" s="41" t="s">
        <v>1432</v>
      </c>
      <c r="C725" s="50" t="s">
        <v>183</v>
      </c>
      <c r="D725" s="50" t="s">
        <v>887</v>
      </c>
      <c r="E725" s="50" t="s">
        <v>25</v>
      </c>
      <c r="F725" s="51" t="s">
        <v>25</v>
      </c>
      <c r="G725" s="50" t="s">
        <v>866</v>
      </c>
      <c r="H725" s="59">
        <v>0</v>
      </c>
      <c r="I725" s="59">
        <v>0</v>
      </c>
      <c r="J725" s="59">
        <v>0</v>
      </c>
      <c r="K725" s="59">
        <v>0</v>
      </c>
      <c r="L725" s="59">
        <v>0</v>
      </c>
      <c r="M725" s="59">
        <v>0</v>
      </c>
      <c r="N725" s="59">
        <v>0</v>
      </c>
      <c r="O725" s="59">
        <f t="shared" si="79"/>
        <v>0</v>
      </c>
      <c r="P725" s="59">
        <f>(-2500/7)*4.5</f>
        <v>-1607.1428571428573</v>
      </c>
      <c r="Q725" s="59">
        <v>-3255</v>
      </c>
      <c r="R725" s="59">
        <v>-321.42857142857144</v>
      </c>
      <c r="S725" s="59">
        <v>0</v>
      </c>
      <c r="T725" s="59">
        <v>0</v>
      </c>
      <c r="U725" s="59">
        <v>0</v>
      </c>
      <c r="V725" s="59">
        <v>0</v>
      </c>
      <c r="W725" s="59">
        <f t="shared" si="80"/>
        <v>-5183.5714285714284</v>
      </c>
      <c r="X725" s="59">
        <f t="shared" si="76"/>
        <v>0</v>
      </c>
      <c r="Y725" s="59">
        <f t="shared" si="77"/>
        <v>-5183.5714285714284</v>
      </c>
      <c r="Z725" s="59">
        <v>500</v>
      </c>
      <c r="AA725" s="59">
        <f t="shared" si="78"/>
        <v>-4683.5714285714284</v>
      </c>
      <c r="AB725" s="59">
        <f t="shared" si="81"/>
        <v>-4183.5714285714284</v>
      </c>
      <c r="AD725" s="50" t="s">
        <v>3372</v>
      </c>
      <c r="AE725" s="50"/>
      <c r="AF725" s="59"/>
    </row>
    <row r="726" spans="1:32" x14ac:dyDescent="0.3">
      <c r="A726" s="49">
        <v>12</v>
      </c>
      <c r="B726" s="41" t="s">
        <v>747</v>
      </c>
      <c r="C726" s="50" t="s">
        <v>1586</v>
      </c>
      <c r="D726" s="50" t="s">
        <v>1587</v>
      </c>
      <c r="E726" s="50" t="s">
        <v>25</v>
      </c>
      <c r="F726" s="51" t="s">
        <v>25</v>
      </c>
      <c r="G726" s="50" t="s">
        <v>866</v>
      </c>
      <c r="H726" s="59">
        <v>2089.66</v>
      </c>
      <c r="I726" s="59">
        <v>0</v>
      </c>
      <c r="J726" s="59">
        <v>0</v>
      </c>
      <c r="K726" s="59">
        <v>0</v>
      </c>
      <c r="L726" s="59">
        <v>0</v>
      </c>
      <c r="M726" s="59">
        <v>-14.16</v>
      </c>
      <c r="N726" s="59">
        <v>-118</v>
      </c>
      <c r="O726" s="59">
        <f t="shared" si="79"/>
        <v>1957.5</v>
      </c>
      <c r="P726" s="59">
        <v>-2700</v>
      </c>
      <c r="Q726" s="59">
        <f>-444*1.12</f>
        <v>-497.28000000000003</v>
      </c>
      <c r="R726" s="59">
        <v>0</v>
      </c>
      <c r="S726" s="59">
        <v>0</v>
      </c>
      <c r="T726" s="59">
        <v>0</v>
      </c>
      <c r="U726" s="59">
        <v>0</v>
      </c>
      <c r="V726" s="59">
        <v>0</v>
      </c>
      <c r="W726" s="59">
        <f t="shared" si="80"/>
        <v>-1239.78</v>
      </c>
      <c r="X726" s="59">
        <f t="shared" si="76"/>
        <v>0</v>
      </c>
      <c r="Y726" s="59">
        <f t="shared" si="77"/>
        <v>-1239.78</v>
      </c>
      <c r="Z726" s="59">
        <v>1000</v>
      </c>
      <c r="AA726" s="59">
        <f t="shared" si="78"/>
        <v>-239.77999999999997</v>
      </c>
      <c r="AB726" s="59">
        <f t="shared" si="81"/>
        <v>2717.7200000000003</v>
      </c>
      <c r="AD726" s="50" t="s">
        <v>3373</v>
      </c>
      <c r="AE726" s="50"/>
      <c r="AF726" s="59"/>
    </row>
    <row r="727" spans="1:32" x14ac:dyDescent="0.3">
      <c r="A727" s="49">
        <v>12</v>
      </c>
      <c r="B727" s="41" t="s">
        <v>1244</v>
      </c>
      <c r="C727" s="50" t="s">
        <v>1429</v>
      </c>
      <c r="D727" s="50" t="s">
        <v>1588</v>
      </c>
      <c r="E727" s="50" t="s">
        <v>25</v>
      </c>
      <c r="F727" s="51" t="s">
        <v>25</v>
      </c>
      <c r="G727" s="50" t="s">
        <v>866</v>
      </c>
      <c r="H727" s="59">
        <v>2078.3000000000002</v>
      </c>
      <c r="I727" s="59">
        <v>-1125.5700000000002</v>
      </c>
      <c r="J727" s="59">
        <v>0</v>
      </c>
      <c r="K727" s="59">
        <v>0</v>
      </c>
      <c r="L727" s="59">
        <v>0</v>
      </c>
      <c r="M727" s="59">
        <v>-55</v>
      </c>
      <c r="N727" s="59">
        <v>0</v>
      </c>
      <c r="O727" s="59">
        <f t="shared" si="79"/>
        <v>897.73</v>
      </c>
      <c r="P727" s="59">
        <v>-2700</v>
      </c>
      <c r="Q727" s="59">
        <v>0</v>
      </c>
      <c r="R727" s="59">
        <v>0</v>
      </c>
      <c r="S727" s="59">
        <v>0</v>
      </c>
      <c r="T727" s="59">
        <v>0</v>
      </c>
      <c r="U727" s="59">
        <v>0</v>
      </c>
      <c r="V727" s="59">
        <v>0</v>
      </c>
      <c r="W727" s="59">
        <f t="shared" si="80"/>
        <v>-1802.27</v>
      </c>
      <c r="X727" s="59">
        <f t="shared" si="76"/>
        <v>0</v>
      </c>
      <c r="Y727" s="59">
        <f t="shared" si="77"/>
        <v>-1802.27</v>
      </c>
      <c r="Z727" s="59">
        <f>1000+500</f>
        <v>1500</v>
      </c>
      <c r="AA727" s="59">
        <f t="shared" si="78"/>
        <v>-302.27</v>
      </c>
      <c r="AB727" s="59">
        <f t="shared" si="81"/>
        <v>2095.46</v>
      </c>
      <c r="AD727" s="50" t="s">
        <v>3374</v>
      </c>
      <c r="AE727" s="50"/>
      <c r="AF727" s="59"/>
    </row>
    <row r="728" spans="1:32" x14ac:dyDescent="0.3">
      <c r="A728" s="49">
        <v>12</v>
      </c>
      <c r="B728" s="41" t="s">
        <v>1307</v>
      </c>
      <c r="C728" s="50" t="s">
        <v>150</v>
      </c>
      <c r="D728" s="50" t="s">
        <v>1308</v>
      </c>
      <c r="E728" s="50" t="s">
        <v>25</v>
      </c>
      <c r="F728" s="51" t="s">
        <v>25</v>
      </c>
      <c r="G728" s="50" t="s">
        <v>866</v>
      </c>
      <c r="H728" s="59">
        <v>5527.08</v>
      </c>
      <c r="I728" s="59">
        <v>-1736.3900000000008</v>
      </c>
      <c r="J728" s="59">
        <v>-237.6</v>
      </c>
      <c r="K728" s="59">
        <v>0</v>
      </c>
      <c r="L728" s="59">
        <v>0</v>
      </c>
      <c r="M728" s="59">
        <v>-55</v>
      </c>
      <c r="N728" s="59">
        <v>0</v>
      </c>
      <c r="O728" s="59">
        <f t="shared" si="79"/>
        <v>3498.0899999999992</v>
      </c>
      <c r="P728" s="59">
        <v>-2500</v>
      </c>
      <c r="Q728" s="59">
        <v>0</v>
      </c>
      <c r="R728" s="59">
        <v>-143</v>
      </c>
      <c r="S728" s="59">
        <v>0</v>
      </c>
      <c r="T728" s="59">
        <v>0</v>
      </c>
      <c r="U728" s="59">
        <v>0</v>
      </c>
      <c r="V728" s="59">
        <v>0</v>
      </c>
      <c r="W728" s="59">
        <f t="shared" si="80"/>
        <v>855.08999999999924</v>
      </c>
      <c r="X728" s="59">
        <f t="shared" si="76"/>
        <v>855.08999999999924</v>
      </c>
      <c r="Y728" s="59">
        <f t="shared" si="77"/>
        <v>0</v>
      </c>
      <c r="Z728" s="59">
        <v>0</v>
      </c>
      <c r="AA728" s="59">
        <f t="shared" si="78"/>
        <v>0</v>
      </c>
      <c r="AB728" s="59">
        <f t="shared" si="81"/>
        <v>2643</v>
      </c>
      <c r="AE728" s="50"/>
      <c r="AF728" s="59"/>
    </row>
    <row r="729" spans="1:32" x14ac:dyDescent="0.3">
      <c r="A729" s="49">
        <v>12</v>
      </c>
      <c r="B729" s="41" t="s">
        <v>1425</v>
      </c>
      <c r="C729" s="50" t="s">
        <v>426</v>
      </c>
      <c r="D729" s="50" t="s">
        <v>903</v>
      </c>
      <c r="E729" s="50" t="s">
        <v>25</v>
      </c>
      <c r="F729" s="51" t="s">
        <v>25</v>
      </c>
      <c r="G729" s="50" t="s">
        <v>866</v>
      </c>
      <c r="H729" s="59">
        <v>0</v>
      </c>
      <c r="I729" s="59">
        <v>0</v>
      </c>
      <c r="J729" s="59">
        <v>0</v>
      </c>
      <c r="K729" s="59">
        <v>0</v>
      </c>
      <c r="L729" s="59">
        <v>0</v>
      </c>
      <c r="M729" s="59">
        <v>0</v>
      </c>
      <c r="N729" s="59">
        <v>0</v>
      </c>
      <c r="O729" s="59">
        <f t="shared" si="79"/>
        <v>0</v>
      </c>
      <c r="P729" s="59">
        <v>0</v>
      </c>
      <c r="Q729" s="59">
        <v>0</v>
      </c>
      <c r="R729" s="59">
        <v>500</v>
      </c>
      <c r="S729" s="59">
        <v>0</v>
      </c>
      <c r="T729" s="59">
        <v>0</v>
      </c>
      <c r="U729" s="59">
        <v>0</v>
      </c>
      <c r="V729" s="59">
        <v>0</v>
      </c>
      <c r="W729" s="59">
        <f t="shared" si="80"/>
        <v>500</v>
      </c>
      <c r="X729" s="59">
        <f t="shared" si="76"/>
        <v>500</v>
      </c>
      <c r="Y729" s="59">
        <f t="shared" si="77"/>
        <v>0</v>
      </c>
      <c r="Z729" s="59">
        <v>0</v>
      </c>
      <c r="AA729" s="59">
        <f t="shared" si="78"/>
        <v>0</v>
      </c>
      <c r="AB729" s="59">
        <f t="shared" si="81"/>
        <v>-500</v>
      </c>
      <c r="AE729" s="50"/>
      <c r="AF729" s="59"/>
    </row>
    <row r="730" spans="1:32" x14ac:dyDescent="0.3">
      <c r="A730" s="49">
        <v>12</v>
      </c>
      <c r="B730" s="41" t="s">
        <v>1423</v>
      </c>
      <c r="C730" s="50" t="s">
        <v>55</v>
      </c>
      <c r="D730" s="50" t="s">
        <v>1147</v>
      </c>
      <c r="E730" s="50" t="s">
        <v>25</v>
      </c>
      <c r="F730" s="51" t="s">
        <v>25</v>
      </c>
      <c r="G730" s="50" t="s">
        <v>866</v>
      </c>
      <c r="H730" s="59">
        <v>3830.08</v>
      </c>
      <c r="I730" s="59">
        <v>-1874.2600000000002</v>
      </c>
      <c r="J730" s="59">
        <v>0</v>
      </c>
      <c r="K730" s="59">
        <v>0</v>
      </c>
      <c r="L730" s="59">
        <v>0</v>
      </c>
      <c r="M730" s="59">
        <v>-55</v>
      </c>
      <c r="N730" s="59">
        <v>0</v>
      </c>
      <c r="O730" s="59">
        <f t="shared" si="79"/>
        <v>1900.8199999999997</v>
      </c>
      <c r="P730" s="59">
        <v>-2500</v>
      </c>
      <c r="Q730" s="59">
        <v>0</v>
      </c>
      <c r="R730" s="59">
        <v>0</v>
      </c>
      <c r="S730" s="59">
        <v>0</v>
      </c>
      <c r="T730" s="59">
        <v>-500</v>
      </c>
      <c r="U730" s="59">
        <v>0</v>
      </c>
      <c r="V730" s="59">
        <v>0</v>
      </c>
      <c r="W730" s="59">
        <f t="shared" si="80"/>
        <v>-1099.1800000000003</v>
      </c>
      <c r="X730" s="59">
        <f t="shared" si="76"/>
        <v>0</v>
      </c>
      <c r="Y730" s="59">
        <f t="shared" si="77"/>
        <v>-1099.1800000000003</v>
      </c>
      <c r="Z730" s="59">
        <v>1099</v>
      </c>
      <c r="AA730" s="59">
        <f t="shared" si="78"/>
        <v>-0.18000000000029104</v>
      </c>
      <c r="AB730" s="59">
        <f t="shared" si="81"/>
        <v>2999.6399999999994</v>
      </c>
      <c r="AD730" s="50" t="s">
        <v>3375</v>
      </c>
      <c r="AE730" s="50"/>
      <c r="AF730" s="59"/>
    </row>
    <row r="731" spans="1:32" x14ac:dyDescent="0.3">
      <c r="A731" s="49">
        <v>12</v>
      </c>
      <c r="B731" s="41" t="s">
        <v>922</v>
      </c>
      <c r="C731" s="50" t="s">
        <v>670</v>
      </c>
      <c r="D731" s="50" t="s">
        <v>1221</v>
      </c>
      <c r="E731" s="50" t="s">
        <v>25</v>
      </c>
      <c r="F731" s="51" t="s">
        <v>25</v>
      </c>
      <c r="G731" s="50" t="s">
        <v>737</v>
      </c>
      <c r="H731" s="59">
        <v>0</v>
      </c>
      <c r="I731" s="59">
        <v>0</v>
      </c>
      <c r="J731" s="59">
        <v>0</v>
      </c>
      <c r="K731" s="59">
        <v>0</v>
      </c>
      <c r="L731" s="59">
        <v>0</v>
      </c>
      <c r="M731" s="59">
        <v>0</v>
      </c>
      <c r="N731" s="59">
        <v>0</v>
      </c>
      <c r="O731" s="59">
        <f t="shared" si="79"/>
        <v>0</v>
      </c>
      <c r="P731" s="59">
        <v>-2500</v>
      </c>
      <c r="Q731" s="59">
        <f>-1009*1.12</f>
        <v>-1130.0800000000002</v>
      </c>
      <c r="R731" s="59">
        <v>0</v>
      </c>
      <c r="S731" s="59">
        <v>0</v>
      </c>
      <c r="T731" s="59">
        <v>0</v>
      </c>
      <c r="U731" s="59">
        <v>0</v>
      </c>
      <c r="V731" s="59">
        <v>0</v>
      </c>
      <c r="W731" s="59">
        <f t="shared" si="80"/>
        <v>-3630.08</v>
      </c>
      <c r="X731" s="59">
        <f t="shared" si="76"/>
        <v>0</v>
      </c>
      <c r="Y731" s="59">
        <f t="shared" si="77"/>
        <v>-3630.08</v>
      </c>
      <c r="Z731" s="59">
        <f>680+4000</f>
        <v>4680</v>
      </c>
      <c r="AA731" s="59">
        <f t="shared" si="78"/>
        <v>1049.92</v>
      </c>
      <c r="AB731" s="59">
        <f t="shared" si="81"/>
        <v>5729.92</v>
      </c>
      <c r="AD731" s="50" t="s">
        <v>3376</v>
      </c>
      <c r="AE731" s="50"/>
      <c r="AF731" s="59"/>
    </row>
    <row r="732" spans="1:32" x14ac:dyDescent="0.3">
      <c r="A732" s="49">
        <v>12</v>
      </c>
      <c r="B732" s="41" t="s">
        <v>922</v>
      </c>
      <c r="C732" s="50" t="s">
        <v>347</v>
      </c>
      <c r="D732" s="50" t="s">
        <v>1221</v>
      </c>
      <c r="E732" s="50" t="s">
        <v>25</v>
      </c>
      <c r="F732" s="51" t="s">
        <v>25</v>
      </c>
      <c r="G732" s="50" t="s">
        <v>737</v>
      </c>
      <c r="H732" s="59">
        <v>0</v>
      </c>
      <c r="I732" s="59">
        <v>0</v>
      </c>
      <c r="J732" s="59">
        <v>0</v>
      </c>
      <c r="K732" s="59">
        <v>0</v>
      </c>
      <c r="L732" s="59">
        <v>0</v>
      </c>
      <c r="M732" s="59">
        <v>0</v>
      </c>
      <c r="N732" s="59">
        <v>0</v>
      </c>
      <c r="O732" s="59">
        <f t="shared" si="79"/>
        <v>0</v>
      </c>
      <c r="P732" s="59">
        <v>0</v>
      </c>
      <c r="Q732" s="59">
        <v>0</v>
      </c>
      <c r="R732" s="59">
        <v>0</v>
      </c>
      <c r="S732" s="59">
        <v>-420</v>
      </c>
      <c r="T732" s="59">
        <v>0</v>
      </c>
      <c r="U732" s="59">
        <v>0</v>
      </c>
      <c r="V732" s="59">
        <v>0</v>
      </c>
      <c r="W732" s="59">
        <f t="shared" si="80"/>
        <v>-420</v>
      </c>
      <c r="X732" s="59">
        <f t="shared" si="76"/>
        <v>0</v>
      </c>
      <c r="Y732" s="59">
        <f t="shared" si="77"/>
        <v>-420</v>
      </c>
      <c r="Z732" s="59">
        <v>420</v>
      </c>
      <c r="AA732" s="59">
        <f t="shared" si="78"/>
        <v>0</v>
      </c>
      <c r="AB732" s="59">
        <f t="shared" si="81"/>
        <v>420</v>
      </c>
      <c r="AE732" s="50"/>
      <c r="AF732" s="59"/>
    </row>
    <row r="733" spans="1:32" x14ac:dyDescent="0.3">
      <c r="A733" s="49">
        <v>12</v>
      </c>
      <c r="B733" s="50" t="s">
        <v>2011</v>
      </c>
      <c r="C733" s="50" t="s">
        <v>46</v>
      </c>
      <c r="D733" s="50" t="s">
        <v>915</v>
      </c>
      <c r="E733" s="50" t="s">
        <v>25</v>
      </c>
      <c r="F733" s="50" t="s">
        <v>25</v>
      </c>
      <c r="G733" s="50" t="s">
        <v>866</v>
      </c>
      <c r="H733" s="59">
        <v>6225.7</v>
      </c>
      <c r="I733" s="59">
        <v>-2038.5800000000004</v>
      </c>
      <c r="J733" s="59">
        <v>0</v>
      </c>
      <c r="K733" s="59">
        <v>0</v>
      </c>
      <c r="L733" s="59">
        <v>0</v>
      </c>
      <c r="M733" s="59">
        <v>-60</v>
      </c>
      <c r="N733" s="59">
        <v>0</v>
      </c>
      <c r="O733" s="59">
        <f t="shared" si="79"/>
        <v>4127.119999999999</v>
      </c>
      <c r="P733" s="59">
        <v>-2500</v>
      </c>
      <c r="Q733" s="59">
        <v>0</v>
      </c>
      <c r="R733" s="59">
        <v>-500</v>
      </c>
      <c r="S733" s="59">
        <v>0</v>
      </c>
      <c r="T733" s="59">
        <v>0</v>
      </c>
      <c r="U733" s="59">
        <v>0</v>
      </c>
      <c r="V733" s="59">
        <v>0</v>
      </c>
      <c r="W733" s="59">
        <f t="shared" si="80"/>
        <v>1127.119999999999</v>
      </c>
      <c r="X733" s="59">
        <f t="shared" si="76"/>
        <v>1127.119999999999</v>
      </c>
      <c r="Y733" s="59">
        <f t="shared" si="77"/>
        <v>0</v>
      </c>
      <c r="Z733" s="59">
        <v>0</v>
      </c>
      <c r="AA733" s="59">
        <f t="shared" si="78"/>
        <v>0</v>
      </c>
      <c r="AB733" s="59">
        <f t="shared" si="81"/>
        <v>3000</v>
      </c>
      <c r="AE733" s="50"/>
      <c r="AF733" s="59"/>
    </row>
    <row r="734" spans="1:32" x14ac:dyDescent="0.3">
      <c r="A734" s="49">
        <v>12</v>
      </c>
      <c r="B734" s="41" t="s">
        <v>1120</v>
      </c>
      <c r="C734" s="50" t="s">
        <v>1273</v>
      </c>
      <c r="D734" s="50" t="s">
        <v>1593</v>
      </c>
      <c r="E734" s="50" t="s">
        <v>25</v>
      </c>
      <c r="F734" s="51" t="s">
        <v>25</v>
      </c>
      <c r="G734" s="50" t="s">
        <v>866</v>
      </c>
      <c r="H734" s="59">
        <v>4661.49</v>
      </c>
      <c r="I734" s="59">
        <v>-1346.52</v>
      </c>
      <c r="J734" s="59">
        <v>0</v>
      </c>
      <c r="K734" s="59">
        <v>0</v>
      </c>
      <c r="L734" s="59">
        <v>-57.139999999999993</v>
      </c>
      <c r="M734" s="59">
        <f>-8.88-55</f>
        <v>-63.88</v>
      </c>
      <c r="N734" s="59">
        <v>-73.999999999999986</v>
      </c>
      <c r="O734" s="59">
        <f t="shared" si="79"/>
        <v>3119.95</v>
      </c>
      <c r="P734" s="59">
        <v>-2700</v>
      </c>
      <c r="Q734" s="59">
        <v>0</v>
      </c>
      <c r="R734" s="59">
        <v>0</v>
      </c>
      <c r="S734" s="59">
        <v>0</v>
      </c>
      <c r="T734" s="59">
        <v>0</v>
      </c>
      <c r="U734" s="59">
        <v>0</v>
      </c>
      <c r="V734" s="59">
        <v>-1000</v>
      </c>
      <c r="W734" s="59">
        <f t="shared" si="80"/>
        <v>-580.05000000000018</v>
      </c>
      <c r="X734" s="59">
        <f t="shared" si="76"/>
        <v>0</v>
      </c>
      <c r="Y734" s="59">
        <f t="shared" si="77"/>
        <v>-580.05000000000018</v>
      </c>
      <c r="Z734" s="59">
        <v>580</v>
      </c>
      <c r="AA734" s="59">
        <f t="shared" si="78"/>
        <v>-5.0000000000181899E-2</v>
      </c>
      <c r="AB734" s="59">
        <f t="shared" si="81"/>
        <v>3699.8999999999996</v>
      </c>
      <c r="AD734" s="50" t="s">
        <v>3377</v>
      </c>
      <c r="AE734" s="50"/>
      <c r="AF734" s="59"/>
    </row>
    <row r="735" spans="1:32" x14ac:dyDescent="0.3">
      <c r="A735" s="49">
        <v>12</v>
      </c>
      <c r="B735" s="41" t="s">
        <v>515</v>
      </c>
      <c r="C735" s="50" t="s">
        <v>360</v>
      </c>
      <c r="D735" s="50" t="s">
        <v>1158</v>
      </c>
      <c r="E735" s="50" t="s">
        <v>25</v>
      </c>
      <c r="F735" s="51" t="s">
        <v>25</v>
      </c>
      <c r="G735" s="50" t="s">
        <v>866</v>
      </c>
      <c r="H735" s="59">
        <v>7461.04</v>
      </c>
      <c r="I735" s="59">
        <v>-280.39999999999998</v>
      </c>
      <c r="J735" s="59">
        <v>-47.2</v>
      </c>
      <c r="K735" s="59">
        <v>0</v>
      </c>
      <c r="L735" s="59">
        <v>0</v>
      </c>
      <c r="M735" s="59">
        <v>-25</v>
      </c>
      <c r="N735" s="59">
        <v>0</v>
      </c>
      <c r="O735" s="59">
        <f t="shared" si="79"/>
        <v>7108.4400000000005</v>
      </c>
      <c r="P735" s="59">
        <v>-2700</v>
      </c>
      <c r="Q735" s="59">
        <v>0</v>
      </c>
      <c r="R735" s="59">
        <v>0</v>
      </c>
      <c r="S735" s="59">
        <v>0</v>
      </c>
      <c r="T735" s="59">
        <v>0</v>
      </c>
      <c r="U735" s="59">
        <v>0</v>
      </c>
      <c r="V735" s="59">
        <v>0</v>
      </c>
      <c r="W735" s="59">
        <f t="shared" si="80"/>
        <v>4408.4400000000005</v>
      </c>
      <c r="X735" s="59">
        <f t="shared" si="76"/>
        <v>4408.4400000000005</v>
      </c>
      <c r="Y735" s="59">
        <f t="shared" si="77"/>
        <v>0</v>
      </c>
      <c r="Z735" s="59">
        <v>0</v>
      </c>
      <c r="AA735" s="59">
        <f t="shared" si="78"/>
        <v>0</v>
      </c>
      <c r="AB735" s="59">
        <f t="shared" si="81"/>
        <v>2700</v>
      </c>
      <c r="AE735" s="50"/>
      <c r="AF735" s="59"/>
    </row>
    <row r="736" spans="1:32" x14ac:dyDescent="0.3">
      <c r="A736" s="49">
        <v>12</v>
      </c>
      <c r="B736" s="41" t="s">
        <v>515</v>
      </c>
      <c r="C736" s="50" t="s">
        <v>110</v>
      </c>
      <c r="D736" s="50" t="s">
        <v>912</v>
      </c>
      <c r="E736" s="50" t="s">
        <v>18</v>
      </c>
      <c r="F736" s="51" t="s">
        <v>25</v>
      </c>
      <c r="G736" s="50" t="s">
        <v>866</v>
      </c>
      <c r="H736" s="59">
        <v>0</v>
      </c>
      <c r="I736" s="59">
        <v>0</v>
      </c>
      <c r="J736" s="59">
        <v>0</v>
      </c>
      <c r="K736" s="59">
        <v>0</v>
      </c>
      <c r="L736" s="59">
        <v>0</v>
      </c>
      <c r="M736" s="59">
        <v>0</v>
      </c>
      <c r="N736" s="59">
        <v>0</v>
      </c>
      <c r="O736" s="59">
        <f t="shared" si="79"/>
        <v>0</v>
      </c>
      <c r="P736" s="59">
        <v>0</v>
      </c>
      <c r="Q736" s="59">
        <v>0</v>
      </c>
      <c r="R736" s="59">
        <v>0</v>
      </c>
      <c r="S736" s="59">
        <v>0</v>
      </c>
      <c r="T736" s="59">
        <v>-700</v>
      </c>
      <c r="U736" s="59">
        <v>0</v>
      </c>
      <c r="V736" s="59">
        <v>0</v>
      </c>
      <c r="W736" s="59">
        <f t="shared" si="80"/>
        <v>-700</v>
      </c>
      <c r="X736" s="59">
        <f t="shared" si="76"/>
        <v>0</v>
      </c>
      <c r="Y736" s="59">
        <f t="shared" si="77"/>
        <v>-700</v>
      </c>
      <c r="Z736" s="59">
        <v>700</v>
      </c>
      <c r="AA736" s="59">
        <f t="shared" si="78"/>
        <v>0</v>
      </c>
      <c r="AB736" s="59">
        <f t="shared" si="81"/>
        <v>700</v>
      </c>
      <c r="AD736" s="50" t="s">
        <v>3378</v>
      </c>
      <c r="AE736" s="50"/>
      <c r="AF736" s="59"/>
    </row>
    <row r="737" spans="1:34" x14ac:dyDescent="0.3">
      <c r="A737" s="49">
        <v>12</v>
      </c>
      <c r="B737" s="41" t="s">
        <v>2716</v>
      </c>
      <c r="C737" s="50" t="s">
        <v>213</v>
      </c>
      <c r="D737" s="50" t="s">
        <v>1116</v>
      </c>
      <c r="E737" s="50" t="s">
        <v>39</v>
      </c>
      <c r="F737" s="51" t="s">
        <v>39</v>
      </c>
      <c r="G737" s="50" t="s">
        <v>866</v>
      </c>
      <c r="H737" s="59">
        <v>0</v>
      </c>
      <c r="I737" s="59">
        <v>0</v>
      </c>
      <c r="J737" s="59">
        <v>0</v>
      </c>
      <c r="K737" s="59">
        <v>0</v>
      </c>
      <c r="L737" s="59">
        <v>0</v>
      </c>
      <c r="M737" s="59">
        <v>-5.04</v>
      </c>
      <c r="N737" s="59">
        <v>-42</v>
      </c>
      <c r="O737" s="59">
        <f t="shared" si="79"/>
        <v>-47.04</v>
      </c>
      <c r="P737" s="59">
        <f>(-2500/7)*2.5</f>
        <v>-892.85714285714289</v>
      </c>
      <c r="Q737" s="59">
        <v>-2444</v>
      </c>
      <c r="R737" s="59">
        <v>-178.57142857142858</v>
      </c>
      <c r="S737" s="59">
        <v>0</v>
      </c>
      <c r="T737" s="59">
        <v>0</v>
      </c>
      <c r="U737" s="59">
        <v>0</v>
      </c>
      <c r="V737" s="59">
        <v>0</v>
      </c>
      <c r="W737" s="59">
        <f t="shared" si="80"/>
        <v>-3562.4685714285715</v>
      </c>
      <c r="X737" s="59">
        <f t="shared" si="76"/>
        <v>0</v>
      </c>
      <c r="Y737" s="59">
        <f t="shared" si="77"/>
        <v>-3562.4685714285715</v>
      </c>
      <c r="Z737" s="59">
        <f>500+512</f>
        <v>1012</v>
      </c>
      <c r="AA737" s="59">
        <f t="shared" si="78"/>
        <v>-2550.4685714285715</v>
      </c>
      <c r="AB737" s="59">
        <f t="shared" si="81"/>
        <v>-1585.5085714285715</v>
      </c>
      <c r="AD737" s="50" t="s">
        <v>3379</v>
      </c>
      <c r="AE737" s="50"/>
      <c r="AF737" s="59"/>
    </row>
    <row r="738" spans="1:34" x14ac:dyDescent="0.3">
      <c r="A738" s="49">
        <v>12</v>
      </c>
      <c r="B738" s="41" t="s">
        <v>2703</v>
      </c>
      <c r="C738" s="50" t="s">
        <v>104</v>
      </c>
      <c r="D738" s="50" t="s">
        <v>1419</v>
      </c>
      <c r="E738" s="50" t="s">
        <v>25</v>
      </c>
      <c r="F738" s="51" t="s">
        <v>25</v>
      </c>
      <c r="G738" s="50" t="s">
        <v>866</v>
      </c>
      <c r="H738" s="59">
        <v>2144.08</v>
      </c>
      <c r="I738" s="59">
        <v>-824.96999999999991</v>
      </c>
      <c r="J738" s="59">
        <v>0</v>
      </c>
      <c r="K738" s="59">
        <v>0</v>
      </c>
      <c r="L738" s="59">
        <v>0</v>
      </c>
      <c r="M738" s="59">
        <v>-40</v>
      </c>
      <c r="N738" s="59">
        <v>0</v>
      </c>
      <c r="O738" s="59">
        <f t="shared" si="79"/>
        <v>1279.1100000000001</v>
      </c>
      <c r="P738" s="59">
        <v>-2500</v>
      </c>
      <c r="Q738" s="59">
        <v>0</v>
      </c>
      <c r="R738" s="59">
        <v>0</v>
      </c>
      <c r="S738" s="59">
        <v>0</v>
      </c>
      <c r="T738" s="59">
        <v>0</v>
      </c>
      <c r="U738" s="59">
        <v>0</v>
      </c>
      <c r="V738" s="59">
        <v>0</v>
      </c>
      <c r="W738" s="59">
        <f t="shared" si="80"/>
        <v>-1220.8899999999999</v>
      </c>
      <c r="X738" s="59">
        <f t="shared" si="76"/>
        <v>0</v>
      </c>
      <c r="Y738" s="59">
        <f t="shared" si="77"/>
        <v>-1220.8899999999999</v>
      </c>
      <c r="Z738" s="59">
        <v>0</v>
      </c>
      <c r="AA738" s="59">
        <f t="shared" si="78"/>
        <v>-1220.8899999999999</v>
      </c>
      <c r="AB738" s="59">
        <f t="shared" si="81"/>
        <v>58.220000000000255</v>
      </c>
      <c r="AE738" s="50"/>
      <c r="AF738" s="59"/>
    </row>
    <row r="739" spans="1:34" x14ac:dyDescent="0.3">
      <c r="A739" s="49">
        <v>12</v>
      </c>
      <c r="B739" s="41" t="s">
        <v>1088</v>
      </c>
      <c r="C739" s="50" t="s">
        <v>1860</v>
      </c>
      <c r="E739" s="50" t="s">
        <v>25</v>
      </c>
      <c r="F739" s="51" t="s">
        <v>25</v>
      </c>
      <c r="G739" s="50" t="s">
        <v>866</v>
      </c>
      <c r="H739" s="59">
        <v>2647.27</v>
      </c>
      <c r="I739" s="59">
        <v>0</v>
      </c>
      <c r="J739" s="59">
        <v>0</v>
      </c>
      <c r="K739" s="59">
        <v>0</v>
      </c>
      <c r="L739" s="59">
        <v>-21.660000000000004</v>
      </c>
      <c r="M739" s="59">
        <v>0</v>
      </c>
      <c r="N739" s="59">
        <v>0</v>
      </c>
      <c r="O739" s="59">
        <f t="shared" si="79"/>
        <v>2625.61</v>
      </c>
      <c r="P739" s="59">
        <f>(-3000/7)*6</f>
        <v>-2571.4285714285716</v>
      </c>
      <c r="Q739" s="59">
        <v>0</v>
      </c>
      <c r="R739" s="59">
        <v>0</v>
      </c>
      <c r="S739" s="59">
        <v>0</v>
      </c>
      <c r="T739" s="59">
        <v>0</v>
      </c>
      <c r="U739" s="59">
        <v>0</v>
      </c>
      <c r="V739" s="59">
        <v>0</v>
      </c>
      <c r="W739" s="59">
        <f t="shared" si="80"/>
        <v>54.181428571428569</v>
      </c>
      <c r="X739" s="59">
        <f t="shared" si="76"/>
        <v>54.181428571428569</v>
      </c>
      <c r="Y739" s="59">
        <f t="shared" si="77"/>
        <v>0</v>
      </c>
      <c r="Z739" s="59">
        <v>0</v>
      </c>
      <c r="AA739" s="59">
        <f t="shared" si="78"/>
        <v>0</v>
      </c>
      <c r="AB739" s="59">
        <f t="shared" si="81"/>
        <v>2571.4285714285716</v>
      </c>
      <c r="AE739" s="50"/>
      <c r="AF739" s="59"/>
    </row>
    <row r="740" spans="1:34" x14ac:dyDescent="0.3">
      <c r="A740" s="49">
        <v>12</v>
      </c>
      <c r="B740" s="41" t="s">
        <v>1509</v>
      </c>
      <c r="C740" s="50" t="s">
        <v>798</v>
      </c>
      <c r="D740" s="50" t="s">
        <v>1599</v>
      </c>
      <c r="E740" s="50" t="s">
        <v>39</v>
      </c>
      <c r="F740" s="51" t="s">
        <v>39</v>
      </c>
      <c r="G740" s="50" t="s">
        <v>866</v>
      </c>
      <c r="H740" s="59">
        <v>4124.8500000000004</v>
      </c>
      <c r="I740" s="59">
        <v>-90</v>
      </c>
      <c r="J740" s="59">
        <v>-17.55</v>
      </c>
      <c r="K740" s="59">
        <v>0</v>
      </c>
      <c r="L740" s="59">
        <v>-46.12</v>
      </c>
      <c r="M740" s="59">
        <v>-10</v>
      </c>
      <c r="N740" s="59">
        <v>0</v>
      </c>
      <c r="O740" s="59">
        <f t="shared" si="79"/>
        <v>3961.1800000000003</v>
      </c>
      <c r="P740" s="59">
        <v>-2500</v>
      </c>
      <c r="Q740" s="59">
        <v>0</v>
      </c>
      <c r="R740" s="59">
        <v>0</v>
      </c>
      <c r="S740" s="59">
        <v>0</v>
      </c>
      <c r="T740" s="59">
        <v>0</v>
      </c>
      <c r="U740" s="59">
        <v>0</v>
      </c>
      <c r="V740" s="59">
        <v>0</v>
      </c>
      <c r="W740" s="59">
        <f t="shared" si="80"/>
        <v>1461.1800000000003</v>
      </c>
      <c r="X740" s="59">
        <f t="shared" si="76"/>
        <v>1461.1800000000003</v>
      </c>
      <c r="Y740" s="59">
        <f t="shared" si="77"/>
        <v>0</v>
      </c>
      <c r="Z740" s="59">
        <v>0</v>
      </c>
      <c r="AA740" s="59">
        <f t="shared" si="78"/>
        <v>0</v>
      </c>
      <c r="AB740" s="59">
        <f t="shared" si="81"/>
        <v>2500</v>
      </c>
      <c r="AE740" s="50"/>
      <c r="AF740" s="59"/>
    </row>
    <row r="741" spans="1:34" x14ac:dyDescent="0.3">
      <c r="A741" s="49">
        <v>12</v>
      </c>
      <c r="B741" s="41" t="s">
        <v>1401</v>
      </c>
      <c r="C741" s="50" t="s">
        <v>1464</v>
      </c>
      <c r="D741" s="50" t="s">
        <v>1602</v>
      </c>
      <c r="E741" s="50" t="s">
        <v>25</v>
      </c>
      <c r="F741" s="51" t="s">
        <v>25</v>
      </c>
      <c r="G741" s="50" t="s">
        <v>866</v>
      </c>
      <c r="H741" s="59">
        <v>3243.52</v>
      </c>
      <c r="I741" s="59">
        <v>-1266.3300000000002</v>
      </c>
      <c r="J741" s="59">
        <v>0</v>
      </c>
      <c r="K741" s="59">
        <v>0</v>
      </c>
      <c r="L741" s="59">
        <v>0</v>
      </c>
      <c r="M741" s="59">
        <f>-33.36-55</f>
        <v>-88.36</v>
      </c>
      <c r="N741" s="59">
        <v>-278</v>
      </c>
      <c r="O741" s="59">
        <f t="shared" si="79"/>
        <v>1610.83</v>
      </c>
      <c r="P741" s="59">
        <v>-2700</v>
      </c>
      <c r="Q741" s="59">
        <v>0</v>
      </c>
      <c r="R741" s="59">
        <v>0</v>
      </c>
      <c r="S741" s="59">
        <v>-700</v>
      </c>
      <c r="T741" s="59">
        <v>0</v>
      </c>
      <c r="U741" s="59">
        <v>0</v>
      </c>
      <c r="V741" s="59">
        <v>0</v>
      </c>
      <c r="W741" s="59">
        <f t="shared" si="80"/>
        <v>-1789.17</v>
      </c>
      <c r="X741" s="59">
        <f t="shared" si="76"/>
        <v>0</v>
      </c>
      <c r="Y741" s="59">
        <f t="shared" si="77"/>
        <v>-1789.17</v>
      </c>
      <c r="Z741" s="59">
        <v>1789</v>
      </c>
      <c r="AA741" s="59">
        <f t="shared" si="78"/>
        <v>-0.17000000000007276</v>
      </c>
      <c r="AB741" s="59">
        <f t="shared" si="81"/>
        <v>3399.66</v>
      </c>
      <c r="AD741" s="239" t="s">
        <v>3380</v>
      </c>
      <c r="AE741" s="50"/>
      <c r="AF741" s="59"/>
    </row>
    <row r="742" spans="1:34" x14ac:dyDescent="0.3">
      <c r="A742" s="49">
        <v>12</v>
      </c>
      <c r="B742" s="41" t="s">
        <v>1010</v>
      </c>
      <c r="C742" s="50" t="s">
        <v>409</v>
      </c>
      <c r="D742" s="50" t="s">
        <v>946</v>
      </c>
      <c r="E742" s="50" t="s">
        <v>25</v>
      </c>
      <c r="F742" s="51" t="s">
        <v>25</v>
      </c>
      <c r="G742" s="50" t="s">
        <v>866</v>
      </c>
      <c r="H742" s="59">
        <v>2862.98</v>
      </c>
      <c r="I742" s="59">
        <v>-99.94</v>
      </c>
      <c r="J742" s="59">
        <v>0</v>
      </c>
      <c r="K742" s="59">
        <v>-1.73</v>
      </c>
      <c r="L742" s="59">
        <v>-35.519999999999996</v>
      </c>
      <c r="M742" s="59">
        <f>-59.5488-25</f>
        <v>-84.5488</v>
      </c>
      <c r="N742" s="59">
        <v>-496.24</v>
      </c>
      <c r="O742" s="238">
        <f t="shared" si="79"/>
        <v>2145.0011999999997</v>
      </c>
      <c r="P742" s="238">
        <v>-3500</v>
      </c>
      <c r="Q742" s="238">
        <f>-86*1.12</f>
        <v>-96.320000000000007</v>
      </c>
      <c r="R742" s="238">
        <v>0</v>
      </c>
      <c r="S742" s="238">
        <v>0</v>
      </c>
      <c r="T742" s="238">
        <v>0</v>
      </c>
      <c r="U742" s="238">
        <v>0</v>
      </c>
      <c r="V742" s="238">
        <v>0</v>
      </c>
      <c r="W742" s="238">
        <f t="shared" si="80"/>
        <v>-1451.3188000000002</v>
      </c>
      <c r="X742" s="238">
        <f t="shared" si="76"/>
        <v>0</v>
      </c>
      <c r="Y742" s="238">
        <f t="shared" si="77"/>
        <v>-1451.3188000000002</v>
      </c>
      <c r="Z742" s="238">
        <v>1300</v>
      </c>
      <c r="AA742" s="238">
        <f t="shared" si="78"/>
        <v>-151.31880000000024</v>
      </c>
      <c r="AB742" s="238">
        <f t="shared" si="81"/>
        <v>3293.6823999999997</v>
      </c>
      <c r="AD742" s="50" t="s">
        <v>3381</v>
      </c>
      <c r="AE742" s="50"/>
      <c r="AF742" s="59"/>
    </row>
    <row r="743" spans="1:34" s="240" customFormat="1" x14ac:dyDescent="0.3">
      <c r="A743" s="49">
        <v>12</v>
      </c>
      <c r="B743" s="41" t="s">
        <v>1297</v>
      </c>
      <c r="C743" s="50" t="s">
        <v>480</v>
      </c>
      <c r="D743" s="50" t="s">
        <v>1243</v>
      </c>
      <c r="E743" s="50" t="s">
        <v>25</v>
      </c>
      <c r="F743" s="51" t="s">
        <v>25</v>
      </c>
      <c r="G743" s="50" t="s">
        <v>866</v>
      </c>
      <c r="H743" s="59">
        <v>3525.64</v>
      </c>
      <c r="I743" s="59">
        <v>-1342.0600000000002</v>
      </c>
      <c r="J743" s="59">
        <v>-68.8</v>
      </c>
      <c r="K743" s="59">
        <v>0</v>
      </c>
      <c r="L743" s="59">
        <v>0</v>
      </c>
      <c r="M743" s="59">
        <v>-55</v>
      </c>
      <c r="N743" s="59">
        <v>0</v>
      </c>
      <c r="O743" s="59">
        <f t="shared" si="79"/>
        <v>2059.7799999999997</v>
      </c>
      <c r="P743" s="59">
        <v>-2700</v>
      </c>
      <c r="Q743" s="59">
        <f>-1891*1.12</f>
        <v>-2117.92</v>
      </c>
      <c r="R743" s="59">
        <v>0</v>
      </c>
      <c r="S743" s="59">
        <v>0</v>
      </c>
      <c r="T743" s="59">
        <v>0</v>
      </c>
      <c r="U743" s="59">
        <v>0</v>
      </c>
      <c r="V743" s="59">
        <v>0</v>
      </c>
      <c r="W743" s="59">
        <f t="shared" si="80"/>
        <v>-2758.1400000000003</v>
      </c>
      <c r="X743" s="59">
        <f t="shared" ref="X743:X806" si="82">IF(W743&gt;=0,W743,0)</f>
        <v>0</v>
      </c>
      <c r="Y743" s="59">
        <f t="shared" ref="Y743:Y806" si="83">IF(W743&lt;=0,W743,0)</f>
        <v>-2758.1400000000003</v>
      </c>
      <c r="Z743" s="59">
        <f>1637+1121</f>
        <v>2758</v>
      </c>
      <c r="AA743" s="59">
        <f t="shared" ref="AA743:AA806" si="84">+Y743+Z743</f>
        <v>-0.14000000000032742</v>
      </c>
      <c r="AB743" s="59">
        <f t="shared" si="81"/>
        <v>4817.6399999999994</v>
      </c>
      <c r="AC743" s="59"/>
      <c r="AD743" s="50" t="s">
        <v>3382</v>
      </c>
      <c r="AE743" s="50"/>
      <c r="AF743" s="59"/>
      <c r="AG743" s="50"/>
      <c r="AH743" s="50"/>
    </row>
    <row r="744" spans="1:34" x14ac:dyDescent="0.3">
      <c r="A744" s="49">
        <v>12</v>
      </c>
      <c r="B744" s="41" t="s">
        <v>1412</v>
      </c>
      <c r="C744" s="50" t="s">
        <v>774</v>
      </c>
      <c r="D744" s="50" t="s">
        <v>1605</v>
      </c>
      <c r="E744" s="50" t="s">
        <v>25</v>
      </c>
      <c r="F744" s="51" t="s">
        <v>25</v>
      </c>
      <c r="G744" s="50" t="s">
        <v>866</v>
      </c>
      <c r="H744" s="59">
        <v>7599.06</v>
      </c>
      <c r="I744" s="59">
        <v>-3655.8899999999994</v>
      </c>
      <c r="J744" s="59">
        <v>0</v>
      </c>
      <c r="K744" s="59">
        <v>0</v>
      </c>
      <c r="L744" s="59">
        <v>-82.81</v>
      </c>
      <c r="M744" s="59">
        <v>-60</v>
      </c>
      <c r="N744" s="59">
        <v>0</v>
      </c>
      <c r="O744" s="59">
        <f t="shared" si="79"/>
        <v>3800.360000000001</v>
      </c>
      <c r="P744" s="59">
        <v>-2500</v>
      </c>
      <c r="Q744" s="59">
        <v>0</v>
      </c>
      <c r="R744" s="59">
        <v>0</v>
      </c>
      <c r="S744" s="59">
        <v>0</v>
      </c>
      <c r="T744" s="59">
        <v>-700</v>
      </c>
      <c r="U744" s="59">
        <v>0</v>
      </c>
      <c r="V744" s="59">
        <v>0</v>
      </c>
      <c r="W744" s="59">
        <f t="shared" si="80"/>
        <v>600.36000000000104</v>
      </c>
      <c r="X744" s="59">
        <f t="shared" si="82"/>
        <v>600.36000000000104</v>
      </c>
      <c r="Y744" s="59">
        <f t="shared" si="83"/>
        <v>0</v>
      </c>
      <c r="Z744" s="59">
        <v>0</v>
      </c>
      <c r="AA744" s="59">
        <f t="shared" si="84"/>
        <v>0</v>
      </c>
      <c r="AB744" s="59">
        <f t="shared" si="81"/>
        <v>3200</v>
      </c>
      <c r="AD744" s="239"/>
      <c r="AE744" s="50"/>
      <c r="AF744" s="59"/>
    </row>
    <row r="745" spans="1:34" x14ac:dyDescent="0.3">
      <c r="A745" s="49">
        <v>12</v>
      </c>
      <c r="B745" s="41" t="s">
        <v>1003</v>
      </c>
      <c r="C745" s="50" t="s">
        <v>1409</v>
      </c>
      <c r="E745" s="50" t="s">
        <v>25</v>
      </c>
      <c r="F745" s="51" t="s">
        <v>25</v>
      </c>
      <c r="G745" s="50" t="s">
        <v>866</v>
      </c>
      <c r="H745" s="59">
        <v>0</v>
      </c>
      <c r="I745" s="59">
        <v>0</v>
      </c>
      <c r="J745" s="59">
        <v>0</v>
      </c>
      <c r="K745" s="59">
        <v>0</v>
      </c>
      <c r="L745" s="59">
        <v>0</v>
      </c>
      <c r="M745" s="59">
        <v>0</v>
      </c>
      <c r="N745" s="59">
        <v>0</v>
      </c>
      <c r="O745" s="59">
        <f t="shared" si="79"/>
        <v>0</v>
      </c>
      <c r="P745" s="59">
        <v>-2500</v>
      </c>
      <c r="Q745" s="59">
        <f>-697*1.12</f>
        <v>-780.6400000000001</v>
      </c>
      <c r="R745" s="59">
        <v>0</v>
      </c>
      <c r="S745" s="59">
        <v>0</v>
      </c>
      <c r="T745" s="59">
        <v>-1654</v>
      </c>
      <c r="U745" s="59">
        <v>0</v>
      </c>
      <c r="V745" s="59">
        <v>0</v>
      </c>
      <c r="W745" s="59">
        <f>SUM(O745:V745)</f>
        <v>-4934.6400000000003</v>
      </c>
      <c r="X745" s="59">
        <f t="shared" si="82"/>
        <v>0</v>
      </c>
      <c r="Y745" s="59">
        <f t="shared" si="83"/>
        <v>-4934.6400000000003</v>
      </c>
      <c r="Z745" s="59">
        <f>3000+1500</f>
        <v>4500</v>
      </c>
      <c r="AA745" s="59">
        <f t="shared" si="84"/>
        <v>-434.64000000000033</v>
      </c>
      <c r="AB745" s="59">
        <f t="shared" si="81"/>
        <v>4065.3599999999997</v>
      </c>
      <c r="AD745" s="50" t="s">
        <v>3383</v>
      </c>
      <c r="AE745" s="50"/>
      <c r="AF745" s="59"/>
    </row>
    <row r="746" spans="1:34" x14ac:dyDescent="0.3">
      <c r="A746" s="49">
        <v>13</v>
      </c>
      <c r="B746" s="41" t="s">
        <v>1558</v>
      </c>
      <c r="C746" s="50" t="s">
        <v>571</v>
      </c>
      <c r="D746" s="50" t="s">
        <v>974</v>
      </c>
      <c r="E746" s="50" t="s">
        <v>25</v>
      </c>
      <c r="F746" s="51" t="s">
        <v>25</v>
      </c>
      <c r="G746" s="50" t="s">
        <v>866</v>
      </c>
      <c r="H746" s="59">
        <v>0</v>
      </c>
      <c r="I746" s="59">
        <v>0</v>
      </c>
      <c r="J746" s="62">
        <v>0</v>
      </c>
      <c r="K746" s="59">
        <v>0</v>
      </c>
      <c r="L746" s="59">
        <v>0</v>
      </c>
      <c r="M746" s="59">
        <v>0</v>
      </c>
      <c r="N746" s="59">
        <v>0</v>
      </c>
      <c r="O746" s="59">
        <f t="shared" ref="O746:O809" si="85">IF(H746+I746&lt;0,SUM(J746:N746),SUM(H746:N746))</f>
        <v>0</v>
      </c>
      <c r="P746" s="59">
        <v>0</v>
      </c>
      <c r="Q746" s="59">
        <v>0</v>
      </c>
      <c r="R746" s="59">
        <v>0</v>
      </c>
      <c r="S746" s="59">
        <v>0</v>
      </c>
      <c r="T746" s="59">
        <v>-500</v>
      </c>
      <c r="U746" s="59">
        <v>0</v>
      </c>
      <c r="V746" s="59">
        <v>0</v>
      </c>
      <c r="W746" s="59">
        <f>SUM(O746:V746)</f>
        <v>-500</v>
      </c>
      <c r="X746" s="59">
        <f t="shared" si="82"/>
        <v>0</v>
      </c>
      <c r="Y746" s="59">
        <f t="shared" si="83"/>
        <v>-500</v>
      </c>
      <c r="Z746" s="59">
        <v>500</v>
      </c>
      <c r="AA746" s="59">
        <f t="shared" si="84"/>
        <v>0</v>
      </c>
      <c r="AB746" s="59">
        <f t="shared" si="81"/>
        <v>500</v>
      </c>
      <c r="AD746" s="50" t="s">
        <v>3384</v>
      </c>
      <c r="AE746" s="50"/>
      <c r="AF746" s="59"/>
    </row>
    <row r="747" spans="1:34" x14ac:dyDescent="0.3">
      <c r="A747" s="49">
        <v>13</v>
      </c>
      <c r="B747" s="41" t="s">
        <v>1558</v>
      </c>
      <c r="C747" s="50" t="s">
        <v>53</v>
      </c>
      <c r="D747" s="50" t="s">
        <v>1167</v>
      </c>
      <c r="E747" s="50" t="s">
        <v>25</v>
      </c>
      <c r="F747" s="51" t="s">
        <v>25</v>
      </c>
      <c r="G747" s="50" t="s">
        <v>866</v>
      </c>
      <c r="H747" s="59">
        <v>4968.25</v>
      </c>
      <c r="I747" s="59">
        <v>-3348.63</v>
      </c>
      <c r="J747" s="59">
        <v>0</v>
      </c>
      <c r="K747" s="59">
        <v>0</v>
      </c>
      <c r="L747" s="59">
        <v>0</v>
      </c>
      <c r="M747" s="59">
        <v>-65</v>
      </c>
      <c r="N747" s="59">
        <v>0</v>
      </c>
      <c r="O747" s="59">
        <f t="shared" si="85"/>
        <v>1554.62</v>
      </c>
      <c r="P747" s="59">
        <v>-2500</v>
      </c>
      <c r="Q747" s="59">
        <v>0</v>
      </c>
      <c r="R747" s="59">
        <v>-107</v>
      </c>
      <c r="S747" s="59">
        <v>0</v>
      </c>
      <c r="T747" s="59">
        <v>0</v>
      </c>
      <c r="U747" s="59">
        <v>90</v>
      </c>
      <c r="V747" s="59">
        <v>0</v>
      </c>
      <c r="W747" s="59">
        <f>SUM(O747:V747)</f>
        <v>-962.38000000000011</v>
      </c>
      <c r="X747" s="59">
        <f t="shared" si="82"/>
        <v>0</v>
      </c>
      <c r="Y747" s="59">
        <f t="shared" si="83"/>
        <v>-962.38000000000011</v>
      </c>
      <c r="Z747" s="59">
        <v>962</v>
      </c>
      <c r="AA747" s="59">
        <f t="shared" si="84"/>
        <v>-0.38000000000010914</v>
      </c>
      <c r="AB747" s="59">
        <f t="shared" si="81"/>
        <v>2516.2399999999998</v>
      </c>
      <c r="AD747" s="50" t="s">
        <v>3385</v>
      </c>
      <c r="AE747" s="50"/>
      <c r="AF747" s="59"/>
    </row>
    <row r="748" spans="1:34" x14ac:dyDescent="0.3">
      <c r="A748" s="49">
        <v>13</v>
      </c>
      <c r="B748" s="50" t="s">
        <v>3180</v>
      </c>
      <c r="C748" s="50" t="s">
        <v>183</v>
      </c>
      <c r="D748" s="50" t="s">
        <v>887</v>
      </c>
      <c r="E748" s="50" t="s">
        <v>25</v>
      </c>
      <c r="F748" s="50" t="s">
        <v>25</v>
      </c>
      <c r="G748" s="50" t="s">
        <v>866</v>
      </c>
      <c r="H748" s="59">
        <v>818.89</v>
      </c>
      <c r="I748" s="59">
        <v>-599.38</v>
      </c>
      <c r="J748" s="59">
        <v>0</v>
      </c>
      <c r="K748" s="59">
        <v>0</v>
      </c>
      <c r="L748" s="59">
        <v>0</v>
      </c>
      <c r="M748" s="59">
        <v>-30</v>
      </c>
      <c r="N748" s="59">
        <v>0</v>
      </c>
      <c r="O748" s="59">
        <f t="shared" si="85"/>
        <v>189.51</v>
      </c>
      <c r="P748" s="59">
        <f>(-2500/7)*2.5</f>
        <v>-892.85714285714289</v>
      </c>
      <c r="Q748" s="59">
        <v>0</v>
      </c>
      <c r="R748" s="59">
        <v>-28.571428571428573</v>
      </c>
      <c r="S748" s="59">
        <v>0</v>
      </c>
      <c r="T748" s="59">
        <v>0</v>
      </c>
      <c r="U748" s="59">
        <v>-150</v>
      </c>
      <c r="V748" s="59">
        <v>0</v>
      </c>
      <c r="W748" s="59">
        <f>SUM(O748:V748)</f>
        <v>-881.91857142857145</v>
      </c>
      <c r="X748" s="59">
        <f t="shared" si="82"/>
        <v>0</v>
      </c>
      <c r="Y748" s="59">
        <f t="shared" si="83"/>
        <v>-881.91857142857145</v>
      </c>
      <c r="Z748" s="59">
        <v>0</v>
      </c>
      <c r="AA748" s="59">
        <f t="shared" si="84"/>
        <v>-881.91857142857145</v>
      </c>
      <c r="AB748" s="59">
        <f t="shared" si="81"/>
        <v>-692.40857142857146</v>
      </c>
      <c r="AD748" s="50" t="s">
        <v>3386</v>
      </c>
      <c r="AE748" s="50"/>
      <c r="AF748" s="59"/>
    </row>
    <row r="749" spans="1:34" x14ac:dyDescent="0.3">
      <c r="A749" s="49">
        <v>13</v>
      </c>
      <c r="B749" s="50" t="s">
        <v>3387</v>
      </c>
      <c r="C749" s="50" t="s">
        <v>1443</v>
      </c>
      <c r="D749" s="50" t="s">
        <v>1554</v>
      </c>
      <c r="E749" s="50" t="s">
        <v>25</v>
      </c>
      <c r="F749" s="51" t="s">
        <v>25</v>
      </c>
      <c r="G749" s="50" t="s">
        <v>866</v>
      </c>
      <c r="H749" s="59">
        <v>1474.08</v>
      </c>
      <c r="I749" s="59">
        <v>0</v>
      </c>
      <c r="J749" s="59">
        <v>0</v>
      </c>
      <c r="K749" s="59">
        <v>0</v>
      </c>
      <c r="L749" s="59">
        <v>-17.700000000000003</v>
      </c>
      <c r="M749" s="59">
        <v>0</v>
      </c>
      <c r="N749" s="59">
        <v>0</v>
      </c>
      <c r="O749" s="59">
        <f t="shared" si="85"/>
        <v>1456.3799999999999</v>
      </c>
      <c r="P749" s="59">
        <f>(-2700/7)*6</f>
        <v>-2314.2857142857142</v>
      </c>
      <c r="Q749" s="59">
        <v>0</v>
      </c>
      <c r="R749" s="59">
        <v>-428.57142857142856</v>
      </c>
      <c r="S749" s="59">
        <v>0</v>
      </c>
      <c r="T749" s="59">
        <v>0</v>
      </c>
      <c r="U749" s="59">
        <v>0</v>
      </c>
      <c r="V749" s="59">
        <v>0</v>
      </c>
      <c r="W749" s="59">
        <f>SUM(O749:V749)</f>
        <v>-1286.477142857143</v>
      </c>
      <c r="X749" s="59">
        <f t="shared" si="82"/>
        <v>0</v>
      </c>
      <c r="Y749" s="59">
        <f t="shared" si="83"/>
        <v>-1286.477142857143</v>
      </c>
      <c r="Z749" s="59">
        <v>1286</v>
      </c>
      <c r="AA749" s="59">
        <f t="shared" si="84"/>
        <v>-0.47714285714300786</v>
      </c>
      <c r="AB749" s="59">
        <f t="shared" si="81"/>
        <v>2741.9028571428571</v>
      </c>
      <c r="AD749" s="50" t="s">
        <v>3388</v>
      </c>
      <c r="AE749" s="50"/>
      <c r="AF749" s="59"/>
    </row>
    <row r="750" spans="1:34" x14ac:dyDescent="0.3">
      <c r="A750" s="49">
        <v>13</v>
      </c>
      <c r="B750" s="41" t="s">
        <v>1088</v>
      </c>
      <c r="C750" s="50" t="s">
        <v>2981</v>
      </c>
      <c r="E750" s="50" t="s">
        <v>25</v>
      </c>
      <c r="F750" s="51" t="s">
        <v>25</v>
      </c>
      <c r="G750" s="50" t="s">
        <v>866</v>
      </c>
      <c r="H750" s="59">
        <v>2092.36</v>
      </c>
      <c r="I750" s="59">
        <v>0</v>
      </c>
      <c r="J750" s="59">
        <v>-5.97</v>
      </c>
      <c r="K750" s="59">
        <v>37.33</v>
      </c>
      <c r="L750" s="59">
        <v>-13.439999999999998</v>
      </c>
      <c r="M750" s="59">
        <v>0</v>
      </c>
      <c r="N750" s="59">
        <v>0</v>
      </c>
      <c r="O750" s="59">
        <f t="shared" si="85"/>
        <v>2110.2800000000002</v>
      </c>
      <c r="P750" s="59">
        <f>(-3000/7)*3</f>
        <v>-1285.7142857142858</v>
      </c>
      <c r="Q750" s="59">
        <v>0</v>
      </c>
      <c r="R750" s="59">
        <v>0</v>
      </c>
      <c r="S750" s="59">
        <v>0</v>
      </c>
      <c r="T750" s="59">
        <v>0</v>
      </c>
      <c r="U750" s="59">
        <v>0</v>
      </c>
      <c r="V750" s="59">
        <v>0</v>
      </c>
      <c r="W750" s="59">
        <f t="shared" ref="W750:W813" si="86">SUM(O750:V750)</f>
        <v>824.56571428571442</v>
      </c>
      <c r="X750" s="59">
        <f t="shared" si="82"/>
        <v>824.56571428571442</v>
      </c>
      <c r="Y750" s="59">
        <f t="shared" si="83"/>
        <v>0</v>
      </c>
      <c r="Z750" s="59">
        <v>0</v>
      </c>
      <c r="AA750" s="59">
        <f t="shared" si="84"/>
        <v>0</v>
      </c>
      <c r="AB750" s="59">
        <f t="shared" si="81"/>
        <v>1285.7142857142858</v>
      </c>
      <c r="AD750" s="50" t="s">
        <v>3389</v>
      </c>
      <c r="AE750" s="50"/>
      <c r="AF750" s="59"/>
    </row>
    <row r="751" spans="1:34" x14ac:dyDescent="0.3">
      <c r="A751" s="49">
        <v>13</v>
      </c>
      <c r="B751" s="41" t="s">
        <v>1088</v>
      </c>
      <c r="C751" s="50" t="s">
        <v>1860</v>
      </c>
      <c r="E751" s="50" t="s">
        <v>25</v>
      </c>
      <c r="F751" s="51" t="s">
        <v>25</v>
      </c>
      <c r="G751" s="50" t="s">
        <v>866</v>
      </c>
      <c r="H751" s="59">
        <v>0</v>
      </c>
      <c r="I751" s="59">
        <v>0</v>
      </c>
      <c r="J751" s="59">
        <v>0</v>
      </c>
      <c r="K751" s="59">
        <v>0</v>
      </c>
      <c r="L751" s="59">
        <v>0</v>
      </c>
      <c r="M751" s="59">
        <v>0</v>
      </c>
      <c r="N751" s="59">
        <v>0</v>
      </c>
      <c r="O751" s="59">
        <f t="shared" si="85"/>
        <v>0</v>
      </c>
      <c r="P751" s="59">
        <f>(-3000/7)*1.5</f>
        <v>-642.85714285714289</v>
      </c>
      <c r="Q751" s="59">
        <v>0</v>
      </c>
      <c r="R751" s="59">
        <v>0</v>
      </c>
      <c r="S751" s="59">
        <v>0</v>
      </c>
      <c r="T751" s="59">
        <v>0</v>
      </c>
      <c r="U751" s="59">
        <v>100</v>
      </c>
      <c r="V751" s="59">
        <v>0</v>
      </c>
      <c r="W751" s="59">
        <f t="shared" si="86"/>
        <v>-542.85714285714289</v>
      </c>
      <c r="X751" s="59">
        <f t="shared" si="82"/>
        <v>0</v>
      </c>
      <c r="Y751" s="59">
        <f t="shared" si="83"/>
        <v>-542.85714285714289</v>
      </c>
      <c r="Z751" s="59">
        <v>543</v>
      </c>
      <c r="AA751" s="59">
        <f t="shared" si="84"/>
        <v>0.14285714285711038</v>
      </c>
      <c r="AB751" s="59">
        <f t="shared" si="81"/>
        <v>543.14285714285711</v>
      </c>
      <c r="AD751" s="50" t="s">
        <v>3390</v>
      </c>
      <c r="AE751" s="50"/>
      <c r="AF751" s="59"/>
    </row>
    <row r="752" spans="1:34" x14ac:dyDescent="0.3">
      <c r="A752" s="49">
        <v>13</v>
      </c>
      <c r="B752" s="41" t="s">
        <v>1513</v>
      </c>
      <c r="C752" s="50" t="s">
        <v>645</v>
      </c>
      <c r="D752" s="50" t="s">
        <v>2715</v>
      </c>
      <c r="E752" s="50" t="s">
        <v>25</v>
      </c>
      <c r="F752" s="51" t="s">
        <v>25</v>
      </c>
      <c r="G752" s="50" t="s">
        <v>737</v>
      </c>
      <c r="H752" s="59">
        <v>0</v>
      </c>
      <c r="I752" s="59">
        <v>0</v>
      </c>
      <c r="J752" s="59">
        <v>0</v>
      </c>
      <c r="K752" s="59">
        <v>0</v>
      </c>
      <c r="L752" s="59">
        <v>0</v>
      </c>
      <c r="M752" s="59">
        <v>0</v>
      </c>
      <c r="N752" s="59">
        <v>0</v>
      </c>
      <c r="O752" s="59">
        <f t="shared" si="85"/>
        <v>0</v>
      </c>
      <c r="P752" s="59">
        <v>-2500</v>
      </c>
      <c r="Q752" s="59">
        <v>0</v>
      </c>
      <c r="R752" s="59">
        <v>-500</v>
      </c>
      <c r="S752" s="59">
        <v>0</v>
      </c>
      <c r="T752" s="59">
        <v>0</v>
      </c>
      <c r="U752" s="59">
        <v>0</v>
      </c>
      <c r="V752" s="59">
        <v>0</v>
      </c>
      <c r="W752" s="59">
        <f t="shared" si="86"/>
        <v>-3000</v>
      </c>
      <c r="X752" s="59">
        <f t="shared" si="82"/>
        <v>0</v>
      </c>
      <c r="Y752" s="59">
        <f t="shared" si="83"/>
        <v>-3000</v>
      </c>
      <c r="Z752" s="59">
        <v>3000</v>
      </c>
      <c r="AA752" s="59">
        <f t="shared" si="84"/>
        <v>0</v>
      </c>
      <c r="AB752" s="59">
        <f t="shared" si="81"/>
        <v>3000</v>
      </c>
      <c r="AD752" s="50" t="s">
        <v>3391</v>
      </c>
      <c r="AE752" s="50"/>
      <c r="AF752" s="59"/>
    </row>
    <row r="753" spans="1:32" x14ac:dyDescent="0.3">
      <c r="A753" s="49">
        <v>13</v>
      </c>
      <c r="B753" s="41" t="s">
        <v>585</v>
      </c>
      <c r="C753" s="50" t="s">
        <v>42</v>
      </c>
      <c r="D753" s="50" t="s">
        <v>948</v>
      </c>
      <c r="E753" s="50" t="s">
        <v>25</v>
      </c>
      <c r="F753" s="51" t="s">
        <v>25</v>
      </c>
      <c r="G753" s="50" t="s">
        <v>866</v>
      </c>
      <c r="H753" s="59">
        <v>0</v>
      </c>
      <c r="I753" s="59">
        <v>0</v>
      </c>
      <c r="J753" s="59">
        <v>0</v>
      </c>
      <c r="K753" s="59">
        <v>0</v>
      </c>
      <c r="L753" s="59">
        <v>0</v>
      </c>
      <c r="M753" s="59">
        <v>0</v>
      </c>
      <c r="N753" s="59">
        <v>0</v>
      </c>
      <c r="O753" s="59">
        <f t="shared" si="85"/>
        <v>0</v>
      </c>
      <c r="P753" s="59">
        <v>-2500</v>
      </c>
      <c r="Q753" s="59">
        <v>0</v>
      </c>
      <c r="R753" s="59">
        <v>0</v>
      </c>
      <c r="S753" s="59">
        <v>0</v>
      </c>
      <c r="T753" s="59">
        <v>0</v>
      </c>
      <c r="U753" s="59">
        <v>0</v>
      </c>
      <c r="V753" s="59">
        <v>0</v>
      </c>
      <c r="W753" s="59">
        <f t="shared" si="86"/>
        <v>-2500</v>
      </c>
      <c r="X753" s="59">
        <f t="shared" si="82"/>
        <v>0</v>
      </c>
      <c r="Y753" s="59">
        <f t="shared" si="83"/>
        <v>-2500</v>
      </c>
      <c r="Z753" s="59">
        <v>2500</v>
      </c>
      <c r="AA753" s="59">
        <f t="shared" si="84"/>
        <v>0</v>
      </c>
      <c r="AB753" s="59">
        <f t="shared" si="81"/>
        <v>2500</v>
      </c>
      <c r="AD753" s="50" t="s">
        <v>3392</v>
      </c>
      <c r="AE753" s="50"/>
      <c r="AF753" s="59"/>
    </row>
    <row r="754" spans="1:32" x14ac:dyDescent="0.3">
      <c r="A754" s="49">
        <v>13</v>
      </c>
      <c r="B754" s="41" t="s">
        <v>837</v>
      </c>
      <c r="C754" s="50" t="s">
        <v>357</v>
      </c>
      <c r="D754" s="50" t="s">
        <v>1150</v>
      </c>
      <c r="E754" s="50" t="s">
        <v>25</v>
      </c>
      <c r="F754" s="51" t="s">
        <v>25</v>
      </c>
      <c r="G754" s="50" t="s">
        <v>866</v>
      </c>
      <c r="H754" s="59">
        <v>9004.17</v>
      </c>
      <c r="I754" s="59">
        <v>0</v>
      </c>
      <c r="J754" s="59">
        <v>-161.6</v>
      </c>
      <c r="K754" s="59">
        <v>0</v>
      </c>
      <c r="L754" s="59">
        <v>0</v>
      </c>
      <c r="M754" s="59">
        <v>-35.690400000000004</v>
      </c>
      <c r="N754" s="59">
        <v>-297.42</v>
      </c>
      <c r="O754" s="59">
        <f t="shared" si="85"/>
        <v>8509.4596000000001</v>
      </c>
      <c r="P754" s="59">
        <v>-2700</v>
      </c>
      <c r="Q754" s="59">
        <v>0</v>
      </c>
      <c r="R754" s="59">
        <v>0</v>
      </c>
      <c r="S754" s="59">
        <v>0</v>
      </c>
      <c r="T754" s="59">
        <v>0</v>
      </c>
      <c r="U754" s="59">
        <v>0</v>
      </c>
      <c r="V754" s="59">
        <v>0</v>
      </c>
      <c r="W754" s="59">
        <f t="shared" si="86"/>
        <v>5809.4596000000001</v>
      </c>
      <c r="X754" s="59">
        <f t="shared" si="82"/>
        <v>5809.4596000000001</v>
      </c>
      <c r="Y754" s="59">
        <f t="shared" si="83"/>
        <v>0</v>
      </c>
      <c r="Z754" s="59">
        <v>0</v>
      </c>
      <c r="AA754" s="59">
        <f t="shared" si="84"/>
        <v>0</v>
      </c>
      <c r="AB754" s="59">
        <f t="shared" si="81"/>
        <v>2700</v>
      </c>
      <c r="AE754" s="50"/>
      <c r="AF754" s="59"/>
    </row>
    <row r="755" spans="1:32" x14ac:dyDescent="0.3">
      <c r="A755" s="49">
        <v>13</v>
      </c>
      <c r="B755" s="50" t="s">
        <v>3393</v>
      </c>
      <c r="C755" s="50" t="s">
        <v>2976</v>
      </c>
      <c r="E755" s="50" t="s">
        <v>25</v>
      </c>
      <c r="F755" s="50" t="s">
        <v>25</v>
      </c>
      <c r="G755" s="50" t="s">
        <v>866</v>
      </c>
      <c r="H755" s="59">
        <v>3777.94</v>
      </c>
      <c r="I755" s="59">
        <v>-377.92999999999995</v>
      </c>
      <c r="J755" s="59">
        <v>-42.32</v>
      </c>
      <c r="K755" s="59">
        <v>0</v>
      </c>
      <c r="L755" s="59">
        <v>0</v>
      </c>
      <c r="M755" s="59">
        <v>-20</v>
      </c>
      <c r="N755" s="59">
        <v>0</v>
      </c>
      <c r="O755" s="59">
        <f t="shared" si="85"/>
        <v>3337.69</v>
      </c>
      <c r="P755" s="59">
        <v>-2500</v>
      </c>
      <c r="Q755" s="59">
        <v>0</v>
      </c>
      <c r="R755" s="59">
        <v>-500</v>
      </c>
      <c r="S755" s="59">
        <v>0</v>
      </c>
      <c r="T755" s="59">
        <v>0</v>
      </c>
      <c r="U755" s="59">
        <v>0</v>
      </c>
      <c r="V755" s="59">
        <v>0</v>
      </c>
      <c r="W755" s="59">
        <f t="shared" si="86"/>
        <v>337.69000000000005</v>
      </c>
      <c r="X755" s="59">
        <f t="shared" si="82"/>
        <v>337.69000000000005</v>
      </c>
      <c r="Y755" s="59">
        <f t="shared" si="83"/>
        <v>0</v>
      </c>
      <c r="Z755" s="59">
        <v>0</v>
      </c>
      <c r="AA755" s="59">
        <f t="shared" si="84"/>
        <v>0</v>
      </c>
      <c r="AB755" s="59">
        <f t="shared" si="81"/>
        <v>3000</v>
      </c>
      <c r="AE755" s="50"/>
      <c r="AF755" s="59"/>
    </row>
    <row r="756" spans="1:32" x14ac:dyDescent="0.3">
      <c r="A756" s="49">
        <v>13</v>
      </c>
      <c r="B756" s="50" t="s">
        <v>3230</v>
      </c>
      <c r="C756" s="50" t="s">
        <v>120</v>
      </c>
      <c r="D756" s="50" t="s">
        <v>950</v>
      </c>
      <c r="E756" s="50" t="s">
        <v>25</v>
      </c>
      <c r="F756" s="50" t="s">
        <v>25</v>
      </c>
      <c r="G756" s="50" t="s">
        <v>866</v>
      </c>
      <c r="H756" s="59">
        <v>3399.08</v>
      </c>
      <c r="I756" s="59">
        <v>-758.53000000000009</v>
      </c>
      <c r="J756" s="59">
        <v>0</v>
      </c>
      <c r="K756" s="59">
        <v>0</v>
      </c>
      <c r="L756" s="59">
        <v>0</v>
      </c>
      <c r="M756" s="59">
        <v>-35</v>
      </c>
      <c r="N756" s="59">
        <v>0</v>
      </c>
      <c r="O756" s="59">
        <f t="shared" si="85"/>
        <v>2605.5499999999997</v>
      </c>
      <c r="P756" s="59">
        <v>-2500</v>
      </c>
      <c r="Q756" s="59">
        <v>0</v>
      </c>
      <c r="R756" s="59">
        <v>-500</v>
      </c>
      <c r="S756" s="59">
        <v>0</v>
      </c>
      <c r="T756" s="59">
        <v>0</v>
      </c>
      <c r="U756" s="59">
        <v>0</v>
      </c>
      <c r="V756" s="59">
        <v>0</v>
      </c>
      <c r="W756" s="59">
        <f t="shared" si="86"/>
        <v>-394.45000000000027</v>
      </c>
      <c r="X756" s="59">
        <f t="shared" si="82"/>
        <v>0</v>
      </c>
      <c r="Y756" s="59">
        <f t="shared" si="83"/>
        <v>-394.45000000000027</v>
      </c>
      <c r="Z756" s="59">
        <v>394</v>
      </c>
      <c r="AA756" s="59">
        <f t="shared" si="84"/>
        <v>-0.45000000000027285</v>
      </c>
      <c r="AB756" s="59">
        <f t="shared" si="81"/>
        <v>2999.0999999999995</v>
      </c>
      <c r="AD756" s="50" t="s">
        <v>3394</v>
      </c>
      <c r="AE756" s="50"/>
      <c r="AF756" s="59"/>
    </row>
    <row r="757" spans="1:32" x14ac:dyDescent="0.3">
      <c r="A757" s="49">
        <v>13</v>
      </c>
      <c r="B757" s="41" t="s">
        <v>1142</v>
      </c>
      <c r="C757" s="50" t="s">
        <v>1439</v>
      </c>
      <c r="D757" s="50" t="s">
        <v>1582</v>
      </c>
      <c r="E757" s="50" t="s">
        <v>25</v>
      </c>
      <c r="F757" s="50" t="s">
        <v>25</v>
      </c>
      <c r="G757" s="50" t="s">
        <v>866</v>
      </c>
      <c r="H757" s="59">
        <v>1048.95</v>
      </c>
      <c r="I757" s="59">
        <v>-445.36</v>
      </c>
      <c r="J757" s="59">
        <v>0</v>
      </c>
      <c r="K757" s="59">
        <v>27.28</v>
      </c>
      <c r="L757" s="59">
        <v>0</v>
      </c>
      <c r="M757" s="59">
        <f>-3-30</f>
        <v>-33</v>
      </c>
      <c r="N757" s="59">
        <v>-25</v>
      </c>
      <c r="O757" s="59">
        <f t="shared" si="85"/>
        <v>572.87</v>
      </c>
      <c r="P757" s="59">
        <f>(-2700/7)*2.5</f>
        <v>-964.28571428571433</v>
      </c>
      <c r="Q757" s="59">
        <f>-743*1.12</f>
        <v>-832.16000000000008</v>
      </c>
      <c r="R757" s="59">
        <v>0</v>
      </c>
      <c r="S757" s="59">
        <v>0</v>
      </c>
      <c r="T757" s="59">
        <v>0</v>
      </c>
      <c r="U757" s="59">
        <v>0</v>
      </c>
      <c r="V757" s="59">
        <v>0</v>
      </c>
      <c r="W757" s="59">
        <f t="shared" si="86"/>
        <v>-1223.5757142857144</v>
      </c>
      <c r="X757" s="59">
        <f t="shared" si="82"/>
        <v>0</v>
      </c>
      <c r="Y757" s="59">
        <f t="shared" si="83"/>
        <v>-1223.5757142857144</v>
      </c>
      <c r="Z757" s="59">
        <v>0</v>
      </c>
      <c r="AA757" s="59">
        <f t="shared" si="84"/>
        <v>-1223.5757142857144</v>
      </c>
      <c r="AB757" s="59">
        <f t="shared" si="81"/>
        <v>-650.70571428571441</v>
      </c>
      <c r="AE757" s="50"/>
      <c r="AF757" s="59"/>
    </row>
    <row r="758" spans="1:32" x14ac:dyDescent="0.3">
      <c r="A758" s="49">
        <v>13</v>
      </c>
      <c r="B758" s="41" t="s">
        <v>1142</v>
      </c>
      <c r="C758" s="50" t="s">
        <v>1443</v>
      </c>
      <c r="D758" s="50" t="s">
        <v>1554</v>
      </c>
      <c r="E758" s="50" t="s">
        <v>25</v>
      </c>
      <c r="F758" s="51" t="s">
        <v>25</v>
      </c>
      <c r="G758" s="50" t="s">
        <v>866</v>
      </c>
      <c r="H758" s="59">
        <v>0</v>
      </c>
      <c r="I758" s="59">
        <v>0</v>
      </c>
      <c r="J758" s="59">
        <v>0</v>
      </c>
      <c r="K758" s="59">
        <v>0</v>
      </c>
      <c r="L758" s="59">
        <v>0</v>
      </c>
      <c r="M758" s="59">
        <v>0</v>
      </c>
      <c r="N758" s="59">
        <v>0</v>
      </c>
      <c r="O758" s="59">
        <f t="shared" si="85"/>
        <v>0</v>
      </c>
      <c r="P758" s="59">
        <f>(-2700/7)*4.5</f>
        <v>-1735.7142857142858</v>
      </c>
      <c r="Q758" s="59">
        <v>0</v>
      </c>
      <c r="R758" s="59">
        <v>0</v>
      </c>
      <c r="S758" s="59">
        <v>0</v>
      </c>
      <c r="T758" s="59">
        <v>0</v>
      </c>
      <c r="U758" s="59">
        <v>0</v>
      </c>
      <c r="V758" s="59">
        <v>0</v>
      </c>
      <c r="W758" s="59">
        <f t="shared" si="86"/>
        <v>-1735.7142857142858</v>
      </c>
      <c r="X758" s="59">
        <f t="shared" si="82"/>
        <v>0</v>
      </c>
      <c r="Y758" s="59">
        <f t="shared" si="83"/>
        <v>-1735.7142857142858</v>
      </c>
      <c r="Z758" s="59">
        <f>1200+1200</f>
        <v>2400</v>
      </c>
      <c r="AA758" s="59">
        <f t="shared" si="84"/>
        <v>664.28571428571422</v>
      </c>
      <c r="AB758" s="59">
        <f t="shared" si="81"/>
        <v>3064.2857142857142</v>
      </c>
      <c r="AD758" s="50" t="s">
        <v>3395</v>
      </c>
      <c r="AE758" s="50"/>
      <c r="AF758" s="59"/>
    </row>
    <row r="759" spans="1:32" x14ac:dyDescent="0.3">
      <c r="A759" s="49">
        <v>13</v>
      </c>
      <c r="B759" s="41" t="s">
        <v>1454</v>
      </c>
      <c r="C759" s="50" t="s">
        <v>563</v>
      </c>
      <c r="D759" s="50" t="s">
        <v>1230</v>
      </c>
      <c r="E759" s="50" t="s">
        <v>25</v>
      </c>
      <c r="F759" s="51" t="s">
        <v>25</v>
      </c>
      <c r="G759" s="50" t="s">
        <v>866</v>
      </c>
      <c r="H759" s="59">
        <v>4204.57</v>
      </c>
      <c r="I759" s="59">
        <v>-790.41999999999985</v>
      </c>
      <c r="J759" s="59">
        <v>-29.52</v>
      </c>
      <c r="K759" s="59">
        <v>19.579999999999998</v>
      </c>
      <c r="L759" s="59">
        <v>0</v>
      </c>
      <c r="M759" s="59">
        <v>-35</v>
      </c>
      <c r="N759" s="59">
        <v>0</v>
      </c>
      <c r="O759" s="59">
        <f t="shared" si="85"/>
        <v>3369.2099999999996</v>
      </c>
      <c r="P759" s="59">
        <v>-2500</v>
      </c>
      <c r="Q759" s="59">
        <v>0</v>
      </c>
      <c r="R759" s="59">
        <v>0</v>
      </c>
      <c r="S759" s="59">
        <v>0</v>
      </c>
      <c r="T759" s="59">
        <v>0</v>
      </c>
      <c r="U759" s="59">
        <v>0</v>
      </c>
      <c r="V759" s="59">
        <v>0</v>
      </c>
      <c r="W759" s="59">
        <f t="shared" si="86"/>
        <v>869.20999999999958</v>
      </c>
      <c r="X759" s="59">
        <f t="shared" si="82"/>
        <v>869.20999999999958</v>
      </c>
      <c r="Y759" s="59">
        <f t="shared" si="83"/>
        <v>0</v>
      </c>
      <c r="Z759" s="59">
        <v>0</v>
      </c>
      <c r="AA759" s="59">
        <f t="shared" si="84"/>
        <v>0</v>
      </c>
      <c r="AB759" s="59">
        <f t="shared" si="81"/>
        <v>2500</v>
      </c>
      <c r="AE759" s="50"/>
      <c r="AF759" s="59"/>
    </row>
    <row r="760" spans="1:32" x14ac:dyDescent="0.3">
      <c r="A760" s="49">
        <v>13</v>
      </c>
      <c r="B760" s="50" t="s">
        <v>2007</v>
      </c>
      <c r="C760" s="50" t="s">
        <v>64</v>
      </c>
      <c r="D760" s="50" t="s">
        <v>949</v>
      </c>
      <c r="E760" s="50" t="s">
        <v>25</v>
      </c>
      <c r="F760" s="50" t="s">
        <v>25</v>
      </c>
      <c r="G760" s="50" t="s">
        <v>866</v>
      </c>
      <c r="H760" s="59">
        <v>0</v>
      </c>
      <c r="I760" s="59">
        <v>0</v>
      </c>
      <c r="J760" s="59">
        <v>0</v>
      </c>
      <c r="K760" s="59">
        <v>0</v>
      </c>
      <c r="L760" s="59">
        <v>0</v>
      </c>
      <c r="M760" s="59">
        <v>0</v>
      </c>
      <c r="N760" s="59">
        <v>0</v>
      </c>
      <c r="O760" s="59">
        <f t="shared" si="85"/>
        <v>0</v>
      </c>
      <c r="P760" s="59">
        <f>(-2500/7)*5</f>
        <v>-1785.7142857142858</v>
      </c>
      <c r="Q760" s="59">
        <v>0</v>
      </c>
      <c r="R760" s="59">
        <f>(-500/7)*5</f>
        <v>-357.14285714285717</v>
      </c>
      <c r="S760" s="59">
        <v>0</v>
      </c>
      <c r="T760" s="59">
        <v>0</v>
      </c>
      <c r="U760" s="59">
        <v>0</v>
      </c>
      <c r="V760" s="59">
        <v>0</v>
      </c>
      <c r="W760" s="59">
        <f t="shared" si="86"/>
        <v>-2142.8571428571431</v>
      </c>
      <c r="X760" s="59">
        <f t="shared" si="82"/>
        <v>0</v>
      </c>
      <c r="Y760" s="59">
        <f t="shared" si="83"/>
        <v>-2142.8571428571431</v>
      </c>
      <c r="Z760" s="59">
        <v>0</v>
      </c>
      <c r="AA760" s="59">
        <f t="shared" si="84"/>
        <v>-2142.8571428571431</v>
      </c>
      <c r="AB760" s="59">
        <f t="shared" si="81"/>
        <v>-2142.8571428571431</v>
      </c>
      <c r="AD760" s="50" t="s">
        <v>1517</v>
      </c>
      <c r="AE760" s="50"/>
      <c r="AF760" s="59"/>
    </row>
    <row r="761" spans="1:32" x14ac:dyDescent="0.3">
      <c r="A761" s="49">
        <v>13</v>
      </c>
      <c r="B761" s="41" t="s">
        <v>944</v>
      </c>
      <c r="C761" s="50" t="s">
        <v>372</v>
      </c>
      <c r="D761" s="50" t="s">
        <v>1004</v>
      </c>
      <c r="E761" s="50" t="s">
        <v>39</v>
      </c>
      <c r="F761" s="51" t="s">
        <v>39</v>
      </c>
      <c r="G761" s="50" t="s">
        <v>866</v>
      </c>
      <c r="H761" s="59">
        <v>5124.0200000000004</v>
      </c>
      <c r="I761" s="59">
        <v>-1497.23</v>
      </c>
      <c r="J761" s="59">
        <v>0</v>
      </c>
      <c r="K761" s="59">
        <v>0</v>
      </c>
      <c r="L761" s="59">
        <v>0</v>
      </c>
      <c r="M761" s="59">
        <v>-47</v>
      </c>
      <c r="N761" s="59">
        <v>0</v>
      </c>
      <c r="O761" s="59">
        <f t="shared" si="85"/>
        <v>3579.7900000000004</v>
      </c>
      <c r="P761" s="59">
        <v>-2500</v>
      </c>
      <c r="Q761" s="59">
        <v>0</v>
      </c>
      <c r="R761" s="59">
        <v>0</v>
      </c>
      <c r="S761" s="59">
        <v>0</v>
      </c>
      <c r="T761" s="59">
        <v>0</v>
      </c>
      <c r="U761" s="59">
        <v>0</v>
      </c>
      <c r="V761" s="59">
        <v>0</v>
      </c>
      <c r="W761" s="59">
        <f t="shared" si="86"/>
        <v>1079.7900000000004</v>
      </c>
      <c r="X761" s="59">
        <f t="shared" si="82"/>
        <v>1079.7900000000004</v>
      </c>
      <c r="Y761" s="59">
        <f t="shared" si="83"/>
        <v>0</v>
      </c>
      <c r="Z761" s="59">
        <v>0</v>
      </c>
      <c r="AA761" s="59">
        <f t="shared" si="84"/>
        <v>0</v>
      </c>
      <c r="AB761" s="59">
        <f t="shared" si="81"/>
        <v>2500</v>
      </c>
      <c r="AE761" s="50"/>
      <c r="AF761" s="59"/>
    </row>
    <row r="762" spans="1:32" x14ac:dyDescent="0.3">
      <c r="A762" s="49">
        <v>13</v>
      </c>
      <c r="B762" s="41" t="s">
        <v>1453</v>
      </c>
      <c r="C762" s="50" t="s">
        <v>1829</v>
      </c>
      <c r="D762" s="50" t="s">
        <v>3279</v>
      </c>
      <c r="E762" s="50" t="s">
        <v>25</v>
      </c>
      <c r="F762" s="51" t="s">
        <v>25</v>
      </c>
      <c r="G762" s="50" t="s">
        <v>866</v>
      </c>
      <c r="H762" s="59">
        <v>4614.7299999999996</v>
      </c>
      <c r="I762" s="59">
        <v>-1978.85</v>
      </c>
      <c r="J762" s="59">
        <v>0</v>
      </c>
      <c r="K762" s="62">
        <v>124</v>
      </c>
      <c r="L762" s="59">
        <v>0</v>
      </c>
      <c r="M762" s="59">
        <v>-50</v>
      </c>
      <c r="N762" s="59">
        <v>0</v>
      </c>
      <c r="O762" s="59">
        <f t="shared" si="85"/>
        <v>2709.8799999999997</v>
      </c>
      <c r="P762" s="59">
        <v>-2700</v>
      </c>
      <c r="Q762" s="59">
        <v>0</v>
      </c>
      <c r="R762" s="59">
        <v>0</v>
      </c>
      <c r="S762" s="59">
        <v>0</v>
      </c>
      <c r="T762" s="59">
        <v>0</v>
      </c>
      <c r="U762" s="59">
        <v>0</v>
      </c>
      <c r="V762" s="59">
        <v>0</v>
      </c>
      <c r="W762" s="59">
        <f t="shared" si="86"/>
        <v>9.8799999999996544</v>
      </c>
      <c r="X762" s="59">
        <f t="shared" si="82"/>
        <v>9.8799999999996544</v>
      </c>
      <c r="Y762" s="59">
        <f t="shared" si="83"/>
        <v>0</v>
      </c>
      <c r="Z762" s="59">
        <v>0</v>
      </c>
      <c r="AA762" s="59">
        <f t="shared" si="84"/>
        <v>0</v>
      </c>
      <c r="AB762" s="59">
        <f t="shared" si="81"/>
        <v>2700</v>
      </c>
      <c r="AE762" s="50"/>
      <c r="AF762" s="59"/>
    </row>
    <row r="763" spans="1:32" x14ac:dyDescent="0.3">
      <c r="A763" s="49">
        <v>13</v>
      </c>
      <c r="B763" s="41" t="s">
        <v>604</v>
      </c>
      <c r="C763" s="50" t="s">
        <v>605</v>
      </c>
      <c r="D763" s="50" t="s">
        <v>1223</v>
      </c>
      <c r="E763" s="50" t="s">
        <v>25</v>
      </c>
      <c r="F763" s="51" t="s">
        <v>25</v>
      </c>
      <c r="G763" s="50" t="s">
        <v>866</v>
      </c>
      <c r="H763" s="59">
        <v>4120.1400000000003</v>
      </c>
      <c r="I763" s="59">
        <v>-1734.3200000000002</v>
      </c>
      <c r="J763" s="59">
        <v>0</v>
      </c>
      <c r="K763" s="59">
        <v>0</v>
      </c>
      <c r="L763" s="59">
        <v>0</v>
      </c>
      <c r="M763" s="59">
        <v>-50</v>
      </c>
      <c r="N763" s="59">
        <v>0</v>
      </c>
      <c r="O763" s="59">
        <f t="shared" si="85"/>
        <v>2335.8200000000002</v>
      </c>
      <c r="P763" s="59">
        <v>-2700</v>
      </c>
      <c r="Q763" s="59">
        <v>0</v>
      </c>
      <c r="R763" s="59">
        <v>0</v>
      </c>
      <c r="S763" s="59">
        <v>0</v>
      </c>
      <c r="T763" s="59">
        <v>0</v>
      </c>
      <c r="U763" s="59">
        <v>0</v>
      </c>
      <c r="V763" s="59">
        <v>0</v>
      </c>
      <c r="W763" s="59">
        <f t="shared" si="86"/>
        <v>-364.17999999999984</v>
      </c>
      <c r="X763" s="59">
        <f t="shared" si="82"/>
        <v>0</v>
      </c>
      <c r="Y763" s="59">
        <f t="shared" si="83"/>
        <v>-364.17999999999984</v>
      </c>
      <c r="Z763" s="59">
        <v>364</v>
      </c>
      <c r="AA763" s="59">
        <f t="shared" si="84"/>
        <v>-0.17999999999983629</v>
      </c>
      <c r="AB763" s="59">
        <f t="shared" si="81"/>
        <v>2699.6400000000003</v>
      </c>
      <c r="AD763" s="239" t="s">
        <v>3396</v>
      </c>
      <c r="AE763" s="50"/>
      <c r="AF763" s="59"/>
    </row>
    <row r="764" spans="1:32" x14ac:dyDescent="0.3">
      <c r="A764" s="49">
        <v>13</v>
      </c>
      <c r="B764" s="41" t="s">
        <v>1029</v>
      </c>
      <c r="C764" s="50" t="s">
        <v>68</v>
      </c>
      <c r="D764" s="50" t="s">
        <v>869</v>
      </c>
      <c r="E764" s="50" t="s">
        <v>25</v>
      </c>
      <c r="F764" s="51" t="s">
        <v>25</v>
      </c>
      <c r="G764" s="50" t="s">
        <v>866</v>
      </c>
      <c r="H764" s="59">
        <v>6077.63</v>
      </c>
      <c r="I764" s="59">
        <v>-337.43</v>
      </c>
      <c r="J764" s="59">
        <v>-24</v>
      </c>
      <c r="K764" s="59">
        <v>0</v>
      </c>
      <c r="L764" s="59">
        <v>-44.900000000000006</v>
      </c>
      <c r="M764" s="59">
        <v>-20</v>
      </c>
      <c r="N764" s="59">
        <v>0</v>
      </c>
      <c r="O764" s="59">
        <f t="shared" si="85"/>
        <v>5651.3</v>
      </c>
      <c r="P764" s="59">
        <v>-2500</v>
      </c>
      <c r="Q764" s="59">
        <v>0</v>
      </c>
      <c r="R764" s="59">
        <v>0</v>
      </c>
      <c r="S764" s="59">
        <v>0</v>
      </c>
      <c r="T764" s="59">
        <v>0</v>
      </c>
      <c r="U764" s="59">
        <v>0</v>
      </c>
      <c r="V764" s="59">
        <v>0</v>
      </c>
      <c r="W764" s="59">
        <f t="shared" si="86"/>
        <v>3151.3</v>
      </c>
      <c r="X764" s="59">
        <f t="shared" si="82"/>
        <v>3151.3</v>
      </c>
      <c r="Y764" s="59">
        <f t="shared" si="83"/>
        <v>0</v>
      </c>
      <c r="Z764" s="59">
        <v>0</v>
      </c>
      <c r="AA764" s="59">
        <f t="shared" si="84"/>
        <v>0</v>
      </c>
      <c r="AB764" s="59">
        <f t="shared" si="81"/>
        <v>2500</v>
      </c>
      <c r="AE764" s="50"/>
      <c r="AF764" s="59"/>
    </row>
    <row r="765" spans="1:32" x14ac:dyDescent="0.3">
      <c r="A765" s="49">
        <v>13</v>
      </c>
      <c r="B765" s="41" t="s">
        <v>1449</v>
      </c>
      <c r="C765" s="50" t="s">
        <v>1611</v>
      </c>
      <c r="D765" s="50" t="s">
        <v>3280</v>
      </c>
      <c r="E765" s="50" t="s">
        <v>25</v>
      </c>
      <c r="F765" s="51" t="s">
        <v>25</v>
      </c>
      <c r="G765" s="50" t="s">
        <v>866</v>
      </c>
      <c r="H765" s="59">
        <v>11206.61</v>
      </c>
      <c r="I765" s="59">
        <v>-3580.3399999999997</v>
      </c>
      <c r="J765" s="59">
        <v>-203.04000000000002</v>
      </c>
      <c r="K765" s="59">
        <v>19.579999999999998</v>
      </c>
      <c r="L765" s="59">
        <v>0</v>
      </c>
      <c r="M765" s="59">
        <v>-65</v>
      </c>
      <c r="N765" s="59">
        <v>0</v>
      </c>
      <c r="O765" s="59">
        <f t="shared" si="85"/>
        <v>7377.81</v>
      </c>
      <c r="P765" s="59">
        <v>-2500</v>
      </c>
      <c r="Q765" s="59">
        <v>0</v>
      </c>
      <c r="R765" s="59">
        <v>0</v>
      </c>
      <c r="S765" s="59">
        <v>0</v>
      </c>
      <c r="T765" s="59">
        <v>0</v>
      </c>
      <c r="U765" s="59">
        <v>0</v>
      </c>
      <c r="V765" s="59">
        <v>0</v>
      </c>
      <c r="W765" s="59">
        <f t="shared" si="86"/>
        <v>4877.8100000000004</v>
      </c>
      <c r="X765" s="59">
        <f t="shared" si="82"/>
        <v>4877.8100000000004</v>
      </c>
      <c r="Y765" s="59">
        <f t="shared" si="83"/>
        <v>0</v>
      </c>
      <c r="Z765" s="59">
        <v>0</v>
      </c>
      <c r="AA765" s="59">
        <f t="shared" si="84"/>
        <v>0</v>
      </c>
      <c r="AB765" s="59">
        <f t="shared" si="81"/>
        <v>2500</v>
      </c>
      <c r="AE765" s="50"/>
      <c r="AF765" s="59"/>
    </row>
    <row r="766" spans="1:32" x14ac:dyDescent="0.3">
      <c r="A766" s="49">
        <v>13</v>
      </c>
      <c r="B766" s="41" t="s">
        <v>1151</v>
      </c>
      <c r="C766" s="50" t="s">
        <v>1285</v>
      </c>
      <c r="D766" s="50" t="s">
        <v>1340</v>
      </c>
      <c r="E766" s="50" t="s">
        <v>25</v>
      </c>
      <c r="F766" s="51" t="s">
        <v>25</v>
      </c>
      <c r="G766" s="50" t="s">
        <v>866</v>
      </c>
      <c r="H766" s="59">
        <v>6682.93</v>
      </c>
      <c r="I766" s="59">
        <v>0</v>
      </c>
      <c r="J766" s="59">
        <v>-65.599999999999994</v>
      </c>
      <c r="K766" s="62">
        <v>144.16</v>
      </c>
      <c r="L766" s="59">
        <v>0</v>
      </c>
      <c r="M766" s="59">
        <v>0</v>
      </c>
      <c r="N766" s="59">
        <v>0</v>
      </c>
      <c r="O766" s="59">
        <f t="shared" si="85"/>
        <v>6761.49</v>
      </c>
      <c r="P766" s="59">
        <v>-2700</v>
      </c>
      <c r="Q766" s="59">
        <v>0</v>
      </c>
      <c r="R766" s="59">
        <v>0</v>
      </c>
      <c r="S766" s="59">
        <v>0</v>
      </c>
      <c r="T766" s="59">
        <v>0</v>
      </c>
      <c r="U766" s="59">
        <v>0</v>
      </c>
      <c r="V766" s="59">
        <v>0</v>
      </c>
      <c r="W766" s="59">
        <f t="shared" si="86"/>
        <v>4061.49</v>
      </c>
      <c r="X766" s="59">
        <f t="shared" si="82"/>
        <v>4061.49</v>
      </c>
      <c r="Y766" s="59">
        <f t="shared" si="83"/>
        <v>0</v>
      </c>
      <c r="Z766" s="59">
        <v>0</v>
      </c>
      <c r="AA766" s="59">
        <f t="shared" si="84"/>
        <v>0</v>
      </c>
      <c r="AB766" s="59">
        <f t="shared" si="81"/>
        <v>2700</v>
      </c>
      <c r="AE766" s="50"/>
      <c r="AF766" s="59"/>
    </row>
    <row r="767" spans="1:32" x14ac:dyDescent="0.3">
      <c r="A767" s="49">
        <v>13</v>
      </c>
      <c r="B767" s="41" t="s">
        <v>1310</v>
      </c>
      <c r="C767" s="50" t="s">
        <v>101</v>
      </c>
      <c r="D767" s="50" t="s">
        <v>945</v>
      </c>
      <c r="E767" s="50" t="s">
        <v>25</v>
      </c>
      <c r="F767" s="51" t="s">
        <v>25</v>
      </c>
      <c r="G767" s="50" t="s">
        <v>866</v>
      </c>
      <c r="H767" s="59">
        <v>8831.58</v>
      </c>
      <c r="I767" s="59">
        <v>-2934.7700000000004</v>
      </c>
      <c r="J767" s="59">
        <v>-111.2</v>
      </c>
      <c r="K767" s="59">
        <v>9.7899999999999991</v>
      </c>
      <c r="L767" s="59">
        <v>0</v>
      </c>
      <c r="M767" s="59">
        <v>-60</v>
      </c>
      <c r="N767" s="59">
        <v>0</v>
      </c>
      <c r="O767" s="59">
        <f t="shared" si="85"/>
        <v>5735.4</v>
      </c>
      <c r="P767" s="59">
        <v>-2500</v>
      </c>
      <c r="Q767" s="59">
        <v>0</v>
      </c>
      <c r="R767" s="59">
        <v>0</v>
      </c>
      <c r="S767" s="59">
        <v>0</v>
      </c>
      <c r="T767" s="59">
        <v>0</v>
      </c>
      <c r="U767" s="59">
        <v>0</v>
      </c>
      <c r="V767" s="59">
        <v>0</v>
      </c>
      <c r="W767" s="59">
        <f t="shared" si="86"/>
        <v>3235.3999999999996</v>
      </c>
      <c r="X767" s="59">
        <f t="shared" si="82"/>
        <v>3235.3999999999996</v>
      </c>
      <c r="Y767" s="59">
        <f t="shared" si="83"/>
        <v>0</v>
      </c>
      <c r="Z767" s="59">
        <v>0</v>
      </c>
      <c r="AA767" s="59">
        <f t="shared" si="84"/>
        <v>0</v>
      </c>
      <c r="AB767" s="59">
        <f t="shared" si="81"/>
        <v>2500</v>
      </c>
      <c r="AE767" s="50"/>
      <c r="AF767" s="59"/>
    </row>
    <row r="768" spans="1:32" x14ac:dyDescent="0.3">
      <c r="A768" s="49">
        <v>13</v>
      </c>
      <c r="B768" s="41" t="s">
        <v>913</v>
      </c>
      <c r="C768" s="50" t="s">
        <v>361</v>
      </c>
      <c r="D768" s="50" t="s">
        <v>1164</v>
      </c>
      <c r="E768" s="50" t="s">
        <v>25</v>
      </c>
      <c r="F768" s="51" t="s">
        <v>25</v>
      </c>
      <c r="G768" s="50" t="s">
        <v>866</v>
      </c>
      <c r="H768" s="59">
        <v>4272.68</v>
      </c>
      <c r="I768" s="59">
        <v>-4229.03</v>
      </c>
      <c r="J768" s="59">
        <v>-24</v>
      </c>
      <c r="K768" s="59">
        <v>0</v>
      </c>
      <c r="L768" s="59">
        <v>0</v>
      </c>
      <c r="M768" s="59">
        <v>-70</v>
      </c>
      <c r="N768" s="59">
        <v>0</v>
      </c>
      <c r="O768" s="59">
        <f t="shared" si="85"/>
        <v>-50.349999999999454</v>
      </c>
      <c r="P768" s="59">
        <v>-2700</v>
      </c>
      <c r="Q768" s="59">
        <v>0</v>
      </c>
      <c r="R768" s="59">
        <v>0</v>
      </c>
      <c r="S768" s="59">
        <v>0</v>
      </c>
      <c r="T768" s="59">
        <v>0</v>
      </c>
      <c r="U768" s="59">
        <v>0</v>
      </c>
      <c r="V768" s="59">
        <v>0</v>
      </c>
      <c r="W768" s="59">
        <f t="shared" si="86"/>
        <v>-2750.3499999999995</v>
      </c>
      <c r="X768" s="59">
        <f t="shared" si="82"/>
        <v>0</v>
      </c>
      <c r="Y768" s="59">
        <f t="shared" si="83"/>
        <v>-2750.3499999999995</v>
      </c>
      <c r="Z768" s="59">
        <f>1000+1720</f>
        <v>2720</v>
      </c>
      <c r="AA768" s="59">
        <f t="shared" si="84"/>
        <v>-30.349999999999454</v>
      </c>
      <c r="AB768" s="59">
        <f t="shared" si="81"/>
        <v>2639.3000000000011</v>
      </c>
      <c r="AD768" s="50" t="s">
        <v>3397</v>
      </c>
      <c r="AE768" s="50"/>
      <c r="AF768" s="59"/>
    </row>
    <row r="769" spans="1:32" x14ac:dyDescent="0.3">
      <c r="A769" s="49">
        <v>13</v>
      </c>
      <c r="B769" s="41" t="s">
        <v>913</v>
      </c>
      <c r="C769" s="50" t="s">
        <v>120</v>
      </c>
      <c r="D769" s="50" t="s">
        <v>950</v>
      </c>
      <c r="E769" s="50" t="s">
        <v>25</v>
      </c>
      <c r="F769" s="51" t="s">
        <v>25</v>
      </c>
      <c r="G769" s="50" t="s">
        <v>866</v>
      </c>
      <c r="H769" s="59">
        <v>0</v>
      </c>
      <c r="I769" s="59">
        <v>0</v>
      </c>
      <c r="J769" s="59">
        <v>0</v>
      </c>
      <c r="K769" s="59">
        <v>0</v>
      </c>
      <c r="L769" s="59">
        <v>0</v>
      </c>
      <c r="M769" s="59">
        <v>0</v>
      </c>
      <c r="N769" s="59">
        <v>0</v>
      </c>
      <c r="O769" s="59">
        <f t="shared" si="85"/>
        <v>0</v>
      </c>
      <c r="P769" s="59">
        <v>0</v>
      </c>
      <c r="Q769" s="59">
        <v>0</v>
      </c>
      <c r="R769" s="59">
        <v>0</v>
      </c>
      <c r="S769" s="59">
        <v>0</v>
      </c>
      <c r="T769" s="59">
        <v>-700</v>
      </c>
      <c r="U769" s="59">
        <v>0</v>
      </c>
      <c r="V769" s="59">
        <v>0</v>
      </c>
      <c r="W769" s="59">
        <f t="shared" si="86"/>
        <v>-700</v>
      </c>
      <c r="X769" s="59">
        <f t="shared" si="82"/>
        <v>0</v>
      </c>
      <c r="Y769" s="59">
        <f t="shared" si="83"/>
        <v>-700</v>
      </c>
      <c r="Z769" s="59">
        <v>700</v>
      </c>
      <c r="AA769" s="59">
        <f t="shared" si="84"/>
        <v>0</v>
      </c>
      <c r="AB769" s="59">
        <f t="shared" si="81"/>
        <v>700</v>
      </c>
      <c r="AE769" s="50"/>
      <c r="AF769" s="59"/>
    </row>
    <row r="770" spans="1:32" x14ac:dyDescent="0.3">
      <c r="A770" s="49">
        <v>13</v>
      </c>
      <c r="B770" s="41" t="s">
        <v>1522</v>
      </c>
      <c r="C770" s="50" t="s">
        <v>169</v>
      </c>
      <c r="D770" s="50" t="s">
        <v>967</v>
      </c>
      <c r="E770" s="50" t="s">
        <v>871</v>
      </c>
      <c r="F770" s="51" t="s">
        <v>39</v>
      </c>
      <c r="G770" s="50" t="s">
        <v>866</v>
      </c>
      <c r="H770" s="59">
        <v>2091.88</v>
      </c>
      <c r="I770" s="59">
        <v>0</v>
      </c>
      <c r="J770" s="59">
        <v>-82.88</v>
      </c>
      <c r="K770" s="59">
        <v>542.48</v>
      </c>
      <c r="L770" s="59">
        <v>0</v>
      </c>
      <c r="M770" s="59">
        <v>-51</v>
      </c>
      <c r="N770" s="59">
        <v>0</v>
      </c>
      <c r="O770" s="59">
        <f t="shared" si="85"/>
        <v>2500.48</v>
      </c>
      <c r="P770" s="59">
        <v>-2500</v>
      </c>
      <c r="Q770" s="59">
        <v>0</v>
      </c>
      <c r="R770" s="59">
        <v>0</v>
      </c>
      <c r="S770" s="59">
        <v>0</v>
      </c>
      <c r="T770" s="59">
        <v>0</v>
      </c>
      <c r="U770" s="59">
        <v>0</v>
      </c>
      <c r="V770" s="59">
        <v>0</v>
      </c>
      <c r="W770" s="59">
        <f t="shared" si="86"/>
        <v>0.48000000000001819</v>
      </c>
      <c r="X770" s="59">
        <f t="shared" si="82"/>
        <v>0.48000000000001819</v>
      </c>
      <c r="Y770" s="59">
        <f t="shared" si="83"/>
        <v>0</v>
      </c>
      <c r="Z770" s="59">
        <v>0</v>
      </c>
      <c r="AA770" s="59">
        <f t="shared" si="84"/>
        <v>0</v>
      </c>
      <c r="AB770" s="59">
        <f t="shared" ref="AB770:AB833" si="87">+O770-X770+Z770+AA770</f>
        <v>2500</v>
      </c>
      <c r="AE770" s="50"/>
      <c r="AF770" s="59"/>
    </row>
    <row r="771" spans="1:32" x14ac:dyDescent="0.3">
      <c r="A771" s="49">
        <v>13</v>
      </c>
      <c r="B771" s="50" t="s">
        <v>3362</v>
      </c>
      <c r="C771" s="50" t="s">
        <v>760</v>
      </c>
      <c r="D771" s="50" t="s">
        <v>1239</v>
      </c>
      <c r="E771" s="207" t="s">
        <v>25</v>
      </c>
      <c r="F771" s="51" t="s">
        <v>39</v>
      </c>
      <c r="G771" s="50" t="s">
        <v>866</v>
      </c>
      <c r="H771" s="59">
        <v>1151.8499999999999</v>
      </c>
      <c r="I771" s="59">
        <v>-144.9</v>
      </c>
      <c r="J771" s="59">
        <v>-8</v>
      </c>
      <c r="K771" s="59">
        <v>50.66</v>
      </c>
      <c r="L771" s="59">
        <v>0</v>
      </c>
      <c r="M771" s="59">
        <v>0</v>
      </c>
      <c r="N771" s="59">
        <v>0</v>
      </c>
      <c r="O771" s="59">
        <f t="shared" si="85"/>
        <v>1049.6099999999999</v>
      </c>
      <c r="P771" s="59">
        <v>-1050</v>
      </c>
      <c r="Q771" s="59">
        <v>0</v>
      </c>
      <c r="R771" s="59">
        <v>0</v>
      </c>
      <c r="S771" s="59">
        <v>0</v>
      </c>
      <c r="T771" s="59">
        <v>0</v>
      </c>
      <c r="U771" s="59">
        <v>0</v>
      </c>
      <c r="V771" s="59">
        <v>0</v>
      </c>
      <c r="W771" s="59">
        <f t="shared" si="86"/>
        <v>-0.39000000000010004</v>
      </c>
      <c r="X771" s="59">
        <f t="shared" si="82"/>
        <v>0</v>
      </c>
      <c r="Y771" s="59">
        <f t="shared" si="83"/>
        <v>-0.39000000000010004</v>
      </c>
      <c r="Z771" s="59">
        <v>0</v>
      </c>
      <c r="AA771" s="59">
        <f t="shared" si="84"/>
        <v>-0.39000000000010004</v>
      </c>
      <c r="AB771" s="59">
        <f t="shared" si="87"/>
        <v>1049.2199999999998</v>
      </c>
      <c r="AE771" s="50"/>
      <c r="AF771" s="59"/>
    </row>
    <row r="772" spans="1:32" x14ac:dyDescent="0.3">
      <c r="A772" s="49">
        <v>13</v>
      </c>
      <c r="B772" s="50" t="s">
        <v>2010</v>
      </c>
      <c r="C772" s="50" t="s">
        <v>1316</v>
      </c>
      <c r="D772" s="50" t="s">
        <v>3281</v>
      </c>
      <c r="E772" s="50" t="s">
        <v>25</v>
      </c>
      <c r="F772" s="50" t="s">
        <v>25</v>
      </c>
      <c r="G772" s="50" t="s">
        <v>866</v>
      </c>
      <c r="H772" s="59">
        <v>7156.78</v>
      </c>
      <c r="I772" s="59">
        <v>0</v>
      </c>
      <c r="J772" s="59">
        <v>0</v>
      </c>
      <c r="K772" s="59">
        <v>0</v>
      </c>
      <c r="L772" s="59">
        <v>0</v>
      </c>
      <c r="M772" s="59">
        <v>0</v>
      </c>
      <c r="N772" s="59">
        <v>0</v>
      </c>
      <c r="O772" s="59">
        <f t="shared" si="85"/>
        <v>7156.78</v>
      </c>
      <c r="P772" s="59">
        <v>-2700</v>
      </c>
      <c r="Q772" s="59">
        <v>0</v>
      </c>
      <c r="R772" s="59">
        <v>-500</v>
      </c>
      <c r="S772" s="59">
        <v>0</v>
      </c>
      <c r="T772" s="59">
        <v>0</v>
      </c>
      <c r="U772" s="59">
        <v>0</v>
      </c>
      <c r="V772" s="59">
        <v>0</v>
      </c>
      <c r="W772" s="59">
        <f t="shared" si="86"/>
        <v>3956.7799999999997</v>
      </c>
      <c r="X772" s="59">
        <f t="shared" si="82"/>
        <v>3956.7799999999997</v>
      </c>
      <c r="Y772" s="59">
        <f t="shared" si="83"/>
        <v>0</v>
      </c>
      <c r="Z772" s="59">
        <v>0</v>
      </c>
      <c r="AA772" s="59">
        <f t="shared" si="84"/>
        <v>0</v>
      </c>
      <c r="AB772" s="59">
        <f t="shared" si="87"/>
        <v>3200</v>
      </c>
      <c r="AE772" s="50"/>
      <c r="AF772" s="59"/>
    </row>
    <row r="773" spans="1:32" x14ac:dyDescent="0.3">
      <c r="A773" s="49">
        <v>13</v>
      </c>
      <c r="B773" s="41" t="s">
        <v>612</v>
      </c>
      <c r="C773" s="50" t="s">
        <v>1443</v>
      </c>
      <c r="D773" s="50" t="s">
        <v>1554</v>
      </c>
      <c r="E773" s="50" t="s">
        <v>25</v>
      </c>
      <c r="F773" s="51" t="s">
        <v>25</v>
      </c>
      <c r="G773" s="50" t="s">
        <v>866</v>
      </c>
      <c r="H773" s="59">
        <v>0</v>
      </c>
      <c r="I773" s="59">
        <v>0</v>
      </c>
      <c r="J773" s="59">
        <v>0</v>
      </c>
      <c r="K773" s="59">
        <v>0</v>
      </c>
      <c r="L773" s="59">
        <v>0</v>
      </c>
      <c r="M773" s="59">
        <v>0</v>
      </c>
      <c r="N773" s="59">
        <v>0</v>
      </c>
      <c r="O773" s="59">
        <f t="shared" si="85"/>
        <v>0</v>
      </c>
      <c r="P773" s="59">
        <v>0</v>
      </c>
      <c r="Q773" s="59">
        <v>0</v>
      </c>
      <c r="R773" s="62">
        <v>200</v>
      </c>
      <c r="S773" s="59">
        <v>0</v>
      </c>
      <c r="T773" s="59">
        <v>0</v>
      </c>
      <c r="U773" s="59">
        <v>0</v>
      </c>
      <c r="V773" s="59">
        <v>0</v>
      </c>
      <c r="W773" s="59">
        <f t="shared" si="86"/>
        <v>200</v>
      </c>
      <c r="X773" s="59">
        <f t="shared" si="82"/>
        <v>200</v>
      </c>
      <c r="Y773" s="59">
        <f t="shared" si="83"/>
        <v>0</v>
      </c>
      <c r="Z773" s="59">
        <v>0</v>
      </c>
      <c r="AA773" s="59">
        <f t="shared" si="84"/>
        <v>0</v>
      </c>
      <c r="AB773" s="59">
        <f t="shared" si="87"/>
        <v>-200</v>
      </c>
      <c r="AD773" s="50" t="s">
        <v>3398</v>
      </c>
      <c r="AE773" s="50"/>
      <c r="AF773" s="59"/>
    </row>
    <row r="774" spans="1:32" x14ac:dyDescent="0.3">
      <c r="A774" s="49">
        <v>13</v>
      </c>
      <c r="B774" s="50" t="s">
        <v>2711</v>
      </c>
      <c r="C774" s="50" t="s">
        <v>347</v>
      </c>
      <c r="D774" s="50" t="s">
        <v>1122</v>
      </c>
      <c r="E774" s="50" t="s">
        <v>25</v>
      </c>
      <c r="F774" s="51" t="s">
        <v>25</v>
      </c>
      <c r="G774" s="50" t="s">
        <v>866</v>
      </c>
      <c r="H774" s="59">
        <v>7492.66</v>
      </c>
      <c r="I774" s="59">
        <v>-2757.0599999999995</v>
      </c>
      <c r="J774" s="59">
        <v>0</v>
      </c>
      <c r="K774" s="59">
        <v>-3.15</v>
      </c>
      <c r="L774" s="59">
        <v>0</v>
      </c>
      <c r="M774" s="59">
        <v>-60</v>
      </c>
      <c r="N774" s="59">
        <v>0</v>
      </c>
      <c r="O774" s="59">
        <f t="shared" si="85"/>
        <v>4672.4500000000007</v>
      </c>
      <c r="P774" s="59">
        <v>-2500</v>
      </c>
      <c r="Q774" s="59">
        <v>0</v>
      </c>
      <c r="R774" s="59">
        <v>-393</v>
      </c>
      <c r="S774" s="59">
        <v>0</v>
      </c>
      <c r="T774" s="59">
        <v>0</v>
      </c>
      <c r="U774" s="59">
        <v>0</v>
      </c>
      <c r="V774" s="59">
        <v>0</v>
      </c>
      <c r="W774" s="59">
        <f t="shared" si="86"/>
        <v>1779.4500000000007</v>
      </c>
      <c r="X774" s="59">
        <f t="shared" si="82"/>
        <v>1779.4500000000007</v>
      </c>
      <c r="Y774" s="59">
        <f t="shared" si="83"/>
        <v>0</v>
      </c>
      <c r="Z774" s="59">
        <v>0</v>
      </c>
      <c r="AA774" s="59">
        <f t="shared" si="84"/>
        <v>0</v>
      </c>
      <c r="AB774" s="59">
        <f t="shared" si="87"/>
        <v>2893</v>
      </c>
      <c r="AE774" s="50"/>
      <c r="AF774" s="59"/>
    </row>
    <row r="775" spans="1:32" x14ac:dyDescent="0.3">
      <c r="A775" s="49">
        <v>13</v>
      </c>
      <c r="B775" s="50" t="s">
        <v>1056</v>
      </c>
      <c r="C775" s="50" t="s">
        <v>672</v>
      </c>
      <c r="D775" s="50" t="s">
        <v>1226</v>
      </c>
      <c r="E775" s="50" t="s">
        <v>25</v>
      </c>
      <c r="F775" s="51" t="s">
        <v>25</v>
      </c>
      <c r="G775" s="50" t="s">
        <v>866</v>
      </c>
      <c r="H775" s="59">
        <v>1077.8599999999999</v>
      </c>
      <c r="I775" s="59">
        <v>0</v>
      </c>
      <c r="J775" s="59">
        <v>0</v>
      </c>
      <c r="K775" s="59">
        <v>0</v>
      </c>
      <c r="L775" s="59">
        <v>0</v>
      </c>
      <c r="M775" s="59">
        <v>0</v>
      </c>
      <c r="N775" s="59">
        <v>0</v>
      </c>
      <c r="O775" s="59">
        <f t="shared" si="85"/>
        <v>1077.8599999999999</v>
      </c>
      <c r="P775" s="59">
        <v>-2500</v>
      </c>
      <c r="Q775" s="59">
        <v>0</v>
      </c>
      <c r="R775" s="59">
        <v>-500</v>
      </c>
      <c r="S775" s="59">
        <v>0</v>
      </c>
      <c r="T775" s="59">
        <v>0</v>
      </c>
      <c r="U775" s="59">
        <v>80</v>
      </c>
      <c r="V775" s="59">
        <v>0</v>
      </c>
      <c r="W775" s="59">
        <f t="shared" si="86"/>
        <v>-1842.14</v>
      </c>
      <c r="X775" s="59">
        <f t="shared" si="82"/>
        <v>0</v>
      </c>
      <c r="Y775" s="59">
        <f t="shared" si="83"/>
        <v>-1842.14</v>
      </c>
      <c r="Z775" s="59">
        <v>1842</v>
      </c>
      <c r="AA775" s="59">
        <f t="shared" si="84"/>
        <v>-0.14000000000010004</v>
      </c>
      <c r="AB775" s="59">
        <f t="shared" si="87"/>
        <v>2919.7199999999993</v>
      </c>
      <c r="AD775" s="50" t="s">
        <v>3399</v>
      </c>
      <c r="AE775" s="50"/>
      <c r="AF775" s="59"/>
    </row>
    <row r="776" spans="1:32" x14ac:dyDescent="0.3">
      <c r="A776" s="49">
        <v>13</v>
      </c>
      <c r="B776" s="50" t="s">
        <v>2995</v>
      </c>
      <c r="C776" s="50" t="s">
        <v>36</v>
      </c>
      <c r="D776" s="50" t="s">
        <v>904</v>
      </c>
      <c r="E776" s="50" t="s">
        <v>25</v>
      </c>
      <c r="F776" s="51" t="s">
        <v>25</v>
      </c>
      <c r="G776" s="50" t="s">
        <v>866</v>
      </c>
      <c r="H776" s="59">
        <v>3979.44</v>
      </c>
      <c r="I776" s="59">
        <v>-901.56</v>
      </c>
      <c r="J776" s="59">
        <v>0</v>
      </c>
      <c r="K776" s="59">
        <v>0</v>
      </c>
      <c r="L776" s="59">
        <v>0</v>
      </c>
      <c r="M776" s="59">
        <v>-40</v>
      </c>
      <c r="N776" s="59">
        <v>0</v>
      </c>
      <c r="O776" s="59">
        <f t="shared" si="85"/>
        <v>3037.88</v>
      </c>
      <c r="P776" s="59">
        <f>-2500</f>
        <v>-2500</v>
      </c>
      <c r="Q776" s="59">
        <v>0</v>
      </c>
      <c r="R776" s="59">
        <v>-500</v>
      </c>
      <c r="S776" s="59">
        <v>0</v>
      </c>
      <c r="T776" s="59">
        <v>0</v>
      </c>
      <c r="U776" s="59">
        <v>0</v>
      </c>
      <c r="V776" s="59">
        <v>0</v>
      </c>
      <c r="W776" s="59">
        <f t="shared" si="86"/>
        <v>37.880000000000109</v>
      </c>
      <c r="X776" s="59">
        <f t="shared" si="82"/>
        <v>37.880000000000109</v>
      </c>
      <c r="Y776" s="59">
        <f t="shared" si="83"/>
        <v>0</v>
      </c>
      <c r="Z776" s="59">
        <v>0</v>
      </c>
      <c r="AA776" s="59">
        <f t="shared" si="84"/>
        <v>0</v>
      </c>
      <c r="AB776" s="59">
        <f t="shared" si="87"/>
        <v>3000</v>
      </c>
      <c r="AE776" s="50"/>
      <c r="AF776" s="59"/>
    </row>
    <row r="777" spans="1:32" x14ac:dyDescent="0.3">
      <c r="A777" s="49">
        <v>13</v>
      </c>
      <c r="B777" s="41" t="s">
        <v>1153</v>
      </c>
      <c r="C777" s="50" t="s">
        <v>1328</v>
      </c>
      <c r="D777" s="50" t="s">
        <v>1576</v>
      </c>
      <c r="E777" s="50" t="s">
        <v>25</v>
      </c>
      <c r="F777" s="51" t="s">
        <v>25</v>
      </c>
      <c r="G777" s="50" t="s">
        <v>866</v>
      </c>
      <c r="H777" s="59">
        <v>576.76</v>
      </c>
      <c r="I777" s="59">
        <v>0</v>
      </c>
      <c r="J777" s="59">
        <v>0</v>
      </c>
      <c r="K777" s="59">
        <v>0</v>
      </c>
      <c r="L777" s="59">
        <v>0</v>
      </c>
      <c r="M777" s="59">
        <v>-26.920799999999996</v>
      </c>
      <c r="N777" s="59">
        <v>-224.33999999999997</v>
      </c>
      <c r="O777" s="59">
        <f t="shared" si="85"/>
        <v>325.49920000000003</v>
      </c>
      <c r="P777" s="59">
        <f>(-2700/7)*7</f>
        <v>-2700</v>
      </c>
      <c r="Q777" s="59">
        <v>0</v>
      </c>
      <c r="R777" s="59">
        <v>0</v>
      </c>
      <c r="S777" s="59">
        <v>0</v>
      </c>
      <c r="T777" s="59">
        <v>0</v>
      </c>
      <c r="U777" s="59">
        <v>0</v>
      </c>
      <c r="V777" s="59">
        <v>0</v>
      </c>
      <c r="W777" s="59">
        <f t="shared" si="86"/>
        <v>-2374.5007999999998</v>
      </c>
      <c r="X777" s="59">
        <f t="shared" si="82"/>
        <v>0</v>
      </c>
      <c r="Y777" s="59">
        <f t="shared" si="83"/>
        <v>-2374.5007999999998</v>
      </c>
      <c r="Z777" s="59">
        <f>2000+375</f>
        <v>2375</v>
      </c>
      <c r="AA777" s="59">
        <f t="shared" si="84"/>
        <v>0.49920000000020082</v>
      </c>
      <c r="AB777" s="59">
        <f t="shared" si="87"/>
        <v>2700.9984000000004</v>
      </c>
      <c r="AD777" s="50" t="s">
        <v>3400</v>
      </c>
      <c r="AE777" s="50"/>
      <c r="AF777" s="59"/>
    </row>
    <row r="778" spans="1:32" x14ac:dyDescent="0.3">
      <c r="A778" s="49">
        <v>13</v>
      </c>
      <c r="B778" s="41" t="s">
        <v>872</v>
      </c>
      <c r="C778" s="50" t="s">
        <v>256</v>
      </c>
      <c r="D778" s="50" t="s">
        <v>997</v>
      </c>
      <c r="E778" s="50" t="s">
        <v>871</v>
      </c>
      <c r="F778" s="51" t="s">
        <v>39</v>
      </c>
      <c r="G778" s="50" t="s">
        <v>866</v>
      </c>
      <c r="H778" s="59">
        <v>10426.23</v>
      </c>
      <c r="I778" s="59">
        <v>-3568.04</v>
      </c>
      <c r="J778" s="59">
        <v>-132</v>
      </c>
      <c r="K778" s="59">
        <v>0</v>
      </c>
      <c r="L778" s="59">
        <v>-98.11</v>
      </c>
      <c r="M778" s="59">
        <v>-90</v>
      </c>
      <c r="N778" s="59">
        <v>-168.05</v>
      </c>
      <c r="O778" s="59">
        <f t="shared" si="85"/>
        <v>6370.03</v>
      </c>
      <c r="P778" s="59">
        <v>-2500</v>
      </c>
      <c r="Q778" s="59">
        <v>0</v>
      </c>
      <c r="R778" s="59">
        <v>0</v>
      </c>
      <c r="S778" s="59">
        <v>0</v>
      </c>
      <c r="T778" s="59">
        <v>0</v>
      </c>
      <c r="U778" s="59">
        <v>0</v>
      </c>
      <c r="V778" s="59">
        <v>0</v>
      </c>
      <c r="W778" s="59">
        <f t="shared" si="86"/>
        <v>3870.0299999999997</v>
      </c>
      <c r="X778" s="59">
        <f t="shared" si="82"/>
        <v>3870.0299999999997</v>
      </c>
      <c r="Y778" s="59">
        <f t="shared" si="83"/>
        <v>0</v>
      </c>
      <c r="Z778" s="59">
        <v>0</v>
      </c>
      <c r="AA778" s="59">
        <f t="shared" si="84"/>
        <v>0</v>
      </c>
      <c r="AB778" s="59">
        <f t="shared" si="87"/>
        <v>2500</v>
      </c>
      <c r="AE778" s="50"/>
      <c r="AF778" s="59"/>
    </row>
    <row r="779" spans="1:32" x14ac:dyDescent="0.3">
      <c r="A779" s="49">
        <v>13</v>
      </c>
      <c r="B779" s="41" t="s">
        <v>1314</v>
      </c>
      <c r="C779" s="50" t="s">
        <v>334</v>
      </c>
      <c r="D779" s="50" t="s">
        <v>1169</v>
      </c>
      <c r="E779" s="50" t="s">
        <v>25</v>
      </c>
      <c r="F779" s="51" t="s">
        <v>25</v>
      </c>
      <c r="G779" s="50" t="s">
        <v>866</v>
      </c>
      <c r="H779" s="59">
        <v>7762.35</v>
      </c>
      <c r="I779" s="59">
        <v>-3100.2200000000003</v>
      </c>
      <c r="J779" s="59">
        <v>0</v>
      </c>
      <c r="K779" s="59">
        <v>246.03</v>
      </c>
      <c r="L779" s="59">
        <v>0</v>
      </c>
      <c r="M779" s="59">
        <v>-65</v>
      </c>
      <c r="N779" s="59">
        <v>0</v>
      </c>
      <c r="O779" s="59">
        <f t="shared" si="85"/>
        <v>4843.16</v>
      </c>
      <c r="P779" s="59">
        <v>-2500</v>
      </c>
      <c r="Q779" s="59">
        <v>0</v>
      </c>
      <c r="R779" s="59">
        <v>0</v>
      </c>
      <c r="S779" s="59">
        <v>0</v>
      </c>
      <c r="T779" s="59">
        <v>0</v>
      </c>
      <c r="U779" s="59">
        <v>0</v>
      </c>
      <c r="V779" s="59">
        <v>0</v>
      </c>
      <c r="W779" s="59">
        <f t="shared" si="86"/>
        <v>2343.16</v>
      </c>
      <c r="X779" s="59">
        <f t="shared" si="82"/>
        <v>2343.16</v>
      </c>
      <c r="Y779" s="59">
        <f t="shared" si="83"/>
        <v>0</v>
      </c>
      <c r="Z779" s="59">
        <v>0</v>
      </c>
      <c r="AA779" s="59">
        <f t="shared" si="84"/>
        <v>0</v>
      </c>
      <c r="AB779" s="59">
        <f t="shared" si="87"/>
        <v>2500</v>
      </c>
      <c r="AE779" s="50"/>
      <c r="AF779" s="59"/>
    </row>
    <row r="780" spans="1:32" x14ac:dyDescent="0.3">
      <c r="A780" s="49">
        <v>13</v>
      </c>
      <c r="B780" s="41" t="s">
        <v>874</v>
      </c>
      <c r="C780" s="50" t="s">
        <v>100</v>
      </c>
      <c r="D780" s="50" t="s">
        <v>1300</v>
      </c>
      <c r="E780" s="50" t="s">
        <v>25</v>
      </c>
      <c r="F780" s="51" t="s">
        <v>25</v>
      </c>
      <c r="G780" s="50" t="s">
        <v>737</v>
      </c>
      <c r="H780" s="59">
        <v>0</v>
      </c>
      <c r="I780" s="59">
        <v>0</v>
      </c>
      <c r="J780" s="59">
        <v>0</v>
      </c>
      <c r="K780" s="59">
        <v>0</v>
      </c>
      <c r="L780" s="59">
        <v>0</v>
      </c>
      <c r="M780" s="59">
        <v>0</v>
      </c>
      <c r="N780" s="59">
        <v>0</v>
      </c>
      <c r="O780" s="59">
        <f t="shared" si="85"/>
        <v>0</v>
      </c>
      <c r="P780" s="59">
        <v>-2500</v>
      </c>
      <c r="Q780" s="59">
        <v>0</v>
      </c>
      <c r="R780" s="59">
        <v>0</v>
      </c>
      <c r="S780" s="59">
        <v>0</v>
      </c>
      <c r="T780" s="59">
        <v>0</v>
      </c>
      <c r="U780" s="59">
        <v>0</v>
      </c>
      <c r="V780" s="59">
        <v>0</v>
      </c>
      <c r="W780" s="59">
        <f t="shared" si="86"/>
        <v>-2500</v>
      </c>
      <c r="X780" s="59">
        <f t="shared" si="82"/>
        <v>0</v>
      </c>
      <c r="Y780" s="59">
        <f t="shared" si="83"/>
        <v>-2500</v>
      </c>
      <c r="Z780" s="59">
        <v>2500</v>
      </c>
      <c r="AA780" s="59">
        <f t="shared" si="84"/>
        <v>0</v>
      </c>
      <c r="AB780" s="59">
        <f t="shared" si="87"/>
        <v>2500</v>
      </c>
      <c r="AD780" s="50" t="s">
        <v>3401</v>
      </c>
      <c r="AE780" s="50"/>
      <c r="AF780" s="59"/>
    </row>
    <row r="781" spans="1:32" x14ac:dyDescent="0.3">
      <c r="A781" s="49">
        <v>13</v>
      </c>
      <c r="B781" s="41" t="s">
        <v>1157</v>
      </c>
      <c r="C781" s="50" t="s">
        <v>1265</v>
      </c>
      <c r="D781" s="50" t="s">
        <v>1580</v>
      </c>
      <c r="E781" s="50" t="s">
        <v>25</v>
      </c>
      <c r="F781" s="51" t="s">
        <v>25</v>
      </c>
      <c r="G781" s="50" t="s">
        <v>866</v>
      </c>
      <c r="H781" s="59">
        <v>10559.29</v>
      </c>
      <c r="I781" s="59">
        <v>-4665.0399999999972</v>
      </c>
      <c r="J781" s="59">
        <v>-161.6</v>
      </c>
      <c r="K781" s="59">
        <v>0</v>
      </c>
      <c r="L781" s="59">
        <v>0</v>
      </c>
      <c r="M781" s="59">
        <f>-5.0796-70</f>
        <v>-75.079599999999999</v>
      </c>
      <c r="N781" s="59">
        <v>-42.33</v>
      </c>
      <c r="O781" s="59">
        <f t="shared" si="85"/>
        <v>5615.2404000000033</v>
      </c>
      <c r="P781" s="59">
        <v>-2700</v>
      </c>
      <c r="Q781" s="59">
        <v>0</v>
      </c>
      <c r="R781" s="59">
        <v>0</v>
      </c>
      <c r="S781" s="59">
        <v>0</v>
      </c>
      <c r="T781" s="59">
        <v>0</v>
      </c>
      <c r="U781" s="59">
        <v>0</v>
      </c>
      <c r="V781" s="59">
        <v>0</v>
      </c>
      <c r="W781" s="59">
        <f t="shared" si="86"/>
        <v>2915.2404000000033</v>
      </c>
      <c r="X781" s="59">
        <f t="shared" si="82"/>
        <v>2915.2404000000033</v>
      </c>
      <c r="Y781" s="59">
        <f t="shared" si="83"/>
        <v>0</v>
      </c>
      <c r="Z781" s="59">
        <v>0</v>
      </c>
      <c r="AA781" s="59">
        <f t="shared" si="84"/>
        <v>0</v>
      </c>
      <c r="AB781" s="59">
        <f t="shared" si="87"/>
        <v>2700</v>
      </c>
      <c r="AE781" s="50"/>
      <c r="AF781" s="59"/>
    </row>
    <row r="782" spans="1:32" x14ac:dyDescent="0.3">
      <c r="A782" s="49">
        <v>13</v>
      </c>
      <c r="B782" s="41" t="s">
        <v>1190</v>
      </c>
      <c r="C782" s="50" t="s">
        <v>573</v>
      </c>
      <c r="D782" s="50" t="s">
        <v>1149</v>
      </c>
      <c r="E782" s="50" t="s">
        <v>25</v>
      </c>
      <c r="F782" s="51" t="s">
        <v>25</v>
      </c>
      <c r="G782" s="50" t="s">
        <v>866</v>
      </c>
      <c r="H782" s="59">
        <v>2212.9</v>
      </c>
      <c r="I782" s="59">
        <v>-59.93</v>
      </c>
      <c r="J782" s="59">
        <v>0</v>
      </c>
      <c r="K782" s="59">
        <v>0</v>
      </c>
      <c r="L782" s="59">
        <v>0</v>
      </c>
      <c r="M782" s="59">
        <v>-5</v>
      </c>
      <c r="N782" s="59">
        <v>0</v>
      </c>
      <c r="O782" s="59">
        <f t="shared" si="85"/>
        <v>2147.9700000000003</v>
      </c>
      <c r="P782" s="59">
        <v>-2500</v>
      </c>
      <c r="Q782" s="59">
        <v>-2478</v>
      </c>
      <c r="R782" s="59">
        <v>0</v>
      </c>
      <c r="S782" s="59">
        <v>0</v>
      </c>
      <c r="T782" s="59">
        <v>0</v>
      </c>
      <c r="U782" s="59">
        <v>0</v>
      </c>
      <c r="V782" s="59">
        <v>0</v>
      </c>
      <c r="W782" s="59">
        <f t="shared" si="86"/>
        <v>-2830.0299999999997</v>
      </c>
      <c r="X782" s="59">
        <f t="shared" si="82"/>
        <v>0</v>
      </c>
      <c r="Y782" s="59">
        <f t="shared" si="83"/>
        <v>-2830.0299999999997</v>
      </c>
      <c r="Z782" s="59">
        <v>0</v>
      </c>
      <c r="AA782" s="59">
        <f t="shared" si="84"/>
        <v>-2830.0299999999997</v>
      </c>
      <c r="AB782" s="59">
        <f t="shared" si="87"/>
        <v>-682.05999999999949</v>
      </c>
      <c r="AE782" s="50"/>
      <c r="AF782" s="59"/>
    </row>
    <row r="783" spans="1:32" x14ac:dyDescent="0.3">
      <c r="A783" s="49">
        <v>13</v>
      </c>
      <c r="B783" s="50" t="s">
        <v>1956</v>
      </c>
      <c r="C783" s="50" t="s">
        <v>257</v>
      </c>
      <c r="D783" s="50" t="s">
        <v>1605</v>
      </c>
      <c r="E783" s="50" t="s">
        <v>25</v>
      </c>
      <c r="F783" s="50" t="s">
        <v>25</v>
      </c>
      <c r="G783" s="50" t="s">
        <v>866</v>
      </c>
      <c r="H783" s="59">
        <v>1507.03</v>
      </c>
      <c r="I783" s="59">
        <v>-59.94</v>
      </c>
      <c r="J783" s="59">
        <v>0</v>
      </c>
      <c r="K783" s="59">
        <v>0</v>
      </c>
      <c r="L783" s="59">
        <v>0</v>
      </c>
      <c r="M783" s="59">
        <v>-5</v>
      </c>
      <c r="N783" s="59">
        <v>0</v>
      </c>
      <c r="O783" s="59">
        <f t="shared" si="85"/>
        <v>1442.09</v>
      </c>
      <c r="P783" s="59">
        <v>-2500</v>
      </c>
      <c r="Q783" s="59">
        <v>0</v>
      </c>
      <c r="R783" s="59">
        <v>-500</v>
      </c>
      <c r="S783" s="59">
        <v>0</v>
      </c>
      <c r="T783" s="59">
        <v>0</v>
      </c>
      <c r="U783" s="59">
        <v>0</v>
      </c>
      <c r="V783" s="59">
        <v>0</v>
      </c>
      <c r="W783" s="59">
        <f t="shared" si="86"/>
        <v>-1557.91</v>
      </c>
      <c r="X783" s="59">
        <f t="shared" si="82"/>
        <v>0</v>
      </c>
      <c r="Y783" s="59">
        <f t="shared" si="83"/>
        <v>-1557.91</v>
      </c>
      <c r="Z783" s="59">
        <v>1558</v>
      </c>
      <c r="AA783" s="59">
        <f t="shared" si="84"/>
        <v>8.9999999999918145E-2</v>
      </c>
      <c r="AB783" s="59">
        <f t="shared" si="87"/>
        <v>3000.1800000000003</v>
      </c>
      <c r="AD783" s="50" t="s">
        <v>3402</v>
      </c>
      <c r="AE783" s="50"/>
      <c r="AF783" s="59"/>
    </row>
    <row r="784" spans="1:32" x14ac:dyDescent="0.3">
      <c r="A784" s="49">
        <v>13</v>
      </c>
      <c r="B784" s="50" t="s">
        <v>1960</v>
      </c>
      <c r="C784" s="50" t="s">
        <v>123</v>
      </c>
      <c r="D784" s="50" t="s">
        <v>1608</v>
      </c>
      <c r="E784" s="50" t="s">
        <v>25</v>
      </c>
      <c r="F784" s="50" t="s">
        <v>25</v>
      </c>
      <c r="G784" s="50" t="s">
        <v>737</v>
      </c>
      <c r="H784" s="59">
        <v>2011.5</v>
      </c>
      <c r="I784" s="59">
        <v>-2131.64</v>
      </c>
      <c r="J784" s="59">
        <f>+I784*0.101</f>
        <v>-215.29563999999999</v>
      </c>
      <c r="K784" s="59">
        <v>0</v>
      </c>
      <c r="L784" s="59">
        <v>0</v>
      </c>
      <c r="M784" s="59">
        <v>0</v>
      </c>
      <c r="N784" s="59">
        <v>0</v>
      </c>
      <c r="O784" s="59">
        <f t="shared" si="85"/>
        <v>-215.29563999999999</v>
      </c>
      <c r="P784" s="59">
        <v>-2500</v>
      </c>
      <c r="Q784" s="59">
        <v>0</v>
      </c>
      <c r="R784" s="59">
        <v>-500</v>
      </c>
      <c r="S784" s="59">
        <v>0</v>
      </c>
      <c r="T784" s="59">
        <v>0</v>
      </c>
      <c r="U784" s="59">
        <v>0</v>
      </c>
      <c r="V784" s="59">
        <v>0</v>
      </c>
      <c r="W784" s="59">
        <f t="shared" si="86"/>
        <v>-3215.2956399999998</v>
      </c>
      <c r="X784" s="59">
        <f t="shared" si="82"/>
        <v>0</v>
      </c>
      <c r="Y784" s="59">
        <f t="shared" si="83"/>
        <v>-3215.2956399999998</v>
      </c>
      <c r="Z784" s="59">
        <v>2000</v>
      </c>
      <c r="AA784" s="59">
        <f t="shared" si="84"/>
        <v>-1215.2956399999998</v>
      </c>
      <c r="AB784" s="59">
        <f t="shared" si="87"/>
        <v>569.40872000000013</v>
      </c>
      <c r="AD784" s="50" t="s">
        <v>3403</v>
      </c>
      <c r="AE784" s="50"/>
      <c r="AF784" s="59"/>
    </row>
    <row r="785" spans="1:32" x14ac:dyDescent="0.3">
      <c r="A785" s="49">
        <v>13</v>
      </c>
      <c r="B785" s="41" t="s">
        <v>484</v>
      </c>
      <c r="C785" s="50" t="s">
        <v>1065</v>
      </c>
      <c r="D785" s="50" t="s">
        <v>1159</v>
      </c>
      <c r="E785" s="50" t="s">
        <v>25</v>
      </c>
      <c r="F785" s="51" t="s">
        <v>25</v>
      </c>
      <c r="G785" s="50" t="s">
        <v>866</v>
      </c>
      <c r="H785" s="59">
        <v>7830.53</v>
      </c>
      <c r="I785" s="59">
        <v>-4780.6299999999992</v>
      </c>
      <c r="J785" s="59">
        <v>-122.4</v>
      </c>
      <c r="K785" s="59">
        <v>0</v>
      </c>
      <c r="L785" s="59">
        <v>0</v>
      </c>
      <c r="M785" s="59">
        <v>-70</v>
      </c>
      <c r="N785" s="59">
        <v>0</v>
      </c>
      <c r="O785" s="59">
        <f t="shared" si="85"/>
        <v>2857.5000000000005</v>
      </c>
      <c r="P785" s="59">
        <v>-2500</v>
      </c>
      <c r="Q785" s="59">
        <v>0</v>
      </c>
      <c r="R785" s="59">
        <v>0</v>
      </c>
      <c r="S785" s="59">
        <v>0</v>
      </c>
      <c r="T785" s="59">
        <v>0</v>
      </c>
      <c r="U785" s="59">
        <v>0</v>
      </c>
      <c r="V785" s="59">
        <v>-1120</v>
      </c>
      <c r="W785" s="59">
        <f t="shared" si="86"/>
        <v>-762.49999999999955</v>
      </c>
      <c r="X785" s="59">
        <f t="shared" si="82"/>
        <v>0</v>
      </c>
      <c r="Y785" s="59">
        <f t="shared" si="83"/>
        <v>-762.49999999999955</v>
      </c>
      <c r="Z785" s="59">
        <v>400</v>
      </c>
      <c r="AA785" s="59">
        <f t="shared" si="84"/>
        <v>-362.49999999999955</v>
      </c>
      <c r="AB785" s="59">
        <f t="shared" si="87"/>
        <v>2895.0000000000009</v>
      </c>
      <c r="AD785" s="50" t="s">
        <v>3404</v>
      </c>
      <c r="AE785" s="50"/>
      <c r="AF785" s="59"/>
    </row>
    <row r="786" spans="1:32" x14ac:dyDescent="0.3">
      <c r="A786" s="49">
        <v>13</v>
      </c>
      <c r="B786" s="50" t="s">
        <v>2008</v>
      </c>
      <c r="C786" s="50" t="s">
        <v>409</v>
      </c>
      <c r="D786" s="50" t="s">
        <v>946</v>
      </c>
      <c r="E786" s="50" t="s">
        <v>25</v>
      </c>
      <c r="F786" s="50" t="s">
        <v>25</v>
      </c>
      <c r="G786" s="50" t="s">
        <v>866</v>
      </c>
      <c r="H786" s="59">
        <v>2913.21</v>
      </c>
      <c r="I786" s="59">
        <v>-448.83000000000004</v>
      </c>
      <c r="J786" s="59">
        <v>0</v>
      </c>
      <c r="K786" s="59">
        <v>0</v>
      </c>
      <c r="L786" s="59">
        <v>0</v>
      </c>
      <c r="M786" s="59">
        <v>-30</v>
      </c>
      <c r="N786" s="59">
        <v>0</v>
      </c>
      <c r="O786" s="59">
        <f t="shared" si="85"/>
        <v>2434.38</v>
      </c>
      <c r="P786" s="59">
        <v>-2500</v>
      </c>
      <c r="Q786" s="59">
        <f>-1393*1.12</f>
        <v>-1560.16</v>
      </c>
      <c r="R786" s="59">
        <v>-500</v>
      </c>
      <c r="S786" s="59">
        <v>0</v>
      </c>
      <c r="T786" s="59">
        <v>0</v>
      </c>
      <c r="U786" s="59">
        <v>0</v>
      </c>
      <c r="V786" s="59">
        <v>0</v>
      </c>
      <c r="W786" s="59">
        <f t="shared" si="86"/>
        <v>-2125.7799999999997</v>
      </c>
      <c r="X786" s="59">
        <f t="shared" si="82"/>
        <v>0</v>
      </c>
      <c r="Y786" s="59">
        <f t="shared" si="83"/>
        <v>-2125.7799999999997</v>
      </c>
      <c r="Z786" s="59">
        <v>0</v>
      </c>
      <c r="AA786" s="59">
        <f t="shared" si="84"/>
        <v>-2125.7799999999997</v>
      </c>
      <c r="AB786" s="59">
        <f t="shared" si="87"/>
        <v>308.60000000000036</v>
      </c>
      <c r="AE786" s="50"/>
      <c r="AF786" s="59"/>
    </row>
    <row r="787" spans="1:32" x14ac:dyDescent="0.3">
      <c r="A787" s="49">
        <v>13</v>
      </c>
      <c r="B787" s="50" t="s">
        <v>2012</v>
      </c>
      <c r="C787" s="50" t="s">
        <v>361</v>
      </c>
      <c r="D787" s="50" t="s">
        <v>1164</v>
      </c>
      <c r="E787" s="50" t="s">
        <v>25</v>
      </c>
      <c r="F787" s="50" t="s">
        <v>25</v>
      </c>
      <c r="G787" s="50" t="s">
        <v>866</v>
      </c>
      <c r="H787" s="59">
        <v>1463.87</v>
      </c>
      <c r="I787" s="59">
        <v>0</v>
      </c>
      <c r="J787" s="59">
        <v>0</v>
      </c>
      <c r="K787" s="59">
        <v>234.36</v>
      </c>
      <c r="L787" s="59">
        <v>0</v>
      </c>
      <c r="M787" s="59">
        <v>-30.84</v>
      </c>
      <c r="N787" s="59">
        <v>-257</v>
      </c>
      <c r="O787" s="59">
        <f t="shared" si="85"/>
        <v>1410.39</v>
      </c>
      <c r="P787" s="59">
        <v>-2700</v>
      </c>
      <c r="Q787" s="59">
        <v>0</v>
      </c>
      <c r="R787" s="59">
        <v>-500</v>
      </c>
      <c r="S787" s="59">
        <v>0</v>
      </c>
      <c r="T787" s="59">
        <v>0</v>
      </c>
      <c r="U787" s="59">
        <v>0</v>
      </c>
      <c r="V787" s="59">
        <v>0</v>
      </c>
      <c r="W787" s="59">
        <f t="shared" si="86"/>
        <v>-1789.61</v>
      </c>
      <c r="X787" s="59">
        <f t="shared" si="82"/>
        <v>0</v>
      </c>
      <c r="Y787" s="59">
        <f t="shared" si="83"/>
        <v>-1789.61</v>
      </c>
      <c r="Z787" s="59">
        <f>1000+400+400</f>
        <v>1800</v>
      </c>
      <c r="AA787" s="59">
        <f t="shared" si="84"/>
        <v>10.3900000000001</v>
      </c>
      <c r="AB787" s="59">
        <f t="shared" si="87"/>
        <v>3220.7800000000007</v>
      </c>
      <c r="AD787" s="50" t="s">
        <v>3405</v>
      </c>
      <c r="AE787" s="50"/>
      <c r="AF787" s="59"/>
    </row>
    <row r="788" spans="1:32" x14ac:dyDescent="0.3">
      <c r="A788" s="49">
        <v>13</v>
      </c>
      <c r="B788" s="50" t="s">
        <v>1958</v>
      </c>
      <c r="C788" s="50" t="s">
        <v>51</v>
      </c>
      <c r="D788" s="50" t="s">
        <v>1115</v>
      </c>
      <c r="E788" s="50" t="s">
        <v>25</v>
      </c>
      <c r="F788" s="50" t="s">
        <v>25</v>
      </c>
      <c r="G788" s="50" t="s">
        <v>866</v>
      </c>
      <c r="H788" s="59">
        <v>4403.09</v>
      </c>
      <c r="I788" s="59">
        <v>-802.01000000000022</v>
      </c>
      <c r="J788" s="59">
        <v>-40</v>
      </c>
      <c r="K788" s="59">
        <v>0</v>
      </c>
      <c r="L788" s="59">
        <v>0</v>
      </c>
      <c r="M788" s="59">
        <v>-35</v>
      </c>
      <c r="N788" s="59">
        <v>0</v>
      </c>
      <c r="O788" s="59">
        <f t="shared" si="85"/>
        <v>3526.08</v>
      </c>
      <c r="P788" s="59">
        <v>-2500</v>
      </c>
      <c r="Q788" s="59">
        <v>0</v>
      </c>
      <c r="R788" s="59">
        <v>-500</v>
      </c>
      <c r="S788" s="59">
        <v>0</v>
      </c>
      <c r="T788" s="59">
        <v>0</v>
      </c>
      <c r="U788" s="59">
        <v>0</v>
      </c>
      <c r="V788" s="59">
        <v>0</v>
      </c>
      <c r="W788" s="59">
        <f t="shared" si="86"/>
        <v>526.07999999999993</v>
      </c>
      <c r="X788" s="59">
        <f t="shared" si="82"/>
        <v>526.07999999999993</v>
      </c>
      <c r="Y788" s="59">
        <f t="shared" si="83"/>
        <v>0</v>
      </c>
      <c r="Z788" s="59">
        <v>0</v>
      </c>
      <c r="AA788" s="59">
        <f t="shared" si="84"/>
        <v>0</v>
      </c>
      <c r="AB788" s="59">
        <f t="shared" si="87"/>
        <v>3000</v>
      </c>
      <c r="AE788" s="50"/>
      <c r="AF788" s="59"/>
    </row>
    <row r="789" spans="1:32" x14ac:dyDescent="0.3">
      <c r="A789" s="49">
        <v>13</v>
      </c>
      <c r="B789" s="41" t="s">
        <v>747</v>
      </c>
      <c r="C789" s="50" t="s">
        <v>1586</v>
      </c>
      <c r="D789" s="50" t="s">
        <v>1587</v>
      </c>
      <c r="E789" s="50" t="s">
        <v>25</v>
      </c>
      <c r="F789" s="51" t="s">
        <v>25</v>
      </c>
      <c r="G789" s="50" t="s">
        <v>866</v>
      </c>
      <c r="H789" s="59">
        <v>2284.5300000000002</v>
      </c>
      <c r="I789" s="59">
        <v>0</v>
      </c>
      <c r="J789" s="59">
        <v>0</v>
      </c>
      <c r="K789" s="59">
        <v>0</v>
      </c>
      <c r="L789" s="59">
        <v>0</v>
      </c>
      <c r="M789" s="59">
        <v>0</v>
      </c>
      <c r="N789" s="59">
        <v>0</v>
      </c>
      <c r="O789" s="59">
        <f t="shared" si="85"/>
        <v>2284.5300000000002</v>
      </c>
      <c r="P789" s="59">
        <v>-2700</v>
      </c>
      <c r="Q789" s="59">
        <f>-240*1.12</f>
        <v>-268.8</v>
      </c>
      <c r="R789" s="59">
        <v>0</v>
      </c>
      <c r="S789" s="59">
        <v>0</v>
      </c>
      <c r="T789" s="59">
        <v>0</v>
      </c>
      <c r="U789" s="59">
        <v>0</v>
      </c>
      <c r="V789" s="59">
        <v>0</v>
      </c>
      <c r="W789" s="59">
        <f t="shared" si="86"/>
        <v>-684.26999999999975</v>
      </c>
      <c r="X789" s="59">
        <f t="shared" si="82"/>
        <v>0</v>
      </c>
      <c r="Y789" s="59">
        <f t="shared" si="83"/>
        <v>-684.26999999999975</v>
      </c>
      <c r="Z789" s="59">
        <v>264</v>
      </c>
      <c r="AA789" s="59">
        <f t="shared" si="84"/>
        <v>-420.26999999999975</v>
      </c>
      <c r="AB789" s="59">
        <f t="shared" si="87"/>
        <v>2128.2600000000002</v>
      </c>
      <c r="AD789" s="239" t="s">
        <v>3406</v>
      </c>
      <c r="AE789" s="50"/>
      <c r="AF789" s="59"/>
    </row>
    <row r="790" spans="1:32" x14ac:dyDescent="0.3">
      <c r="A790" s="49">
        <v>13</v>
      </c>
      <c r="B790" s="41" t="s">
        <v>1244</v>
      </c>
      <c r="C790" s="50" t="s">
        <v>1429</v>
      </c>
      <c r="D790" s="50" t="s">
        <v>1588</v>
      </c>
      <c r="E790" s="50" t="s">
        <v>25</v>
      </c>
      <c r="F790" s="51" t="s">
        <v>25</v>
      </c>
      <c r="G790" s="50" t="s">
        <v>866</v>
      </c>
      <c r="H790" s="59">
        <v>2270.02</v>
      </c>
      <c r="I790" s="59">
        <v>0</v>
      </c>
      <c r="J790" s="59">
        <v>0</v>
      </c>
      <c r="K790" s="59">
        <v>0</v>
      </c>
      <c r="L790" s="59">
        <v>0</v>
      </c>
      <c r="M790" s="59">
        <v>-39.24</v>
      </c>
      <c r="N790" s="59">
        <v>-327</v>
      </c>
      <c r="O790" s="59">
        <f t="shared" si="85"/>
        <v>1903.7800000000002</v>
      </c>
      <c r="P790" s="59">
        <v>-2700</v>
      </c>
      <c r="Q790" s="59">
        <f>-302*1.12</f>
        <v>-338.24</v>
      </c>
      <c r="R790" s="59">
        <v>0</v>
      </c>
      <c r="S790" s="59">
        <v>0</v>
      </c>
      <c r="T790" s="59">
        <v>0</v>
      </c>
      <c r="U790" s="59">
        <v>0</v>
      </c>
      <c r="V790" s="59">
        <v>0</v>
      </c>
      <c r="W790" s="59">
        <f t="shared" si="86"/>
        <v>-1134.4599999999998</v>
      </c>
      <c r="X790" s="59">
        <f t="shared" si="82"/>
        <v>0</v>
      </c>
      <c r="Y790" s="59">
        <f t="shared" si="83"/>
        <v>-1134.4599999999998</v>
      </c>
      <c r="Z790" s="59">
        <f>800+300</f>
        <v>1100</v>
      </c>
      <c r="AA790" s="59">
        <f t="shared" si="84"/>
        <v>-34.459999999999809</v>
      </c>
      <c r="AB790" s="59">
        <f t="shared" si="87"/>
        <v>2969.3200000000006</v>
      </c>
      <c r="AD790" s="50" t="s">
        <v>3407</v>
      </c>
      <c r="AE790" s="50"/>
      <c r="AF790" s="59"/>
    </row>
    <row r="791" spans="1:32" x14ac:dyDescent="0.3">
      <c r="A791" s="49">
        <v>13</v>
      </c>
      <c r="B791" s="41" t="s">
        <v>1307</v>
      </c>
      <c r="C791" s="50" t="s">
        <v>150</v>
      </c>
      <c r="D791" s="50" t="s">
        <v>1308</v>
      </c>
      <c r="E791" s="50" t="s">
        <v>25</v>
      </c>
      <c r="F791" s="51" t="s">
        <v>25</v>
      </c>
      <c r="G791" s="50" t="s">
        <v>866</v>
      </c>
      <c r="H791" s="59">
        <v>2972.68</v>
      </c>
      <c r="I791" s="59">
        <v>-979.35000000000036</v>
      </c>
      <c r="J791" s="59">
        <v>0</v>
      </c>
      <c r="K791" s="59">
        <v>0</v>
      </c>
      <c r="L791" s="59">
        <v>0</v>
      </c>
      <c r="M791" s="59">
        <v>-40</v>
      </c>
      <c r="N791" s="59">
        <v>0</v>
      </c>
      <c r="O791" s="59">
        <f t="shared" si="85"/>
        <v>1953.3299999999995</v>
      </c>
      <c r="P791" s="59">
        <f>(-2500/7)*5.5</f>
        <v>-1964.2857142857144</v>
      </c>
      <c r="Q791" s="59">
        <v>0</v>
      </c>
      <c r="R791" s="59">
        <v>0</v>
      </c>
      <c r="S791" s="59">
        <v>0</v>
      </c>
      <c r="T791" s="59">
        <v>0</v>
      </c>
      <c r="U791" s="59">
        <v>0</v>
      </c>
      <c r="V791" s="59">
        <v>0</v>
      </c>
      <c r="W791" s="59">
        <f t="shared" si="86"/>
        <v>-10.955714285714976</v>
      </c>
      <c r="X791" s="59">
        <f t="shared" si="82"/>
        <v>0</v>
      </c>
      <c r="Y791" s="59">
        <f t="shared" si="83"/>
        <v>-10.955714285714976</v>
      </c>
      <c r="Z791" s="59">
        <v>11</v>
      </c>
      <c r="AA791" s="59">
        <f t="shared" si="84"/>
        <v>4.4285714285024369E-2</v>
      </c>
      <c r="AB791" s="59">
        <f t="shared" si="87"/>
        <v>1964.3742857142845</v>
      </c>
      <c r="AD791" s="50" t="s">
        <v>3408</v>
      </c>
      <c r="AE791" s="50"/>
      <c r="AF791" s="59"/>
    </row>
    <row r="792" spans="1:32" x14ac:dyDescent="0.3">
      <c r="A792" s="49">
        <v>13</v>
      </c>
      <c r="B792" s="41" t="s">
        <v>1423</v>
      </c>
      <c r="C792" s="50" t="s">
        <v>55</v>
      </c>
      <c r="D792" s="50" t="s">
        <v>1147</v>
      </c>
      <c r="E792" s="50" t="s">
        <v>25</v>
      </c>
      <c r="F792" s="51" t="s">
        <v>25</v>
      </c>
      <c r="G792" s="50" t="s">
        <v>866</v>
      </c>
      <c r="H792" s="59">
        <v>3866.45</v>
      </c>
      <c r="I792" s="59">
        <v>-1676.2900000000002</v>
      </c>
      <c r="J792" s="59">
        <v>0</v>
      </c>
      <c r="K792" s="59">
        <v>0</v>
      </c>
      <c r="L792" s="59">
        <v>0</v>
      </c>
      <c r="M792" s="59">
        <v>-50</v>
      </c>
      <c r="N792" s="59">
        <v>0</v>
      </c>
      <c r="O792" s="59">
        <f t="shared" si="85"/>
        <v>2140.16</v>
      </c>
      <c r="P792" s="59">
        <v>-2500</v>
      </c>
      <c r="Q792" s="59">
        <v>0</v>
      </c>
      <c r="R792" s="59">
        <v>0</v>
      </c>
      <c r="S792" s="59">
        <v>0</v>
      </c>
      <c r="T792" s="59">
        <v>-500</v>
      </c>
      <c r="U792" s="59">
        <v>0</v>
      </c>
      <c r="V792" s="59">
        <v>0</v>
      </c>
      <c r="W792" s="59">
        <f t="shared" si="86"/>
        <v>-859.84000000000015</v>
      </c>
      <c r="X792" s="59">
        <f t="shared" si="82"/>
        <v>0</v>
      </c>
      <c r="Y792" s="59">
        <f t="shared" si="83"/>
        <v>-859.84000000000015</v>
      </c>
      <c r="Z792" s="59">
        <v>860</v>
      </c>
      <c r="AA792" s="59">
        <f t="shared" si="84"/>
        <v>0.15999999999985448</v>
      </c>
      <c r="AB792" s="59">
        <f t="shared" si="87"/>
        <v>3000.3199999999997</v>
      </c>
      <c r="AD792" s="50" t="s">
        <v>3409</v>
      </c>
      <c r="AE792" s="50"/>
      <c r="AF792" s="59"/>
    </row>
    <row r="793" spans="1:32" x14ac:dyDescent="0.3">
      <c r="A793" s="49">
        <v>13</v>
      </c>
      <c r="B793" s="41" t="s">
        <v>922</v>
      </c>
      <c r="C793" s="50" t="s">
        <v>670</v>
      </c>
      <c r="D793" s="50" t="s">
        <v>1221</v>
      </c>
      <c r="E793" s="50" t="s">
        <v>25</v>
      </c>
      <c r="F793" s="51" t="s">
        <v>25</v>
      </c>
      <c r="G793" s="50" t="s">
        <v>737</v>
      </c>
      <c r="H793" s="59">
        <v>0</v>
      </c>
      <c r="I793" s="59">
        <v>0</v>
      </c>
      <c r="J793" s="59">
        <v>0</v>
      </c>
      <c r="K793" s="59">
        <v>0</v>
      </c>
      <c r="L793" s="59">
        <v>0</v>
      </c>
      <c r="M793" s="59">
        <v>0</v>
      </c>
      <c r="N793" s="59">
        <v>0</v>
      </c>
      <c r="O793" s="59">
        <f t="shared" si="85"/>
        <v>0</v>
      </c>
      <c r="P793" s="59">
        <v>-2500</v>
      </c>
      <c r="Q793" s="59">
        <v>1050</v>
      </c>
      <c r="R793" s="59">
        <v>0</v>
      </c>
      <c r="S793" s="59">
        <v>0</v>
      </c>
      <c r="T793" s="59">
        <v>0</v>
      </c>
      <c r="U793" s="59">
        <v>0</v>
      </c>
      <c r="V793" s="59">
        <v>0</v>
      </c>
      <c r="W793" s="59">
        <f t="shared" si="86"/>
        <v>-1450</v>
      </c>
      <c r="X793" s="59">
        <f t="shared" si="82"/>
        <v>0</v>
      </c>
      <c r="Y793" s="59">
        <f t="shared" si="83"/>
        <v>-1450</v>
      </c>
      <c r="Z793" s="59">
        <v>700</v>
      </c>
      <c r="AA793" s="59">
        <f t="shared" si="84"/>
        <v>-750</v>
      </c>
      <c r="AB793" s="59">
        <f t="shared" si="87"/>
        <v>-50</v>
      </c>
      <c r="AD793" s="50" t="s">
        <v>3410</v>
      </c>
      <c r="AE793" s="50"/>
      <c r="AF793" s="59"/>
    </row>
    <row r="794" spans="1:32" x14ac:dyDescent="0.3">
      <c r="A794" s="49">
        <v>13</v>
      </c>
      <c r="B794" s="50" t="s">
        <v>2011</v>
      </c>
      <c r="C794" s="50" t="s">
        <v>46</v>
      </c>
      <c r="D794" s="50" t="s">
        <v>915</v>
      </c>
      <c r="E794" s="50" t="s">
        <v>25</v>
      </c>
      <c r="F794" s="50" t="s">
        <v>25</v>
      </c>
      <c r="G794" s="50" t="s">
        <v>866</v>
      </c>
      <c r="H794" s="59">
        <v>3820.17</v>
      </c>
      <c r="I794" s="59">
        <v>-1614.42</v>
      </c>
      <c r="J794" s="59">
        <v>0</v>
      </c>
      <c r="K794" s="62">
        <v>52</v>
      </c>
      <c r="L794" s="59">
        <v>0</v>
      </c>
      <c r="M794" s="59">
        <v>-50</v>
      </c>
      <c r="N794" s="59">
        <v>0</v>
      </c>
      <c r="O794" s="59">
        <f t="shared" si="85"/>
        <v>2207.75</v>
      </c>
      <c r="P794" s="59">
        <v>-2500</v>
      </c>
      <c r="Q794" s="59">
        <v>0</v>
      </c>
      <c r="R794" s="59">
        <v>-500</v>
      </c>
      <c r="S794" s="59">
        <v>0</v>
      </c>
      <c r="T794" s="59">
        <v>0</v>
      </c>
      <c r="U794" s="59">
        <v>0</v>
      </c>
      <c r="V794" s="59">
        <v>0</v>
      </c>
      <c r="W794" s="59">
        <f t="shared" si="86"/>
        <v>-792.25</v>
      </c>
      <c r="X794" s="59">
        <f t="shared" si="82"/>
        <v>0</v>
      </c>
      <c r="Y794" s="59">
        <f t="shared" si="83"/>
        <v>-792.25</v>
      </c>
      <c r="Z794" s="59">
        <v>792</v>
      </c>
      <c r="AA794" s="59">
        <f t="shared" si="84"/>
        <v>-0.25</v>
      </c>
      <c r="AB794" s="59">
        <f t="shared" si="87"/>
        <v>2999.5</v>
      </c>
      <c r="AD794" s="50" t="s">
        <v>3411</v>
      </c>
      <c r="AE794" s="50"/>
      <c r="AF794" s="59"/>
    </row>
    <row r="795" spans="1:32" x14ac:dyDescent="0.3">
      <c r="A795" s="49">
        <v>13</v>
      </c>
      <c r="B795" s="41" t="s">
        <v>1120</v>
      </c>
      <c r="C795" s="50" t="s">
        <v>1273</v>
      </c>
      <c r="D795" s="50" t="s">
        <v>1593</v>
      </c>
      <c r="E795" s="50" t="s">
        <v>25</v>
      </c>
      <c r="F795" s="51" t="s">
        <v>25</v>
      </c>
      <c r="G795" s="50" t="s">
        <v>866</v>
      </c>
      <c r="H795" s="59">
        <v>4853.1499999999996</v>
      </c>
      <c r="I795" s="59">
        <v>-1189.6500000000001</v>
      </c>
      <c r="J795" s="59">
        <v>0</v>
      </c>
      <c r="K795" s="59">
        <v>289.39999999999998</v>
      </c>
      <c r="L795" s="59">
        <v>-61.57</v>
      </c>
      <c r="M795" s="59">
        <v>-50</v>
      </c>
      <c r="N795" s="59">
        <v>0</v>
      </c>
      <c r="O795" s="59">
        <f t="shared" si="85"/>
        <v>3841.3299999999995</v>
      </c>
      <c r="P795" s="59">
        <v>-2700</v>
      </c>
      <c r="Q795" s="59">
        <v>0</v>
      </c>
      <c r="R795" s="59">
        <v>0</v>
      </c>
      <c r="S795" s="59">
        <v>0</v>
      </c>
      <c r="T795" s="59">
        <v>0</v>
      </c>
      <c r="U795" s="59">
        <v>0</v>
      </c>
      <c r="V795" s="59">
        <v>-1000</v>
      </c>
      <c r="W795" s="59">
        <f t="shared" si="86"/>
        <v>141.32999999999947</v>
      </c>
      <c r="X795" s="59">
        <f t="shared" si="82"/>
        <v>141.32999999999947</v>
      </c>
      <c r="Y795" s="59">
        <f t="shared" si="83"/>
        <v>0</v>
      </c>
      <c r="Z795" s="59">
        <v>0</v>
      </c>
      <c r="AA795" s="59">
        <f t="shared" si="84"/>
        <v>0</v>
      </c>
      <c r="AB795" s="59">
        <f t="shared" si="87"/>
        <v>3700</v>
      </c>
      <c r="AD795" s="50" t="s">
        <v>3412</v>
      </c>
      <c r="AE795" s="50"/>
      <c r="AF795" s="59"/>
    </row>
    <row r="796" spans="1:32" x14ac:dyDescent="0.3">
      <c r="A796" s="49">
        <v>13</v>
      </c>
      <c r="B796" s="41" t="s">
        <v>515</v>
      </c>
      <c r="C796" s="50" t="s">
        <v>360</v>
      </c>
      <c r="D796" s="50" t="s">
        <v>1158</v>
      </c>
      <c r="E796" s="50" t="s">
        <v>25</v>
      </c>
      <c r="F796" s="51" t="s">
        <v>25</v>
      </c>
      <c r="G796" s="50" t="s">
        <v>866</v>
      </c>
      <c r="H796" s="59">
        <v>6954.42</v>
      </c>
      <c r="I796" s="59">
        <v>-514.41</v>
      </c>
      <c r="J796" s="59">
        <v>-16</v>
      </c>
      <c r="K796" s="59">
        <v>113</v>
      </c>
      <c r="L796" s="59">
        <v>0</v>
      </c>
      <c r="M796" s="59">
        <v>-30</v>
      </c>
      <c r="N796" s="59">
        <v>0</v>
      </c>
      <c r="O796" s="59">
        <f t="shared" si="85"/>
        <v>6507.01</v>
      </c>
      <c r="P796" s="59">
        <v>-2700</v>
      </c>
      <c r="Q796" s="59">
        <v>0</v>
      </c>
      <c r="R796" s="59">
        <v>0</v>
      </c>
      <c r="S796" s="59">
        <v>0</v>
      </c>
      <c r="T796" s="59">
        <v>0</v>
      </c>
      <c r="U796" s="59">
        <v>0</v>
      </c>
      <c r="V796" s="59">
        <v>0</v>
      </c>
      <c r="W796" s="59">
        <f t="shared" si="86"/>
        <v>3807.01</v>
      </c>
      <c r="X796" s="59">
        <f t="shared" si="82"/>
        <v>3807.01</v>
      </c>
      <c r="Y796" s="59">
        <f t="shared" si="83"/>
        <v>0</v>
      </c>
      <c r="Z796" s="59">
        <v>0</v>
      </c>
      <c r="AA796" s="59">
        <f t="shared" si="84"/>
        <v>0</v>
      </c>
      <c r="AB796" s="59">
        <f t="shared" si="87"/>
        <v>2700</v>
      </c>
      <c r="AE796" s="50"/>
      <c r="AF796" s="59"/>
    </row>
    <row r="797" spans="1:32" x14ac:dyDescent="0.3">
      <c r="A797" s="49">
        <v>13</v>
      </c>
      <c r="B797" s="41" t="s">
        <v>515</v>
      </c>
      <c r="C797" s="50" t="s">
        <v>110</v>
      </c>
      <c r="D797" s="50" t="s">
        <v>912</v>
      </c>
      <c r="E797" s="50" t="s">
        <v>18</v>
      </c>
      <c r="F797" s="51" t="s">
        <v>25</v>
      </c>
      <c r="G797" s="50" t="s">
        <v>866</v>
      </c>
      <c r="H797" s="59">
        <v>0</v>
      </c>
      <c r="I797" s="59">
        <v>0</v>
      </c>
      <c r="J797" s="59">
        <v>0</v>
      </c>
      <c r="K797" s="59">
        <v>0</v>
      </c>
      <c r="L797" s="59">
        <v>0</v>
      </c>
      <c r="M797" s="59">
        <v>0</v>
      </c>
      <c r="N797" s="59">
        <v>0</v>
      </c>
      <c r="O797" s="59">
        <f t="shared" si="85"/>
        <v>0</v>
      </c>
      <c r="P797" s="59">
        <v>0</v>
      </c>
      <c r="Q797" s="59">
        <v>0</v>
      </c>
      <c r="R797" s="59">
        <v>0</v>
      </c>
      <c r="S797" s="59">
        <v>0</v>
      </c>
      <c r="T797" s="59">
        <v>-765</v>
      </c>
      <c r="U797" s="59">
        <v>0</v>
      </c>
      <c r="V797" s="59">
        <v>0</v>
      </c>
      <c r="W797" s="59">
        <f t="shared" si="86"/>
        <v>-765</v>
      </c>
      <c r="X797" s="59">
        <f t="shared" si="82"/>
        <v>0</v>
      </c>
      <c r="Y797" s="59">
        <f t="shared" si="83"/>
        <v>-765</v>
      </c>
      <c r="Z797" s="59">
        <v>765</v>
      </c>
      <c r="AA797" s="59">
        <f t="shared" si="84"/>
        <v>0</v>
      </c>
      <c r="AB797" s="59">
        <f t="shared" si="87"/>
        <v>765</v>
      </c>
      <c r="AD797" s="50" t="s">
        <v>3413</v>
      </c>
      <c r="AE797" s="50"/>
      <c r="AF797" s="59"/>
    </row>
    <row r="798" spans="1:32" x14ac:dyDescent="0.3">
      <c r="A798" s="49">
        <v>13</v>
      </c>
      <c r="B798" s="41" t="s">
        <v>2703</v>
      </c>
      <c r="C798" s="50" t="s">
        <v>104</v>
      </c>
      <c r="D798" s="50" t="s">
        <v>1419</v>
      </c>
      <c r="E798" s="50" t="s">
        <v>25</v>
      </c>
      <c r="F798" s="51" t="s">
        <v>25</v>
      </c>
      <c r="G798" s="50" t="s">
        <v>866</v>
      </c>
      <c r="H798" s="59">
        <v>60.91</v>
      </c>
      <c r="I798" s="59">
        <v>0</v>
      </c>
      <c r="J798" s="59">
        <v>0</v>
      </c>
      <c r="K798" s="59">
        <v>0</v>
      </c>
      <c r="L798" s="59">
        <v>0</v>
      </c>
      <c r="M798" s="59">
        <v>0</v>
      </c>
      <c r="N798" s="59">
        <v>0</v>
      </c>
      <c r="O798" s="59">
        <f t="shared" si="85"/>
        <v>60.91</v>
      </c>
      <c r="P798" s="59">
        <v>-2500</v>
      </c>
      <c r="Q798" s="59">
        <v>-610.5</v>
      </c>
      <c r="R798" s="59">
        <v>0</v>
      </c>
      <c r="S798" s="59">
        <v>0</v>
      </c>
      <c r="T798" s="59">
        <v>0</v>
      </c>
      <c r="U798" s="59">
        <v>0</v>
      </c>
      <c r="V798" s="59">
        <v>0</v>
      </c>
      <c r="W798" s="59">
        <f t="shared" si="86"/>
        <v>-3049.59</v>
      </c>
      <c r="X798" s="59">
        <f t="shared" si="82"/>
        <v>0</v>
      </c>
      <c r="Y798" s="59">
        <f t="shared" si="83"/>
        <v>-3049.59</v>
      </c>
      <c r="Z798" s="59">
        <v>0</v>
      </c>
      <c r="AA798" s="59">
        <f t="shared" si="84"/>
        <v>-3049.59</v>
      </c>
      <c r="AB798" s="59">
        <f t="shared" si="87"/>
        <v>-2988.6800000000003</v>
      </c>
      <c r="AE798" s="50"/>
      <c r="AF798" s="59"/>
    </row>
    <row r="799" spans="1:32" ht="12.75" customHeight="1" x14ac:dyDescent="0.3">
      <c r="A799" s="49">
        <v>13</v>
      </c>
      <c r="B799" s="41" t="s">
        <v>1509</v>
      </c>
      <c r="C799" s="50" t="s">
        <v>798</v>
      </c>
      <c r="D799" s="50" t="s">
        <v>1599</v>
      </c>
      <c r="E799" s="50" t="s">
        <v>39</v>
      </c>
      <c r="F799" s="51" t="s">
        <v>39</v>
      </c>
      <c r="G799" s="50" t="s">
        <v>866</v>
      </c>
      <c r="H799" s="59">
        <v>5077.8599999999997</v>
      </c>
      <c r="I799" s="59">
        <v>-1439.01</v>
      </c>
      <c r="J799" s="59">
        <v>-87</v>
      </c>
      <c r="K799" s="59">
        <v>96.87</v>
      </c>
      <c r="L799" s="59">
        <v>-51.38</v>
      </c>
      <c r="M799" s="59">
        <v>-60</v>
      </c>
      <c r="N799" s="59">
        <v>0</v>
      </c>
      <c r="O799" s="59">
        <f t="shared" si="85"/>
        <v>3537.3399999999992</v>
      </c>
      <c r="P799" s="59">
        <v>-2321</v>
      </c>
      <c r="Q799" s="59">
        <v>0</v>
      </c>
      <c r="R799" s="59">
        <v>0</v>
      </c>
      <c r="S799" s="59">
        <v>0</v>
      </c>
      <c r="T799" s="59">
        <v>0</v>
      </c>
      <c r="U799" s="59">
        <v>0</v>
      </c>
      <c r="V799" s="59">
        <v>0</v>
      </c>
      <c r="W799" s="59">
        <f t="shared" si="86"/>
        <v>1216.3399999999992</v>
      </c>
      <c r="X799" s="59">
        <f t="shared" si="82"/>
        <v>1216.3399999999992</v>
      </c>
      <c r="Y799" s="59">
        <f t="shared" si="83"/>
        <v>0</v>
      </c>
      <c r="Z799" s="59">
        <v>0</v>
      </c>
      <c r="AA799" s="59">
        <f t="shared" si="84"/>
        <v>0</v>
      </c>
      <c r="AB799" s="59">
        <f t="shared" si="87"/>
        <v>2321</v>
      </c>
      <c r="AC799" s="241" t="s">
        <v>3414</v>
      </c>
      <c r="AE799" s="50"/>
      <c r="AF799" s="59"/>
    </row>
    <row r="800" spans="1:32" x14ac:dyDescent="0.3">
      <c r="A800" s="49">
        <v>13</v>
      </c>
      <c r="B800" s="41" t="s">
        <v>1401</v>
      </c>
      <c r="C800" s="50" t="s">
        <v>1464</v>
      </c>
      <c r="D800" s="50" t="s">
        <v>1602</v>
      </c>
      <c r="E800" s="50" t="s">
        <v>25</v>
      </c>
      <c r="F800" s="51" t="s">
        <v>25</v>
      </c>
      <c r="G800" s="50" t="s">
        <v>866</v>
      </c>
      <c r="H800" s="59">
        <v>4409.45</v>
      </c>
      <c r="I800" s="59">
        <v>-1294.93</v>
      </c>
      <c r="J800" s="59">
        <v>0</v>
      </c>
      <c r="K800" s="59">
        <v>-41.01</v>
      </c>
      <c r="L800" s="59">
        <v>0</v>
      </c>
      <c r="M800" s="59">
        <f>-8.28-50</f>
        <v>-58.28</v>
      </c>
      <c r="N800" s="59">
        <v>-69</v>
      </c>
      <c r="O800" s="59">
        <f t="shared" si="85"/>
        <v>2946.2299999999991</v>
      </c>
      <c r="P800" s="59">
        <v>-2700</v>
      </c>
      <c r="Q800" s="59">
        <v>0</v>
      </c>
      <c r="R800" s="59">
        <v>0</v>
      </c>
      <c r="S800" s="59">
        <v>-700</v>
      </c>
      <c r="T800" s="59">
        <v>0</v>
      </c>
      <c r="U800" s="59">
        <v>0</v>
      </c>
      <c r="V800" s="59">
        <v>0</v>
      </c>
      <c r="W800" s="59">
        <f t="shared" si="86"/>
        <v>-453.77000000000089</v>
      </c>
      <c r="X800" s="59">
        <f t="shared" si="82"/>
        <v>0</v>
      </c>
      <c r="Y800" s="59">
        <f t="shared" si="83"/>
        <v>-453.77000000000089</v>
      </c>
      <c r="Z800" s="59">
        <v>454</v>
      </c>
      <c r="AA800" s="59">
        <f t="shared" si="84"/>
        <v>0.2299999999991087</v>
      </c>
      <c r="AB800" s="59">
        <f t="shared" si="87"/>
        <v>3400.4599999999982</v>
      </c>
      <c r="AD800" s="50" t="s">
        <v>3415</v>
      </c>
      <c r="AE800" s="50"/>
      <c r="AF800" s="59"/>
    </row>
    <row r="801" spans="1:32" x14ac:dyDescent="0.3">
      <c r="A801" s="49">
        <v>13</v>
      </c>
      <c r="B801" s="41" t="s">
        <v>1010</v>
      </c>
      <c r="C801" s="50" t="s">
        <v>409</v>
      </c>
      <c r="D801" s="50" t="s">
        <v>946</v>
      </c>
      <c r="E801" s="50" t="s">
        <v>25</v>
      </c>
      <c r="F801" s="51" t="s">
        <v>25</v>
      </c>
      <c r="G801" s="50" t="s">
        <v>866</v>
      </c>
      <c r="H801" s="59">
        <v>1433.38</v>
      </c>
      <c r="I801" s="59">
        <v>0</v>
      </c>
      <c r="J801" s="59">
        <v>0</v>
      </c>
      <c r="K801" s="59">
        <v>0</v>
      </c>
      <c r="L801" s="59">
        <v>-15.47</v>
      </c>
      <c r="M801" s="59">
        <v>-1.3199999999999998</v>
      </c>
      <c r="N801" s="59">
        <v>-11</v>
      </c>
      <c r="O801" s="238">
        <f t="shared" si="85"/>
        <v>1405.5900000000001</v>
      </c>
      <c r="P801" s="238">
        <v>-3500</v>
      </c>
      <c r="Q801" s="238">
        <f>-151*1.12</f>
        <v>-169.12</v>
      </c>
      <c r="R801" s="238">
        <v>0</v>
      </c>
      <c r="S801" s="238">
        <v>0</v>
      </c>
      <c r="T801" s="238">
        <v>0</v>
      </c>
      <c r="U801" s="238">
        <v>0</v>
      </c>
      <c r="V801" s="238">
        <v>0</v>
      </c>
      <c r="W801" s="238">
        <f t="shared" si="86"/>
        <v>-2263.5299999999997</v>
      </c>
      <c r="X801" s="238">
        <f t="shared" si="82"/>
        <v>0</v>
      </c>
      <c r="Y801" s="238">
        <f t="shared" si="83"/>
        <v>-2263.5299999999997</v>
      </c>
      <c r="Z801" s="238">
        <f>1500+500</f>
        <v>2000</v>
      </c>
      <c r="AA801" s="238">
        <f t="shared" si="84"/>
        <v>-263.52999999999975</v>
      </c>
      <c r="AB801" s="238">
        <f t="shared" si="87"/>
        <v>3142.0600000000004</v>
      </c>
      <c r="AD801" s="50" t="s">
        <v>3416</v>
      </c>
      <c r="AE801" s="50"/>
      <c r="AF801" s="59"/>
    </row>
    <row r="802" spans="1:32" x14ac:dyDescent="0.3">
      <c r="A802" s="49">
        <v>13</v>
      </c>
      <c r="B802" s="41" t="s">
        <v>1297</v>
      </c>
      <c r="C802" s="50" t="s">
        <v>480</v>
      </c>
      <c r="D802" s="50" t="s">
        <v>1243</v>
      </c>
      <c r="E802" s="50" t="s">
        <v>25</v>
      </c>
      <c r="F802" s="51" t="s">
        <v>25</v>
      </c>
      <c r="G802" s="50" t="s">
        <v>866</v>
      </c>
      <c r="H802" s="59">
        <v>4533.53</v>
      </c>
      <c r="I802" s="59">
        <v>-1350.5600000000002</v>
      </c>
      <c r="J802" s="59">
        <v>-91.84</v>
      </c>
      <c r="K802" s="59">
        <v>0</v>
      </c>
      <c r="L802" s="59">
        <v>0</v>
      </c>
      <c r="M802" s="59">
        <v>-50</v>
      </c>
      <c r="N802" s="59">
        <v>0</v>
      </c>
      <c r="O802" s="59">
        <f t="shared" si="85"/>
        <v>3041.1299999999992</v>
      </c>
      <c r="P802" s="59">
        <v>-2700</v>
      </c>
      <c r="Q802" s="59">
        <v>0</v>
      </c>
      <c r="R802" s="59">
        <v>0</v>
      </c>
      <c r="S802" s="59">
        <v>0</v>
      </c>
      <c r="T802" s="59">
        <v>0</v>
      </c>
      <c r="U802" s="59">
        <v>0</v>
      </c>
      <c r="V802" s="59">
        <v>0</v>
      </c>
      <c r="W802" s="59">
        <f t="shared" si="86"/>
        <v>341.1299999999992</v>
      </c>
      <c r="X802" s="59">
        <f t="shared" si="82"/>
        <v>341.1299999999992</v>
      </c>
      <c r="Y802" s="59">
        <f t="shared" si="83"/>
        <v>0</v>
      </c>
      <c r="Z802" s="59">
        <v>0</v>
      </c>
      <c r="AA802" s="59">
        <f t="shared" si="84"/>
        <v>0</v>
      </c>
      <c r="AB802" s="59">
        <f t="shared" si="87"/>
        <v>2700</v>
      </c>
      <c r="AE802" s="50"/>
      <c r="AF802" s="59"/>
    </row>
    <row r="803" spans="1:32" x14ac:dyDescent="0.3">
      <c r="A803" s="49">
        <v>13</v>
      </c>
      <c r="B803" s="41" t="s">
        <v>1412</v>
      </c>
      <c r="C803" s="50" t="s">
        <v>774</v>
      </c>
      <c r="D803" s="50" t="s">
        <v>1605</v>
      </c>
      <c r="E803" s="50" t="s">
        <v>25</v>
      </c>
      <c r="F803" s="51" t="s">
        <v>25</v>
      </c>
      <c r="G803" s="50" t="s">
        <v>866</v>
      </c>
      <c r="H803" s="59">
        <v>6307.35</v>
      </c>
      <c r="I803" s="59">
        <v>-4056.6200000000003</v>
      </c>
      <c r="J803" s="59">
        <v>0</v>
      </c>
      <c r="K803" s="59">
        <v>0</v>
      </c>
      <c r="L803" s="59">
        <v>-71.41</v>
      </c>
      <c r="M803" s="59">
        <v>-70</v>
      </c>
      <c r="N803" s="59">
        <v>0</v>
      </c>
      <c r="O803" s="59">
        <f t="shared" si="85"/>
        <v>2109.3200000000002</v>
      </c>
      <c r="P803" s="59">
        <v>-2500</v>
      </c>
      <c r="Q803" s="59">
        <v>0</v>
      </c>
      <c r="R803" s="59">
        <v>0</v>
      </c>
      <c r="S803" s="59">
        <v>0</v>
      </c>
      <c r="T803" s="59">
        <v>-600</v>
      </c>
      <c r="U803" s="59">
        <v>0</v>
      </c>
      <c r="V803" s="59">
        <v>0</v>
      </c>
      <c r="W803" s="59">
        <f t="shared" si="86"/>
        <v>-990.67999999999984</v>
      </c>
      <c r="X803" s="59">
        <f t="shared" si="82"/>
        <v>0</v>
      </c>
      <c r="Y803" s="59">
        <f t="shared" si="83"/>
        <v>-990.67999999999984</v>
      </c>
      <c r="Z803" s="59">
        <v>991</v>
      </c>
      <c r="AA803" s="59">
        <f t="shared" si="84"/>
        <v>0.32000000000016371</v>
      </c>
      <c r="AB803" s="59">
        <f t="shared" si="87"/>
        <v>3100.6400000000003</v>
      </c>
      <c r="AD803" s="50" t="s">
        <v>3417</v>
      </c>
      <c r="AE803" s="50"/>
      <c r="AF803" s="59"/>
    </row>
    <row r="804" spans="1:32" x14ac:dyDescent="0.3">
      <c r="A804" s="49">
        <v>13</v>
      </c>
      <c r="B804" s="41" t="s">
        <v>1003</v>
      </c>
      <c r="C804" s="50" t="s">
        <v>1409</v>
      </c>
      <c r="E804" s="50" t="s">
        <v>25</v>
      </c>
      <c r="F804" s="51" t="s">
        <v>25</v>
      </c>
      <c r="G804" s="50" t="s">
        <v>866</v>
      </c>
      <c r="H804" s="59">
        <v>0</v>
      </c>
      <c r="I804" s="59">
        <v>0</v>
      </c>
      <c r="J804" s="59">
        <v>0</v>
      </c>
      <c r="K804" s="59">
        <v>0</v>
      </c>
      <c r="L804" s="59">
        <v>0</v>
      </c>
      <c r="M804" s="59">
        <v>0</v>
      </c>
      <c r="N804" s="59">
        <v>0</v>
      </c>
      <c r="O804" s="59">
        <f t="shared" si="85"/>
        <v>0</v>
      </c>
      <c r="P804" s="59">
        <v>-2500</v>
      </c>
      <c r="Q804" s="59">
        <f>-435*1.12</f>
        <v>-487.20000000000005</v>
      </c>
      <c r="R804" s="59">
        <v>0</v>
      </c>
      <c r="S804" s="59">
        <v>0</v>
      </c>
      <c r="T804" s="59">
        <v>0</v>
      </c>
      <c r="U804" s="59">
        <v>0</v>
      </c>
      <c r="V804" s="59">
        <v>0</v>
      </c>
      <c r="W804" s="59">
        <f t="shared" si="86"/>
        <v>-2987.2</v>
      </c>
      <c r="X804" s="59">
        <f t="shared" si="82"/>
        <v>0</v>
      </c>
      <c r="Y804" s="59">
        <f t="shared" si="83"/>
        <v>-2987.2</v>
      </c>
      <c r="Z804" s="59">
        <f>2500+485</f>
        <v>2985</v>
      </c>
      <c r="AA804" s="59">
        <f t="shared" si="84"/>
        <v>-2.1999999999998181</v>
      </c>
      <c r="AB804" s="59">
        <f t="shared" si="87"/>
        <v>2982.8</v>
      </c>
      <c r="AD804" s="50" t="s">
        <v>3418</v>
      </c>
      <c r="AE804" s="50"/>
      <c r="AF804" s="59"/>
    </row>
    <row r="805" spans="1:32" x14ac:dyDescent="0.3">
      <c r="A805" s="49">
        <v>13</v>
      </c>
      <c r="B805" s="41" t="s">
        <v>1403</v>
      </c>
      <c r="C805" s="50" t="s">
        <v>213</v>
      </c>
      <c r="D805" s="50" t="s">
        <v>1116</v>
      </c>
      <c r="E805" s="50" t="s">
        <v>39</v>
      </c>
      <c r="F805" s="50" t="s">
        <v>39</v>
      </c>
      <c r="G805" s="50" t="s">
        <v>866</v>
      </c>
      <c r="H805" s="59">
        <v>5115.42</v>
      </c>
      <c r="I805" s="59">
        <v>-1137.47</v>
      </c>
      <c r="J805" s="59">
        <v>-41.6</v>
      </c>
      <c r="K805" s="59">
        <v>0</v>
      </c>
      <c r="L805" s="59">
        <v>0</v>
      </c>
      <c r="M805" s="59">
        <v>-52</v>
      </c>
      <c r="N805" s="59">
        <v>0</v>
      </c>
      <c r="O805" s="59">
        <f t="shared" si="85"/>
        <v>3884.35</v>
      </c>
      <c r="P805" s="59">
        <f>(-2500/7)*5.5</f>
        <v>-1964.2857142857144</v>
      </c>
      <c r="Q805" s="59">
        <v>0</v>
      </c>
      <c r="R805" s="59">
        <v>0</v>
      </c>
      <c r="S805" s="59">
        <v>0</v>
      </c>
      <c r="T805" s="59">
        <v>-700</v>
      </c>
      <c r="U805" s="59">
        <v>0</v>
      </c>
      <c r="V805" s="59">
        <v>0</v>
      </c>
      <c r="W805" s="59">
        <f t="shared" si="86"/>
        <v>1220.0642857142855</v>
      </c>
      <c r="X805" s="59">
        <f t="shared" si="82"/>
        <v>1220.0642857142855</v>
      </c>
      <c r="Y805" s="59">
        <f t="shared" si="83"/>
        <v>0</v>
      </c>
      <c r="Z805" s="59">
        <v>0</v>
      </c>
      <c r="AA805" s="59">
        <f t="shared" si="84"/>
        <v>0</v>
      </c>
      <c r="AB805" s="59">
        <f t="shared" si="87"/>
        <v>2664.2857142857147</v>
      </c>
      <c r="AE805" s="50"/>
      <c r="AF805" s="59"/>
    </row>
    <row r="806" spans="1:32" x14ac:dyDescent="0.3">
      <c r="A806" s="49">
        <v>13</v>
      </c>
      <c r="B806" s="41" t="s">
        <v>1307</v>
      </c>
      <c r="C806" s="50" t="s">
        <v>183</v>
      </c>
      <c r="D806" s="50" t="s">
        <v>887</v>
      </c>
      <c r="E806" s="50" t="s">
        <v>25</v>
      </c>
      <c r="F806" s="51" t="s">
        <v>25</v>
      </c>
      <c r="G806" s="50" t="s">
        <v>866</v>
      </c>
      <c r="H806" s="59">
        <v>0</v>
      </c>
      <c r="I806" s="59">
        <v>0</v>
      </c>
      <c r="J806" s="59">
        <v>0</v>
      </c>
      <c r="K806" s="59">
        <v>0</v>
      </c>
      <c r="L806" s="59">
        <v>0</v>
      </c>
      <c r="M806" s="59">
        <v>0</v>
      </c>
      <c r="N806" s="59">
        <v>0</v>
      </c>
      <c r="O806" s="59">
        <f t="shared" si="85"/>
        <v>0</v>
      </c>
      <c r="P806" s="59">
        <f>(-2500/7)*1</f>
        <v>-357.14285714285717</v>
      </c>
      <c r="Q806" s="59">
        <v>0</v>
      </c>
      <c r="R806" s="59">
        <v>0</v>
      </c>
      <c r="S806" s="59">
        <v>0</v>
      </c>
      <c r="T806" s="59">
        <v>0</v>
      </c>
      <c r="U806" s="59">
        <v>0</v>
      </c>
      <c r="V806" s="59">
        <v>0</v>
      </c>
      <c r="W806" s="59">
        <f t="shared" si="86"/>
        <v>-357.14285714285717</v>
      </c>
      <c r="X806" s="59">
        <f t="shared" si="82"/>
        <v>0</v>
      </c>
      <c r="Y806" s="59">
        <f t="shared" si="83"/>
        <v>-357.14285714285717</v>
      </c>
      <c r="Z806" s="59">
        <v>357</v>
      </c>
      <c r="AA806" s="59">
        <f t="shared" si="84"/>
        <v>-0.14285714285716722</v>
      </c>
      <c r="AB806" s="59">
        <f t="shared" si="87"/>
        <v>356.85714285714283</v>
      </c>
      <c r="AD806" s="50" t="s">
        <v>3408</v>
      </c>
      <c r="AE806" s="50"/>
      <c r="AF806" s="59"/>
    </row>
    <row r="807" spans="1:32" x14ac:dyDescent="0.3">
      <c r="A807" s="49">
        <v>13</v>
      </c>
      <c r="B807" s="41" t="s">
        <v>1141</v>
      </c>
      <c r="C807" s="50" t="s">
        <v>120</v>
      </c>
      <c r="D807" s="50" t="s">
        <v>950</v>
      </c>
      <c r="E807" s="50" t="s">
        <v>25</v>
      </c>
      <c r="F807" s="51" t="s">
        <v>25</v>
      </c>
      <c r="G807" s="50" t="s">
        <v>866</v>
      </c>
      <c r="H807" s="59">
        <v>876.18</v>
      </c>
      <c r="I807" s="59">
        <v>-299.96000000000004</v>
      </c>
      <c r="J807" s="59">
        <v>-6.8</v>
      </c>
      <c r="K807" s="59">
        <v>42.49</v>
      </c>
      <c r="L807" s="59">
        <v>0</v>
      </c>
      <c r="M807" s="59">
        <v>-20</v>
      </c>
      <c r="N807" s="59">
        <v>0</v>
      </c>
      <c r="O807" s="59">
        <f t="shared" si="85"/>
        <v>591.91</v>
      </c>
      <c r="P807" s="59">
        <v>-592</v>
      </c>
      <c r="Q807" s="59">
        <v>0</v>
      </c>
      <c r="R807" s="59">
        <v>0</v>
      </c>
      <c r="S807" s="59">
        <v>0</v>
      </c>
      <c r="T807" s="59">
        <v>0</v>
      </c>
      <c r="U807" s="59">
        <v>0</v>
      </c>
      <c r="V807" s="59">
        <v>0</v>
      </c>
      <c r="W807" s="59">
        <f t="shared" si="86"/>
        <v>-9.0000000000031832E-2</v>
      </c>
      <c r="X807" s="59">
        <f t="shared" ref="X807:X865" si="88">IF(W807&gt;=0,W807,0)</f>
        <v>0</v>
      </c>
      <c r="Y807" s="59">
        <f t="shared" ref="Y807:Y811" si="89">IF(W807&lt;=0,W807,0)</f>
        <v>-9.0000000000031832E-2</v>
      </c>
      <c r="Z807" s="59">
        <v>0</v>
      </c>
      <c r="AA807" s="59">
        <f t="shared" ref="AA807:AA865" si="90">+Y807+Z807</f>
        <v>-9.0000000000031832E-2</v>
      </c>
      <c r="AB807" s="59">
        <f t="shared" si="87"/>
        <v>591.81999999999994</v>
      </c>
      <c r="AE807" s="50"/>
      <c r="AF807" s="59"/>
    </row>
    <row r="808" spans="1:32" x14ac:dyDescent="0.3">
      <c r="A808" s="242">
        <v>14</v>
      </c>
      <c r="B808" s="243" t="s">
        <v>2008</v>
      </c>
      <c r="C808" s="243" t="s">
        <v>409</v>
      </c>
      <c r="D808" s="243" t="s">
        <v>946</v>
      </c>
      <c r="E808" s="243" t="s">
        <v>25</v>
      </c>
      <c r="F808" s="243" t="s">
        <v>25</v>
      </c>
      <c r="G808" s="243" t="s">
        <v>866</v>
      </c>
      <c r="H808" s="146">
        <v>1324.75</v>
      </c>
      <c r="I808" s="244">
        <v>-700.9</v>
      </c>
      <c r="J808" s="244">
        <v>-1.22</v>
      </c>
      <c r="K808" s="244">
        <v>0</v>
      </c>
      <c r="L808" s="244">
        <v>0</v>
      </c>
      <c r="M808" s="244">
        <v>-35</v>
      </c>
      <c r="N808" s="244">
        <v>0</v>
      </c>
      <c r="O808" s="244">
        <f t="shared" si="85"/>
        <v>587.63</v>
      </c>
      <c r="P808" s="244">
        <f>(-2500/7)*3</f>
        <v>-1071.4285714285716</v>
      </c>
      <c r="Q808" s="244">
        <v>-2126</v>
      </c>
      <c r="R808" s="244">
        <v>-214.28571428571428</v>
      </c>
      <c r="S808" s="244">
        <v>0</v>
      </c>
      <c r="T808" s="244">
        <v>-3000</v>
      </c>
      <c r="U808" s="244">
        <v>0</v>
      </c>
      <c r="V808" s="244">
        <v>0</v>
      </c>
      <c r="W808" s="244">
        <f t="shared" si="86"/>
        <v>-5824.0842857142852</v>
      </c>
      <c r="X808" s="244">
        <f t="shared" si="88"/>
        <v>0</v>
      </c>
      <c r="Y808" s="244">
        <f t="shared" si="89"/>
        <v>-5824.0842857142852</v>
      </c>
      <c r="Z808" s="244">
        <v>0</v>
      </c>
      <c r="AA808" s="244">
        <f t="shared" si="90"/>
        <v>-5824.0842857142852</v>
      </c>
      <c r="AB808" s="244">
        <f>+O808-X808+Z808+AA808</f>
        <v>-5236.4542857142851</v>
      </c>
      <c r="AC808" s="244"/>
      <c r="AD808" s="243" t="s">
        <v>3419</v>
      </c>
      <c r="AE808" s="243"/>
    </row>
    <row r="809" spans="1:32" x14ac:dyDescent="0.3">
      <c r="A809" s="242">
        <v>14</v>
      </c>
      <c r="B809" s="243" t="s">
        <v>3420</v>
      </c>
      <c r="C809" s="243"/>
      <c r="D809" s="243" t="s">
        <v>1044</v>
      </c>
      <c r="E809" s="243" t="s">
        <v>25</v>
      </c>
      <c r="F809" s="243" t="s">
        <v>25</v>
      </c>
      <c r="G809" s="243" t="s">
        <v>866</v>
      </c>
      <c r="H809" s="146">
        <v>3018.46</v>
      </c>
      <c r="I809" s="244">
        <v>-140.15</v>
      </c>
      <c r="J809" s="244">
        <v>-54.4</v>
      </c>
      <c r="K809" s="244">
        <v>0</v>
      </c>
      <c r="L809" s="244">
        <v>0</v>
      </c>
      <c r="M809" s="244">
        <v>-45.92</v>
      </c>
      <c r="N809" s="244">
        <v>-216.00000000000003</v>
      </c>
      <c r="O809" s="244">
        <f t="shared" si="85"/>
        <v>2561.9899999999998</v>
      </c>
      <c r="P809" s="244">
        <f>(-2500/7)*4</f>
        <v>-1428.5714285714287</v>
      </c>
      <c r="Q809" s="244">
        <v>0</v>
      </c>
      <c r="R809" s="244">
        <v>-285.71428571428572</v>
      </c>
      <c r="S809" s="244">
        <v>0</v>
      </c>
      <c r="T809" s="244">
        <v>0</v>
      </c>
      <c r="U809" s="244">
        <v>0</v>
      </c>
      <c r="V809" s="244">
        <v>0</v>
      </c>
      <c r="W809" s="244">
        <f t="shared" si="86"/>
        <v>847.70428571428533</v>
      </c>
      <c r="X809" s="244">
        <f t="shared" si="88"/>
        <v>847.70428571428533</v>
      </c>
      <c r="Y809" s="244">
        <f t="shared" si="89"/>
        <v>0</v>
      </c>
      <c r="Z809" s="244">
        <v>0</v>
      </c>
      <c r="AA809" s="244">
        <f t="shared" si="90"/>
        <v>0</v>
      </c>
      <c r="AB809" s="244">
        <f t="shared" si="87"/>
        <v>1714.2857142857144</v>
      </c>
      <c r="AC809" s="244">
        <v>-2000</v>
      </c>
      <c r="AD809" s="243" t="s">
        <v>3421</v>
      </c>
      <c r="AE809" s="243"/>
    </row>
    <row r="810" spans="1:32" x14ac:dyDescent="0.3">
      <c r="A810" s="242">
        <v>14</v>
      </c>
      <c r="B810" s="245" t="s">
        <v>1449</v>
      </c>
      <c r="C810" s="243" t="s">
        <v>3150</v>
      </c>
      <c r="D810" s="243"/>
      <c r="E810" s="243" t="s">
        <v>25</v>
      </c>
      <c r="F810" s="243" t="s">
        <v>25</v>
      </c>
      <c r="G810" s="243" t="s">
        <v>866</v>
      </c>
      <c r="H810" s="146">
        <v>5124.29</v>
      </c>
      <c r="I810" s="244">
        <v>-2068.5400000000009</v>
      </c>
      <c r="J810" s="244">
        <v>-37.299999999999997</v>
      </c>
      <c r="K810" s="244">
        <v>14.68</v>
      </c>
      <c r="L810" s="244">
        <v>0</v>
      </c>
      <c r="M810" s="244">
        <v>-60</v>
      </c>
      <c r="N810" s="244">
        <v>0</v>
      </c>
      <c r="O810" s="244">
        <f t="shared" ref="O810:O865" si="91">IF(H810+I810&lt;0,SUM(J810:N810),SUM(H810:N810))</f>
        <v>2973.1299999999987</v>
      </c>
      <c r="P810" s="244">
        <f>(-2700/7)*4</f>
        <v>-1542.8571428571429</v>
      </c>
      <c r="Q810" s="244">
        <v>0</v>
      </c>
      <c r="R810" s="244">
        <v>0</v>
      </c>
      <c r="S810" s="244">
        <v>0</v>
      </c>
      <c r="T810" s="244">
        <v>0</v>
      </c>
      <c r="U810" s="244">
        <v>811</v>
      </c>
      <c r="V810" s="244">
        <v>0</v>
      </c>
      <c r="W810" s="244">
        <f t="shared" si="86"/>
        <v>2241.2728571428561</v>
      </c>
      <c r="X810" s="244">
        <f t="shared" si="88"/>
        <v>2241.2728571428561</v>
      </c>
      <c r="Y810" s="244">
        <f t="shared" si="89"/>
        <v>0</v>
      </c>
      <c r="Z810" s="244">
        <v>0</v>
      </c>
      <c r="AA810" s="244">
        <f t="shared" si="90"/>
        <v>0</v>
      </c>
      <c r="AB810" s="244">
        <f t="shared" si="87"/>
        <v>731.85714285714266</v>
      </c>
      <c r="AC810" s="244"/>
      <c r="AD810" s="243" t="s">
        <v>3422</v>
      </c>
      <c r="AE810" s="243"/>
    </row>
    <row r="811" spans="1:32" x14ac:dyDescent="0.3">
      <c r="A811" s="242">
        <v>14</v>
      </c>
      <c r="B811" s="245" t="s">
        <v>1449</v>
      </c>
      <c r="C811" s="243" t="s">
        <v>1611</v>
      </c>
      <c r="D811" s="243" t="s">
        <v>3280</v>
      </c>
      <c r="E811" s="243" t="s">
        <v>25</v>
      </c>
      <c r="F811" s="243" t="s">
        <v>25</v>
      </c>
      <c r="G811" s="243" t="s">
        <v>866</v>
      </c>
      <c r="H811" s="244">
        <v>0</v>
      </c>
      <c r="I811" s="59">
        <v>0</v>
      </c>
      <c r="J811" s="59">
        <v>0</v>
      </c>
      <c r="K811" s="59">
        <v>0</v>
      </c>
      <c r="L811" s="59">
        <v>0</v>
      </c>
      <c r="M811" s="59">
        <v>0</v>
      </c>
      <c r="N811" s="59">
        <v>0</v>
      </c>
      <c r="O811" s="244">
        <f t="shared" si="91"/>
        <v>0</v>
      </c>
      <c r="P811" s="244">
        <f>(-2500/7)*2.5</f>
        <v>-892.85714285714289</v>
      </c>
      <c r="Q811" s="244">
        <v>0</v>
      </c>
      <c r="R811" s="244">
        <v>0</v>
      </c>
      <c r="S811" s="244">
        <v>0</v>
      </c>
      <c r="T811" s="244">
        <v>0</v>
      </c>
      <c r="U811" s="244">
        <v>0</v>
      </c>
      <c r="V811" s="244">
        <v>0</v>
      </c>
      <c r="W811" s="244">
        <f t="shared" si="86"/>
        <v>-892.85714285714289</v>
      </c>
      <c r="X811" s="244">
        <f t="shared" si="88"/>
        <v>0</v>
      </c>
      <c r="Y811" s="244">
        <f t="shared" si="89"/>
        <v>-892.85714285714289</v>
      </c>
      <c r="Z811" s="244">
        <v>893</v>
      </c>
      <c r="AA811" s="244">
        <f t="shared" si="90"/>
        <v>0.14285714285711038</v>
      </c>
      <c r="AB811" s="244">
        <f t="shared" si="87"/>
        <v>893.14285714285711</v>
      </c>
      <c r="AC811" s="244"/>
      <c r="AD811" s="243" t="s">
        <v>3423</v>
      </c>
      <c r="AE811" s="243"/>
    </row>
    <row r="812" spans="1:32" x14ac:dyDescent="0.3">
      <c r="A812" s="242">
        <v>14</v>
      </c>
      <c r="B812" s="245" t="s">
        <v>1310</v>
      </c>
      <c r="C812" s="243" t="s">
        <v>101</v>
      </c>
      <c r="D812" s="243" t="s">
        <v>945</v>
      </c>
      <c r="E812" s="243" t="s">
        <v>25</v>
      </c>
      <c r="F812" s="246" t="s">
        <v>25</v>
      </c>
      <c r="G812" s="243" t="s">
        <v>866</v>
      </c>
      <c r="H812" s="244">
        <v>0</v>
      </c>
      <c r="I812" s="59">
        <v>0</v>
      </c>
      <c r="J812" s="59">
        <v>0</v>
      </c>
      <c r="K812" s="59">
        <v>0</v>
      </c>
      <c r="L812" s="59">
        <v>0</v>
      </c>
      <c r="M812" s="59">
        <v>0</v>
      </c>
      <c r="N812" s="59">
        <v>0</v>
      </c>
      <c r="O812" s="244">
        <f t="shared" si="91"/>
        <v>0</v>
      </c>
      <c r="P812" s="244">
        <f>(-2500/7)*2.5</f>
        <v>-892.85714285714289</v>
      </c>
      <c r="Q812" s="244">
        <v>0</v>
      </c>
      <c r="R812" s="244">
        <v>0</v>
      </c>
      <c r="S812" s="244">
        <v>0</v>
      </c>
      <c r="T812" s="244">
        <v>0</v>
      </c>
      <c r="U812" s="244">
        <v>0</v>
      </c>
      <c r="V812" s="244">
        <v>0</v>
      </c>
      <c r="W812" s="244">
        <f t="shared" si="86"/>
        <v>-892.85714285714289</v>
      </c>
      <c r="X812" s="244">
        <f t="shared" si="88"/>
        <v>0</v>
      </c>
      <c r="Y812" s="244">
        <f>IF(W812&lt;=0,W812,0)</f>
        <v>-892.85714285714289</v>
      </c>
      <c r="Z812" s="244">
        <v>893</v>
      </c>
      <c r="AA812" s="244">
        <f t="shared" si="90"/>
        <v>0.14285714285711038</v>
      </c>
      <c r="AB812" s="244">
        <f t="shared" si="87"/>
        <v>893.14285714285711</v>
      </c>
      <c r="AC812" s="244"/>
      <c r="AD812" s="243"/>
      <c r="AE812" s="243"/>
    </row>
    <row r="813" spans="1:32" x14ac:dyDescent="0.3">
      <c r="A813" s="242">
        <v>14</v>
      </c>
      <c r="B813" s="245" t="s">
        <v>1310</v>
      </c>
      <c r="C813" s="243" t="s">
        <v>2981</v>
      </c>
      <c r="D813" s="243"/>
      <c r="E813" s="243" t="s">
        <v>25</v>
      </c>
      <c r="F813" s="243" t="s">
        <v>25</v>
      </c>
      <c r="G813" s="243" t="s">
        <v>866</v>
      </c>
      <c r="H813" s="146">
        <v>7783.56</v>
      </c>
      <c r="I813" s="59">
        <v>-1918.6100000000004</v>
      </c>
      <c r="J813" s="59">
        <v>14.34</v>
      </c>
      <c r="K813" s="59">
        <v>-13.37</v>
      </c>
      <c r="L813" s="59">
        <v>0</v>
      </c>
      <c r="M813" s="59">
        <v>-55</v>
      </c>
      <c r="N813" s="59">
        <v>0</v>
      </c>
      <c r="O813" s="244">
        <f t="shared" si="91"/>
        <v>5810.92</v>
      </c>
      <c r="P813" s="244">
        <f>(-3000/7)*4.5</f>
        <v>-1928.5714285714284</v>
      </c>
      <c r="Q813" s="244">
        <v>0</v>
      </c>
      <c r="R813" s="244">
        <v>0</v>
      </c>
      <c r="S813" s="244">
        <v>0</v>
      </c>
      <c r="T813" s="244">
        <v>0</v>
      </c>
      <c r="U813" s="244">
        <v>0</v>
      </c>
      <c r="V813" s="244">
        <v>0</v>
      </c>
      <c r="W813" s="244">
        <f t="shared" si="86"/>
        <v>3882.3485714285716</v>
      </c>
      <c r="X813" s="244">
        <f t="shared" si="88"/>
        <v>3882.3485714285716</v>
      </c>
      <c r="Y813" s="244">
        <f>IF(W813&lt;=0,W813,0)</f>
        <v>0</v>
      </c>
      <c r="Z813" s="244">
        <v>0</v>
      </c>
      <c r="AA813" s="244">
        <f t="shared" si="90"/>
        <v>0</v>
      </c>
      <c r="AB813" s="244">
        <f t="shared" si="87"/>
        <v>1928.5714285714284</v>
      </c>
      <c r="AC813" s="244"/>
      <c r="AD813" s="243"/>
      <c r="AE813" s="243"/>
    </row>
    <row r="814" spans="1:32" x14ac:dyDescent="0.3">
      <c r="A814" s="242">
        <v>14</v>
      </c>
      <c r="B814" s="243" t="s">
        <v>3424</v>
      </c>
      <c r="C814" s="243" t="s">
        <v>53</v>
      </c>
      <c r="D814" s="243" t="s">
        <v>1167</v>
      </c>
      <c r="E814" s="243" t="s">
        <v>25</v>
      </c>
      <c r="F814" s="243" t="s">
        <v>25</v>
      </c>
      <c r="G814" s="243" t="s">
        <v>866</v>
      </c>
      <c r="H814" s="146">
        <v>2967.75</v>
      </c>
      <c r="I814" s="59">
        <v>-1683.34</v>
      </c>
      <c r="J814" s="59">
        <v>0</v>
      </c>
      <c r="K814" s="59">
        <v>0</v>
      </c>
      <c r="L814" s="59">
        <v>0</v>
      </c>
      <c r="M814" s="59">
        <v>-55</v>
      </c>
      <c r="N814" s="59">
        <v>0</v>
      </c>
      <c r="O814" s="244">
        <f t="shared" si="91"/>
        <v>1229.4100000000001</v>
      </c>
      <c r="P814" s="244">
        <f>(-2500/7)*5.5</f>
        <v>-1964.2857142857144</v>
      </c>
      <c r="Q814" s="244">
        <v>0</v>
      </c>
      <c r="R814" s="244">
        <v>-392.85714285714289</v>
      </c>
      <c r="S814" s="244">
        <v>0</v>
      </c>
      <c r="T814" s="244">
        <v>0</v>
      </c>
      <c r="U814" s="244">
        <v>0</v>
      </c>
      <c r="V814" s="244">
        <v>0</v>
      </c>
      <c r="W814" s="244">
        <f>SUM(O814:V814)</f>
        <v>-1127.7328571428573</v>
      </c>
      <c r="X814" s="244">
        <f t="shared" si="88"/>
        <v>0</v>
      </c>
      <c r="Y814" s="244">
        <f>IF(W814&lt;=0,W814,0)</f>
        <v>-1127.7328571428573</v>
      </c>
      <c r="Z814" s="244">
        <v>1128</v>
      </c>
      <c r="AA814" s="244">
        <f t="shared" si="90"/>
        <v>0.26714285714274411</v>
      </c>
      <c r="AB814" s="244">
        <f t="shared" si="87"/>
        <v>2357.6771428571428</v>
      </c>
      <c r="AC814" s="244"/>
      <c r="AD814" s="243" t="s">
        <v>3425</v>
      </c>
      <c r="AE814" s="244"/>
    </row>
    <row r="815" spans="1:32" x14ac:dyDescent="0.3">
      <c r="A815" s="49">
        <v>14</v>
      </c>
      <c r="B815" s="41" t="s">
        <v>1558</v>
      </c>
      <c r="C815" s="50" t="s">
        <v>571</v>
      </c>
      <c r="D815" s="50" t="s">
        <v>974</v>
      </c>
      <c r="E815" s="50" t="s">
        <v>25</v>
      </c>
      <c r="F815" s="51" t="s">
        <v>25</v>
      </c>
      <c r="G815" s="50" t="s">
        <v>866</v>
      </c>
      <c r="H815" s="146">
        <v>4067.05</v>
      </c>
      <c r="I815" s="59">
        <v>-2575.1300000000006</v>
      </c>
      <c r="J815" s="59">
        <v>-17.380000000000003</v>
      </c>
      <c r="K815" s="59">
        <v>0</v>
      </c>
      <c r="L815" s="59">
        <v>0</v>
      </c>
      <c r="M815" s="59">
        <v>-60</v>
      </c>
      <c r="N815" s="59">
        <v>0</v>
      </c>
      <c r="O815" s="59">
        <f t="shared" si="91"/>
        <v>1414.5399999999995</v>
      </c>
      <c r="P815" s="59">
        <v>-2500</v>
      </c>
      <c r="Q815" s="59">
        <v>0</v>
      </c>
      <c r="R815" s="59">
        <v>0</v>
      </c>
      <c r="S815" s="59">
        <v>0</v>
      </c>
      <c r="T815" s="59">
        <v>-500</v>
      </c>
      <c r="U815" s="59">
        <v>0</v>
      </c>
      <c r="V815" s="59">
        <v>0</v>
      </c>
      <c r="W815" s="59">
        <f>SUM(O815:V815)</f>
        <v>-1585.4600000000005</v>
      </c>
      <c r="X815" s="59">
        <f t="shared" si="88"/>
        <v>0</v>
      </c>
      <c r="Y815" s="59">
        <f>IF(W815&lt;=0,W815,0)</f>
        <v>-1585.4600000000005</v>
      </c>
      <c r="Z815" s="59">
        <v>1585</v>
      </c>
      <c r="AA815" s="59">
        <f t="shared" si="90"/>
        <v>-0.46000000000049113</v>
      </c>
      <c r="AB815" s="59">
        <f t="shared" si="87"/>
        <v>2999.079999999999</v>
      </c>
    </row>
    <row r="816" spans="1:32" x14ac:dyDescent="0.3">
      <c r="A816" s="49">
        <v>14</v>
      </c>
      <c r="B816" s="50" t="s">
        <v>3180</v>
      </c>
      <c r="C816" s="50" t="s">
        <v>183</v>
      </c>
      <c r="D816" s="50" t="s">
        <v>887</v>
      </c>
      <c r="E816" s="50" t="s">
        <v>25</v>
      </c>
      <c r="F816" s="50" t="s">
        <v>25</v>
      </c>
      <c r="G816" s="50" t="s">
        <v>866</v>
      </c>
      <c r="H816" s="59">
        <v>0</v>
      </c>
      <c r="I816" s="59">
        <v>0</v>
      </c>
      <c r="J816" s="59">
        <v>0</v>
      </c>
      <c r="K816" s="59">
        <v>0</v>
      </c>
      <c r="L816" s="59">
        <v>0</v>
      </c>
      <c r="M816" s="59">
        <v>0</v>
      </c>
      <c r="N816" s="59">
        <v>0</v>
      </c>
      <c r="O816" s="59">
        <f t="shared" si="91"/>
        <v>0</v>
      </c>
      <c r="P816" s="59">
        <v>0</v>
      </c>
      <c r="Q816" s="59">
        <v>-987.84000000000015</v>
      </c>
      <c r="R816" s="59">
        <v>0</v>
      </c>
      <c r="S816" s="59">
        <v>0</v>
      </c>
      <c r="T816" s="59">
        <v>0</v>
      </c>
      <c r="U816" s="59">
        <v>0</v>
      </c>
      <c r="V816" s="59">
        <v>0</v>
      </c>
      <c r="W816" s="59">
        <f t="shared" ref="W816:W865" si="92">SUM(O816:V816)</f>
        <v>-987.84000000000015</v>
      </c>
      <c r="X816" s="59">
        <f t="shared" si="88"/>
        <v>0</v>
      </c>
      <c r="Y816" s="59">
        <f t="shared" ref="Y816:Y865" si="93">IF(W816&lt;=0,W816,0)</f>
        <v>-987.84000000000015</v>
      </c>
      <c r="Z816" s="59">
        <f>595+393</f>
        <v>988</v>
      </c>
      <c r="AA816" s="59">
        <f t="shared" si="90"/>
        <v>0.15999999999985448</v>
      </c>
      <c r="AB816" s="59">
        <f t="shared" si="87"/>
        <v>988.15999999999985</v>
      </c>
      <c r="AD816" s="239" t="s">
        <v>3426</v>
      </c>
    </row>
    <row r="817" spans="1:30" x14ac:dyDescent="0.3">
      <c r="A817" s="49">
        <v>14</v>
      </c>
      <c r="B817" s="50" t="s">
        <v>3387</v>
      </c>
      <c r="C817" s="50" t="s">
        <v>1443</v>
      </c>
      <c r="D817" s="50" t="s">
        <v>1554</v>
      </c>
      <c r="E817" s="50" t="s">
        <v>25</v>
      </c>
      <c r="F817" s="51" t="s">
        <v>25</v>
      </c>
      <c r="G817" s="50" t="s">
        <v>866</v>
      </c>
      <c r="H817" s="146">
        <v>1623.64</v>
      </c>
      <c r="I817" s="59">
        <v>-380.26000000000005</v>
      </c>
      <c r="J817" s="59">
        <v>-5.38</v>
      </c>
      <c r="K817" s="59">
        <v>33.61</v>
      </c>
      <c r="L817" s="59">
        <v>-23.17</v>
      </c>
      <c r="M817" s="59">
        <v>-111.40479999999999</v>
      </c>
      <c r="N817" s="59">
        <v>-720.04000000000008</v>
      </c>
      <c r="O817" s="59">
        <f t="shared" si="91"/>
        <v>416.99519999999973</v>
      </c>
      <c r="P817" s="59">
        <v>-2700</v>
      </c>
      <c r="Q817" s="59">
        <v>0</v>
      </c>
      <c r="R817" s="59">
        <v>-500</v>
      </c>
      <c r="S817" s="59">
        <v>0</v>
      </c>
      <c r="T817" s="59">
        <v>0</v>
      </c>
      <c r="U817" s="59">
        <v>0</v>
      </c>
      <c r="V817" s="59">
        <v>0</v>
      </c>
      <c r="W817" s="59">
        <f t="shared" si="92"/>
        <v>-2783.0048000000002</v>
      </c>
      <c r="X817" s="59">
        <f t="shared" si="88"/>
        <v>0</v>
      </c>
      <c r="Y817" s="59">
        <f t="shared" si="93"/>
        <v>-2783.0048000000002</v>
      </c>
      <c r="Z817" s="59">
        <v>2000</v>
      </c>
      <c r="AA817" s="59">
        <f t="shared" si="90"/>
        <v>-783.00480000000016</v>
      </c>
      <c r="AB817" s="59">
        <f t="shared" si="87"/>
        <v>1633.9903999999997</v>
      </c>
    </row>
    <row r="818" spans="1:30" x14ac:dyDescent="0.3">
      <c r="A818" s="49">
        <v>14</v>
      </c>
      <c r="B818" s="41" t="s">
        <v>1088</v>
      </c>
      <c r="C818" s="50" t="s">
        <v>2981</v>
      </c>
      <c r="E818" s="50" t="s">
        <v>25</v>
      </c>
      <c r="F818" s="51" t="s">
        <v>25</v>
      </c>
      <c r="G818" s="50" t="s">
        <v>866</v>
      </c>
      <c r="H818" s="59">
        <v>0</v>
      </c>
      <c r="I818" s="59">
        <v>0</v>
      </c>
      <c r="J818" s="59">
        <v>0</v>
      </c>
      <c r="K818" s="59">
        <v>0</v>
      </c>
      <c r="L818" s="59">
        <v>0</v>
      </c>
      <c r="M818" s="59">
        <v>0</v>
      </c>
      <c r="N818" s="59">
        <v>0</v>
      </c>
      <c r="O818" s="59">
        <f t="shared" si="91"/>
        <v>0</v>
      </c>
      <c r="P818" s="59">
        <f>(-3000/7)*2.5</f>
        <v>-1071.4285714285713</v>
      </c>
      <c r="Q818" s="59">
        <v>0</v>
      </c>
      <c r="R818" s="59">
        <v>0</v>
      </c>
      <c r="S818" s="59">
        <v>0</v>
      </c>
      <c r="T818" s="59">
        <v>0</v>
      </c>
      <c r="U818" s="59">
        <v>0</v>
      </c>
      <c r="V818" s="59">
        <v>0</v>
      </c>
      <c r="W818" s="59">
        <f t="shared" si="92"/>
        <v>-1071.4285714285713</v>
      </c>
      <c r="X818" s="59">
        <f t="shared" si="88"/>
        <v>0</v>
      </c>
      <c r="Y818" s="59">
        <f t="shared" si="93"/>
        <v>-1071.4285714285713</v>
      </c>
      <c r="Z818" s="59">
        <v>1071</v>
      </c>
      <c r="AA818" s="59">
        <f t="shared" si="90"/>
        <v>-0.42857142857133113</v>
      </c>
      <c r="AB818" s="59">
        <f t="shared" si="87"/>
        <v>1070.5714285714287</v>
      </c>
      <c r="AD818" s="50" t="s">
        <v>3427</v>
      </c>
    </row>
    <row r="819" spans="1:30" x14ac:dyDescent="0.3">
      <c r="A819" s="49">
        <v>14</v>
      </c>
      <c r="B819" s="41" t="s">
        <v>1088</v>
      </c>
      <c r="C819" s="50" t="s">
        <v>1860</v>
      </c>
      <c r="E819" s="50" t="s">
        <v>25</v>
      </c>
      <c r="F819" s="51" t="s">
        <v>25</v>
      </c>
      <c r="G819" s="50" t="s">
        <v>866</v>
      </c>
      <c r="H819" s="146">
        <v>613.07000000000005</v>
      </c>
      <c r="I819" s="59">
        <v>0</v>
      </c>
      <c r="J819" s="59">
        <v>-4.05</v>
      </c>
      <c r="K819" s="59">
        <v>25.32</v>
      </c>
      <c r="L819" s="59">
        <v>-6.330000000000001</v>
      </c>
      <c r="M819" s="59">
        <v>0</v>
      </c>
      <c r="N819" s="59">
        <v>0</v>
      </c>
      <c r="O819" s="59">
        <f t="shared" si="91"/>
        <v>628.0100000000001</v>
      </c>
      <c r="P819" s="59">
        <f>(-3000/7)*4.5</f>
        <v>-1928.5714285714284</v>
      </c>
      <c r="Q819" s="59">
        <v>0</v>
      </c>
      <c r="R819" s="59">
        <v>0</v>
      </c>
      <c r="S819" s="59">
        <v>0</v>
      </c>
      <c r="T819" s="59">
        <v>0</v>
      </c>
      <c r="U819" s="59">
        <v>0</v>
      </c>
      <c r="V819" s="59">
        <v>0</v>
      </c>
      <c r="W819" s="59">
        <f t="shared" si="92"/>
        <v>-1300.5614285714282</v>
      </c>
      <c r="X819" s="59">
        <f t="shared" si="88"/>
        <v>0</v>
      </c>
      <c r="Y819" s="59">
        <f t="shared" si="93"/>
        <v>-1300.5614285714282</v>
      </c>
      <c r="Z819" s="59">
        <v>1301</v>
      </c>
      <c r="AA819" s="59">
        <f t="shared" si="90"/>
        <v>0.43857142857177678</v>
      </c>
      <c r="AB819" s="59">
        <f t="shared" si="87"/>
        <v>1929.448571428572</v>
      </c>
      <c r="AD819" s="50" t="s">
        <v>3427</v>
      </c>
    </row>
    <row r="820" spans="1:30" x14ac:dyDescent="0.3">
      <c r="A820" s="49">
        <v>14</v>
      </c>
      <c r="B820" s="41" t="s">
        <v>1513</v>
      </c>
      <c r="C820" s="50" t="s">
        <v>645</v>
      </c>
      <c r="D820" s="50" t="s">
        <v>2715</v>
      </c>
      <c r="E820" s="50" t="s">
        <v>25</v>
      </c>
      <c r="F820" s="51" t="s">
        <v>25</v>
      </c>
      <c r="G820" s="50" t="s">
        <v>737</v>
      </c>
      <c r="H820" s="59">
        <v>0</v>
      </c>
      <c r="I820" s="59">
        <v>0</v>
      </c>
      <c r="J820" s="59">
        <v>0</v>
      </c>
      <c r="K820" s="59">
        <v>0</v>
      </c>
      <c r="L820" s="59">
        <v>0</v>
      </c>
      <c r="M820" s="59">
        <v>0</v>
      </c>
      <c r="N820" s="59">
        <v>0</v>
      </c>
      <c r="O820" s="59">
        <f t="shared" si="91"/>
        <v>0</v>
      </c>
      <c r="P820" s="59">
        <v>-2500</v>
      </c>
      <c r="Q820" s="59">
        <v>0</v>
      </c>
      <c r="R820" s="59">
        <v>-108</v>
      </c>
      <c r="S820" s="59">
        <v>0</v>
      </c>
      <c r="T820" s="59">
        <v>0</v>
      </c>
      <c r="U820" s="59">
        <v>0</v>
      </c>
      <c r="V820" s="59">
        <v>0</v>
      </c>
      <c r="W820" s="59">
        <f t="shared" si="92"/>
        <v>-2608</v>
      </c>
      <c r="X820" s="59">
        <f t="shared" si="88"/>
        <v>0</v>
      </c>
      <c r="Y820" s="59">
        <f t="shared" si="93"/>
        <v>-2608</v>
      </c>
      <c r="Z820" s="59">
        <v>2600</v>
      </c>
      <c r="AA820" s="59">
        <f t="shared" si="90"/>
        <v>-8</v>
      </c>
      <c r="AB820" s="59">
        <f t="shared" si="87"/>
        <v>2592</v>
      </c>
    </row>
    <row r="821" spans="1:30" x14ac:dyDescent="0.3">
      <c r="A821" s="49">
        <v>14</v>
      </c>
      <c r="B821" s="41" t="s">
        <v>585</v>
      </c>
      <c r="C821" s="50" t="s">
        <v>42</v>
      </c>
      <c r="D821" s="50" t="s">
        <v>948</v>
      </c>
      <c r="E821" s="50" t="s">
        <v>25</v>
      </c>
      <c r="F821" s="51" t="s">
        <v>25</v>
      </c>
      <c r="G821" s="50" t="s">
        <v>866</v>
      </c>
      <c r="H821" s="59">
        <v>0</v>
      </c>
      <c r="I821" s="59">
        <v>0</v>
      </c>
      <c r="J821" s="59">
        <v>0</v>
      </c>
      <c r="K821" s="59">
        <v>0</v>
      </c>
      <c r="L821" s="59">
        <v>0</v>
      </c>
      <c r="M821" s="59">
        <v>0</v>
      </c>
      <c r="N821" s="59">
        <v>0</v>
      </c>
      <c r="O821" s="59">
        <f t="shared" si="91"/>
        <v>0</v>
      </c>
      <c r="P821" s="59">
        <v>-2500</v>
      </c>
      <c r="Q821" s="59">
        <v>0</v>
      </c>
      <c r="R821" s="59">
        <v>0</v>
      </c>
      <c r="S821" s="59">
        <v>0</v>
      </c>
      <c r="T821" s="59">
        <v>0</v>
      </c>
      <c r="U821" s="59">
        <v>0</v>
      </c>
      <c r="V821" s="59">
        <v>0</v>
      </c>
      <c r="W821" s="59">
        <f t="shared" si="92"/>
        <v>-2500</v>
      </c>
      <c r="X821" s="59">
        <f t="shared" si="88"/>
        <v>0</v>
      </c>
      <c r="Y821" s="59">
        <f t="shared" si="93"/>
        <v>-2500</v>
      </c>
      <c r="Z821" s="59">
        <v>2500</v>
      </c>
      <c r="AA821" s="59">
        <f t="shared" si="90"/>
        <v>0</v>
      </c>
      <c r="AB821" s="59">
        <f t="shared" si="87"/>
        <v>2500</v>
      </c>
      <c r="AD821" s="50" t="s">
        <v>3428</v>
      </c>
    </row>
    <row r="822" spans="1:30" x14ac:dyDescent="0.3">
      <c r="A822" s="49">
        <v>14</v>
      </c>
      <c r="B822" s="41" t="s">
        <v>837</v>
      </c>
      <c r="C822" s="50" t="s">
        <v>357</v>
      </c>
      <c r="D822" s="50" t="s">
        <v>1150</v>
      </c>
      <c r="E822" s="50" t="s">
        <v>25</v>
      </c>
      <c r="F822" s="51" t="s">
        <v>25</v>
      </c>
      <c r="G822" s="50" t="s">
        <v>866</v>
      </c>
      <c r="H822" s="146">
        <v>6335.62</v>
      </c>
      <c r="I822" s="59">
        <v>0</v>
      </c>
      <c r="J822" s="59">
        <v>-221.72</v>
      </c>
      <c r="K822" s="59">
        <v>9.7899999999999991</v>
      </c>
      <c r="L822" s="59">
        <v>0</v>
      </c>
      <c r="M822" s="59">
        <v>-7.1999999999999993</v>
      </c>
      <c r="N822" s="59">
        <v>-60</v>
      </c>
      <c r="O822" s="59">
        <f t="shared" si="91"/>
        <v>6056.49</v>
      </c>
      <c r="P822" s="59">
        <v>-2700</v>
      </c>
      <c r="Q822" s="59">
        <v>0</v>
      </c>
      <c r="R822" s="59">
        <v>0</v>
      </c>
      <c r="S822" s="59">
        <v>0</v>
      </c>
      <c r="T822" s="59">
        <v>0</v>
      </c>
      <c r="U822" s="59">
        <v>0</v>
      </c>
      <c r="V822" s="59">
        <v>0</v>
      </c>
      <c r="W822" s="59">
        <f t="shared" si="92"/>
        <v>3356.49</v>
      </c>
      <c r="X822" s="59">
        <f t="shared" si="88"/>
        <v>3356.49</v>
      </c>
      <c r="Y822" s="59">
        <f t="shared" si="93"/>
        <v>0</v>
      </c>
      <c r="Z822" s="59">
        <v>0</v>
      </c>
      <c r="AA822" s="59">
        <f t="shared" si="90"/>
        <v>0</v>
      </c>
      <c r="AB822" s="59">
        <f t="shared" si="87"/>
        <v>2700</v>
      </c>
    </row>
    <row r="823" spans="1:30" x14ac:dyDescent="0.3">
      <c r="A823" s="49">
        <v>14</v>
      </c>
      <c r="B823" s="50" t="s">
        <v>3352</v>
      </c>
      <c r="C823" s="50" t="s">
        <v>2976</v>
      </c>
      <c r="E823" s="50" t="s">
        <v>25</v>
      </c>
      <c r="F823" s="50" t="s">
        <v>25</v>
      </c>
      <c r="G823" s="50" t="s">
        <v>866</v>
      </c>
      <c r="H823" s="146">
        <v>4634.83</v>
      </c>
      <c r="I823" s="59">
        <v>-982.01</v>
      </c>
      <c r="J823" s="59">
        <v>-65.599999999999994</v>
      </c>
      <c r="K823" s="59">
        <v>0</v>
      </c>
      <c r="L823" s="59">
        <v>0</v>
      </c>
      <c r="M823" s="59">
        <v>-45</v>
      </c>
      <c r="N823" s="59">
        <v>0</v>
      </c>
      <c r="O823" s="59">
        <f t="shared" si="91"/>
        <v>3542.22</v>
      </c>
      <c r="P823" s="59">
        <f>(-2500/7)*6</f>
        <v>-2142.8571428571431</v>
      </c>
      <c r="Q823" s="59">
        <v>0</v>
      </c>
      <c r="R823" s="59">
        <v>0</v>
      </c>
      <c r="S823" s="59">
        <v>0</v>
      </c>
      <c r="T823" s="59">
        <v>0</v>
      </c>
      <c r="U823" s="59">
        <v>0</v>
      </c>
      <c r="V823" s="59">
        <v>0</v>
      </c>
      <c r="W823" s="59">
        <f t="shared" si="92"/>
        <v>1399.3628571428567</v>
      </c>
      <c r="X823" s="59">
        <f t="shared" si="88"/>
        <v>1399.3628571428567</v>
      </c>
      <c r="Y823" s="59">
        <f t="shared" si="93"/>
        <v>0</v>
      </c>
      <c r="Z823" s="59">
        <v>0</v>
      </c>
      <c r="AA823" s="59">
        <f t="shared" si="90"/>
        <v>0</v>
      </c>
      <c r="AB823" s="59">
        <f t="shared" si="87"/>
        <v>2142.8571428571431</v>
      </c>
      <c r="AD823" s="50" t="s">
        <v>3429</v>
      </c>
    </row>
    <row r="824" spans="1:30" x14ac:dyDescent="0.3">
      <c r="A824" s="49">
        <v>14</v>
      </c>
      <c r="B824" s="50" t="s">
        <v>3230</v>
      </c>
      <c r="C824" s="50" t="s">
        <v>120</v>
      </c>
      <c r="D824" s="50" t="s">
        <v>950</v>
      </c>
      <c r="E824" s="50" t="s">
        <v>25</v>
      </c>
      <c r="F824" s="50" t="s">
        <v>25</v>
      </c>
      <c r="G824" s="50" t="s">
        <v>866</v>
      </c>
      <c r="H824" s="59">
        <v>0</v>
      </c>
      <c r="I824" s="59">
        <v>0</v>
      </c>
      <c r="J824" s="59">
        <v>0</v>
      </c>
      <c r="K824" s="59">
        <v>0</v>
      </c>
      <c r="L824" s="59">
        <v>0</v>
      </c>
      <c r="M824" s="59">
        <v>0</v>
      </c>
      <c r="N824" s="59">
        <v>0</v>
      </c>
      <c r="O824" s="59">
        <f t="shared" si="91"/>
        <v>0</v>
      </c>
      <c r="P824" s="59">
        <v>-2500</v>
      </c>
      <c r="Q824" s="59">
        <v>0</v>
      </c>
      <c r="R824" s="59">
        <v>-500</v>
      </c>
      <c r="S824" s="59">
        <v>0</v>
      </c>
      <c r="T824" s="59">
        <v>0</v>
      </c>
      <c r="U824" s="59">
        <v>0</v>
      </c>
      <c r="V824" s="59">
        <v>0</v>
      </c>
      <c r="W824" s="59">
        <f t="shared" si="92"/>
        <v>-3000</v>
      </c>
      <c r="X824" s="59">
        <f t="shared" si="88"/>
        <v>0</v>
      </c>
      <c r="Y824" s="59">
        <f t="shared" si="93"/>
        <v>-3000</v>
      </c>
      <c r="Z824" s="59">
        <f>2000+700</f>
        <v>2700</v>
      </c>
      <c r="AA824" s="59">
        <f t="shared" si="90"/>
        <v>-300</v>
      </c>
      <c r="AB824" s="59">
        <f t="shared" si="87"/>
        <v>2400</v>
      </c>
      <c r="AD824" s="50" t="s">
        <v>3430</v>
      </c>
    </row>
    <row r="825" spans="1:30" x14ac:dyDescent="0.3">
      <c r="A825" s="49">
        <v>14</v>
      </c>
      <c r="B825" s="41" t="s">
        <v>1142</v>
      </c>
      <c r="C825" s="50" t="s">
        <v>1443</v>
      </c>
      <c r="D825" s="50" t="s">
        <v>1554</v>
      </c>
      <c r="E825" s="50" t="s">
        <v>25</v>
      </c>
      <c r="F825" s="51" t="s">
        <v>25</v>
      </c>
      <c r="G825" s="50" t="s">
        <v>866</v>
      </c>
      <c r="H825" s="146">
        <v>2848.26</v>
      </c>
      <c r="I825" s="59">
        <v>-631.19999999999993</v>
      </c>
      <c r="J825" s="59">
        <v>0</v>
      </c>
      <c r="K825" s="59">
        <v>66.83</v>
      </c>
      <c r="L825" s="59">
        <v>0</v>
      </c>
      <c r="M825" s="59">
        <v>-30</v>
      </c>
      <c r="N825" s="59">
        <v>0</v>
      </c>
      <c r="O825" s="59">
        <f t="shared" si="91"/>
        <v>2253.8900000000003</v>
      </c>
      <c r="P825" s="59">
        <v>-2700</v>
      </c>
      <c r="Q825" s="59">
        <v>-626.08000000000004</v>
      </c>
      <c r="R825" s="59">
        <v>0</v>
      </c>
      <c r="S825" s="59">
        <v>0</v>
      </c>
      <c r="T825" s="59">
        <v>0</v>
      </c>
      <c r="U825" s="59">
        <v>0</v>
      </c>
      <c r="V825" s="59">
        <v>0</v>
      </c>
      <c r="W825" s="59">
        <f t="shared" si="92"/>
        <v>-1072.1899999999996</v>
      </c>
      <c r="X825" s="59">
        <f t="shared" si="88"/>
        <v>0</v>
      </c>
      <c r="Y825" s="59">
        <f t="shared" si="93"/>
        <v>-1072.1899999999996</v>
      </c>
      <c r="Z825" s="59">
        <v>0</v>
      </c>
      <c r="AA825" s="59">
        <f t="shared" si="90"/>
        <v>-1072.1899999999996</v>
      </c>
      <c r="AB825" s="59">
        <f t="shared" si="87"/>
        <v>1181.7000000000007</v>
      </c>
    </row>
    <row r="826" spans="1:30" x14ac:dyDescent="0.3">
      <c r="A826" s="49">
        <v>14</v>
      </c>
      <c r="B826" s="41" t="s">
        <v>1454</v>
      </c>
      <c r="C826" s="50" t="s">
        <v>563</v>
      </c>
      <c r="D826" s="50" t="s">
        <v>1230</v>
      </c>
      <c r="E826" s="50" t="s">
        <v>25</v>
      </c>
      <c r="F826" s="51" t="s">
        <v>25</v>
      </c>
      <c r="G826" s="50" t="s">
        <v>866</v>
      </c>
      <c r="H826" s="146">
        <v>3488.39</v>
      </c>
      <c r="I826" s="59">
        <v>-436.36999999999995</v>
      </c>
      <c r="J826" s="59">
        <v>0</v>
      </c>
      <c r="K826" s="59">
        <v>0</v>
      </c>
      <c r="L826" s="59">
        <v>0</v>
      </c>
      <c r="M826" s="59">
        <v>-25.16</v>
      </c>
      <c r="N826" s="59">
        <v>-43</v>
      </c>
      <c r="O826" s="59">
        <f t="shared" si="91"/>
        <v>2983.86</v>
      </c>
      <c r="P826" s="59">
        <v>-2500</v>
      </c>
      <c r="Q826" s="59">
        <v>0</v>
      </c>
      <c r="R826" s="59">
        <v>0</v>
      </c>
      <c r="S826" s="59">
        <v>0</v>
      </c>
      <c r="T826" s="59">
        <v>0</v>
      </c>
      <c r="U826" s="59">
        <v>0</v>
      </c>
      <c r="V826" s="59">
        <v>0</v>
      </c>
      <c r="W826" s="59">
        <f t="shared" si="92"/>
        <v>483.86000000000013</v>
      </c>
      <c r="X826" s="59">
        <f t="shared" si="88"/>
        <v>483.86000000000013</v>
      </c>
      <c r="Y826" s="59">
        <f t="shared" si="93"/>
        <v>0</v>
      </c>
      <c r="Z826" s="59">
        <v>0</v>
      </c>
      <c r="AA826" s="59">
        <f t="shared" si="90"/>
        <v>0</v>
      </c>
      <c r="AB826" s="59">
        <f t="shared" si="87"/>
        <v>2500</v>
      </c>
    </row>
    <row r="827" spans="1:30" x14ac:dyDescent="0.3">
      <c r="A827" s="49">
        <v>14</v>
      </c>
      <c r="B827" s="41" t="s">
        <v>944</v>
      </c>
      <c r="C827" s="50" t="s">
        <v>372</v>
      </c>
      <c r="D827" s="50" t="s">
        <v>1004</v>
      </c>
      <c r="E827" s="50" t="s">
        <v>39</v>
      </c>
      <c r="F827" s="51" t="s">
        <v>39</v>
      </c>
      <c r="G827" s="50" t="s">
        <v>866</v>
      </c>
      <c r="H827" s="59">
        <v>2441.4299999999998</v>
      </c>
      <c r="I827" s="59">
        <v>-719.68</v>
      </c>
      <c r="J827" s="59">
        <v>-16.64</v>
      </c>
      <c r="K827" s="59">
        <v>9.7899999999999991</v>
      </c>
      <c r="L827" s="59">
        <v>0</v>
      </c>
      <c r="M827" s="59">
        <v>-25</v>
      </c>
      <c r="N827" s="59">
        <v>0</v>
      </c>
      <c r="O827" s="59">
        <f t="shared" si="91"/>
        <v>1689.8999999999999</v>
      </c>
      <c r="P827" s="59">
        <v>-2500</v>
      </c>
      <c r="Q827" s="59">
        <v>0</v>
      </c>
      <c r="R827" s="59">
        <v>0</v>
      </c>
      <c r="S827" s="59">
        <v>0</v>
      </c>
      <c r="T827" s="59">
        <v>0</v>
      </c>
      <c r="U827" s="59">
        <v>0</v>
      </c>
      <c r="V827" s="59">
        <v>0</v>
      </c>
      <c r="W827" s="59">
        <f t="shared" si="92"/>
        <v>-810.10000000000014</v>
      </c>
      <c r="X827" s="59">
        <f t="shared" si="88"/>
        <v>0</v>
      </c>
      <c r="Y827" s="59">
        <f t="shared" si="93"/>
        <v>-810.10000000000014</v>
      </c>
      <c r="Z827" s="59">
        <v>0</v>
      </c>
      <c r="AA827" s="59">
        <f t="shared" si="90"/>
        <v>-810.10000000000014</v>
      </c>
      <c r="AB827" s="59">
        <f t="shared" si="87"/>
        <v>879.79999999999973</v>
      </c>
    </row>
    <row r="828" spans="1:30" x14ac:dyDescent="0.3">
      <c r="A828" s="49">
        <v>14</v>
      </c>
      <c r="B828" s="41" t="s">
        <v>1453</v>
      </c>
      <c r="C828" s="50" t="s">
        <v>1829</v>
      </c>
      <c r="D828" s="50" t="s">
        <v>3279</v>
      </c>
      <c r="E828" s="50" t="s">
        <v>25</v>
      </c>
      <c r="F828" s="51" t="s">
        <v>25</v>
      </c>
      <c r="G828" s="50" t="s">
        <v>866</v>
      </c>
      <c r="H828" s="146">
        <v>2936.88</v>
      </c>
      <c r="I828" s="59">
        <v>-845.67000000000007</v>
      </c>
      <c r="J828" s="59">
        <v>0</v>
      </c>
      <c r="K828" s="59">
        <v>0</v>
      </c>
      <c r="L828" s="59">
        <v>0</v>
      </c>
      <c r="M828" s="59">
        <v>-45</v>
      </c>
      <c r="N828" s="59">
        <v>0</v>
      </c>
      <c r="O828" s="59">
        <f t="shared" si="91"/>
        <v>2046.21</v>
      </c>
      <c r="P828" s="59">
        <v>-2700</v>
      </c>
      <c r="Q828" s="59">
        <v>10</v>
      </c>
      <c r="R828" s="59">
        <v>0</v>
      </c>
      <c r="S828" s="59">
        <v>0</v>
      </c>
      <c r="T828" s="59">
        <v>0</v>
      </c>
      <c r="U828" s="59">
        <v>0</v>
      </c>
      <c r="V828" s="59">
        <v>0</v>
      </c>
      <c r="W828" s="59">
        <f t="shared" si="92"/>
        <v>-643.79</v>
      </c>
      <c r="X828" s="59">
        <f t="shared" si="88"/>
        <v>0</v>
      </c>
      <c r="Y828" s="59">
        <f t="shared" si="93"/>
        <v>-643.79</v>
      </c>
      <c r="Z828" s="59">
        <v>644</v>
      </c>
      <c r="AA828" s="59">
        <f t="shared" si="90"/>
        <v>0.21000000000003638</v>
      </c>
      <c r="AB828" s="59">
        <f t="shared" si="87"/>
        <v>2690.42</v>
      </c>
      <c r="AD828" s="50" t="s">
        <v>3431</v>
      </c>
    </row>
    <row r="829" spans="1:30" x14ac:dyDescent="0.3">
      <c r="A829" s="49">
        <v>14</v>
      </c>
      <c r="B829" s="41" t="s">
        <v>604</v>
      </c>
      <c r="C829" s="50" t="s">
        <v>605</v>
      </c>
      <c r="D829" s="50" t="s">
        <v>1223</v>
      </c>
      <c r="E829" s="50" t="s">
        <v>25</v>
      </c>
      <c r="F829" s="51" t="s">
        <v>25</v>
      </c>
      <c r="G829" s="50" t="s">
        <v>866</v>
      </c>
      <c r="H829" s="146">
        <v>4603.84</v>
      </c>
      <c r="I829" s="59">
        <v>-1894.7700000000002</v>
      </c>
      <c r="J829" s="59">
        <v>-27.2</v>
      </c>
      <c r="K829" s="59">
        <v>0</v>
      </c>
      <c r="L829" s="59">
        <v>0</v>
      </c>
      <c r="M829" s="59">
        <v>-55</v>
      </c>
      <c r="N829" s="59">
        <v>0</v>
      </c>
      <c r="O829" s="59">
        <f t="shared" si="91"/>
        <v>2626.87</v>
      </c>
      <c r="P829" s="59">
        <v>-2700</v>
      </c>
      <c r="Q829" s="59">
        <v>0</v>
      </c>
      <c r="R829" s="59">
        <v>0</v>
      </c>
      <c r="S829" s="59">
        <v>0</v>
      </c>
      <c r="T829" s="59">
        <v>0</v>
      </c>
      <c r="U829" s="59">
        <v>0</v>
      </c>
      <c r="V829" s="59">
        <v>0</v>
      </c>
      <c r="W829" s="59">
        <f t="shared" si="92"/>
        <v>-73.130000000000109</v>
      </c>
      <c r="X829" s="59">
        <f t="shared" si="88"/>
        <v>0</v>
      </c>
      <c r="Y829" s="59">
        <f t="shared" si="93"/>
        <v>-73.130000000000109</v>
      </c>
      <c r="Z829" s="59">
        <v>73</v>
      </c>
      <c r="AA829" s="59">
        <f t="shared" si="90"/>
        <v>-0.13000000000010914</v>
      </c>
      <c r="AB829" s="59">
        <f t="shared" si="87"/>
        <v>2699.74</v>
      </c>
      <c r="AD829" s="50" t="s">
        <v>3432</v>
      </c>
    </row>
    <row r="830" spans="1:30" x14ac:dyDescent="0.3">
      <c r="A830" s="49">
        <v>14</v>
      </c>
      <c r="B830" s="41" t="s">
        <v>1029</v>
      </c>
      <c r="C830" s="50" t="s">
        <v>68</v>
      </c>
      <c r="D830" s="50" t="s">
        <v>869</v>
      </c>
      <c r="E830" s="50" t="s">
        <v>25</v>
      </c>
      <c r="F830" s="51" t="s">
        <v>25</v>
      </c>
      <c r="G830" s="50" t="s">
        <v>866</v>
      </c>
      <c r="H830" s="146">
        <v>3841.29</v>
      </c>
      <c r="I830" s="59">
        <v>-768.43000000000006</v>
      </c>
      <c r="J830" s="59">
        <v>0</v>
      </c>
      <c r="K830" s="59">
        <v>0</v>
      </c>
      <c r="L830" s="59">
        <v>-37.4</v>
      </c>
      <c r="M830" s="59">
        <v>-35</v>
      </c>
      <c r="N830" s="59">
        <v>0</v>
      </c>
      <c r="O830" s="59">
        <f t="shared" si="91"/>
        <v>3000.4599999999996</v>
      </c>
      <c r="P830" s="59">
        <v>-2500</v>
      </c>
      <c r="Q830" s="59">
        <v>0</v>
      </c>
      <c r="R830" s="59">
        <v>0</v>
      </c>
      <c r="S830" s="59">
        <v>0</v>
      </c>
      <c r="T830" s="59">
        <v>0</v>
      </c>
      <c r="U830" s="59">
        <v>0</v>
      </c>
      <c r="V830" s="59">
        <v>0</v>
      </c>
      <c r="W830" s="59">
        <f t="shared" si="92"/>
        <v>500.45999999999958</v>
      </c>
      <c r="X830" s="59">
        <f t="shared" si="88"/>
        <v>500.45999999999958</v>
      </c>
      <c r="Y830" s="59">
        <f t="shared" si="93"/>
        <v>0</v>
      </c>
      <c r="Z830" s="59">
        <v>0</v>
      </c>
      <c r="AA830" s="59">
        <f t="shared" si="90"/>
        <v>0</v>
      </c>
      <c r="AB830" s="59">
        <f t="shared" si="87"/>
        <v>2500</v>
      </c>
    </row>
    <row r="831" spans="1:30" x14ac:dyDescent="0.3">
      <c r="A831" s="49">
        <v>14</v>
      </c>
      <c r="B831" s="41" t="s">
        <v>1151</v>
      </c>
      <c r="C831" s="50" t="s">
        <v>1285</v>
      </c>
      <c r="D831" s="50" t="s">
        <v>1340</v>
      </c>
      <c r="E831" s="50" t="s">
        <v>25</v>
      </c>
      <c r="F831" s="51" t="s">
        <v>25</v>
      </c>
      <c r="G831" s="50" t="s">
        <v>866</v>
      </c>
      <c r="H831" s="146">
        <v>5095.59</v>
      </c>
      <c r="I831" s="59">
        <v>-40.98</v>
      </c>
      <c r="J831" s="59">
        <v>-85.160000000000011</v>
      </c>
      <c r="K831" s="59">
        <v>167.99</v>
      </c>
      <c r="L831" s="59">
        <v>0</v>
      </c>
      <c r="M831" s="59">
        <v>-5</v>
      </c>
      <c r="N831" s="59">
        <v>0</v>
      </c>
      <c r="O831" s="59">
        <f t="shared" si="91"/>
        <v>5132.4400000000005</v>
      </c>
      <c r="P831" s="59">
        <v>-2700</v>
      </c>
      <c r="Q831" s="59">
        <v>0</v>
      </c>
      <c r="R831" s="59">
        <v>0</v>
      </c>
      <c r="S831" s="59">
        <v>0</v>
      </c>
      <c r="T831" s="59">
        <v>0</v>
      </c>
      <c r="U831" s="59">
        <v>0</v>
      </c>
      <c r="V831" s="59">
        <v>0</v>
      </c>
      <c r="W831" s="59">
        <f t="shared" si="92"/>
        <v>2432.4400000000005</v>
      </c>
      <c r="X831" s="59">
        <f t="shared" si="88"/>
        <v>2432.4400000000005</v>
      </c>
      <c r="Y831" s="59">
        <f t="shared" si="93"/>
        <v>0</v>
      </c>
      <c r="Z831" s="59">
        <v>0</v>
      </c>
      <c r="AA831" s="59">
        <f t="shared" si="90"/>
        <v>0</v>
      </c>
      <c r="AB831" s="59">
        <f t="shared" si="87"/>
        <v>2700</v>
      </c>
    </row>
    <row r="832" spans="1:30" x14ac:dyDescent="0.3">
      <c r="A832" s="49">
        <v>14</v>
      </c>
      <c r="B832" s="41" t="s">
        <v>913</v>
      </c>
      <c r="C832" s="50" t="s">
        <v>361</v>
      </c>
      <c r="D832" s="50" t="s">
        <v>1164</v>
      </c>
      <c r="E832" s="50" t="s">
        <v>25</v>
      </c>
      <c r="F832" s="51" t="s">
        <v>25</v>
      </c>
      <c r="G832" s="50" t="s">
        <v>866</v>
      </c>
      <c r="H832" s="146">
        <v>1746.9</v>
      </c>
      <c r="I832" s="59">
        <v>-1845.5600000000002</v>
      </c>
      <c r="J832" s="59">
        <v>0</v>
      </c>
      <c r="K832" s="59">
        <v>0</v>
      </c>
      <c r="L832" s="59">
        <v>0</v>
      </c>
      <c r="M832" s="59">
        <v>-93.149200000000008</v>
      </c>
      <c r="N832" s="59">
        <v>-317.91000000000003</v>
      </c>
      <c r="O832" s="59">
        <f t="shared" si="91"/>
        <v>-411.05920000000003</v>
      </c>
      <c r="P832" s="59">
        <v>-2700</v>
      </c>
      <c r="Q832" s="59">
        <v>-33.6</v>
      </c>
      <c r="R832" s="59">
        <v>0</v>
      </c>
      <c r="S832" s="59">
        <v>0</v>
      </c>
      <c r="T832" s="59">
        <v>0</v>
      </c>
      <c r="U832" s="59">
        <v>0</v>
      </c>
      <c r="V832" s="59">
        <v>0</v>
      </c>
      <c r="W832" s="59">
        <f t="shared" si="92"/>
        <v>-3144.6592000000001</v>
      </c>
      <c r="X832" s="59">
        <f t="shared" si="88"/>
        <v>0</v>
      </c>
      <c r="Y832" s="59">
        <f t="shared" si="93"/>
        <v>-3144.6592000000001</v>
      </c>
      <c r="Z832" s="59">
        <v>2000</v>
      </c>
      <c r="AA832" s="59">
        <f t="shared" si="90"/>
        <v>-1144.6592000000001</v>
      </c>
      <c r="AB832" s="59">
        <f t="shared" si="87"/>
        <v>444.2815999999998</v>
      </c>
      <c r="AD832" s="50" t="s">
        <v>3433</v>
      </c>
    </row>
    <row r="833" spans="1:30" x14ac:dyDescent="0.3">
      <c r="A833" s="49">
        <v>14</v>
      </c>
      <c r="B833" s="41" t="s">
        <v>913</v>
      </c>
      <c r="C833" s="50" t="s">
        <v>120</v>
      </c>
      <c r="D833" s="50" t="s">
        <v>950</v>
      </c>
      <c r="E833" s="50" t="s">
        <v>25</v>
      </c>
      <c r="F833" s="51" t="s">
        <v>25</v>
      </c>
      <c r="G833" s="50" t="s">
        <v>866</v>
      </c>
      <c r="H833" s="59">
        <v>0</v>
      </c>
      <c r="I833" s="59">
        <v>0</v>
      </c>
      <c r="J833" s="59">
        <v>0</v>
      </c>
      <c r="K833" s="59">
        <v>0</v>
      </c>
      <c r="L833" s="59">
        <v>0</v>
      </c>
      <c r="M833" s="59">
        <v>0</v>
      </c>
      <c r="N833" s="59">
        <v>0</v>
      </c>
      <c r="O833" s="59">
        <f t="shared" si="91"/>
        <v>0</v>
      </c>
      <c r="P833" s="59">
        <v>0</v>
      </c>
      <c r="Q833" s="59">
        <v>0</v>
      </c>
      <c r="R833" s="59">
        <v>0</v>
      </c>
      <c r="S833" s="59">
        <v>0</v>
      </c>
      <c r="T833" s="59">
        <v>-500</v>
      </c>
      <c r="U833" s="59">
        <v>0</v>
      </c>
      <c r="V833" s="59">
        <v>0</v>
      </c>
      <c r="W833" s="59">
        <f t="shared" si="92"/>
        <v>-500</v>
      </c>
      <c r="X833" s="59">
        <f t="shared" si="88"/>
        <v>0</v>
      </c>
      <c r="Y833" s="59">
        <f t="shared" si="93"/>
        <v>-500</v>
      </c>
      <c r="Z833" s="59">
        <v>0</v>
      </c>
      <c r="AA833" s="59">
        <f t="shared" si="90"/>
        <v>-500</v>
      </c>
      <c r="AB833" s="59">
        <f t="shared" si="87"/>
        <v>-500</v>
      </c>
    </row>
    <row r="834" spans="1:30" x14ac:dyDescent="0.3">
      <c r="A834" s="49">
        <v>14</v>
      </c>
      <c r="B834" s="41" t="s">
        <v>1522</v>
      </c>
      <c r="C834" s="50" t="s">
        <v>169</v>
      </c>
      <c r="D834" s="50" t="s">
        <v>967</v>
      </c>
      <c r="E834" s="50" t="s">
        <v>871</v>
      </c>
      <c r="F834" s="51" t="s">
        <v>39</v>
      </c>
      <c r="G834" s="50" t="s">
        <v>866</v>
      </c>
      <c r="H834" s="59">
        <v>3650.2</v>
      </c>
      <c r="I834" s="59">
        <v>-1187.27</v>
      </c>
      <c r="J834" s="59">
        <v>-18</v>
      </c>
      <c r="K834" s="59">
        <v>106.03</v>
      </c>
      <c r="L834" s="59">
        <v>0</v>
      </c>
      <c r="M834" s="59">
        <v>-31</v>
      </c>
      <c r="N834" s="59">
        <v>0</v>
      </c>
      <c r="O834" s="59">
        <f t="shared" si="91"/>
        <v>2519.96</v>
      </c>
      <c r="P834" s="59">
        <v>-2500</v>
      </c>
      <c r="Q834" s="59">
        <v>0</v>
      </c>
      <c r="R834" s="59">
        <v>0</v>
      </c>
      <c r="S834" s="59">
        <v>0</v>
      </c>
      <c r="T834" s="59">
        <v>0</v>
      </c>
      <c r="U834" s="59">
        <v>0</v>
      </c>
      <c r="V834" s="59">
        <v>0</v>
      </c>
      <c r="W834" s="59">
        <f t="shared" si="92"/>
        <v>19.960000000000036</v>
      </c>
      <c r="X834" s="59">
        <f t="shared" si="88"/>
        <v>19.960000000000036</v>
      </c>
      <c r="Y834" s="59">
        <f t="shared" si="93"/>
        <v>0</v>
      </c>
      <c r="Z834" s="59">
        <v>0</v>
      </c>
      <c r="AA834" s="59">
        <f t="shared" si="90"/>
        <v>0</v>
      </c>
      <c r="AB834" s="59">
        <f t="shared" ref="AB834:AB865" si="94">+O834-X834+Z834+AA834</f>
        <v>2500</v>
      </c>
      <c r="AD834" s="50" t="s">
        <v>3434</v>
      </c>
    </row>
    <row r="835" spans="1:30" x14ac:dyDescent="0.3">
      <c r="A835" s="49">
        <v>14</v>
      </c>
      <c r="B835" s="50" t="s">
        <v>3362</v>
      </c>
      <c r="C835" s="50" t="s">
        <v>760</v>
      </c>
      <c r="D835" s="50" t="s">
        <v>1239</v>
      </c>
      <c r="E835" s="207" t="s">
        <v>25</v>
      </c>
      <c r="F835" s="51" t="s">
        <v>39</v>
      </c>
      <c r="G835" s="50" t="s">
        <v>866</v>
      </c>
      <c r="H835" s="59">
        <v>1302.0899999999999</v>
      </c>
      <c r="I835" s="59">
        <v>0</v>
      </c>
      <c r="J835" s="59">
        <v>0</v>
      </c>
      <c r="K835" s="59">
        <v>0</v>
      </c>
      <c r="L835" s="59">
        <v>0</v>
      </c>
      <c r="M835" s="59">
        <v>0</v>
      </c>
      <c r="N835" s="59">
        <v>0</v>
      </c>
      <c r="O835" s="59">
        <f t="shared" si="91"/>
        <v>1302.0899999999999</v>
      </c>
      <c r="P835" s="59">
        <v>-1302</v>
      </c>
      <c r="Q835" s="59">
        <v>0</v>
      </c>
      <c r="R835" s="59">
        <v>0</v>
      </c>
      <c r="S835" s="59">
        <v>0</v>
      </c>
      <c r="T835" s="59">
        <v>0</v>
      </c>
      <c r="U835" s="59">
        <v>0</v>
      </c>
      <c r="V835" s="59">
        <v>0</v>
      </c>
      <c r="W835" s="59">
        <f t="shared" si="92"/>
        <v>8.9999999999918145E-2</v>
      </c>
      <c r="X835" s="59">
        <f t="shared" si="88"/>
        <v>8.9999999999918145E-2</v>
      </c>
      <c r="Y835" s="59">
        <f t="shared" si="93"/>
        <v>0</v>
      </c>
      <c r="Z835" s="59">
        <v>0</v>
      </c>
      <c r="AA835" s="59">
        <f t="shared" si="90"/>
        <v>0</v>
      </c>
      <c r="AB835" s="59">
        <f t="shared" si="94"/>
        <v>1302</v>
      </c>
      <c r="AD835" s="50" t="s">
        <v>3434</v>
      </c>
    </row>
    <row r="836" spans="1:30" x14ac:dyDescent="0.3">
      <c r="A836" s="49">
        <v>14</v>
      </c>
      <c r="B836" s="50" t="s">
        <v>2010</v>
      </c>
      <c r="C836" s="50" t="s">
        <v>1316</v>
      </c>
      <c r="D836" s="50" t="s">
        <v>3281</v>
      </c>
      <c r="E836" s="50" t="s">
        <v>25</v>
      </c>
      <c r="F836" s="50" t="s">
        <v>25</v>
      </c>
      <c r="G836" s="50" t="s">
        <v>866</v>
      </c>
      <c r="H836" s="146">
        <v>7647.76</v>
      </c>
      <c r="I836" s="59">
        <v>0</v>
      </c>
      <c r="J836" s="59">
        <v>-51.79</v>
      </c>
      <c r="K836" s="59">
        <v>0</v>
      </c>
      <c r="L836" s="59">
        <v>0</v>
      </c>
      <c r="M836" s="59">
        <v>0</v>
      </c>
      <c r="N836" s="59">
        <v>0</v>
      </c>
      <c r="O836" s="59">
        <f t="shared" si="91"/>
        <v>7595.97</v>
      </c>
      <c r="P836" s="59">
        <v>-2700</v>
      </c>
      <c r="Q836" s="59">
        <v>0</v>
      </c>
      <c r="R836" s="59">
        <v>-500</v>
      </c>
      <c r="S836" s="59">
        <v>0</v>
      </c>
      <c r="T836" s="59">
        <v>0</v>
      </c>
      <c r="U836" s="59">
        <v>0</v>
      </c>
      <c r="V836" s="59">
        <v>0</v>
      </c>
      <c r="W836" s="59">
        <f t="shared" si="92"/>
        <v>4395.97</v>
      </c>
      <c r="X836" s="59">
        <f t="shared" si="88"/>
        <v>4395.97</v>
      </c>
      <c r="Y836" s="59">
        <f t="shared" si="93"/>
        <v>0</v>
      </c>
      <c r="Z836" s="59">
        <v>0</v>
      </c>
      <c r="AA836" s="59">
        <f t="shared" si="90"/>
        <v>0</v>
      </c>
      <c r="AB836" s="59">
        <f t="shared" si="94"/>
        <v>3200</v>
      </c>
    </row>
    <row r="837" spans="1:30" x14ac:dyDescent="0.3">
      <c r="A837" s="49">
        <v>14</v>
      </c>
      <c r="B837" s="50" t="s">
        <v>2711</v>
      </c>
      <c r="C837" s="50" t="s">
        <v>347</v>
      </c>
      <c r="D837" s="50" t="s">
        <v>1122</v>
      </c>
      <c r="E837" s="50" t="s">
        <v>25</v>
      </c>
      <c r="F837" s="51" t="s">
        <v>25</v>
      </c>
      <c r="G837" s="50" t="s">
        <v>866</v>
      </c>
      <c r="H837" s="146">
        <v>6054.55</v>
      </c>
      <c r="I837" s="59">
        <v>-3092.4399999999996</v>
      </c>
      <c r="J837" s="59">
        <v>0</v>
      </c>
      <c r="K837" s="59">
        <v>-14.06</v>
      </c>
      <c r="L837" s="59">
        <v>0</v>
      </c>
      <c r="M837" s="59">
        <v>-87.2</v>
      </c>
      <c r="N837" s="59">
        <v>-185</v>
      </c>
      <c r="O837" s="59">
        <f t="shared" si="91"/>
        <v>2675.8500000000008</v>
      </c>
      <c r="P837" s="59">
        <v>-2500</v>
      </c>
      <c r="Q837" s="59">
        <v>0</v>
      </c>
      <c r="R837" s="59">
        <v>0</v>
      </c>
      <c r="S837" s="59">
        <v>0</v>
      </c>
      <c r="T837" s="59">
        <v>0</v>
      </c>
      <c r="U837" s="59">
        <v>0</v>
      </c>
      <c r="V837" s="59">
        <v>0</v>
      </c>
      <c r="W837" s="59">
        <f t="shared" si="92"/>
        <v>175.85000000000082</v>
      </c>
      <c r="X837" s="59">
        <f t="shared" si="88"/>
        <v>175.85000000000082</v>
      </c>
      <c r="Y837" s="59">
        <f t="shared" si="93"/>
        <v>0</v>
      </c>
      <c r="Z837" s="59">
        <v>0</v>
      </c>
      <c r="AA837" s="59">
        <f t="shared" si="90"/>
        <v>0</v>
      </c>
      <c r="AB837" s="59">
        <f t="shared" si="94"/>
        <v>2500</v>
      </c>
    </row>
    <row r="838" spans="1:30" x14ac:dyDescent="0.3">
      <c r="A838" s="49">
        <v>14</v>
      </c>
      <c r="B838" s="50" t="s">
        <v>1056</v>
      </c>
      <c r="C838" s="50" t="s">
        <v>672</v>
      </c>
      <c r="D838" s="50" t="s">
        <v>1226</v>
      </c>
      <c r="E838" s="50" t="s">
        <v>25</v>
      </c>
      <c r="F838" s="51" t="s">
        <v>25</v>
      </c>
      <c r="G838" s="50" t="s">
        <v>866</v>
      </c>
      <c r="H838" s="146">
        <v>585.66999999999996</v>
      </c>
      <c r="I838" s="59">
        <v>0</v>
      </c>
      <c r="J838" s="59">
        <v>0</v>
      </c>
      <c r="K838" s="59">
        <v>0</v>
      </c>
      <c r="L838" s="59">
        <v>0</v>
      </c>
      <c r="M838" s="59">
        <v>0</v>
      </c>
      <c r="N838" s="59">
        <v>0</v>
      </c>
      <c r="O838" s="59">
        <f t="shared" si="91"/>
        <v>585.66999999999996</v>
      </c>
      <c r="P838" s="59">
        <v>-2500</v>
      </c>
      <c r="Q838" s="59">
        <v>0</v>
      </c>
      <c r="R838" s="59">
        <v>1143</v>
      </c>
      <c r="S838" s="59">
        <v>0</v>
      </c>
      <c r="T838" s="59">
        <v>0</v>
      </c>
      <c r="U838" s="59">
        <v>0</v>
      </c>
      <c r="V838" s="59">
        <v>0</v>
      </c>
      <c r="W838" s="59">
        <f t="shared" si="92"/>
        <v>-771.32999999999993</v>
      </c>
      <c r="X838" s="59">
        <f t="shared" si="88"/>
        <v>0</v>
      </c>
      <c r="Y838" s="59">
        <f t="shared" si="93"/>
        <v>-771.32999999999993</v>
      </c>
      <c r="Z838" s="59">
        <v>771</v>
      </c>
      <c r="AA838" s="59">
        <f t="shared" si="90"/>
        <v>-0.32999999999992724</v>
      </c>
      <c r="AB838" s="59">
        <f t="shared" si="94"/>
        <v>1356.3400000000001</v>
      </c>
      <c r="AD838" s="50" t="s">
        <v>3435</v>
      </c>
    </row>
    <row r="839" spans="1:30" x14ac:dyDescent="0.3">
      <c r="A839" s="49">
        <v>14</v>
      </c>
      <c r="B839" s="50" t="s">
        <v>2995</v>
      </c>
      <c r="C839" s="50" t="s">
        <v>36</v>
      </c>
      <c r="D839" s="50" t="s">
        <v>904</v>
      </c>
      <c r="E839" s="50" t="s">
        <v>25</v>
      </c>
      <c r="F839" s="51" t="s">
        <v>25</v>
      </c>
      <c r="G839" s="50" t="s">
        <v>866</v>
      </c>
      <c r="H839" s="146">
        <v>3332.11</v>
      </c>
      <c r="I839" s="59">
        <v>-1460.1200000000001</v>
      </c>
      <c r="J839" s="59">
        <v>0</v>
      </c>
      <c r="K839" s="59">
        <v>0</v>
      </c>
      <c r="L839" s="59">
        <v>0</v>
      </c>
      <c r="M839" s="59">
        <v>-106.1908</v>
      </c>
      <c r="N839" s="59">
        <v>-426.59000000000003</v>
      </c>
      <c r="O839" s="59">
        <f t="shared" si="91"/>
        <v>1339.2091999999998</v>
      </c>
      <c r="P839" s="59">
        <f>-2500</f>
        <v>-2500</v>
      </c>
      <c r="Q839" s="59">
        <v>38</v>
      </c>
      <c r="R839" s="59">
        <v>-500</v>
      </c>
      <c r="S839" s="59">
        <v>0</v>
      </c>
      <c r="T839" s="59">
        <v>0</v>
      </c>
      <c r="U839" s="59">
        <v>230</v>
      </c>
      <c r="V839" s="59">
        <v>0</v>
      </c>
      <c r="W839" s="59">
        <f t="shared" si="92"/>
        <v>-1392.7908000000002</v>
      </c>
      <c r="X839" s="59">
        <f t="shared" si="88"/>
        <v>0</v>
      </c>
      <c r="Y839" s="59">
        <f t="shared" si="93"/>
        <v>-1392.7908000000002</v>
      </c>
      <c r="Z839" s="59">
        <v>1393</v>
      </c>
      <c r="AA839" s="59">
        <f t="shared" si="90"/>
        <v>0.20919999999978245</v>
      </c>
      <c r="AB839" s="59">
        <f t="shared" si="94"/>
        <v>2732.4183999999996</v>
      </c>
      <c r="AD839" s="50" t="s">
        <v>3436</v>
      </c>
    </row>
    <row r="840" spans="1:30" x14ac:dyDescent="0.3">
      <c r="A840" s="49">
        <v>14</v>
      </c>
      <c r="B840" s="41" t="s">
        <v>1153</v>
      </c>
      <c r="C840" s="50" t="s">
        <v>1328</v>
      </c>
      <c r="D840" s="50" t="s">
        <v>1576</v>
      </c>
      <c r="E840" s="50" t="s">
        <v>25</v>
      </c>
      <c r="F840" s="51" t="s">
        <v>25</v>
      </c>
      <c r="G840" s="50" t="s">
        <v>866</v>
      </c>
      <c r="H840" s="146">
        <v>2709.4</v>
      </c>
      <c r="I840" s="59">
        <v>-428.76</v>
      </c>
      <c r="J840" s="59">
        <v>88.79</v>
      </c>
      <c r="K840" s="59">
        <v>0</v>
      </c>
      <c r="L840" s="59">
        <v>0</v>
      </c>
      <c r="M840" s="59">
        <v>-26.4392</v>
      </c>
      <c r="N840" s="59">
        <v>-53.66</v>
      </c>
      <c r="O840" s="59">
        <f t="shared" si="91"/>
        <v>2289.3308000000006</v>
      </c>
      <c r="P840" s="59">
        <f>(-2700/7)*7</f>
        <v>-2700</v>
      </c>
      <c r="Q840" s="59">
        <v>0</v>
      </c>
      <c r="R840" s="59">
        <v>0</v>
      </c>
      <c r="S840" s="59">
        <v>0</v>
      </c>
      <c r="T840" s="59">
        <v>0</v>
      </c>
      <c r="U840" s="59">
        <v>0</v>
      </c>
      <c r="V840" s="59">
        <v>0</v>
      </c>
      <c r="W840" s="59">
        <f t="shared" si="92"/>
        <v>-410.66919999999936</v>
      </c>
      <c r="X840" s="59">
        <f t="shared" si="88"/>
        <v>0</v>
      </c>
      <c r="Y840" s="59">
        <f t="shared" si="93"/>
        <v>-410.66919999999936</v>
      </c>
      <c r="Z840" s="59">
        <v>411</v>
      </c>
      <c r="AA840" s="59">
        <f t="shared" si="90"/>
        <v>0.33080000000063592</v>
      </c>
      <c r="AB840" s="59">
        <f t="shared" si="94"/>
        <v>2700.6616000000013</v>
      </c>
    </row>
    <row r="841" spans="1:30" x14ac:dyDescent="0.3">
      <c r="A841" s="49">
        <v>14</v>
      </c>
      <c r="B841" s="41" t="s">
        <v>872</v>
      </c>
      <c r="C841" s="50" t="s">
        <v>256</v>
      </c>
      <c r="D841" s="50" t="s">
        <v>997</v>
      </c>
      <c r="E841" s="50" t="s">
        <v>871</v>
      </c>
      <c r="F841" s="51" t="s">
        <v>39</v>
      </c>
      <c r="G841" s="50" t="s">
        <v>866</v>
      </c>
      <c r="H841" s="59">
        <v>12300.53</v>
      </c>
      <c r="I841" s="59">
        <v>-3331.35</v>
      </c>
      <c r="J841" s="59">
        <v>-262.39999999999998</v>
      </c>
      <c r="K841" s="59">
        <v>0</v>
      </c>
      <c r="L841" s="59">
        <v>-101.76</v>
      </c>
      <c r="M841" s="59">
        <v>-94</v>
      </c>
      <c r="N841" s="59">
        <v>-241.06</v>
      </c>
      <c r="O841" s="59">
        <f t="shared" si="91"/>
        <v>8269.9600000000009</v>
      </c>
      <c r="P841" s="59">
        <v>-2500</v>
      </c>
      <c r="Q841" s="59">
        <v>0</v>
      </c>
      <c r="R841" s="59">
        <v>0</v>
      </c>
      <c r="S841" s="59">
        <v>0</v>
      </c>
      <c r="T841" s="59">
        <v>0</v>
      </c>
      <c r="U841" s="59">
        <v>0</v>
      </c>
      <c r="V841" s="59">
        <v>0</v>
      </c>
      <c r="W841" s="59">
        <f t="shared" si="92"/>
        <v>5769.9600000000009</v>
      </c>
      <c r="X841" s="59">
        <f t="shared" si="88"/>
        <v>5769.9600000000009</v>
      </c>
      <c r="Y841" s="59">
        <f t="shared" si="93"/>
        <v>0</v>
      </c>
      <c r="Z841" s="59">
        <v>0</v>
      </c>
      <c r="AA841" s="59">
        <f t="shared" si="90"/>
        <v>0</v>
      </c>
      <c r="AB841" s="59">
        <f t="shared" si="94"/>
        <v>2500</v>
      </c>
      <c r="AD841" s="50" t="s">
        <v>3434</v>
      </c>
    </row>
    <row r="842" spans="1:30" x14ac:dyDescent="0.3">
      <c r="A842" s="49">
        <v>14</v>
      </c>
      <c r="B842" s="41" t="s">
        <v>1314</v>
      </c>
      <c r="C842" s="50" t="s">
        <v>334</v>
      </c>
      <c r="D842" s="50" t="s">
        <v>1169</v>
      </c>
      <c r="E842" s="50" t="s">
        <v>25</v>
      </c>
      <c r="F842" s="51" t="s">
        <v>25</v>
      </c>
      <c r="G842" s="50" t="s">
        <v>866</v>
      </c>
      <c r="H842" s="146">
        <v>8652.18</v>
      </c>
      <c r="I842" s="59">
        <v>-3893.4999999999991</v>
      </c>
      <c r="J842" s="59">
        <v>-218.48000000000002</v>
      </c>
      <c r="K842" s="59">
        <v>322.14</v>
      </c>
      <c r="L842" s="59">
        <v>0</v>
      </c>
      <c r="M842" s="59">
        <v>-65</v>
      </c>
      <c r="N842" s="59">
        <v>0</v>
      </c>
      <c r="O842" s="59">
        <f t="shared" si="91"/>
        <v>4797.3400000000011</v>
      </c>
      <c r="P842" s="59">
        <v>-2500</v>
      </c>
      <c r="Q842" s="59">
        <v>0</v>
      </c>
      <c r="R842" s="59">
        <v>0</v>
      </c>
      <c r="S842" s="59">
        <v>0</v>
      </c>
      <c r="T842" s="59">
        <v>0</v>
      </c>
      <c r="U842" s="59">
        <v>0</v>
      </c>
      <c r="V842" s="59">
        <v>0</v>
      </c>
      <c r="W842" s="59">
        <f t="shared" si="92"/>
        <v>2297.3400000000011</v>
      </c>
      <c r="X842" s="59">
        <f t="shared" si="88"/>
        <v>2297.3400000000011</v>
      </c>
      <c r="Y842" s="59">
        <f t="shared" si="93"/>
        <v>0</v>
      </c>
      <c r="Z842" s="59">
        <v>0</v>
      </c>
      <c r="AA842" s="59">
        <f t="shared" si="90"/>
        <v>0</v>
      </c>
      <c r="AB842" s="59">
        <f t="shared" si="94"/>
        <v>2500</v>
      </c>
    </row>
    <row r="843" spans="1:30" x14ac:dyDescent="0.3">
      <c r="A843" s="49">
        <v>14</v>
      </c>
      <c r="B843" s="41" t="s">
        <v>874</v>
      </c>
      <c r="C843" s="50" t="s">
        <v>100</v>
      </c>
      <c r="D843" s="50" t="s">
        <v>1300</v>
      </c>
      <c r="E843" s="50" t="s">
        <v>25</v>
      </c>
      <c r="F843" s="51" t="s">
        <v>25</v>
      </c>
      <c r="G843" s="50" t="s">
        <v>737</v>
      </c>
      <c r="H843" s="59">
        <v>0</v>
      </c>
      <c r="I843" s="59">
        <v>0</v>
      </c>
      <c r="J843" s="59">
        <v>0</v>
      </c>
      <c r="K843" s="59">
        <v>0</v>
      </c>
      <c r="L843" s="59">
        <v>0</v>
      </c>
      <c r="M843" s="59">
        <v>0</v>
      </c>
      <c r="N843" s="59">
        <v>0</v>
      </c>
      <c r="O843" s="59">
        <f t="shared" si="91"/>
        <v>0</v>
      </c>
      <c r="P843" s="59">
        <v>-2500</v>
      </c>
      <c r="Q843" s="59">
        <v>0</v>
      </c>
      <c r="R843" s="59">
        <v>0</v>
      </c>
      <c r="S843" s="59">
        <v>0</v>
      </c>
      <c r="T843" s="59">
        <v>0</v>
      </c>
      <c r="U843" s="59">
        <v>0</v>
      </c>
      <c r="V843" s="59">
        <v>0</v>
      </c>
      <c r="W843" s="59">
        <f t="shared" si="92"/>
        <v>-2500</v>
      </c>
      <c r="X843" s="59">
        <f t="shared" si="88"/>
        <v>0</v>
      </c>
      <c r="Y843" s="59">
        <f t="shared" si="93"/>
        <v>-2500</v>
      </c>
      <c r="Z843" s="59">
        <v>2500</v>
      </c>
      <c r="AA843" s="59">
        <f t="shared" si="90"/>
        <v>0</v>
      </c>
      <c r="AB843" s="59">
        <f t="shared" si="94"/>
        <v>2500</v>
      </c>
      <c r="AD843" s="50" t="s">
        <v>3437</v>
      </c>
    </row>
    <row r="844" spans="1:30" x14ac:dyDescent="0.3">
      <c r="A844" s="49">
        <v>14</v>
      </c>
      <c r="B844" s="41" t="s">
        <v>1157</v>
      </c>
      <c r="C844" s="50" t="s">
        <v>1265</v>
      </c>
      <c r="D844" s="50" t="s">
        <v>1580</v>
      </c>
      <c r="E844" s="50" t="s">
        <v>25</v>
      </c>
      <c r="F844" s="51" t="s">
        <v>25</v>
      </c>
      <c r="G844" s="50" t="s">
        <v>866</v>
      </c>
      <c r="H844" s="146">
        <v>12176.41</v>
      </c>
      <c r="I844" s="59">
        <v>-4269.7</v>
      </c>
      <c r="J844" s="59">
        <v>-389.68000000000006</v>
      </c>
      <c r="K844" s="59">
        <v>0</v>
      </c>
      <c r="L844" s="59">
        <v>0</v>
      </c>
      <c r="M844" s="59">
        <v>-71.549199999999999</v>
      </c>
      <c r="N844" s="59">
        <v>-12.91</v>
      </c>
      <c r="O844" s="59">
        <f t="shared" si="91"/>
        <v>7432.5707999999995</v>
      </c>
      <c r="P844" s="59">
        <v>-2700</v>
      </c>
      <c r="Q844" s="59">
        <v>0</v>
      </c>
      <c r="R844" s="59">
        <v>0</v>
      </c>
      <c r="S844" s="59">
        <v>0</v>
      </c>
      <c r="T844" s="59">
        <v>0</v>
      </c>
      <c r="U844" s="59">
        <v>0</v>
      </c>
      <c r="V844" s="59">
        <v>0</v>
      </c>
      <c r="W844" s="59">
        <f t="shared" si="92"/>
        <v>4732.5707999999995</v>
      </c>
      <c r="X844" s="59">
        <f t="shared" si="88"/>
        <v>4732.5707999999995</v>
      </c>
      <c r="Y844" s="59">
        <f t="shared" si="93"/>
        <v>0</v>
      </c>
      <c r="Z844" s="59">
        <v>0</v>
      </c>
      <c r="AA844" s="59">
        <f t="shared" si="90"/>
        <v>0</v>
      </c>
      <c r="AB844" s="59">
        <f t="shared" si="94"/>
        <v>2700</v>
      </c>
    </row>
    <row r="845" spans="1:30" x14ac:dyDescent="0.3">
      <c r="A845" s="49">
        <v>14</v>
      </c>
      <c r="B845" s="41" t="s">
        <v>1190</v>
      </c>
      <c r="C845" s="50" t="s">
        <v>573</v>
      </c>
      <c r="D845" s="50" t="s">
        <v>1149</v>
      </c>
      <c r="E845" s="50" t="s">
        <v>25</v>
      </c>
      <c r="F845" s="51" t="s">
        <v>25</v>
      </c>
      <c r="G845" s="50" t="s">
        <v>866</v>
      </c>
      <c r="H845" s="146">
        <v>1362.82</v>
      </c>
      <c r="I845" s="59">
        <v>-397.14</v>
      </c>
      <c r="J845" s="59">
        <v>0</v>
      </c>
      <c r="K845" s="59">
        <v>0</v>
      </c>
      <c r="L845" s="59">
        <v>0</v>
      </c>
      <c r="M845" s="59">
        <v>-25</v>
      </c>
      <c r="N845" s="59">
        <v>0</v>
      </c>
      <c r="O845" s="59">
        <f t="shared" si="91"/>
        <v>940.68</v>
      </c>
      <c r="P845" s="59">
        <v>-2500</v>
      </c>
      <c r="Q845" s="62">
        <v>-3169.6336000000001</v>
      </c>
      <c r="R845" s="59">
        <v>0</v>
      </c>
      <c r="S845" s="59">
        <v>0</v>
      </c>
      <c r="T845" s="59">
        <v>0</v>
      </c>
      <c r="U845" s="59">
        <v>0</v>
      </c>
      <c r="V845" s="59">
        <v>0</v>
      </c>
      <c r="W845" s="59">
        <f t="shared" si="92"/>
        <v>-4728.9536000000007</v>
      </c>
      <c r="X845" s="59">
        <f t="shared" si="88"/>
        <v>0</v>
      </c>
      <c r="Y845" s="59">
        <f t="shared" si="93"/>
        <v>-4728.9536000000007</v>
      </c>
      <c r="Z845" s="59">
        <v>0</v>
      </c>
      <c r="AA845" s="59">
        <f t="shared" si="90"/>
        <v>-4728.9536000000007</v>
      </c>
      <c r="AB845" s="59">
        <f t="shared" si="94"/>
        <v>-3788.2736000000009</v>
      </c>
      <c r="AD845" s="50" t="s">
        <v>3438</v>
      </c>
    </row>
    <row r="846" spans="1:30" x14ac:dyDescent="0.3">
      <c r="A846" s="49">
        <v>14</v>
      </c>
      <c r="B846" s="50" t="s">
        <v>1956</v>
      </c>
      <c r="C846" s="50" t="s">
        <v>257</v>
      </c>
      <c r="D846" s="50" t="s">
        <v>1605</v>
      </c>
      <c r="E846" s="50" t="s">
        <v>25</v>
      </c>
      <c r="F846" s="50" t="s">
        <v>25</v>
      </c>
      <c r="G846" s="50" t="s">
        <v>866</v>
      </c>
      <c r="H846" s="59">
        <v>0</v>
      </c>
      <c r="I846" s="59">
        <v>0</v>
      </c>
      <c r="J846" s="59">
        <v>0</v>
      </c>
      <c r="K846" s="59">
        <v>0</v>
      </c>
      <c r="L846" s="59">
        <v>0</v>
      </c>
      <c r="M846" s="59">
        <v>0</v>
      </c>
      <c r="N846" s="59">
        <v>0</v>
      </c>
      <c r="O846" s="59">
        <f t="shared" si="91"/>
        <v>0</v>
      </c>
      <c r="P846" s="59">
        <f>(-2500/7)*6</f>
        <v>-2142.8571428571431</v>
      </c>
      <c r="Q846" s="59">
        <v>0</v>
      </c>
      <c r="R846" s="59">
        <v>-500</v>
      </c>
      <c r="S846" s="59">
        <v>0</v>
      </c>
      <c r="T846" s="59">
        <v>0</v>
      </c>
      <c r="U846" s="59">
        <v>0</v>
      </c>
      <c r="V846" s="59">
        <v>0</v>
      </c>
      <c r="W846" s="59">
        <f t="shared" si="92"/>
        <v>-2642.8571428571431</v>
      </c>
      <c r="X846" s="59">
        <f t="shared" si="88"/>
        <v>0</v>
      </c>
      <c r="Y846" s="59">
        <f t="shared" si="93"/>
        <v>-2642.8571428571431</v>
      </c>
      <c r="Z846" s="59">
        <v>2643</v>
      </c>
      <c r="AA846" s="59">
        <f t="shared" si="90"/>
        <v>0.142857142856883</v>
      </c>
      <c r="AB846" s="59">
        <f t="shared" si="94"/>
        <v>2643.1428571428569</v>
      </c>
      <c r="AD846" s="50" t="s">
        <v>3439</v>
      </c>
    </row>
    <row r="847" spans="1:30" x14ac:dyDescent="0.3">
      <c r="A847" s="49">
        <v>14</v>
      </c>
      <c r="B847" s="50" t="s">
        <v>1960</v>
      </c>
      <c r="C847" s="50" t="s">
        <v>123</v>
      </c>
      <c r="D847" s="50" t="s">
        <v>1608</v>
      </c>
      <c r="E847" s="50" t="s">
        <v>25</v>
      </c>
      <c r="F847" s="50" t="s">
        <v>25</v>
      </c>
      <c r="G847" s="50" t="s">
        <v>737</v>
      </c>
      <c r="H847" s="59">
        <v>2566.8200000000002</v>
      </c>
      <c r="I847" s="59">
        <v>-2506.4</v>
      </c>
      <c r="J847" s="59">
        <f>+I847*0.101</f>
        <v>-253.14640000000003</v>
      </c>
      <c r="K847" s="59">
        <v>0</v>
      </c>
      <c r="L847" s="59">
        <v>0</v>
      </c>
      <c r="M847" s="59">
        <v>0</v>
      </c>
      <c r="N847" s="59">
        <v>0</v>
      </c>
      <c r="O847" s="59">
        <f t="shared" si="91"/>
        <v>-192.72639999999996</v>
      </c>
      <c r="P847" s="59">
        <v>-2500</v>
      </c>
      <c r="Q847" s="59">
        <v>-1360.8000000000002</v>
      </c>
      <c r="R847" s="59">
        <v>-357</v>
      </c>
      <c r="S847" s="59">
        <v>0</v>
      </c>
      <c r="T847" s="59">
        <v>0</v>
      </c>
      <c r="U847" s="59">
        <v>0</v>
      </c>
      <c r="V847" s="59">
        <v>0</v>
      </c>
      <c r="W847" s="59">
        <f t="shared" si="92"/>
        <v>-4410.5264000000006</v>
      </c>
      <c r="X847" s="59">
        <f t="shared" si="88"/>
        <v>0</v>
      </c>
      <c r="Y847" s="59">
        <f t="shared" si="93"/>
        <v>-4410.5264000000006</v>
      </c>
      <c r="Z847" s="59">
        <v>1300</v>
      </c>
      <c r="AA847" s="59">
        <f t="shared" si="90"/>
        <v>-3110.5264000000006</v>
      </c>
      <c r="AB847" s="59">
        <f t="shared" si="94"/>
        <v>-2003.2528000000007</v>
      </c>
      <c r="AD847" s="50" t="s">
        <v>3440</v>
      </c>
    </row>
    <row r="848" spans="1:30" x14ac:dyDescent="0.3">
      <c r="A848" s="49">
        <v>14</v>
      </c>
      <c r="B848" s="41" t="s">
        <v>484</v>
      </c>
      <c r="C848" s="50" t="s">
        <v>1065</v>
      </c>
      <c r="D848" s="50" t="s">
        <v>1159</v>
      </c>
      <c r="E848" s="50" t="s">
        <v>25</v>
      </c>
      <c r="F848" s="51" t="s">
        <v>25</v>
      </c>
      <c r="G848" s="50" t="s">
        <v>866</v>
      </c>
      <c r="H848" s="146">
        <v>8566.76</v>
      </c>
      <c r="I848" s="59">
        <v>-5123.4299999999994</v>
      </c>
      <c r="J848" s="59">
        <v>-152.49</v>
      </c>
      <c r="K848" s="59">
        <v>0</v>
      </c>
      <c r="L848" s="59">
        <v>0</v>
      </c>
      <c r="M848" s="59">
        <v>-70</v>
      </c>
      <c r="N848" s="59">
        <v>0</v>
      </c>
      <c r="O848" s="59">
        <f t="shared" si="91"/>
        <v>3220.8400000000011</v>
      </c>
      <c r="P848" s="59">
        <v>-2500</v>
      </c>
      <c r="Q848" s="59">
        <v>-406.56000000000006</v>
      </c>
      <c r="R848" s="59">
        <v>0</v>
      </c>
      <c r="S848" s="59">
        <v>0</v>
      </c>
      <c r="T848" s="59">
        <v>0</v>
      </c>
      <c r="U848" s="59">
        <v>0</v>
      </c>
      <c r="V848" s="59">
        <v>0</v>
      </c>
      <c r="W848" s="59">
        <f t="shared" si="92"/>
        <v>314.280000000001</v>
      </c>
      <c r="X848" s="59">
        <f t="shared" si="88"/>
        <v>314.280000000001</v>
      </c>
      <c r="Y848" s="59">
        <f t="shared" si="93"/>
        <v>0</v>
      </c>
      <c r="Z848" s="59">
        <v>0</v>
      </c>
      <c r="AA848" s="59">
        <f t="shared" si="90"/>
        <v>0</v>
      </c>
      <c r="AB848" s="59">
        <f t="shared" si="94"/>
        <v>2906.56</v>
      </c>
    </row>
    <row r="849" spans="1:30" x14ac:dyDescent="0.3">
      <c r="A849" s="49">
        <v>14</v>
      </c>
      <c r="B849" s="50" t="s">
        <v>2012</v>
      </c>
      <c r="C849" s="50" t="s">
        <v>361</v>
      </c>
      <c r="D849" s="50" t="s">
        <v>1164</v>
      </c>
      <c r="E849" s="50" t="s">
        <v>25</v>
      </c>
      <c r="F849" s="50" t="s">
        <v>25</v>
      </c>
      <c r="G849" s="50" t="s">
        <v>866</v>
      </c>
      <c r="H849" s="146">
        <v>793.01</v>
      </c>
      <c r="I849" s="59">
        <v>0</v>
      </c>
      <c r="J849" s="59">
        <v>0</v>
      </c>
      <c r="K849" s="59">
        <v>172.11</v>
      </c>
      <c r="L849" s="59">
        <v>0</v>
      </c>
      <c r="M849" s="59">
        <v>-20.399999999999999</v>
      </c>
      <c r="N849" s="59">
        <v>-170</v>
      </c>
      <c r="O849" s="59">
        <f t="shared" si="91"/>
        <v>774.72</v>
      </c>
      <c r="P849" s="59">
        <v>-2700</v>
      </c>
      <c r="Q849" s="59">
        <v>0</v>
      </c>
      <c r="R849" s="59">
        <v>-500</v>
      </c>
      <c r="S849" s="59">
        <v>0</v>
      </c>
      <c r="T849" s="59">
        <v>0</v>
      </c>
      <c r="U849" s="59">
        <v>0</v>
      </c>
      <c r="V849" s="59">
        <v>0</v>
      </c>
      <c r="W849" s="59">
        <f t="shared" si="92"/>
        <v>-2425.2799999999997</v>
      </c>
      <c r="X849" s="59">
        <f t="shared" si="88"/>
        <v>0</v>
      </c>
      <c r="Y849" s="59">
        <f t="shared" si="93"/>
        <v>-2425.2799999999997</v>
      </c>
      <c r="Z849" s="59">
        <f>1000+1200</f>
        <v>2200</v>
      </c>
      <c r="AA849" s="59">
        <f t="shared" si="90"/>
        <v>-225.27999999999975</v>
      </c>
      <c r="AB849" s="59">
        <f t="shared" si="94"/>
        <v>2749.4400000000005</v>
      </c>
      <c r="AD849" s="239" t="s">
        <v>3441</v>
      </c>
    </row>
    <row r="850" spans="1:30" x14ac:dyDescent="0.3">
      <c r="A850" s="49">
        <v>14</v>
      </c>
      <c r="B850" s="50" t="s">
        <v>1958</v>
      </c>
      <c r="C850" s="50" t="s">
        <v>51</v>
      </c>
      <c r="D850" s="50" t="s">
        <v>1115</v>
      </c>
      <c r="E850" s="50" t="s">
        <v>25</v>
      </c>
      <c r="F850" s="50" t="s">
        <v>25</v>
      </c>
      <c r="G850" s="50" t="s">
        <v>866</v>
      </c>
      <c r="H850" s="146">
        <v>6061.61</v>
      </c>
      <c r="I850" s="59">
        <v>-1102.1099999999999</v>
      </c>
      <c r="J850" s="59">
        <v>-57.74</v>
      </c>
      <c r="K850" s="59">
        <v>0</v>
      </c>
      <c r="L850" s="59">
        <v>0</v>
      </c>
      <c r="M850" s="59">
        <v>-55</v>
      </c>
      <c r="N850" s="59">
        <v>0</v>
      </c>
      <c r="O850" s="59">
        <f t="shared" si="91"/>
        <v>4846.76</v>
      </c>
      <c r="P850" s="59">
        <v>-2500</v>
      </c>
      <c r="Q850" s="59">
        <v>0</v>
      </c>
      <c r="R850" s="59">
        <v>-500</v>
      </c>
      <c r="S850" s="59">
        <v>0</v>
      </c>
      <c r="T850" s="59">
        <v>0</v>
      </c>
      <c r="U850" s="59">
        <v>0</v>
      </c>
      <c r="V850" s="59">
        <v>0</v>
      </c>
      <c r="W850" s="59">
        <f t="shared" si="92"/>
        <v>1846.7600000000002</v>
      </c>
      <c r="X850" s="59">
        <f t="shared" si="88"/>
        <v>1846.7600000000002</v>
      </c>
      <c r="Y850" s="59">
        <f t="shared" si="93"/>
        <v>0</v>
      </c>
      <c r="Z850" s="59">
        <v>0</v>
      </c>
      <c r="AA850" s="59">
        <f t="shared" si="90"/>
        <v>0</v>
      </c>
      <c r="AB850" s="59">
        <f t="shared" si="94"/>
        <v>3000</v>
      </c>
    </row>
    <row r="851" spans="1:30" x14ac:dyDescent="0.3">
      <c r="A851" s="49">
        <v>14</v>
      </c>
      <c r="B851" s="41" t="s">
        <v>747</v>
      </c>
      <c r="C851" s="50" t="s">
        <v>1586</v>
      </c>
      <c r="D851" s="50" t="s">
        <v>1587</v>
      </c>
      <c r="E851" s="50" t="s">
        <v>25</v>
      </c>
      <c r="F851" s="51" t="s">
        <v>25</v>
      </c>
      <c r="G851" s="50" t="s">
        <v>866</v>
      </c>
      <c r="H851" s="146">
        <v>1439.85</v>
      </c>
      <c r="I851" s="59">
        <v>0</v>
      </c>
      <c r="J851" s="59">
        <v>-51.94</v>
      </c>
      <c r="K851" s="59">
        <v>334.39</v>
      </c>
      <c r="L851" s="59">
        <v>0</v>
      </c>
      <c r="M851" s="59">
        <v>-17.88</v>
      </c>
      <c r="N851" s="59">
        <v>-149</v>
      </c>
      <c r="O851" s="59">
        <f t="shared" si="91"/>
        <v>1555.4199999999996</v>
      </c>
      <c r="P851" s="59">
        <v>-2700</v>
      </c>
      <c r="Q851" s="59">
        <v>-470.40000000000003</v>
      </c>
      <c r="R851" s="59">
        <v>0</v>
      </c>
      <c r="S851" s="59">
        <v>0</v>
      </c>
      <c r="T851" s="59">
        <v>0</v>
      </c>
      <c r="U851" s="59">
        <v>0</v>
      </c>
      <c r="V851" s="59">
        <v>0</v>
      </c>
      <c r="W851" s="59">
        <f t="shared" si="92"/>
        <v>-1614.9800000000005</v>
      </c>
      <c r="X851" s="59">
        <f t="shared" si="88"/>
        <v>0</v>
      </c>
      <c r="Y851" s="59">
        <f t="shared" si="93"/>
        <v>-1614.9800000000005</v>
      </c>
      <c r="Z851" s="59">
        <v>500</v>
      </c>
      <c r="AA851" s="59">
        <f t="shared" si="90"/>
        <v>-1114.9800000000005</v>
      </c>
      <c r="AB851" s="59">
        <f t="shared" si="94"/>
        <v>940.43999999999915</v>
      </c>
    </row>
    <row r="852" spans="1:30" x14ac:dyDescent="0.3">
      <c r="A852" s="49">
        <v>14</v>
      </c>
      <c r="B852" s="41" t="s">
        <v>1244</v>
      </c>
      <c r="C852" s="50" t="s">
        <v>1429</v>
      </c>
      <c r="D852" s="50" t="s">
        <v>1588</v>
      </c>
      <c r="E852" s="50" t="s">
        <v>25</v>
      </c>
      <c r="F852" s="51" t="s">
        <v>25</v>
      </c>
      <c r="G852" s="50" t="s">
        <v>866</v>
      </c>
      <c r="H852" s="146">
        <v>4503.2700000000004</v>
      </c>
      <c r="I852" s="59">
        <v>-2885.05</v>
      </c>
      <c r="J852" s="59">
        <v>-38.720000000000006</v>
      </c>
      <c r="K852" s="59">
        <v>0</v>
      </c>
      <c r="L852" s="59">
        <v>0</v>
      </c>
      <c r="M852" s="59">
        <v>-60</v>
      </c>
      <c r="N852" s="59">
        <v>0</v>
      </c>
      <c r="O852" s="59">
        <f t="shared" si="91"/>
        <v>1519.5000000000002</v>
      </c>
      <c r="P852" s="59">
        <v>-2700</v>
      </c>
      <c r="Q852" s="59">
        <v>-38.080000000000005</v>
      </c>
      <c r="R852" s="59">
        <v>0</v>
      </c>
      <c r="S852" s="59">
        <v>0</v>
      </c>
      <c r="T852" s="59">
        <v>0</v>
      </c>
      <c r="U852" s="59">
        <v>0</v>
      </c>
      <c r="V852" s="59">
        <v>0</v>
      </c>
      <c r="W852" s="59">
        <f t="shared" si="92"/>
        <v>-1218.5799999999997</v>
      </c>
      <c r="X852" s="59">
        <f t="shared" si="88"/>
        <v>0</v>
      </c>
      <c r="Y852" s="59">
        <f t="shared" si="93"/>
        <v>-1218.5799999999997</v>
      </c>
      <c r="Z852" s="59">
        <v>1200</v>
      </c>
      <c r="AA852" s="59">
        <f t="shared" si="90"/>
        <v>-18.5799999999997</v>
      </c>
      <c r="AB852" s="59">
        <f t="shared" si="94"/>
        <v>2700.92</v>
      </c>
      <c r="AD852" s="50" t="s">
        <v>3442</v>
      </c>
    </row>
    <row r="853" spans="1:30" x14ac:dyDescent="0.3">
      <c r="A853" s="49">
        <v>14</v>
      </c>
      <c r="B853" s="41" t="s">
        <v>1423</v>
      </c>
      <c r="C853" s="50" t="s">
        <v>55</v>
      </c>
      <c r="D853" s="50" t="s">
        <v>1147</v>
      </c>
      <c r="E853" s="50" t="s">
        <v>25</v>
      </c>
      <c r="F853" s="51" t="s">
        <v>25</v>
      </c>
      <c r="G853" s="50" t="s">
        <v>866</v>
      </c>
      <c r="H853" s="146">
        <v>4408.3100000000004</v>
      </c>
      <c r="I853" s="59">
        <v>-2291</v>
      </c>
      <c r="J853" s="59">
        <v>-1.56</v>
      </c>
      <c r="K853" s="59">
        <v>0</v>
      </c>
      <c r="L853" s="59">
        <v>0</v>
      </c>
      <c r="M853" s="59">
        <v>-60</v>
      </c>
      <c r="N853" s="59">
        <v>0</v>
      </c>
      <c r="O853" s="59">
        <f t="shared" si="91"/>
        <v>2055.7500000000005</v>
      </c>
      <c r="P853" s="59">
        <v>-2500</v>
      </c>
      <c r="Q853" s="59">
        <v>0</v>
      </c>
      <c r="R853" s="59">
        <v>0</v>
      </c>
      <c r="S853" s="59">
        <v>0</v>
      </c>
      <c r="T853" s="59">
        <v>-500</v>
      </c>
      <c r="U853" s="59">
        <v>0</v>
      </c>
      <c r="V853" s="59">
        <v>0</v>
      </c>
      <c r="W853" s="59">
        <f t="shared" si="92"/>
        <v>-944.24999999999955</v>
      </c>
      <c r="X853" s="59">
        <f t="shared" si="88"/>
        <v>0</v>
      </c>
      <c r="Y853" s="59">
        <f t="shared" si="93"/>
        <v>-944.24999999999955</v>
      </c>
      <c r="Z853" s="59">
        <v>944</v>
      </c>
      <c r="AA853" s="59">
        <f t="shared" si="90"/>
        <v>-0.24999999999954525</v>
      </c>
      <c r="AB853" s="59">
        <f t="shared" si="94"/>
        <v>2999.5000000000009</v>
      </c>
      <c r="AD853" s="50" t="s">
        <v>3443</v>
      </c>
    </row>
    <row r="854" spans="1:30" x14ac:dyDescent="0.3">
      <c r="A854" s="49">
        <v>14</v>
      </c>
      <c r="B854" s="41" t="s">
        <v>922</v>
      </c>
      <c r="C854" s="50" t="s">
        <v>670</v>
      </c>
      <c r="D854" s="50" t="s">
        <v>1221</v>
      </c>
      <c r="E854" s="50" t="s">
        <v>25</v>
      </c>
      <c r="F854" s="51" t="s">
        <v>25</v>
      </c>
      <c r="G854" s="50" t="s">
        <v>737</v>
      </c>
      <c r="H854" s="146">
        <v>213.71</v>
      </c>
      <c r="I854" s="59">
        <v>-104.97</v>
      </c>
      <c r="J854" s="59">
        <v>0</v>
      </c>
      <c r="K854" s="59">
        <v>0</v>
      </c>
      <c r="L854" s="59">
        <v>0</v>
      </c>
      <c r="M854" s="59">
        <v>-20</v>
      </c>
      <c r="N854" s="59">
        <v>0</v>
      </c>
      <c r="O854" s="59">
        <f t="shared" si="91"/>
        <v>88.740000000000009</v>
      </c>
      <c r="P854" s="59">
        <v>-2500</v>
      </c>
      <c r="Q854" s="59">
        <v>-840.00000000000011</v>
      </c>
      <c r="R854" s="59">
        <v>0</v>
      </c>
      <c r="S854" s="59">
        <v>0</v>
      </c>
      <c r="T854" s="59">
        <v>0</v>
      </c>
      <c r="U854" s="59">
        <v>0</v>
      </c>
      <c r="V854" s="59">
        <v>0</v>
      </c>
      <c r="W854" s="59">
        <f t="shared" si="92"/>
        <v>-3251.26</v>
      </c>
      <c r="X854" s="59">
        <f t="shared" si="88"/>
        <v>0</v>
      </c>
      <c r="Y854" s="59">
        <f t="shared" si="93"/>
        <v>-3251.26</v>
      </c>
      <c r="Z854" s="59">
        <f>1600+400</f>
        <v>2000</v>
      </c>
      <c r="AA854" s="59">
        <f t="shared" si="90"/>
        <v>-1251.2600000000002</v>
      </c>
      <c r="AB854" s="59">
        <f t="shared" si="94"/>
        <v>837.47999999999956</v>
      </c>
      <c r="AD854" s="50" t="s">
        <v>3444</v>
      </c>
    </row>
    <row r="855" spans="1:30" x14ac:dyDescent="0.3">
      <c r="A855" s="49">
        <v>14</v>
      </c>
      <c r="B855" s="50" t="s">
        <v>2011</v>
      </c>
      <c r="C855" s="50" t="s">
        <v>46</v>
      </c>
      <c r="D855" s="50" t="s">
        <v>915</v>
      </c>
      <c r="E855" s="50" t="s">
        <v>25</v>
      </c>
      <c r="F855" s="50" t="s">
        <v>25</v>
      </c>
      <c r="G855" s="50" t="s">
        <v>866</v>
      </c>
      <c r="H855" s="146">
        <v>1547.56</v>
      </c>
      <c r="I855" s="59">
        <v>-428.90999999999991</v>
      </c>
      <c r="J855" s="59">
        <v>0</v>
      </c>
      <c r="K855" s="59">
        <v>0</v>
      </c>
      <c r="L855" s="59">
        <v>0</v>
      </c>
      <c r="M855" s="59">
        <v>-36.218000000000004</v>
      </c>
      <c r="N855" s="59">
        <v>-135.15</v>
      </c>
      <c r="O855" s="59">
        <f t="shared" si="91"/>
        <v>947.28200000000004</v>
      </c>
      <c r="P855" s="59">
        <v>-2500</v>
      </c>
      <c r="Q855" s="59">
        <v>0</v>
      </c>
      <c r="R855" s="59">
        <v>-500</v>
      </c>
      <c r="S855" s="59">
        <v>0</v>
      </c>
      <c r="T855" s="59">
        <v>0</v>
      </c>
      <c r="U855" s="59">
        <v>0</v>
      </c>
      <c r="V855" s="59">
        <v>0</v>
      </c>
      <c r="W855" s="59">
        <f t="shared" si="92"/>
        <v>-2052.7179999999998</v>
      </c>
      <c r="X855" s="59">
        <f t="shared" si="88"/>
        <v>0</v>
      </c>
      <c r="Y855" s="59">
        <f t="shared" si="93"/>
        <v>-2052.7179999999998</v>
      </c>
      <c r="Z855" s="59">
        <v>2053</v>
      </c>
      <c r="AA855" s="59">
        <f t="shared" si="90"/>
        <v>0.2820000000001528</v>
      </c>
      <c r="AB855" s="59">
        <f t="shared" si="94"/>
        <v>3000.5640000000003</v>
      </c>
      <c r="AD855" s="50" t="s">
        <v>3445</v>
      </c>
    </row>
    <row r="856" spans="1:30" x14ac:dyDescent="0.3">
      <c r="A856" s="49">
        <v>14</v>
      </c>
      <c r="B856" s="41" t="s">
        <v>1120</v>
      </c>
      <c r="C856" s="50" t="s">
        <v>1273</v>
      </c>
      <c r="D856" s="50" t="s">
        <v>1593</v>
      </c>
      <c r="E856" s="50" t="s">
        <v>25</v>
      </c>
      <c r="F856" s="51" t="s">
        <v>25</v>
      </c>
      <c r="G856" s="50" t="s">
        <v>866</v>
      </c>
      <c r="H856" s="146">
        <v>7092.97</v>
      </c>
      <c r="I856" s="59">
        <v>-2087.2799999999997</v>
      </c>
      <c r="J856" s="59">
        <v>-17.54</v>
      </c>
      <c r="K856" s="59">
        <v>644.36</v>
      </c>
      <c r="L856" s="59">
        <v>-91.210000000000036</v>
      </c>
      <c r="M856" s="59">
        <v>-60</v>
      </c>
      <c r="N856" s="59">
        <v>0</v>
      </c>
      <c r="O856" s="59">
        <f t="shared" si="91"/>
        <v>5481.3</v>
      </c>
      <c r="P856" s="59">
        <f>(-2700/7)*6</f>
        <v>-2314.2857142857142</v>
      </c>
      <c r="Q856" s="59">
        <v>0</v>
      </c>
      <c r="R856" s="59">
        <v>0</v>
      </c>
      <c r="S856" s="59">
        <v>0</v>
      </c>
      <c r="T856" s="59">
        <v>0</v>
      </c>
      <c r="U856" s="59">
        <v>0</v>
      </c>
      <c r="V856" s="59">
        <v>-1000</v>
      </c>
      <c r="W856" s="59">
        <f t="shared" si="92"/>
        <v>2167.014285714286</v>
      </c>
      <c r="X856" s="59">
        <f t="shared" si="88"/>
        <v>2167.014285714286</v>
      </c>
      <c r="Y856" s="59">
        <f t="shared" si="93"/>
        <v>0</v>
      </c>
      <c r="Z856" s="59">
        <v>0</v>
      </c>
      <c r="AA856" s="59">
        <f t="shared" si="90"/>
        <v>0</v>
      </c>
      <c r="AB856" s="59">
        <f t="shared" si="94"/>
        <v>3314.2857142857142</v>
      </c>
      <c r="AD856" s="50" t="s">
        <v>1044</v>
      </c>
    </row>
    <row r="857" spans="1:30" x14ac:dyDescent="0.3">
      <c r="A857" s="49">
        <v>14</v>
      </c>
      <c r="B857" s="41" t="s">
        <v>515</v>
      </c>
      <c r="C857" s="50" t="s">
        <v>360</v>
      </c>
      <c r="D857" s="50" t="s">
        <v>1158</v>
      </c>
      <c r="E857" s="50" t="s">
        <v>25</v>
      </c>
      <c r="F857" s="51" t="s">
        <v>25</v>
      </c>
      <c r="G857" s="50" t="s">
        <v>866</v>
      </c>
      <c r="H857" s="146">
        <v>6026.91</v>
      </c>
      <c r="I857" s="59">
        <v>-50</v>
      </c>
      <c r="J857" s="59">
        <v>-40.32</v>
      </c>
      <c r="K857" s="59">
        <v>14.68</v>
      </c>
      <c r="L857" s="59">
        <v>0</v>
      </c>
      <c r="M857" s="59">
        <v>-5</v>
      </c>
      <c r="N857" s="59">
        <v>0</v>
      </c>
      <c r="O857" s="59">
        <f t="shared" si="91"/>
        <v>5946.27</v>
      </c>
      <c r="P857" s="59">
        <v>-2700</v>
      </c>
      <c r="Q857" s="59">
        <v>0</v>
      </c>
      <c r="R857" s="59">
        <v>0</v>
      </c>
      <c r="S857" s="59">
        <v>0</v>
      </c>
      <c r="T857" s="59">
        <v>0</v>
      </c>
      <c r="U857" s="59">
        <v>0</v>
      </c>
      <c r="V857" s="59">
        <v>0</v>
      </c>
      <c r="W857" s="59">
        <f t="shared" si="92"/>
        <v>3246.2700000000004</v>
      </c>
      <c r="X857" s="59">
        <f t="shared" si="88"/>
        <v>3246.2700000000004</v>
      </c>
      <c r="Y857" s="59">
        <f t="shared" si="93"/>
        <v>0</v>
      </c>
      <c r="Z857" s="59">
        <v>0</v>
      </c>
      <c r="AA857" s="59">
        <f t="shared" si="90"/>
        <v>0</v>
      </c>
      <c r="AB857" s="59">
        <f t="shared" si="94"/>
        <v>2700</v>
      </c>
    </row>
    <row r="858" spans="1:30" x14ac:dyDescent="0.3">
      <c r="A858" s="49">
        <v>14</v>
      </c>
      <c r="B858" s="41" t="s">
        <v>1509</v>
      </c>
      <c r="C858" s="50" t="s">
        <v>798</v>
      </c>
      <c r="D858" s="50" t="s">
        <v>1599</v>
      </c>
      <c r="E858" s="50" t="s">
        <v>39</v>
      </c>
      <c r="F858" s="51" t="s">
        <v>39</v>
      </c>
      <c r="G858" s="50" t="s">
        <v>866</v>
      </c>
      <c r="H858" s="59">
        <v>5316.76</v>
      </c>
      <c r="I858" s="59">
        <v>-1280.58</v>
      </c>
      <c r="J858" s="59">
        <v>-76.31</v>
      </c>
      <c r="K858" s="59">
        <v>0</v>
      </c>
      <c r="L858" s="59">
        <v>-59.11</v>
      </c>
      <c r="M858" s="59">
        <v>-24</v>
      </c>
      <c r="N858" s="59">
        <v>0</v>
      </c>
      <c r="O858" s="59">
        <f t="shared" si="91"/>
        <v>3876.76</v>
      </c>
      <c r="P858" s="59">
        <v>-2500</v>
      </c>
      <c r="Q858" s="59">
        <v>0</v>
      </c>
      <c r="R858" s="59">
        <v>0</v>
      </c>
      <c r="S858" s="59">
        <v>0</v>
      </c>
      <c r="T858" s="59">
        <v>0</v>
      </c>
      <c r="U858" s="59">
        <v>0</v>
      </c>
      <c r="V858" s="59">
        <v>0</v>
      </c>
      <c r="W858" s="59">
        <f t="shared" si="92"/>
        <v>1376.7600000000002</v>
      </c>
      <c r="X858" s="59">
        <f t="shared" si="88"/>
        <v>1376.7600000000002</v>
      </c>
      <c r="Y858" s="59">
        <f t="shared" si="93"/>
        <v>0</v>
      </c>
      <c r="Z858" s="59">
        <v>0</v>
      </c>
      <c r="AA858" s="59">
        <f t="shared" si="90"/>
        <v>0</v>
      </c>
      <c r="AB858" s="59">
        <f t="shared" si="94"/>
        <v>2500</v>
      </c>
      <c r="AD858" s="50" t="s">
        <v>3434</v>
      </c>
    </row>
    <row r="859" spans="1:30" x14ac:dyDescent="0.3">
      <c r="A859" s="49">
        <v>14</v>
      </c>
      <c r="B859" s="41" t="s">
        <v>1401</v>
      </c>
      <c r="C859" s="50" t="s">
        <v>1464</v>
      </c>
      <c r="D859" s="50" t="s">
        <v>1602</v>
      </c>
      <c r="E859" s="50" t="s">
        <v>25</v>
      </c>
      <c r="F859" s="51" t="s">
        <v>25</v>
      </c>
      <c r="G859" s="50" t="s">
        <v>866</v>
      </c>
      <c r="H859" s="146">
        <v>4095.2</v>
      </c>
      <c r="I859" s="59">
        <v>-1114.52</v>
      </c>
      <c r="J859" s="59">
        <v>0</v>
      </c>
      <c r="K859" s="59">
        <v>0</v>
      </c>
      <c r="L859" s="59">
        <v>0</v>
      </c>
      <c r="M859" s="59">
        <v>-78.039999999999992</v>
      </c>
      <c r="N859" s="59">
        <v>-192</v>
      </c>
      <c r="O859" s="59">
        <f t="shared" si="91"/>
        <v>2710.64</v>
      </c>
      <c r="P859" s="59">
        <v>-2700</v>
      </c>
      <c r="Q859" s="59">
        <v>0</v>
      </c>
      <c r="R859" s="59">
        <v>0</v>
      </c>
      <c r="S859" s="59">
        <v>-1400</v>
      </c>
      <c r="T859" s="59">
        <v>0</v>
      </c>
      <c r="U859" s="59">
        <v>0</v>
      </c>
      <c r="V859" s="59">
        <v>0</v>
      </c>
      <c r="W859" s="59">
        <f t="shared" si="92"/>
        <v>-1389.3600000000001</v>
      </c>
      <c r="X859" s="59">
        <f t="shared" si="88"/>
        <v>0</v>
      </c>
      <c r="Y859" s="59">
        <f t="shared" si="93"/>
        <v>-1389.3600000000001</v>
      </c>
      <c r="Z859" s="59">
        <f>680+700</f>
        <v>1380</v>
      </c>
      <c r="AA859" s="59">
        <f t="shared" si="90"/>
        <v>-9.3600000000001273</v>
      </c>
      <c r="AB859" s="59">
        <f t="shared" si="94"/>
        <v>4081.2799999999997</v>
      </c>
      <c r="AD859" s="50" t="s">
        <v>3446</v>
      </c>
    </row>
    <row r="860" spans="1:30" x14ac:dyDescent="0.3">
      <c r="A860" s="49">
        <v>14</v>
      </c>
      <c r="B860" s="41" t="s">
        <v>1010</v>
      </c>
      <c r="C860" s="50" t="s">
        <v>409</v>
      </c>
      <c r="D860" s="50" t="s">
        <v>946</v>
      </c>
      <c r="E860" s="50" t="s">
        <v>25</v>
      </c>
      <c r="F860" s="51" t="s">
        <v>25</v>
      </c>
      <c r="G860" s="50" t="s">
        <v>866</v>
      </c>
      <c r="H860" s="146">
        <v>2421.63</v>
      </c>
      <c r="I860" s="59">
        <v>-531.89</v>
      </c>
      <c r="J860" s="59">
        <v>0</v>
      </c>
      <c r="K860" s="59">
        <v>0</v>
      </c>
      <c r="L860" s="59">
        <v>-34.290000000000006</v>
      </c>
      <c r="M860" s="59">
        <v>-44.021999999999998</v>
      </c>
      <c r="N860" s="59">
        <v>-116.85</v>
      </c>
      <c r="O860" s="238">
        <f t="shared" si="91"/>
        <v>1694.5780000000004</v>
      </c>
      <c r="P860" s="238">
        <v>-3500</v>
      </c>
      <c r="Q860" s="238">
        <f>-264*1.12</f>
        <v>-295.68</v>
      </c>
      <c r="R860" s="238">
        <v>0</v>
      </c>
      <c r="S860" s="238">
        <v>0</v>
      </c>
      <c r="T860" s="238">
        <v>0</v>
      </c>
      <c r="U860" s="238">
        <v>0</v>
      </c>
      <c r="V860" s="238">
        <v>0</v>
      </c>
      <c r="W860" s="238">
        <f t="shared" si="92"/>
        <v>-2101.1019999999994</v>
      </c>
      <c r="X860" s="238">
        <f t="shared" si="88"/>
        <v>0</v>
      </c>
      <c r="Y860" s="238">
        <f t="shared" si="93"/>
        <v>-2101.1019999999994</v>
      </c>
      <c r="Z860" s="238">
        <v>0</v>
      </c>
      <c r="AA860" s="238">
        <f t="shared" si="90"/>
        <v>-2101.1019999999994</v>
      </c>
      <c r="AB860" s="238">
        <f t="shared" si="94"/>
        <v>-406.52399999999898</v>
      </c>
      <c r="AD860" s="50" t="s">
        <v>3447</v>
      </c>
    </row>
    <row r="861" spans="1:30" x14ac:dyDescent="0.3">
      <c r="A861" s="49">
        <v>14</v>
      </c>
      <c r="B861" s="41" t="s">
        <v>1297</v>
      </c>
      <c r="C861" s="50" t="s">
        <v>480</v>
      </c>
      <c r="D861" s="50" t="s">
        <v>1243</v>
      </c>
      <c r="E861" s="50" t="s">
        <v>25</v>
      </c>
      <c r="F861" s="51" t="s">
        <v>25</v>
      </c>
      <c r="G861" s="50" t="s">
        <v>866</v>
      </c>
      <c r="H861" s="146">
        <v>1207.3499999999999</v>
      </c>
      <c r="I861" s="59">
        <v>-841.18000000000018</v>
      </c>
      <c r="J861" s="59">
        <v>0</v>
      </c>
      <c r="K861" s="59">
        <v>0</v>
      </c>
      <c r="L861" s="59">
        <v>0</v>
      </c>
      <c r="M861" s="59">
        <v>-45</v>
      </c>
      <c r="N861" s="59">
        <v>0</v>
      </c>
      <c r="O861" s="59">
        <f t="shared" si="91"/>
        <v>321.16999999999973</v>
      </c>
      <c r="P861" s="59">
        <v>-2700</v>
      </c>
      <c r="Q861" s="59">
        <v>0</v>
      </c>
      <c r="R861" s="59">
        <v>0</v>
      </c>
      <c r="S861" s="59">
        <v>0</v>
      </c>
      <c r="T861" s="59">
        <v>0</v>
      </c>
      <c r="U861" s="59">
        <v>0</v>
      </c>
      <c r="V861" s="59">
        <v>0</v>
      </c>
      <c r="W861" s="59">
        <f t="shared" si="92"/>
        <v>-2378.8300000000004</v>
      </c>
      <c r="X861" s="59">
        <f t="shared" si="88"/>
        <v>0</v>
      </c>
      <c r="Y861" s="59">
        <f t="shared" si="93"/>
        <v>-2378.8300000000004</v>
      </c>
      <c r="Z861" s="59">
        <v>200</v>
      </c>
      <c r="AA861" s="59">
        <f t="shared" si="90"/>
        <v>-2178.8300000000004</v>
      </c>
      <c r="AB861" s="59">
        <f t="shared" si="94"/>
        <v>-1657.6600000000008</v>
      </c>
      <c r="AD861" s="50" t="s">
        <v>3448</v>
      </c>
    </row>
    <row r="862" spans="1:30" x14ac:dyDescent="0.3">
      <c r="A862" s="49">
        <v>14</v>
      </c>
      <c r="B862" s="41" t="s">
        <v>1412</v>
      </c>
      <c r="C862" s="50" t="s">
        <v>774</v>
      </c>
      <c r="D862" s="50" t="s">
        <v>1605</v>
      </c>
      <c r="E862" s="50" t="s">
        <v>25</v>
      </c>
      <c r="F862" s="51" t="s">
        <v>25</v>
      </c>
      <c r="G862" s="50" t="s">
        <v>866</v>
      </c>
      <c r="H862" s="146">
        <v>2979.35</v>
      </c>
      <c r="I862" s="59">
        <v>-2403.3200000000006</v>
      </c>
      <c r="J862" s="59">
        <v>-5.12</v>
      </c>
      <c r="K862" s="59">
        <v>0</v>
      </c>
      <c r="L862" s="59">
        <v>-37.160000000000004</v>
      </c>
      <c r="M862" s="59">
        <v>-60</v>
      </c>
      <c r="N862" s="59">
        <v>0</v>
      </c>
      <c r="O862" s="59">
        <f t="shared" si="91"/>
        <v>473.74999999999932</v>
      </c>
      <c r="P862" s="59">
        <v>-2500</v>
      </c>
      <c r="Q862" s="59">
        <v>0</v>
      </c>
      <c r="R862" s="59">
        <v>0</v>
      </c>
      <c r="S862" s="59">
        <v>0</v>
      </c>
      <c r="T862" s="59">
        <v>0</v>
      </c>
      <c r="U862" s="59">
        <v>0</v>
      </c>
      <c r="V862" s="59">
        <v>0</v>
      </c>
      <c r="W862" s="59">
        <f t="shared" si="92"/>
        <v>-2026.2500000000007</v>
      </c>
      <c r="X862" s="59">
        <f t="shared" si="88"/>
        <v>0</v>
      </c>
      <c r="Y862" s="59">
        <f t="shared" si="93"/>
        <v>-2026.2500000000007</v>
      </c>
      <c r="Z862" s="59">
        <v>2026</v>
      </c>
      <c r="AA862" s="59">
        <f t="shared" si="90"/>
        <v>-0.25000000000068212</v>
      </c>
      <c r="AB862" s="59">
        <f t="shared" si="94"/>
        <v>2499.4999999999982</v>
      </c>
      <c r="AD862" s="239">
        <v>46118</v>
      </c>
    </row>
    <row r="863" spans="1:30" x14ac:dyDescent="0.3">
      <c r="A863" s="49">
        <v>14</v>
      </c>
      <c r="B863" s="41" t="s">
        <v>1003</v>
      </c>
      <c r="C863" s="50" t="s">
        <v>1409</v>
      </c>
      <c r="E863" s="50" t="s">
        <v>25</v>
      </c>
      <c r="F863" s="51" t="s">
        <v>25</v>
      </c>
      <c r="G863" s="50" t="s">
        <v>866</v>
      </c>
      <c r="H863" s="59">
        <v>0</v>
      </c>
      <c r="I863" s="59">
        <v>0</v>
      </c>
      <c r="J863" s="59">
        <v>0</v>
      </c>
      <c r="K863" s="59">
        <v>0</v>
      </c>
      <c r="L863" s="59">
        <v>0</v>
      </c>
      <c r="M863" s="59">
        <v>0</v>
      </c>
      <c r="N863" s="59">
        <v>0</v>
      </c>
      <c r="O863" s="59">
        <f t="shared" si="91"/>
        <v>0</v>
      </c>
      <c r="P863" s="59">
        <v>-2500</v>
      </c>
      <c r="Q863" s="59">
        <v>-2.2400000000000002</v>
      </c>
      <c r="R863" s="59">
        <v>0</v>
      </c>
      <c r="S863" s="59">
        <v>0</v>
      </c>
      <c r="T863" s="59">
        <v>0</v>
      </c>
      <c r="U863" s="59">
        <v>0</v>
      </c>
      <c r="V863" s="59">
        <v>0</v>
      </c>
      <c r="W863" s="59">
        <f t="shared" si="92"/>
        <v>-2502.2399999999998</v>
      </c>
      <c r="X863" s="59">
        <f t="shared" si="88"/>
        <v>0</v>
      </c>
      <c r="Y863" s="59">
        <f t="shared" si="93"/>
        <v>-2502.2399999999998</v>
      </c>
      <c r="Z863" s="59">
        <v>2502</v>
      </c>
      <c r="AA863" s="59">
        <f t="shared" si="90"/>
        <v>-0.23999999999978172</v>
      </c>
      <c r="AB863" s="59">
        <f t="shared" si="94"/>
        <v>2501.7600000000002</v>
      </c>
      <c r="AD863" s="50" t="s">
        <v>3449</v>
      </c>
    </row>
    <row r="864" spans="1:30" x14ac:dyDescent="0.3">
      <c r="A864" s="49">
        <v>14</v>
      </c>
      <c r="B864" s="41" t="s">
        <v>1403</v>
      </c>
      <c r="C864" s="50" t="s">
        <v>213</v>
      </c>
      <c r="D864" s="50" t="s">
        <v>1116</v>
      </c>
      <c r="E864" s="50" t="s">
        <v>39</v>
      </c>
      <c r="F864" s="50" t="s">
        <v>39</v>
      </c>
      <c r="G864" s="50" t="s">
        <v>866</v>
      </c>
      <c r="H864" s="59">
        <v>6878.63</v>
      </c>
      <c r="I864" s="59">
        <v>-2760.21</v>
      </c>
      <c r="J864" s="59">
        <v>-170.16</v>
      </c>
      <c r="K864" s="59">
        <v>0</v>
      </c>
      <c r="L864" s="59">
        <v>0</v>
      </c>
      <c r="M864" s="59">
        <v>-32</v>
      </c>
      <c r="N864" s="59">
        <v>0</v>
      </c>
      <c r="O864" s="59">
        <f t="shared" si="91"/>
        <v>3916.26</v>
      </c>
      <c r="P864" s="59">
        <v>-2500</v>
      </c>
      <c r="Q864" s="59">
        <v>0</v>
      </c>
      <c r="R864" s="59">
        <v>0</v>
      </c>
      <c r="S864" s="59">
        <v>0</v>
      </c>
      <c r="T864" s="59">
        <v>-700</v>
      </c>
      <c r="U864" s="59">
        <v>0</v>
      </c>
      <c r="V864" s="59">
        <v>0</v>
      </c>
      <c r="W864" s="59">
        <f t="shared" si="92"/>
        <v>716.26000000000022</v>
      </c>
      <c r="X864" s="59">
        <f t="shared" si="88"/>
        <v>716.26000000000022</v>
      </c>
      <c r="Y864" s="59">
        <f t="shared" si="93"/>
        <v>0</v>
      </c>
      <c r="Z864" s="59">
        <v>0</v>
      </c>
      <c r="AA864" s="59">
        <f t="shared" si="90"/>
        <v>0</v>
      </c>
      <c r="AB864" s="59">
        <f t="shared" si="94"/>
        <v>3200</v>
      </c>
      <c r="AD864" s="50" t="s">
        <v>3434</v>
      </c>
    </row>
    <row r="865" spans="1:30" x14ac:dyDescent="0.3">
      <c r="A865" s="49">
        <v>14</v>
      </c>
      <c r="B865" s="41" t="s">
        <v>1307</v>
      </c>
      <c r="C865" s="50" t="s">
        <v>183</v>
      </c>
      <c r="D865" s="50" t="s">
        <v>887</v>
      </c>
      <c r="E865" s="50" t="s">
        <v>25</v>
      </c>
      <c r="F865" s="51" t="s">
        <v>25</v>
      </c>
      <c r="G865" s="50" t="s">
        <v>866</v>
      </c>
      <c r="H865" s="146">
        <v>3495.78</v>
      </c>
      <c r="I865" s="59">
        <v>-1328.0100000000004</v>
      </c>
      <c r="J865" s="59">
        <v>-75.760000000000005</v>
      </c>
      <c r="K865" s="59">
        <v>0</v>
      </c>
      <c r="L865" s="59">
        <v>0</v>
      </c>
      <c r="M865" s="59">
        <v>-55</v>
      </c>
      <c r="N865" s="59">
        <v>0</v>
      </c>
      <c r="O865" s="59">
        <f t="shared" si="91"/>
        <v>2037.0099999999993</v>
      </c>
      <c r="P865" s="59">
        <v>-2500</v>
      </c>
      <c r="Q865" s="59">
        <v>0</v>
      </c>
      <c r="R865" s="59">
        <v>0</v>
      </c>
      <c r="S865" s="59">
        <v>0</v>
      </c>
      <c r="T865" s="59">
        <v>0</v>
      </c>
      <c r="U865" s="59">
        <v>0</v>
      </c>
      <c r="V865" s="59">
        <v>0</v>
      </c>
      <c r="W865" s="59">
        <f t="shared" si="92"/>
        <v>-462.99000000000069</v>
      </c>
      <c r="X865" s="59">
        <f t="shared" si="88"/>
        <v>0</v>
      </c>
      <c r="Y865" s="59">
        <f t="shared" si="93"/>
        <v>-462.99000000000069</v>
      </c>
      <c r="Z865" s="59">
        <v>463</v>
      </c>
      <c r="AA865" s="59">
        <f t="shared" si="90"/>
        <v>9.999999999308784E-3</v>
      </c>
      <c r="AB865" s="59">
        <f t="shared" si="94"/>
        <v>2500.0199999999986</v>
      </c>
      <c r="AD865" s="239" t="s">
        <v>3450</v>
      </c>
    </row>
    <row r="866" spans="1:30" x14ac:dyDescent="0.3">
      <c r="A866" s="49">
        <v>14</v>
      </c>
      <c r="B866" s="50" t="s">
        <v>2009</v>
      </c>
      <c r="C866" s="50" t="s">
        <v>1611</v>
      </c>
      <c r="D866" s="50" t="s">
        <v>3280</v>
      </c>
      <c r="E866" s="50" t="s">
        <v>25</v>
      </c>
      <c r="F866" s="51" t="s">
        <v>25</v>
      </c>
      <c r="G866" s="50" t="s">
        <v>866</v>
      </c>
      <c r="H866" s="146">
        <v>4929.55</v>
      </c>
      <c r="I866" s="59">
        <v>-2386.0200000000004</v>
      </c>
      <c r="J866" s="59">
        <v>-106.82</v>
      </c>
      <c r="K866" s="59">
        <v>0</v>
      </c>
      <c r="L866" s="59">
        <v>-45.6</v>
      </c>
      <c r="M866" s="59">
        <v>-60</v>
      </c>
      <c r="N866" s="59">
        <v>0</v>
      </c>
      <c r="O866" s="59">
        <f>IF(H866+I866&lt;0,SUM(J866:N866),SUM(H866:N866))</f>
        <v>2331.1099999999997</v>
      </c>
      <c r="P866" s="59">
        <f>(-2500/7)*3</f>
        <v>-1071.4285714285716</v>
      </c>
      <c r="Q866" s="59">
        <v>0</v>
      </c>
      <c r="R866" s="59">
        <v>-214.28571428571428</v>
      </c>
      <c r="S866" s="59">
        <v>0</v>
      </c>
      <c r="T866" s="59">
        <v>0</v>
      </c>
      <c r="U866" s="59">
        <v>-811</v>
      </c>
      <c r="V866" s="59">
        <v>0</v>
      </c>
      <c r="W866" s="59">
        <f>SUM(O866:V866)</f>
        <v>234.39571428571389</v>
      </c>
      <c r="X866" s="59">
        <f>IF(W866&gt;=0,W866,0)</f>
        <v>234.39571428571389</v>
      </c>
      <c r="Y866" s="59">
        <f>IF(W866&lt;=0,W866,0)</f>
        <v>0</v>
      </c>
      <c r="Z866" s="59">
        <v>0</v>
      </c>
      <c r="AA866" s="59">
        <f>+Y866+Z866</f>
        <v>0</v>
      </c>
      <c r="AB866" s="59">
        <f>+O866-X866+Z866+AA866</f>
        <v>2096.7142857142858</v>
      </c>
      <c r="AD866" s="50" t="s">
        <v>3451</v>
      </c>
    </row>
    <row r="867" spans="1:30" x14ac:dyDescent="0.3">
      <c r="A867" s="49">
        <v>14</v>
      </c>
      <c r="B867" s="41" t="s">
        <v>1432</v>
      </c>
      <c r="C867" s="50" t="s">
        <v>183</v>
      </c>
      <c r="D867" s="50" t="s">
        <v>887</v>
      </c>
      <c r="E867" s="50" t="s">
        <v>25</v>
      </c>
      <c r="F867" s="51" t="s">
        <v>25</v>
      </c>
      <c r="G867" s="50" t="s">
        <v>866</v>
      </c>
      <c r="H867" s="59">
        <v>7.63</v>
      </c>
      <c r="I867" s="59">
        <v>0</v>
      </c>
      <c r="J867" s="59">
        <v>-1.22</v>
      </c>
      <c r="K867" s="59">
        <v>0</v>
      </c>
      <c r="L867" s="59">
        <v>0</v>
      </c>
      <c r="M867" s="59">
        <v>0</v>
      </c>
      <c r="N867" s="59">
        <v>0</v>
      </c>
      <c r="O867" s="59">
        <f>IF(H867+I867&lt;0,SUM(J867:N867),SUM(H867:N867))</f>
        <v>6.41</v>
      </c>
      <c r="P867" s="59">
        <v>-6.41</v>
      </c>
      <c r="Q867" s="59">
        <v>0</v>
      </c>
      <c r="R867" s="59">
        <v>0</v>
      </c>
      <c r="S867" s="59">
        <v>0</v>
      </c>
      <c r="T867" s="59">
        <v>0</v>
      </c>
      <c r="U867" s="59">
        <v>0</v>
      </c>
      <c r="V867" s="59">
        <v>0</v>
      </c>
      <c r="W867" s="59">
        <f>SUM(O867:V867)</f>
        <v>0</v>
      </c>
      <c r="X867" s="59">
        <f>IF(W867&gt;=0,W867,0)</f>
        <v>0</v>
      </c>
      <c r="Y867" s="59">
        <f>IF(W867&lt;=0,W867,0)</f>
        <v>0</v>
      </c>
      <c r="Z867" s="59">
        <v>0</v>
      </c>
      <c r="AA867" s="59">
        <f>+Y867+Z867</f>
        <v>0</v>
      </c>
      <c r="AB867" s="59">
        <f>+O867-X867+Z867+AA867</f>
        <v>6.41</v>
      </c>
    </row>
    <row r="868" spans="1:30" x14ac:dyDescent="0.3">
      <c r="A868" s="49">
        <v>14</v>
      </c>
      <c r="B868" s="41" t="s">
        <v>2703</v>
      </c>
      <c r="C868" s="50" t="s">
        <v>104</v>
      </c>
      <c r="D868" s="50" t="s">
        <v>1419</v>
      </c>
      <c r="E868" s="50" t="s">
        <v>25</v>
      </c>
      <c r="F868" s="51" t="s">
        <v>25</v>
      </c>
      <c r="G868" s="50" t="s">
        <v>866</v>
      </c>
      <c r="H868" s="59">
        <v>16.260000000000002</v>
      </c>
      <c r="I868" s="59">
        <v>0</v>
      </c>
      <c r="J868" s="59">
        <v>-2.6</v>
      </c>
      <c r="K868" s="59">
        <v>0</v>
      </c>
      <c r="L868" s="59">
        <v>0</v>
      </c>
      <c r="M868" s="59">
        <v>0</v>
      </c>
      <c r="N868" s="59">
        <v>0</v>
      </c>
      <c r="O868" s="59">
        <f>IF(H868+I868&lt;0,SUM(J868:N868),SUM(H868:N868))</f>
        <v>13.660000000000002</v>
      </c>
      <c r="P868" s="59">
        <v>-13.66</v>
      </c>
      <c r="Q868" s="59">
        <v>0</v>
      </c>
      <c r="R868" s="59">
        <v>0</v>
      </c>
      <c r="S868" s="59">
        <v>0</v>
      </c>
      <c r="T868" s="59">
        <v>0</v>
      </c>
      <c r="U868" s="59">
        <v>0</v>
      </c>
      <c r="V868" s="59">
        <v>0</v>
      </c>
      <c r="W868" s="59">
        <f>SUM(O868:V868)</f>
        <v>1.7763568394002505E-15</v>
      </c>
      <c r="X868" s="59">
        <f>IF(W868&gt;=0,W868,0)</f>
        <v>1.7763568394002505E-15</v>
      </c>
      <c r="Y868" s="59">
        <f>IF(W868&lt;=0,W868,0)</f>
        <v>0</v>
      </c>
      <c r="Z868" s="59">
        <v>0</v>
      </c>
      <c r="AA868" s="59">
        <f>+Y868+Z868</f>
        <v>0</v>
      </c>
      <c r="AB868" s="59">
        <f>+O868-X868+Z868+AA868</f>
        <v>13.66</v>
      </c>
    </row>
    <row r="869" spans="1:30" x14ac:dyDescent="0.3">
      <c r="A869" s="49">
        <v>14</v>
      </c>
      <c r="B869" s="41" t="s">
        <v>2006</v>
      </c>
      <c r="C869" s="50" t="s">
        <v>3452</v>
      </c>
      <c r="E869" s="50" t="s">
        <v>25</v>
      </c>
      <c r="F869" s="51" t="s">
        <v>25</v>
      </c>
      <c r="G869" s="50" t="s">
        <v>866</v>
      </c>
      <c r="H869" s="59">
        <v>7.63</v>
      </c>
      <c r="I869" s="59">
        <v>0</v>
      </c>
      <c r="J869" s="59">
        <v>-1.22</v>
      </c>
      <c r="K869" s="59">
        <v>0</v>
      </c>
      <c r="L869" s="59">
        <v>0</v>
      </c>
      <c r="M869" s="59">
        <v>0</v>
      </c>
      <c r="N869" s="59">
        <v>0</v>
      </c>
      <c r="O869" s="59">
        <f>IF(H869+I869&lt;0,SUM(J869:N869),SUM(H869:N869))</f>
        <v>6.41</v>
      </c>
      <c r="P869" s="59">
        <v>-6.41</v>
      </c>
      <c r="Q869" s="59">
        <v>0</v>
      </c>
      <c r="R869" s="59">
        <v>0</v>
      </c>
      <c r="S869" s="59">
        <v>0</v>
      </c>
      <c r="T869" s="59">
        <v>0</v>
      </c>
      <c r="U869" s="59">
        <v>0</v>
      </c>
      <c r="V869" s="59">
        <v>0</v>
      </c>
      <c r="W869" s="59">
        <f>SUM(O869:V869)</f>
        <v>0</v>
      </c>
      <c r="X869" s="59">
        <f>IF(W869&gt;=0,W869,0)</f>
        <v>0</v>
      </c>
      <c r="Y869" s="59">
        <f>IF(W869&lt;=0,W869,0)</f>
        <v>0</v>
      </c>
      <c r="Z869" s="59">
        <v>0</v>
      </c>
      <c r="AA869" s="59">
        <f>+Y869+Z869</f>
        <v>0</v>
      </c>
      <c r="AB869" s="59">
        <f>+O869-X869+Z869+AA869</f>
        <v>6.41</v>
      </c>
    </row>
    <row r="870" spans="1:30" x14ac:dyDescent="0.3">
      <c r="A870" s="49">
        <v>15</v>
      </c>
      <c r="B870" s="243" t="s">
        <v>3453</v>
      </c>
      <c r="C870" s="243" t="s">
        <v>409</v>
      </c>
      <c r="D870" s="243" t="s">
        <v>946</v>
      </c>
      <c r="E870" s="243" t="s">
        <v>25</v>
      </c>
      <c r="F870" s="243" t="s">
        <v>25</v>
      </c>
      <c r="G870" s="243" t="s">
        <v>866</v>
      </c>
      <c r="H870" s="59">
        <v>0</v>
      </c>
      <c r="I870" s="59">
        <v>0</v>
      </c>
      <c r="J870" s="59">
        <v>0</v>
      </c>
      <c r="K870" s="59">
        <v>0</v>
      </c>
      <c r="L870" s="59">
        <v>0</v>
      </c>
      <c r="M870" s="59">
        <v>0</v>
      </c>
      <c r="N870" s="59">
        <v>0</v>
      </c>
      <c r="O870" s="59">
        <f>IF(H870+I870&lt;0,SUM(J870:N870),SUM(H870:N870))</f>
        <v>0</v>
      </c>
      <c r="P870" s="59">
        <v>0</v>
      </c>
      <c r="Q870" s="59">
        <v>0</v>
      </c>
      <c r="R870" s="59">
        <v>0</v>
      </c>
      <c r="S870" s="59">
        <v>0</v>
      </c>
      <c r="T870" s="59">
        <v>0</v>
      </c>
      <c r="U870" s="59">
        <v>0</v>
      </c>
      <c r="V870" s="59">
        <v>0</v>
      </c>
      <c r="W870" s="59">
        <f>SUM(O870:V870)</f>
        <v>0</v>
      </c>
      <c r="X870" s="59">
        <f>IF(W870&gt;=0,W870,0)</f>
        <v>0</v>
      </c>
      <c r="Y870" s="59">
        <f>IF(W870&lt;=0,W870,0)</f>
        <v>0</v>
      </c>
      <c r="Z870" s="59">
        <v>0</v>
      </c>
      <c r="AA870" s="59">
        <f>+Y870+Z870</f>
        <v>0</v>
      </c>
      <c r="AB870" s="59">
        <f>+O870-X870+Z870+AA870</f>
        <v>0</v>
      </c>
    </row>
    <row r="871" spans="1:30" x14ac:dyDescent="0.3">
      <c r="A871" s="49">
        <v>15</v>
      </c>
      <c r="B871" s="243" t="s">
        <v>3420</v>
      </c>
      <c r="C871" s="243"/>
      <c r="D871" s="243" t="s">
        <v>1044</v>
      </c>
      <c r="E871" s="243" t="s">
        <v>25</v>
      </c>
      <c r="F871" s="243" t="s">
        <v>25</v>
      </c>
      <c r="G871" s="243" t="s">
        <v>866</v>
      </c>
      <c r="N871" s="59" t="s">
        <v>1044</v>
      </c>
      <c r="O871" s="59" t="s">
        <v>1044</v>
      </c>
      <c r="P871" s="59" t="s">
        <v>1044</v>
      </c>
    </row>
    <row r="872" spans="1:30" x14ac:dyDescent="0.3">
      <c r="A872" s="49">
        <v>15</v>
      </c>
      <c r="B872" s="245" t="s">
        <v>1449</v>
      </c>
      <c r="C872" s="243" t="s">
        <v>3150</v>
      </c>
      <c r="D872" s="243"/>
      <c r="E872" s="243" t="s">
        <v>25</v>
      </c>
      <c r="F872" s="243" t="s">
        <v>25</v>
      </c>
      <c r="G872" s="243" t="s">
        <v>866</v>
      </c>
      <c r="N872" s="59" t="s">
        <v>1044</v>
      </c>
      <c r="O872" s="59" t="s">
        <v>1044</v>
      </c>
      <c r="P872" s="59" t="s">
        <v>1044</v>
      </c>
    </row>
    <row r="873" spans="1:30" x14ac:dyDescent="0.3">
      <c r="A873" s="49">
        <v>15</v>
      </c>
      <c r="B873" s="245" t="s">
        <v>1449</v>
      </c>
      <c r="C873" s="243" t="s">
        <v>1611</v>
      </c>
      <c r="D873" s="243" t="s">
        <v>3280</v>
      </c>
      <c r="E873" s="243" t="s">
        <v>25</v>
      </c>
      <c r="F873" s="243" t="s">
        <v>25</v>
      </c>
      <c r="G873" s="243" t="s">
        <v>866</v>
      </c>
      <c r="N873" s="59" t="s">
        <v>1044</v>
      </c>
      <c r="O873" s="59" t="s">
        <v>1044</v>
      </c>
      <c r="P873" s="59" t="s">
        <v>1044</v>
      </c>
    </row>
    <row r="874" spans="1:30" x14ac:dyDescent="0.3">
      <c r="A874" s="49">
        <v>15</v>
      </c>
      <c r="B874" s="245" t="s">
        <v>1310</v>
      </c>
      <c r="C874" s="243" t="s">
        <v>101</v>
      </c>
      <c r="D874" s="243" t="s">
        <v>945</v>
      </c>
      <c r="E874" s="243" t="s">
        <v>25</v>
      </c>
      <c r="F874" s="246" t="s">
        <v>25</v>
      </c>
      <c r="G874" s="243" t="s">
        <v>866</v>
      </c>
      <c r="N874" s="59" t="s">
        <v>1044</v>
      </c>
      <c r="O874" s="59" t="s">
        <v>1044</v>
      </c>
    </row>
    <row r="875" spans="1:30" x14ac:dyDescent="0.3">
      <c r="A875" s="49">
        <v>15</v>
      </c>
      <c r="B875" s="245" t="s">
        <v>1310</v>
      </c>
      <c r="C875" s="243" t="s">
        <v>2981</v>
      </c>
      <c r="D875" s="243"/>
      <c r="E875" s="243" t="s">
        <v>25</v>
      </c>
      <c r="F875" s="243" t="s">
        <v>25</v>
      </c>
      <c r="G875" s="243" t="s">
        <v>866</v>
      </c>
      <c r="N875" s="59" t="s">
        <v>1044</v>
      </c>
      <c r="O875" s="59" t="s">
        <v>1044</v>
      </c>
    </row>
    <row r="876" spans="1:30" x14ac:dyDescent="0.3">
      <c r="A876" s="49">
        <v>15</v>
      </c>
      <c r="B876" s="243" t="s">
        <v>3424</v>
      </c>
      <c r="C876" s="243" t="s">
        <v>53</v>
      </c>
      <c r="D876" s="243" t="s">
        <v>1167</v>
      </c>
      <c r="E876" s="243" t="s">
        <v>25</v>
      </c>
      <c r="F876" s="243" t="s">
        <v>25</v>
      </c>
      <c r="G876" s="243" t="s">
        <v>866</v>
      </c>
    </row>
    <row r="877" spans="1:30" x14ac:dyDescent="0.3">
      <c r="A877" s="49">
        <v>15</v>
      </c>
      <c r="B877" s="41" t="s">
        <v>1558</v>
      </c>
      <c r="C877" s="50" t="s">
        <v>571</v>
      </c>
      <c r="D877" s="50" t="s">
        <v>974</v>
      </c>
      <c r="E877" s="50" t="s">
        <v>25</v>
      </c>
      <c r="F877" s="51" t="s">
        <v>25</v>
      </c>
      <c r="G877" s="50" t="s">
        <v>866</v>
      </c>
    </row>
    <row r="878" spans="1:30" x14ac:dyDescent="0.3">
      <c r="A878" s="49">
        <v>15</v>
      </c>
      <c r="B878" s="50" t="s">
        <v>3180</v>
      </c>
      <c r="C878" s="50" t="s">
        <v>183</v>
      </c>
      <c r="D878" s="50" t="s">
        <v>887</v>
      </c>
      <c r="E878" s="50" t="s">
        <v>25</v>
      </c>
      <c r="F878" s="50" t="s">
        <v>25</v>
      </c>
      <c r="G878" s="50" t="s">
        <v>866</v>
      </c>
    </row>
    <row r="879" spans="1:30" x14ac:dyDescent="0.3">
      <c r="A879" s="49">
        <v>15</v>
      </c>
      <c r="B879" s="50" t="s">
        <v>3387</v>
      </c>
      <c r="C879" s="50" t="s">
        <v>1443</v>
      </c>
      <c r="D879" s="50" t="s">
        <v>1554</v>
      </c>
      <c r="E879" s="50" t="s">
        <v>25</v>
      </c>
      <c r="F879" s="51" t="s">
        <v>25</v>
      </c>
      <c r="G879" s="50" t="s">
        <v>866</v>
      </c>
    </row>
    <row r="880" spans="1:30" x14ac:dyDescent="0.3">
      <c r="A880" s="49">
        <v>15</v>
      </c>
      <c r="B880" s="41" t="s">
        <v>1088</v>
      </c>
      <c r="C880" s="50" t="s">
        <v>2981</v>
      </c>
      <c r="E880" s="50" t="s">
        <v>25</v>
      </c>
      <c r="F880" s="51" t="s">
        <v>25</v>
      </c>
      <c r="G880" s="50" t="s">
        <v>866</v>
      </c>
    </row>
    <row r="881" spans="1:7" x14ac:dyDescent="0.3">
      <c r="A881" s="49">
        <v>15</v>
      </c>
      <c r="B881" s="41" t="s">
        <v>1088</v>
      </c>
      <c r="C881" s="50" t="s">
        <v>1860</v>
      </c>
      <c r="E881" s="50" t="s">
        <v>25</v>
      </c>
      <c r="F881" s="51" t="s">
        <v>25</v>
      </c>
      <c r="G881" s="50" t="s">
        <v>866</v>
      </c>
    </row>
    <row r="882" spans="1:7" x14ac:dyDescent="0.3">
      <c r="A882" s="49">
        <v>15</v>
      </c>
      <c r="B882" s="41" t="s">
        <v>1513</v>
      </c>
      <c r="C882" s="50" t="s">
        <v>645</v>
      </c>
      <c r="D882" s="50" t="s">
        <v>2715</v>
      </c>
      <c r="E882" s="50" t="s">
        <v>25</v>
      </c>
      <c r="F882" s="51" t="s">
        <v>25</v>
      </c>
      <c r="G882" s="50" t="s">
        <v>737</v>
      </c>
    </row>
    <row r="883" spans="1:7" x14ac:dyDescent="0.3">
      <c r="A883" s="49">
        <v>15</v>
      </c>
      <c r="B883" s="41" t="s">
        <v>585</v>
      </c>
      <c r="C883" s="50" t="s">
        <v>42</v>
      </c>
      <c r="D883" s="50" t="s">
        <v>948</v>
      </c>
      <c r="E883" s="50" t="s">
        <v>25</v>
      </c>
      <c r="F883" s="51" t="s">
        <v>25</v>
      </c>
      <c r="G883" s="50" t="s">
        <v>866</v>
      </c>
    </row>
    <row r="884" spans="1:7" x14ac:dyDescent="0.3">
      <c r="A884" s="49">
        <v>15</v>
      </c>
      <c r="B884" s="41" t="s">
        <v>837</v>
      </c>
      <c r="C884" s="50" t="s">
        <v>357</v>
      </c>
      <c r="D884" s="50" t="s">
        <v>1150</v>
      </c>
      <c r="E884" s="50" t="s">
        <v>25</v>
      </c>
      <c r="F884" s="51" t="s">
        <v>25</v>
      </c>
      <c r="G884" s="50" t="s">
        <v>866</v>
      </c>
    </row>
    <row r="885" spans="1:7" x14ac:dyDescent="0.3">
      <c r="A885" s="49">
        <v>15</v>
      </c>
      <c r="B885" s="50" t="s">
        <v>3352</v>
      </c>
      <c r="C885" s="50" t="s">
        <v>2976</v>
      </c>
      <c r="E885" s="50" t="s">
        <v>25</v>
      </c>
      <c r="F885" s="50" t="s">
        <v>25</v>
      </c>
      <c r="G885" s="50" t="s">
        <v>866</v>
      </c>
    </row>
    <row r="886" spans="1:7" x14ac:dyDescent="0.3">
      <c r="A886" s="49">
        <v>15</v>
      </c>
      <c r="B886" s="50" t="s">
        <v>3230</v>
      </c>
      <c r="C886" s="50" t="s">
        <v>120</v>
      </c>
      <c r="D886" s="50" t="s">
        <v>950</v>
      </c>
      <c r="E886" s="50" t="s">
        <v>25</v>
      </c>
      <c r="F886" s="50" t="s">
        <v>25</v>
      </c>
      <c r="G886" s="50" t="s">
        <v>866</v>
      </c>
    </row>
    <row r="887" spans="1:7" x14ac:dyDescent="0.3">
      <c r="A887" s="49">
        <v>15</v>
      </c>
      <c r="B887" s="41" t="s">
        <v>1142</v>
      </c>
      <c r="C887" s="50" t="s">
        <v>1443</v>
      </c>
      <c r="D887" s="50" t="s">
        <v>1554</v>
      </c>
      <c r="E887" s="50" t="s">
        <v>25</v>
      </c>
      <c r="F887" s="51" t="s">
        <v>25</v>
      </c>
      <c r="G887" s="50" t="s">
        <v>866</v>
      </c>
    </row>
    <row r="888" spans="1:7" x14ac:dyDescent="0.3">
      <c r="A888" s="49">
        <v>15</v>
      </c>
      <c r="B888" s="41" t="s">
        <v>1454</v>
      </c>
      <c r="C888" s="50" t="s">
        <v>563</v>
      </c>
      <c r="D888" s="50" t="s">
        <v>1230</v>
      </c>
      <c r="E888" s="50" t="s">
        <v>25</v>
      </c>
      <c r="F888" s="51" t="s">
        <v>25</v>
      </c>
      <c r="G888" s="50" t="s">
        <v>866</v>
      </c>
    </row>
    <row r="889" spans="1:7" x14ac:dyDescent="0.3">
      <c r="A889" s="49">
        <v>15</v>
      </c>
      <c r="B889" s="41" t="s">
        <v>944</v>
      </c>
      <c r="C889" s="50" t="s">
        <v>372</v>
      </c>
      <c r="D889" s="50" t="s">
        <v>1004</v>
      </c>
      <c r="E889" s="50" t="s">
        <v>39</v>
      </c>
      <c r="F889" s="51" t="s">
        <v>39</v>
      </c>
      <c r="G889" s="50" t="s">
        <v>866</v>
      </c>
    </row>
    <row r="890" spans="1:7" x14ac:dyDescent="0.3">
      <c r="A890" s="49">
        <v>15</v>
      </c>
      <c r="B890" s="41" t="s">
        <v>1453</v>
      </c>
      <c r="C890" s="50" t="s">
        <v>1829</v>
      </c>
      <c r="D890" s="50" t="s">
        <v>3279</v>
      </c>
      <c r="E890" s="50" t="s">
        <v>25</v>
      </c>
      <c r="F890" s="51" t="s">
        <v>25</v>
      </c>
      <c r="G890" s="50" t="s">
        <v>866</v>
      </c>
    </row>
    <row r="891" spans="1:7" x14ac:dyDescent="0.3">
      <c r="A891" s="49">
        <v>15</v>
      </c>
      <c r="B891" s="41" t="s">
        <v>604</v>
      </c>
      <c r="C891" s="50" t="s">
        <v>605</v>
      </c>
      <c r="D891" s="50" t="s">
        <v>1223</v>
      </c>
      <c r="E891" s="50" t="s">
        <v>25</v>
      </c>
      <c r="F891" s="51" t="s">
        <v>25</v>
      </c>
      <c r="G891" s="50" t="s">
        <v>866</v>
      </c>
    </row>
    <row r="892" spans="1:7" x14ac:dyDescent="0.3">
      <c r="A892" s="49">
        <v>15</v>
      </c>
      <c r="B892" s="41" t="s">
        <v>1029</v>
      </c>
      <c r="C892" s="50" t="s">
        <v>68</v>
      </c>
      <c r="D892" s="50" t="s">
        <v>869</v>
      </c>
      <c r="E892" s="50" t="s">
        <v>25</v>
      </c>
      <c r="F892" s="51" t="s">
        <v>25</v>
      </c>
      <c r="G892" s="50" t="s">
        <v>866</v>
      </c>
    </row>
    <row r="893" spans="1:7" x14ac:dyDescent="0.3">
      <c r="A893" s="49">
        <v>15</v>
      </c>
      <c r="B893" s="41" t="s">
        <v>1151</v>
      </c>
      <c r="C893" s="50" t="s">
        <v>1285</v>
      </c>
      <c r="D893" s="50" t="s">
        <v>1340</v>
      </c>
      <c r="E893" s="50" t="s">
        <v>25</v>
      </c>
      <c r="F893" s="51" t="s">
        <v>25</v>
      </c>
      <c r="G893" s="50" t="s">
        <v>866</v>
      </c>
    </row>
    <row r="894" spans="1:7" x14ac:dyDescent="0.3">
      <c r="A894" s="49">
        <v>15</v>
      </c>
      <c r="B894" s="41" t="s">
        <v>913</v>
      </c>
      <c r="C894" s="50" t="s">
        <v>361</v>
      </c>
      <c r="D894" s="50" t="s">
        <v>1164</v>
      </c>
      <c r="E894" s="50" t="s">
        <v>25</v>
      </c>
      <c r="F894" s="51" t="s">
        <v>25</v>
      </c>
      <c r="G894" s="50" t="s">
        <v>866</v>
      </c>
    </row>
    <row r="895" spans="1:7" x14ac:dyDescent="0.3">
      <c r="A895" s="49">
        <v>15</v>
      </c>
      <c r="B895" s="41" t="s">
        <v>913</v>
      </c>
      <c r="C895" s="50" t="s">
        <v>120</v>
      </c>
      <c r="D895" s="50" t="s">
        <v>950</v>
      </c>
      <c r="E895" s="50" t="s">
        <v>25</v>
      </c>
      <c r="F895" s="51" t="s">
        <v>25</v>
      </c>
      <c r="G895" s="50" t="s">
        <v>866</v>
      </c>
    </row>
    <row r="896" spans="1:7" x14ac:dyDescent="0.3">
      <c r="A896" s="49">
        <v>15</v>
      </c>
      <c r="B896" s="41" t="s">
        <v>1522</v>
      </c>
      <c r="C896" s="50" t="s">
        <v>169</v>
      </c>
      <c r="D896" s="50" t="s">
        <v>967</v>
      </c>
      <c r="E896" s="50" t="s">
        <v>871</v>
      </c>
      <c r="F896" s="51" t="s">
        <v>39</v>
      </c>
      <c r="G896" s="50" t="s">
        <v>866</v>
      </c>
    </row>
    <row r="897" spans="1:7" x14ac:dyDescent="0.3">
      <c r="A897" s="49">
        <v>15</v>
      </c>
      <c r="B897" s="50" t="s">
        <v>3362</v>
      </c>
      <c r="C897" s="50" t="s">
        <v>760</v>
      </c>
      <c r="D897" s="50" t="s">
        <v>1239</v>
      </c>
      <c r="E897" s="207" t="s">
        <v>25</v>
      </c>
      <c r="F897" s="51" t="s">
        <v>39</v>
      </c>
      <c r="G897" s="50" t="s">
        <v>866</v>
      </c>
    </row>
    <row r="898" spans="1:7" x14ac:dyDescent="0.3">
      <c r="A898" s="49">
        <v>15</v>
      </c>
      <c r="B898" s="50" t="s">
        <v>2010</v>
      </c>
      <c r="C898" s="50" t="s">
        <v>1316</v>
      </c>
      <c r="D898" s="50" t="s">
        <v>3281</v>
      </c>
      <c r="E898" s="50" t="s">
        <v>25</v>
      </c>
      <c r="F898" s="50" t="s">
        <v>25</v>
      </c>
      <c r="G898" s="50" t="s">
        <v>866</v>
      </c>
    </row>
    <row r="899" spans="1:7" x14ac:dyDescent="0.3">
      <c r="A899" s="49">
        <v>15</v>
      </c>
      <c r="B899" s="50" t="s">
        <v>2711</v>
      </c>
      <c r="C899" s="50" t="s">
        <v>347</v>
      </c>
      <c r="D899" s="50" t="s">
        <v>1122</v>
      </c>
      <c r="E899" s="50" t="s">
        <v>25</v>
      </c>
      <c r="F899" s="51" t="s">
        <v>25</v>
      </c>
      <c r="G899" s="50" t="s">
        <v>866</v>
      </c>
    </row>
    <row r="900" spans="1:7" x14ac:dyDescent="0.3">
      <c r="A900" s="49">
        <v>15</v>
      </c>
      <c r="B900" s="50" t="s">
        <v>1056</v>
      </c>
      <c r="C900" s="50" t="s">
        <v>672</v>
      </c>
      <c r="D900" s="50" t="s">
        <v>1226</v>
      </c>
      <c r="E900" s="50" t="s">
        <v>25</v>
      </c>
      <c r="F900" s="51" t="s">
        <v>25</v>
      </c>
      <c r="G900" s="50" t="s">
        <v>866</v>
      </c>
    </row>
    <row r="901" spans="1:7" x14ac:dyDescent="0.3">
      <c r="A901" s="49">
        <v>15</v>
      </c>
      <c r="B901" s="50" t="s">
        <v>2995</v>
      </c>
      <c r="C901" s="50" t="s">
        <v>36</v>
      </c>
      <c r="D901" s="50" t="s">
        <v>904</v>
      </c>
      <c r="E901" s="50" t="s">
        <v>25</v>
      </c>
      <c r="F901" s="51" t="s">
        <v>25</v>
      </c>
      <c r="G901" s="50" t="s">
        <v>866</v>
      </c>
    </row>
    <row r="902" spans="1:7" x14ac:dyDescent="0.3">
      <c r="A902" s="49">
        <v>15</v>
      </c>
      <c r="B902" s="41" t="s">
        <v>1153</v>
      </c>
      <c r="C902" s="50" t="s">
        <v>1328</v>
      </c>
      <c r="D902" s="50" t="s">
        <v>1576</v>
      </c>
      <c r="E902" s="50" t="s">
        <v>25</v>
      </c>
      <c r="F902" s="51" t="s">
        <v>25</v>
      </c>
      <c r="G902" s="50" t="s">
        <v>866</v>
      </c>
    </row>
    <row r="903" spans="1:7" x14ac:dyDescent="0.3">
      <c r="A903" s="49">
        <v>15</v>
      </c>
      <c r="B903" s="41" t="s">
        <v>872</v>
      </c>
      <c r="C903" s="50" t="s">
        <v>256</v>
      </c>
      <c r="D903" s="50" t="s">
        <v>997</v>
      </c>
      <c r="E903" s="50" t="s">
        <v>871</v>
      </c>
      <c r="F903" s="51" t="s">
        <v>39</v>
      </c>
      <c r="G903" s="50" t="s">
        <v>866</v>
      </c>
    </row>
    <row r="904" spans="1:7" x14ac:dyDescent="0.3">
      <c r="A904" s="49">
        <v>15</v>
      </c>
      <c r="B904" s="41" t="s">
        <v>1314</v>
      </c>
      <c r="C904" s="50" t="s">
        <v>334</v>
      </c>
      <c r="D904" s="50" t="s">
        <v>1169</v>
      </c>
      <c r="E904" s="50" t="s">
        <v>25</v>
      </c>
      <c r="F904" s="51" t="s">
        <v>25</v>
      </c>
      <c r="G904" s="50" t="s">
        <v>866</v>
      </c>
    </row>
    <row r="905" spans="1:7" x14ac:dyDescent="0.3">
      <c r="A905" s="49">
        <v>15</v>
      </c>
      <c r="B905" s="41" t="s">
        <v>874</v>
      </c>
      <c r="C905" s="50" t="s">
        <v>100</v>
      </c>
      <c r="D905" s="50" t="s">
        <v>1300</v>
      </c>
      <c r="E905" s="50" t="s">
        <v>25</v>
      </c>
      <c r="F905" s="51" t="s">
        <v>25</v>
      </c>
      <c r="G905" s="50" t="s">
        <v>737</v>
      </c>
    </row>
    <row r="906" spans="1:7" x14ac:dyDescent="0.3">
      <c r="A906" s="49">
        <v>15</v>
      </c>
      <c r="B906" s="41" t="s">
        <v>1157</v>
      </c>
      <c r="C906" s="50" t="s">
        <v>1265</v>
      </c>
      <c r="D906" s="50" t="s">
        <v>1580</v>
      </c>
      <c r="E906" s="50" t="s">
        <v>25</v>
      </c>
      <c r="F906" s="51" t="s">
        <v>25</v>
      </c>
      <c r="G906" s="50" t="s">
        <v>866</v>
      </c>
    </row>
    <row r="907" spans="1:7" x14ac:dyDescent="0.3">
      <c r="A907" s="49">
        <v>15</v>
      </c>
      <c r="B907" s="41" t="s">
        <v>1190</v>
      </c>
      <c r="C907" s="50" t="s">
        <v>573</v>
      </c>
      <c r="D907" s="50" t="s">
        <v>1149</v>
      </c>
      <c r="E907" s="50" t="s">
        <v>25</v>
      </c>
      <c r="F907" s="51" t="s">
        <v>25</v>
      </c>
      <c r="G907" s="50" t="s">
        <v>866</v>
      </c>
    </row>
    <row r="908" spans="1:7" x14ac:dyDescent="0.3">
      <c r="A908" s="49">
        <v>15</v>
      </c>
      <c r="B908" s="50" t="s">
        <v>1956</v>
      </c>
      <c r="C908" s="50" t="s">
        <v>257</v>
      </c>
      <c r="D908" s="50" t="s">
        <v>1605</v>
      </c>
      <c r="E908" s="50" t="s">
        <v>25</v>
      </c>
      <c r="F908" s="50" t="s">
        <v>25</v>
      </c>
      <c r="G908" s="50" t="s">
        <v>866</v>
      </c>
    </row>
    <row r="909" spans="1:7" x14ac:dyDescent="0.3">
      <c r="A909" s="49">
        <v>15</v>
      </c>
      <c r="B909" s="50" t="s">
        <v>1960</v>
      </c>
      <c r="C909" s="50" t="s">
        <v>123</v>
      </c>
      <c r="D909" s="50" t="s">
        <v>1608</v>
      </c>
      <c r="E909" s="50" t="s">
        <v>25</v>
      </c>
      <c r="F909" s="50" t="s">
        <v>25</v>
      </c>
      <c r="G909" s="50" t="s">
        <v>737</v>
      </c>
    </row>
    <row r="910" spans="1:7" x14ac:dyDescent="0.3">
      <c r="A910" s="49">
        <v>15</v>
      </c>
      <c r="B910" s="41" t="s">
        <v>484</v>
      </c>
      <c r="C910" s="50" t="s">
        <v>1065</v>
      </c>
      <c r="D910" s="50" t="s">
        <v>1159</v>
      </c>
      <c r="E910" s="50" t="s">
        <v>25</v>
      </c>
      <c r="F910" s="51" t="s">
        <v>25</v>
      </c>
      <c r="G910" s="50" t="s">
        <v>866</v>
      </c>
    </row>
    <row r="911" spans="1:7" x14ac:dyDescent="0.3">
      <c r="A911" s="49">
        <v>15</v>
      </c>
      <c r="B911" s="50" t="s">
        <v>2012</v>
      </c>
      <c r="C911" s="50" t="s">
        <v>361</v>
      </c>
      <c r="D911" s="50" t="s">
        <v>1164</v>
      </c>
      <c r="E911" s="50" t="s">
        <v>25</v>
      </c>
      <c r="F911" s="50" t="s">
        <v>25</v>
      </c>
      <c r="G911" s="50" t="s">
        <v>866</v>
      </c>
    </row>
    <row r="912" spans="1:7" x14ac:dyDescent="0.3">
      <c r="A912" s="49">
        <v>15</v>
      </c>
      <c r="B912" s="50" t="s">
        <v>1958</v>
      </c>
      <c r="C912" s="50" t="s">
        <v>51</v>
      </c>
      <c r="D912" s="50" t="s">
        <v>1115</v>
      </c>
      <c r="E912" s="50" t="s">
        <v>25</v>
      </c>
      <c r="F912" s="50" t="s">
        <v>25</v>
      </c>
      <c r="G912" s="50" t="s">
        <v>866</v>
      </c>
    </row>
    <row r="913" spans="1:7" x14ac:dyDescent="0.3">
      <c r="A913" s="49">
        <v>15</v>
      </c>
      <c r="B913" s="41" t="s">
        <v>747</v>
      </c>
      <c r="C913" s="50" t="s">
        <v>1586</v>
      </c>
      <c r="D913" s="50" t="s">
        <v>1587</v>
      </c>
      <c r="E913" s="50" t="s">
        <v>25</v>
      </c>
      <c r="F913" s="51" t="s">
        <v>25</v>
      </c>
      <c r="G913" s="50" t="s">
        <v>866</v>
      </c>
    </row>
    <row r="914" spans="1:7" x14ac:dyDescent="0.3">
      <c r="A914" s="49">
        <v>15</v>
      </c>
      <c r="B914" s="41" t="s">
        <v>1244</v>
      </c>
      <c r="C914" s="50" t="s">
        <v>1429</v>
      </c>
      <c r="D914" s="50" t="s">
        <v>1588</v>
      </c>
      <c r="E914" s="50" t="s">
        <v>25</v>
      </c>
      <c r="F914" s="51" t="s">
        <v>25</v>
      </c>
      <c r="G914" s="50" t="s">
        <v>866</v>
      </c>
    </row>
    <row r="915" spans="1:7" x14ac:dyDescent="0.3">
      <c r="A915" s="49">
        <v>15</v>
      </c>
      <c r="B915" s="41" t="s">
        <v>1423</v>
      </c>
      <c r="C915" s="50" t="s">
        <v>55</v>
      </c>
      <c r="D915" s="50" t="s">
        <v>1147</v>
      </c>
      <c r="E915" s="50" t="s">
        <v>25</v>
      </c>
      <c r="F915" s="51" t="s">
        <v>25</v>
      </c>
      <c r="G915" s="50" t="s">
        <v>866</v>
      </c>
    </row>
    <row r="916" spans="1:7" x14ac:dyDescent="0.3">
      <c r="A916" s="49">
        <v>15</v>
      </c>
      <c r="B916" s="41" t="s">
        <v>922</v>
      </c>
      <c r="C916" s="50" t="s">
        <v>670</v>
      </c>
      <c r="D916" s="50" t="s">
        <v>1221</v>
      </c>
      <c r="E916" s="50" t="s">
        <v>25</v>
      </c>
      <c r="F916" s="51" t="s">
        <v>25</v>
      </c>
      <c r="G916" s="50" t="s">
        <v>737</v>
      </c>
    </row>
    <row r="917" spans="1:7" x14ac:dyDescent="0.3">
      <c r="A917" s="49">
        <v>15</v>
      </c>
      <c r="B917" s="50" t="s">
        <v>2011</v>
      </c>
      <c r="C917" s="50" t="s">
        <v>46</v>
      </c>
      <c r="D917" s="50" t="s">
        <v>915</v>
      </c>
      <c r="E917" s="50" t="s">
        <v>25</v>
      </c>
      <c r="F917" s="50" t="s">
        <v>25</v>
      </c>
      <c r="G917" s="50" t="s">
        <v>866</v>
      </c>
    </row>
    <row r="918" spans="1:7" x14ac:dyDescent="0.3">
      <c r="A918" s="49">
        <v>15</v>
      </c>
      <c r="B918" s="41" t="s">
        <v>1120</v>
      </c>
      <c r="C918" s="50" t="s">
        <v>1273</v>
      </c>
      <c r="D918" s="50" t="s">
        <v>1593</v>
      </c>
      <c r="E918" s="50" t="s">
        <v>25</v>
      </c>
      <c r="F918" s="51" t="s">
        <v>25</v>
      </c>
      <c r="G918" s="50" t="s">
        <v>866</v>
      </c>
    </row>
    <row r="919" spans="1:7" x14ac:dyDescent="0.3">
      <c r="A919" s="49">
        <v>15</v>
      </c>
      <c r="B919" s="41" t="s">
        <v>515</v>
      </c>
      <c r="C919" s="50" t="s">
        <v>360</v>
      </c>
      <c r="D919" s="50" t="s">
        <v>1158</v>
      </c>
      <c r="E919" s="50" t="s">
        <v>25</v>
      </c>
      <c r="F919" s="51" t="s">
        <v>25</v>
      </c>
      <c r="G919" s="50" t="s">
        <v>866</v>
      </c>
    </row>
    <row r="920" spans="1:7" x14ac:dyDescent="0.3">
      <c r="A920" s="49">
        <v>15</v>
      </c>
      <c r="B920" s="41" t="s">
        <v>1509</v>
      </c>
      <c r="C920" s="50" t="s">
        <v>798</v>
      </c>
      <c r="D920" s="50" t="s">
        <v>1599</v>
      </c>
      <c r="E920" s="50" t="s">
        <v>39</v>
      </c>
      <c r="F920" s="51" t="s">
        <v>39</v>
      </c>
      <c r="G920" s="50" t="s">
        <v>866</v>
      </c>
    </row>
    <row r="921" spans="1:7" x14ac:dyDescent="0.3">
      <c r="A921" s="49">
        <v>15</v>
      </c>
      <c r="B921" s="41" t="s">
        <v>1401</v>
      </c>
      <c r="C921" s="50" t="s">
        <v>1464</v>
      </c>
      <c r="D921" s="50" t="s">
        <v>1602</v>
      </c>
      <c r="E921" s="50" t="s">
        <v>25</v>
      </c>
      <c r="F921" s="51" t="s">
        <v>25</v>
      </c>
      <c r="G921" s="50" t="s">
        <v>866</v>
      </c>
    </row>
    <row r="922" spans="1:7" x14ac:dyDescent="0.3">
      <c r="A922" s="49">
        <v>15</v>
      </c>
      <c r="B922" s="41" t="s">
        <v>1010</v>
      </c>
      <c r="C922" s="50" t="s">
        <v>409</v>
      </c>
      <c r="D922" s="50" t="s">
        <v>946</v>
      </c>
      <c r="E922" s="50" t="s">
        <v>25</v>
      </c>
      <c r="F922" s="51" t="s">
        <v>25</v>
      </c>
      <c r="G922" s="50" t="s">
        <v>866</v>
      </c>
    </row>
    <row r="923" spans="1:7" x14ac:dyDescent="0.3">
      <c r="A923" s="49">
        <v>15</v>
      </c>
      <c r="B923" s="41" t="s">
        <v>1297</v>
      </c>
      <c r="C923" s="50" t="s">
        <v>480</v>
      </c>
      <c r="D923" s="50" t="s">
        <v>1243</v>
      </c>
      <c r="E923" s="50" t="s">
        <v>25</v>
      </c>
      <c r="F923" s="51" t="s">
        <v>25</v>
      </c>
      <c r="G923" s="50" t="s">
        <v>866</v>
      </c>
    </row>
    <row r="924" spans="1:7" x14ac:dyDescent="0.3">
      <c r="A924" s="49">
        <v>15</v>
      </c>
      <c r="B924" s="41" t="s">
        <v>1412</v>
      </c>
      <c r="C924" s="50" t="s">
        <v>774</v>
      </c>
      <c r="D924" s="50" t="s">
        <v>1605</v>
      </c>
      <c r="E924" s="50" t="s">
        <v>25</v>
      </c>
      <c r="F924" s="51" t="s">
        <v>25</v>
      </c>
      <c r="G924" s="50" t="s">
        <v>866</v>
      </c>
    </row>
    <row r="925" spans="1:7" x14ac:dyDescent="0.3">
      <c r="A925" s="49">
        <v>15</v>
      </c>
      <c r="B925" s="41" t="s">
        <v>1003</v>
      </c>
      <c r="C925" s="50" t="s">
        <v>1409</v>
      </c>
      <c r="E925" s="50" t="s">
        <v>25</v>
      </c>
      <c r="F925" s="51" t="s">
        <v>25</v>
      </c>
      <c r="G925" s="50" t="s">
        <v>866</v>
      </c>
    </row>
    <row r="926" spans="1:7" x14ac:dyDescent="0.3">
      <c r="A926" s="49">
        <v>15</v>
      </c>
      <c r="B926" s="41" t="s">
        <v>1403</v>
      </c>
      <c r="C926" s="50" t="s">
        <v>213</v>
      </c>
      <c r="D926" s="50" t="s">
        <v>1116</v>
      </c>
      <c r="E926" s="50" t="s">
        <v>39</v>
      </c>
      <c r="F926" s="50" t="s">
        <v>39</v>
      </c>
      <c r="G926" s="50" t="s">
        <v>866</v>
      </c>
    </row>
    <row r="927" spans="1:7" x14ac:dyDescent="0.3">
      <c r="A927" s="49">
        <v>15</v>
      </c>
      <c r="B927" s="41" t="s">
        <v>1307</v>
      </c>
      <c r="C927" s="50" t="s">
        <v>183</v>
      </c>
      <c r="D927" s="50" t="s">
        <v>887</v>
      </c>
      <c r="E927" s="50" t="s">
        <v>25</v>
      </c>
      <c r="F927" s="51" t="s">
        <v>25</v>
      </c>
      <c r="G927" s="50" t="s">
        <v>866</v>
      </c>
    </row>
    <row r="928" spans="1:7" x14ac:dyDescent="0.3">
      <c r="A928" s="49">
        <v>15</v>
      </c>
      <c r="B928" s="50" t="s">
        <v>2009</v>
      </c>
      <c r="C928" s="50" t="s">
        <v>1611</v>
      </c>
      <c r="D928" s="50" t="s">
        <v>3280</v>
      </c>
      <c r="E928" s="50" t="s">
        <v>25</v>
      </c>
      <c r="F928" s="51" t="s">
        <v>25</v>
      </c>
      <c r="G928" s="50" t="s">
        <v>866</v>
      </c>
    </row>
    <row r="929" spans="1:7" x14ac:dyDescent="0.3">
      <c r="A929" s="49">
        <v>15</v>
      </c>
      <c r="B929" s="41" t="s">
        <v>1432</v>
      </c>
      <c r="C929" s="50" t="s">
        <v>183</v>
      </c>
      <c r="D929" s="50" t="s">
        <v>887</v>
      </c>
      <c r="E929" s="50" t="s">
        <v>25</v>
      </c>
      <c r="F929" s="51" t="s">
        <v>25</v>
      </c>
      <c r="G929" s="50" t="s">
        <v>866</v>
      </c>
    </row>
    <row r="930" spans="1:7" x14ac:dyDescent="0.3">
      <c r="A930" s="49">
        <v>15</v>
      </c>
      <c r="B930" s="41" t="s">
        <v>2703</v>
      </c>
      <c r="C930" s="50" t="s">
        <v>104</v>
      </c>
      <c r="D930" s="50" t="s">
        <v>1419</v>
      </c>
      <c r="E930" s="50" t="s">
        <v>25</v>
      </c>
      <c r="F930" s="51" t="s">
        <v>25</v>
      </c>
      <c r="G930" s="50" t="s">
        <v>866</v>
      </c>
    </row>
    <row r="931" spans="1:7" x14ac:dyDescent="0.3">
      <c r="A931" s="49">
        <v>15</v>
      </c>
      <c r="B931" s="41" t="s">
        <v>2006</v>
      </c>
      <c r="C931" s="50" t="s">
        <v>3452</v>
      </c>
      <c r="E931" s="50" t="s">
        <v>25</v>
      </c>
      <c r="F931" s="51" t="s">
        <v>25</v>
      </c>
      <c r="G931" s="50" t="s">
        <v>866</v>
      </c>
    </row>
  </sheetData>
  <autoFilter ref="A1:AD869" xr:uid="{5A3CDDD4-4845-4FAF-B738-2592C5BC4B76}"/>
  <conditionalFormatting sqref="B540">
    <cfRule type="duplicateValues" dxfId="17" priority="13"/>
    <cfRule type="duplicateValues" dxfId="16" priority="14"/>
  </conditionalFormatting>
  <conditionalFormatting sqref="B606">
    <cfRule type="duplicateValues" dxfId="15" priority="11"/>
    <cfRule type="duplicateValues" dxfId="14" priority="12"/>
  </conditionalFormatting>
  <conditionalFormatting sqref="B674">
    <cfRule type="duplicateValues" dxfId="13" priority="9"/>
    <cfRule type="duplicateValues" dxfId="12" priority="10"/>
  </conditionalFormatting>
  <conditionalFormatting sqref="B738">
    <cfRule type="duplicateValues" dxfId="11" priority="7"/>
    <cfRule type="duplicateValues" dxfId="10" priority="8"/>
  </conditionalFormatting>
  <conditionalFormatting sqref="B798">
    <cfRule type="duplicateValues" dxfId="9" priority="5"/>
    <cfRule type="duplicateValues" dxfId="8" priority="6"/>
  </conditionalFormatting>
  <conditionalFormatting sqref="B868:B869">
    <cfRule type="duplicateValues" dxfId="7" priority="3"/>
    <cfRule type="duplicateValues" dxfId="6" priority="4"/>
  </conditionalFormatting>
  <conditionalFormatting sqref="B930:B931">
    <cfRule type="duplicateValues" dxfId="5" priority="1"/>
    <cfRule type="duplicateValues" dxfId="4" priority="2"/>
  </conditionalFormatting>
  <pageMargins left="0.70866141732283472" right="0.70866141732283472" top="0.74803149606299213" bottom="0.74803149606299213" header="0.31496062992125984" footer="0.31496062992125984"/>
  <pageSetup scale="65" orientation="landscape" r:id="rId1"/>
  <headerFooter>
    <oddHeader>&amp;LDEUDORES UBER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7966-0CA2-4339-8496-B3FDC75F085F}">
  <sheetPr>
    <pageSetUpPr fitToPage="1"/>
  </sheetPr>
  <dimension ref="A1:AD1417"/>
  <sheetViews>
    <sheetView showGridLines="0" zoomScale="85" zoomScaleNormal="130" workbookViewId="0">
      <pane ySplit="1" topLeftCell="A2" activePane="bottomLeft" state="frozen"/>
      <selection pane="bottomLeft" activeCell="B1" sqref="B1"/>
    </sheetView>
  </sheetViews>
  <sheetFormatPr baseColWidth="10" defaultColWidth="14.44140625" defaultRowHeight="15" customHeight="1" x14ac:dyDescent="0.3"/>
  <cols>
    <col min="1" max="1" width="11" customWidth="1"/>
    <col min="2" max="2" width="8" customWidth="1"/>
    <col min="3" max="3" width="11.44140625" customWidth="1"/>
    <col min="4" max="4" width="10.5546875" customWidth="1"/>
    <col min="5" max="5" width="20.44140625" customWidth="1"/>
    <col min="6" max="6" width="42.109375" customWidth="1"/>
    <col min="7" max="7" width="35.88671875" hidden="1" customWidth="1"/>
    <col min="8" max="8" width="32.88671875" customWidth="1"/>
    <col min="9" max="9" width="9.109375" customWidth="1"/>
    <col min="10" max="10" width="6.44140625" customWidth="1"/>
    <col min="11" max="11" width="20.33203125" customWidth="1"/>
    <col min="12" max="12" width="10.44140625" customWidth="1"/>
    <col min="13" max="13" width="9.5546875" customWidth="1"/>
    <col min="14" max="14" width="2.44140625" customWidth="1"/>
    <col min="15" max="15" width="29.44140625" customWidth="1"/>
    <col min="16" max="16" width="60.6640625" customWidth="1"/>
    <col min="17" max="17" width="55.6640625" customWidth="1"/>
    <col min="18" max="30" width="10.5546875" customWidth="1"/>
  </cols>
  <sheetData>
    <row r="1" spans="1:30" ht="14.4" x14ac:dyDescent="0.3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5</v>
      </c>
      <c r="I1" s="66" t="s">
        <v>7</v>
      </c>
      <c r="J1" s="66" t="s">
        <v>8</v>
      </c>
      <c r="K1" s="66" t="s">
        <v>9</v>
      </c>
      <c r="L1" s="66" t="s">
        <v>1614</v>
      </c>
      <c r="M1" s="67" t="s">
        <v>10</v>
      </c>
      <c r="N1" s="68" t="s">
        <v>11</v>
      </c>
      <c r="O1" s="69" t="s">
        <v>12</v>
      </c>
      <c r="P1" s="66" t="s">
        <v>13</v>
      </c>
      <c r="Q1" s="70" t="s">
        <v>14</v>
      </c>
    </row>
    <row r="2" spans="1:30" ht="43.2" x14ac:dyDescent="0.3">
      <c r="A2" s="31">
        <f t="shared" ref="A2:A139" si="0">WEEKNUM(C2)</f>
        <v>36</v>
      </c>
      <c r="B2" s="71">
        <v>9</v>
      </c>
      <c r="C2" s="72">
        <v>45901</v>
      </c>
      <c r="D2" s="71" t="s">
        <v>15</v>
      </c>
      <c r="E2" s="73"/>
      <c r="F2" s="73" t="s">
        <v>1923</v>
      </c>
      <c r="G2" s="73"/>
      <c r="H2" s="73" t="s">
        <v>28</v>
      </c>
      <c r="I2" s="73"/>
      <c r="J2" s="73" t="s">
        <v>25</v>
      </c>
      <c r="K2" s="73"/>
      <c r="L2" s="73"/>
      <c r="M2" s="74"/>
      <c r="N2" s="75">
        <f>21060+1500+500+330+15100</f>
        <v>38490</v>
      </c>
      <c r="O2" s="73"/>
      <c r="P2" s="73" t="s">
        <v>1924</v>
      </c>
      <c r="Q2" s="76" t="s">
        <v>1925</v>
      </c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 spans="1:30" ht="14.4" x14ac:dyDescent="0.3">
      <c r="A3" s="1">
        <f t="shared" si="0"/>
        <v>34</v>
      </c>
      <c r="B3" s="1">
        <v>8</v>
      </c>
      <c r="C3" s="2">
        <v>45891</v>
      </c>
      <c r="D3" s="3" t="s">
        <v>15</v>
      </c>
      <c r="E3" s="3"/>
      <c r="F3" s="3" t="s">
        <v>16</v>
      </c>
      <c r="G3" s="3"/>
      <c r="H3" s="3" t="s">
        <v>17</v>
      </c>
      <c r="I3" s="3" t="s">
        <v>10</v>
      </c>
      <c r="J3" s="3" t="s">
        <v>18</v>
      </c>
      <c r="K3" s="3"/>
      <c r="L3" s="3"/>
      <c r="M3" s="9">
        <v>1300</v>
      </c>
      <c r="N3" s="4"/>
      <c r="O3" s="1"/>
      <c r="P3" s="1" t="s">
        <v>19</v>
      </c>
      <c r="Q3" s="5" t="s">
        <v>20</v>
      </c>
    </row>
    <row r="4" spans="1:30" ht="14.4" x14ac:dyDescent="0.3">
      <c r="A4" s="1">
        <f t="shared" si="0"/>
        <v>34</v>
      </c>
      <c r="B4" s="1">
        <v>8</v>
      </c>
      <c r="C4" s="2">
        <v>45891</v>
      </c>
      <c r="D4" s="3" t="s">
        <v>15</v>
      </c>
      <c r="E4" s="3"/>
      <c r="F4" s="3" t="s">
        <v>16</v>
      </c>
      <c r="G4" s="3"/>
      <c r="H4" s="3" t="s">
        <v>21</v>
      </c>
      <c r="I4" s="3" t="s">
        <v>10</v>
      </c>
      <c r="J4" s="3" t="s">
        <v>18</v>
      </c>
      <c r="K4" s="3"/>
      <c r="L4" s="3"/>
      <c r="M4" s="9">
        <v>1300</v>
      </c>
      <c r="N4" s="4"/>
      <c r="O4" s="1"/>
      <c r="P4" s="1" t="s">
        <v>19</v>
      </c>
      <c r="Q4" s="5" t="s">
        <v>20</v>
      </c>
    </row>
    <row r="5" spans="1:30" ht="14.4" x14ac:dyDescent="0.3">
      <c r="A5" s="1">
        <f t="shared" si="0"/>
        <v>34</v>
      </c>
      <c r="B5" s="1">
        <v>8</v>
      </c>
      <c r="C5" s="2">
        <v>45891</v>
      </c>
      <c r="D5" s="3" t="s">
        <v>15</v>
      </c>
      <c r="E5" s="3"/>
      <c r="F5" s="3" t="s">
        <v>16</v>
      </c>
      <c r="G5" s="3"/>
      <c r="H5" s="3" t="s">
        <v>22</v>
      </c>
      <c r="I5" s="3" t="s">
        <v>10</v>
      </c>
      <c r="J5" s="3" t="s">
        <v>18</v>
      </c>
      <c r="K5" s="3"/>
      <c r="L5" s="3"/>
      <c r="M5" s="9">
        <v>1300</v>
      </c>
      <c r="N5" s="4"/>
      <c r="O5" s="1"/>
      <c r="P5" s="1" t="s">
        <v>19</v>
      </c>
      <c r="Q5" s="5" t="s">
        <v>20</v>
      </c>
    </row>
    <row r="6" spans="1:30" ht="14.4" x14ac:dyDescent="0.3">
      <c r="A6" s="1">
        <f t="shared" si="0"/>
        <v>34</v>
      </c>
      <c r="B6" s="1">
        <v>8</v>
      </c>
      <c r="C6" s="2">
        <v>45892</v>
      </c>
      <c r="D6" s="3" t="s">
        <v>15</v>
      </c>
      <c r="E6" s="3"/>
      <c r="F6" s="3" t="s">
        <v>23</v>
      </c>
      <c r="G6" s="3"/>
      <c r="H6" s="3" t="s">
        <v>24</v>
      </c>
      <c r="I6" s="3" t="s">
        <v>10</v>
      </c>
      <c r="J6" s="3" t="s">
        <v>25</v>
      </c>
      <c r="K6" s="3"/>
      <c r="L6" s="3"/>
      <c r="M6" s="9">
        <v>400</v>
      </c>
      <c r="N6" s="4"/>
      <c r="O6" s="1"/>
      <c r="P6" s="1" t="s">
        <v>26</v>
      </c>
      <c r="Q6" s="5" t="s">
        <v>20</v>
      </c>
    </row>
    <row r="7" spans="1:30" ht="14.4" x14ac:dyDescent="0.3">
      <c r="A7" s="1">
        <f t="shared" si="0"/>
        <v>35</v>
      </c>
      <c r="B7" s="1">
        <v>8</v>
      </c>
      <c r="C7" s="2">
        <v>45899</v>
      </c>
      <c r="D7" s="3" t="s">
        <v>15</v>
      </c>
      <c r="E7" s="3"/>
      <c r="F7" s="3" t="s">
        <v>27</v>
      </c>
      <c r="G7" s="3"/>
      <c r="H7" s="3" t="s">
        <v>28</v>
      </c>
      <c r="I7" s="3" t="s">
        <v>10</v>
      </c>
      <c r="J7" s="3" t="s">
        <v>25</v>
      </c>
      <c r="K7" s="3"/>
      <c r="L7" s="3"/>
      <c r="M7" s="9">
        <v>50</v>
      </c>
      <c r="N7" s="4"/>
      <c r="O7" s="1"/>
      <c r="P7" s="1" t="s">
        <v>26</v>
      </c>
      <c r="Q7" s="5" t="s">
        <v>20</v>
      </c>
    </row>
    <row r="8" spans="1:30" ht="14.4" x14ac:dyDescent="0.3">
      <c r="A8" s="1">
        <f t="shared" si="0"/>
        <v>36</v>
      </c>
      <c r="B8" s="1">
        <v>9</v>
      </c>
      <c r="C8" s="2">
        <v>45902</v>
      </c>
      <c r="D8" s="3" t="s">
        <v>15</v>
      </c>
      <c r="E8" s="3"/>
      <c r="F8" s="3" t="s">
        <v>29</v>
      </c>
      <c r="G8" s="3"/>
      <c r="H8" s="3" t="s">
        <v>30</v>
      </c>
      <c r="I8" s="3" t="s">
        <v>10</v>
      </c>
      <c r="J8" s="3" t="s">
        <v>25</v>
      </c>
      <c r="K8" s="3"/>
      <c r="L8" s="3"/>
      <c r="M8" s="9">
        <v>4800</v>
      </c>
      <c r="N8" s="4"/>
      <c r="O8" s="1"/>
      <c r="P8" s="1" t="s">
        <v>31</v>
      </c>
      <c r="Q8" s="5" t="s">
        <v>20</v>
      </c>
    </row>
    <row r="9" spans="1:30" ht="14.4" x14ac:dyDescent="0.3">
      <c r="A9" s="1">
        <f t="shared" si="0"/>
        <v>36</v>
      </c>
      <c r="B9" s="1">
        <v>9</v>
      </c>
      <c r="C9" s="2">
        <v>45902</v>
      </c>
      <c r="D9" s="3" t="s">
        <v>15</v>
      </c>
      <c r="E9" s="3"/>
      <c r="F9" s="3" t="s">
        <v>32</v>
      </c>
      <c r="G9" s="3"/>
      <c r="H9" s="3" t="s">
        <v>33</v>
      </c>
      <c r="I9" s="3" t="s">
        <v>10</v>
      </c>
      <c r="J9" s="3" t="s">
        <v>25</v>
      </c>
      <c r="K9" s="3"/>
      <c r="L9" s="3"/>
      <c r="M9" s="9">
        <v>100</v>
      </c>
      <c r="N9" s="4"/>
      <c r="O9" s="1"/>
      <c r="P9" s="1" t="s">
        <v>34</v>
      </c>
      <c r="Q9" s="5" t="s">
        <v>20</v>
      </c>
    </row>
    <row r="10" spans="1:30" ht="14.4" x14ac:dyDescent="0.3">
      <c r="A10" s="1">
        <f t="shared" si="0"/>
        <v>36</v>
      </c>
      <c r="B10" s="1">
        <v>9</v>
      </c>
      <c r="C10" s="2">
        <v>45902</v>
      </c>
      <c r="D10" s="3" t="s">
        <v>15</v>
      </c>
      <c r="E10" s="3"/>
      <c r="F10" s="3" t="s">
        <v>35</v>
      </c>
      <c r="G10" s="3"/>
      <c r="H10" s="3" t="s">
        <v>36</v>
      </c>
      <c r="I10" s="3" t="s">
        <v>10</v>
      </c>
      <c r="J10" s="3" t="s">
        <v>25</v>
      </c>
      <c r="K10" s="3"/>
      <c r="L10" s="3"/>
      <c r="M10" s="9">
        <v>1000</v>
      </c>
      <c r="N10" s="4"/>
      <c r="O10" s="1"/>
      <c r="P10" s="1" t="s">
        <v>26</v>
      </c>
      <c r="Q10" s="5" t="s">
        <v>20</v>
      </c>
    </row>
    <row r="11" spans="1:30" ht="14.4" x14ac:dyDescent="0.3">
      <c r="A11" s="1">
        <f t="shared" si="0"/>
        <v>36</v>
      </c>
      <c r="B11" s="1">
        <v>9</v>
      </c>
      <c r="C11" s="2">
        <v>45902</v>
      </c>
      <c r="D11" s="3" t="s">
        <v>15</v>
      </c>
      <c r="E11" s="3"/>
      <c r="F11" s="3" t="s">
        <v>37</v>
      </c>
      <c r="G11" s="3"/>
      <c r="H11" s="3" t="s">
        <v>38</v>
      </c>
      <c r="I11" s="3" t="s">
        <v>10</v>
      </c>
      <c r="J11" s="3" t="s">
        <v>39</v>
      </c>
      <c r="K11" s="3"/>
      <c r="L11" s="3"/>
      <c r="M11" s="9">
        <v>350</v>
      </c>
      <c r="N11" s="4"/>
      <c r="O11" s="1"/>
      <c r="P11" s="1" t="s">
        <v>40</v>
      </c>
      <c r="Q11" s="5" t="s">
        <v>20</v>
      </c>
    </row>
    <row r="12" spans="1:30" ht="14.4" x14ac:dyDescent="0.3">
      <c r="A12" s="1">
        <f t="shared" si="0"/>
        <v>36</v>
      </c>
      <c r="B12" s="1">
        <v>9</v>
      </c>
      <c r="C12" s="2">
        <v>45902</v>
      </c>
      <c r="D12" s="3" t="s">
        <v>15</v>
      </c>
      <c r="E12" s="3"/>
      <c r="F12" s="3" t="s">
        <v>41</v>
      </c>
      <c r="G12" s="3"/>
      <c r="H12" s="3" t="s">
        <v>42</v>
      </c>
      <c r="I12" s="3" t="s">
        <v>10</v>
      </c>
      <c r="J12" s="3" t="s">
        <v>25</v>
      </c>
      <c r="K12" s="3"/>
      <c r="L12" s="3"/>
      <c r="M12" s="9">
        <v>270</v>
      </c>
      <c r="N12" s="4"/>
      <c r="O12" s="1"/>
      <c r="P12" s="1" t="s">
        <v>43</v>
      </c>
      <c r="Q12" s="5" t="s">
        <v>20</v>
      </c>
    </row>
    <row r="13" spans="1:30" ht="14.4" x14ac:dyDescent="0.3">
      <c r="A13" s="1">
        <f t="shared" si="0"/>
        <v>36</v>
      </c>
      <c r="B13" s="1">
        <v>9</v>
      </c>
      <c r="C13" s="2">
        <v>45902</v>
      </c>
      <c r="D13" s="3" t="s">
        <v>15</v>
      </c>
      <c r="E13" s="3"/>
      <c r="F13" s="3" t="s">
        <v>44</v>
      </c>
      <c r="G13" s="3"/>
      <c r="H13" s="3" t="s">
        <v>24</v>
      </c>
      <c r="I13" s="3" t="s">
        <v>10</v>
      </c>
      <c r="J13" s="3" t="s">
        <v>25</v>
      </c>
      <c r="K13" s="3"/>
      <c r="L13" s="3"/>
      <c r="M13" s="9">
        <v>40</v>
      </c>
      <c r="N13" s="4"/>
      <c r="O13" s="1"/>
      <c r="P13" s="1" t="s">
        <v>43</v>
      </c>
      <c r="Q13" s="5" t="s">
        <v>20</v>
      </c>
    </row>
    <row r="14" spans="1:30" ht="14.4" x14ac:dyDescent="0.3">
      <c r="A14" s="1">
        <f t="shared" si="0"/>
        <v>36</v>
      </c>
      <c r="B14" s="1">
        <v>9</v>
      </c>
      <c r="C14" s="2">
        <v>45902</v>
      </c>
      <c r="D14" s="3" t="s">
        <v>15</v>
      </c>
      <c r="E14" s="3"/>
      <c r="F14" s="3" t="s">
        <v>45</v>
      </c>
      <c r="G14" s="6"/>
      <c r="H14" s="3" t="s">
        <v>46</v>
      </c>
      <c r="I14" s="3" t="s">
        <v>10</v>
      </c>
      <c r="J14" s="3" t="s">
        <v>25</v>
      </c>
      <c r="K14" s="3"/>
      <c r="L14" s="3"/>
      <c r="M14" s="9">
        <v>100</v>
      </c>
      <c r="N14" s="4"/>
      <c r="O14" s="1"/>
      <c r="P14" s="1" t="s">
        <v>26</v>
      </c>
      <c r="Q14" s="5" t="s">
        <v>20</v>
      </c>
    </row>
    <row r="15" spans="1:30" ht="14.4" x14ac:dyDescent="0.3">
      <c r="A15" s="1">
        <f t="shared" si="0"/>
        <v>36</v>
      </c>
      <c r="B15" s="1">
        <v>9</v>
      </c>
      <c r="C15" s="2">
        <v>45902</v>
      </c>
      <c r="D15" s="3" t="s">
        <v>15</v>
      </c>
      <c r="E15" s="3"/>
      <c r="F15" s="3" t="s">
        <v>47</v>
      </c>
      <c r="G15" s="3"/>
      <c r="H15" s="3" t="s">
        <v>46</v>
      </c>
      <c r="I15" s="3" t="s">
        <v>10</v>
      </c>
      <c r="J15" s="3" t="s">
        <v>25</v>
      </c>
      <c r="K15" s="3"/>
      <c r="L15" s="3"/>
      <c r="M15" s="9">
        <v>756</v>
      </c>
      <c r="N15" s="4"/>
      <c r="O15" s="1"/>
      <c r="P15" s="1" t="s">
        <v>19</v>
      </c>
      <c r="Q15" s="5" t="s">
        <v>20</v>
      </c>
    </row>
    <row r="16" spans="1:30" ht="14.4" x14ac:dyDescent="0.3">
      <c r="A16" s="1">
        <f t="shared" si="0"/>
        <v>36</v>
      </c>
      <c r="B16" s="1">
        <v>9</v>
      </c>
      <c r="C16" s="2">
        <v>45903</v>
      </c>
      <c r="D16" s="3" t="s">
        <v>15</v>
      </c>
      <c r="E16" s="3"/>
      <c r="F16" s="3" t="s">
        <v>48</v>
      </c>
      <c r="G16" s="3"/>
      <c r="H16" s="3" t="s">
        <v>28</v>
      </c>
      <c r="I16" s="3" t="s">
        <v>10</v>
      </c>
      <c r="J16" s="3" t="s">
        <v>25</v>
      </c>
      <c r="K16" s="3"/>
      <c r="L16" s="3"/>
      <c r="M16" s="9">
        <v>1500</v>
      </c>
      <c r="N16" s="4"/>
      <c r="O16" s="1"/>
      <c r="P16" s="1" t="s">
        <v>49</v>
      </c>
      <c r="Q16" s="5" t="s">
        <v>20</v>
      </c>
    </row>
    <row r="17" spans="1:22" ht="14.4" x14ac:dyDescent="0.3">
      <c r="A17" s="1">
        <f t="shared" si="0"/>
        <v>36</v>
      </c>
      <c r="B17" s="1">
        <v>9</v>
      </c>
      <c r="C17" s="2">
        <v>45903</v>
      </c>
      <c r="D17" s="3" t="s">
        <v>15</v>
      </c>
      <c r="E17" s="3"/>
      <c r="F17" s="3" t="s">
        <v>50</v>
      </c>
      <c r="G17" s="3"/>
      <c r="H17" s="3" t="s">
        <v>51</v>
      </c>
      <c r="I17" s="3" t="s">
        <v>10</v>
      </c>
      <c r="J17" s="3" t="s">
        <v>25</v>
      </c>
      <c r="K17" s="3"/>
      <c r="L17" s="3"/>
      <c r="M17" s="9">
        <v>500</v>
      </c>
      <c r="N17" s="4"/>
      <c r="O17" s="1"/>
      <c r="P17" s="1" t="s">
        <v>19</v>
      </c>
      <c r="Q17" s="5" t="s">
        <v>20</v>
      </c>
    </row>
    <row r="18" spans="1:22" ht="14.4" x14ac:dyDescent="0.3">
      <c r="A18" s="1">
        <f t="shared" si="0"/>
        <v>36</v>
      </c>
      <c r="B18" s="1">
        <v>9</v>
      </c>
      <c r="C18" s="2">
        <v>45904</v>
      </c>
      <c r="D18" s="3" t="s">
        <v>15</v>
      </c>
      <c r="E18" s="3"/>
      <c r="F18" s="3" t="s">
        <v>52</v>
      </c>
      <c r="G18" s="3"/>
      <c r="H18" s="3" t="s">
        <v>53</v>
      </c>
      <c r="I18" s="3" t="s">
        <v>10</v>
      </c>
      <c r="J18" s="3" t="s">
        <v>25</v>
      </c>
      <c r="K18" s="3"/>
      <c r="L18" s="3"/>
      <c r="M18" s="9">
        <v>193000</v>
      </c>
      <c r="N18" s="4"/>
      <c r="O18" s="1"/>
      <c r="P18" s="1" t="s">
        <v>31</v>
      </c>
      <c r="Q18" s="5" t="s">
        <v>20</v>
      </c>
    </row>
    <row r="19" spans="1:22" ht="14.4" x14ac:dyDescent="0.3">
      <c r="A19" s="1">
        <f t="shared" si="0"/>
        <v>36</v>
      </c>
      <c r="B19" s="1">
        <v>9</v>
      </c>
      <c r="C19" s="2">
        <v>45904</v>
      </c>
      <c r="D19" s="3" t="s">
        <v>15</v>
      </c>
      <c r="E19" s="3"/>
      <c r="F19" s="3" t="s">
        <v>54</v>
      </c>
      <c r="G19" s="3"/>
      <c r="H19" s="3" t="s">
        <v>55</v>
      </c>
      <c r="I19" s="3" t="s">
        <v>10</v>
      </c>
      <c r="J19" s="3" t="s">
        <v>25</v>
      </c>
      <c r="K19" s="3"/>
      <c r="L19" s="3"/>
      <c r="M19" s="9">
        <v>193000</v>
      </c>
      <c r="N19" s="4"/>
      <c r="O19" s="1"/>
      <c r="P19" s="1" t="s">
        <v>31</v>
      </c>
      <c r="Q19" s="5" t="s">
        <v>20</v>
      </c>
    </row>
    <row r="20" spans="1:22" ht="14.4" x14ac:dyDescent="0.3">
      <c r="A20" s="1">
        <f t="shared" si="0"/>
        <v>36</v>
      </c>
      <c r="B20" s="1">
        <v>9</v>
      </c>
      <c r="C20" s="2">
        <v>45904</v>
      </c>
      <c r="D20" s="3" t="s">
        <v>15</v>
      </c>
      <c r="E20" s="3"/>
      <c r="F20" s="3" t="s">
        <v>56</v>
      </c>
      <c r="G20" s="3"/>
      <c r="H20" s="3" t="s">
        <v>57</v>
      </c>
      <c r="I20" s="3" t="s">
        <v>10</v>
      </c>
      <c r="J20" s="3" t="s">
        <v>25</v>
      </c>
      <c r="K20" s="3"/>
      <c r="L20" s="3"/>
      <c r="M20" s="9">
        <v>1740</v>
      </c>
      <c r="N20" s="4"/>
      <c r="O20" s="1"/>
      <c r="P20" s="1" t="s">
        <v>19</v>
      </c>
      <c r="Q20" s="5" t="s">
        <v>20</v>
      </c>
    </row>
    <row r="21" spans="1:22" ht="15.75" customHeight="1" x14ac:dyDescent="0.3">
      <c r="A21" s="1">
        <f t="shared" si="0"/>
        <v>36</v>
      </c>
      <c r="B21" s="1">
        <v>9</v>
      </c>
      <c r="C21" s="2">
        <v>45905</v>
      </c>
      <c r="D21" s="3" t="s">
        <v>15</v>
      </c>
      <c r="E21" s="3"/>
      <c r="F21" s="3" t="s">
        <v>58</v>
      </c>
      <c r="G21" s="3"/>
      <c r="H21" s="3" t="s">
        <v>59</v>
      </c>
      <c r="I21" s="3" t="s">
        <v>10</v>
      </c>
      <c r="J21" s="3" t="s">
        <v>25</v>
      </c>
      <c r="K21" s="3"/>
      <c r="L21" s="3"/>
      <c r="M21" s="9">
        <v>438</v>
      </c>
      <c r="N21" s="4"/>
      <c r="O21" s="1"/>
      <c r="P21" s="1" t="s">
        <v>60</v>
      </c>
      <c r="Q21" s="5" t="s">
        <v>20</v>
      </c>
    </row>
    <row r="22" spans="1:22" ht="15.75" customHeight="1" x14ac:dyDescent="0.3">
      <c r="A22" s="1">
        <f t="shared" si="0"/>
        <v>36</v>
      </c>
      <c r="B22" s="1">
        <v>9</v>
      </c>
      <c r="C22" s="2">
        <v>45905</v>
      </c>
      <c r="D22" s="3" t="s">
        <v>15</v>
      </c>
      <c r="E22" s="3"/>
      <c r="F22" s="3" t="s">
        <v>61</v>
      </c>
      <c r="G22" s="3"/>
      <c r="H22" s="3" t="s">
        <v>62</v>
      </c>
      <c r="I22" s="3" t="s">
        <v>10</v>
      </c>
      <c r="J22" s="3" t="s">
        <v>25</v>
      </c>
      <c r="K22" s="3"/>
      <c r="L22" s="3"/>
      <c r="M22" s="9">
        <v>239</v>
      </c>
      <c r="N22" s="4"/>
      <c r="O22" s="1"/>
      <c r="P22" s="1" t="s">
        <v>60</v>
      </c>
      <c r="Q22" s="5" t="s">
        <v>20</v>
      </c>
    </row>
    <row r="23" spans="1:22" ht="15.75" customHeight="1" x14ac:dyDescent="0.3">
      <c r="A23" s="1">
        <f t="shared" si="0"/>
        <v>36</v>
      </c>
      <c r="B23" s="1">
        <v>9</v>
      </c>
      <c r="C23" s="2">
        <v>45905</v>
      </c>
      <c r="D23" s="3" t="s">
        <v>15</v>
      </c>
      <c r="E23" s="3"/>
      <c r="F23" s="3" t="s">
        <v>63</v>
      </c>
      <c r="G23" s="3"/>
      <c r="H23" s="3" t="s">
        <v>64</v>
      </c>
      <c r="I23" s="3" t="s">
        <v>10</v>
      </c>
      <c r="J23" s="3" t="s">
        <v>25</v>
      </c>
      <c r="K23" s="3"/>
      <c r="L23" s="3"/>
      <c r="M23" s="9">
        <v>16760</v>
      </c>
      <c r="N23" s="4"/>
      <c r="O23" s="1"/>
      <c r="P23" s="1" t="s">
        <v>60</v>
      </c>
      <c r="Q23" s="5" t="s">
        <v>20</v>
      </c>
      <c r="V23" s="7"/>
    </row>
    <row r="24" spans="1:22" ht="15.75" customHeight="1" x14ac:dyDescent="0.3">
      <c r="A24" s="1">
        <f t="shared" si="0"/>
        <v>36</v>
      </c>
      <c r="B24" s="1">
        <v>9</v>
      </c>
      <c r="C24" s="2">
        <v>45905</v>
      </c>
      <c r="D24" s="3" t="s">
        <v>15</v>
      </c>
      <c r="E24" s="3"/>
      <c r="F24" s="3" t="s">
        <v>65</v>
      </c>
      <c r="G24" s="3"/>
      <c r="H24" s="3" t="s">
        <v>33</v>
      </c>
      <c r="I24" s="3" t="s">
        <v>10</v>
      </c>
      <c r="J24" s="3" t="s">
        <v>25</v>
      </c>
      <c r="K24" s="3"/>
      <c r="L24" s="3"/>
      <c r="M24" s="9">
        <v>200</v>
      </c>
      <c r="N24" s="4"/>
      <c r="O24" s="1"/>
      <c r="P24" s="1" t="s">
        <v>49</v>
      </c>
      <c r="Q24" s="5" t="s">
        <v>20</v>
      </c>
    </row>
    <row r="25" spans="1:22" ht="15.75" customHeight="1" x14ac:dyDescent="0.3">
      <c r="A25" s="1">
        <f t="shared" si="0"/>
        <v>36</v>
      </c>
      <c r="B25" s="1">
        <v>9</v>
      </c>
      <c r="C25" s="2">
        <v>45906</v>
      </c>
      <c r="D25" s="3" t="s">
        <v>15</v>
      </c>
      <c r="E25" s="3"/>
      <c r="F25" s="3" t="s">
        <v>27</v>
      </c>
      <c r="G25" s="3"/>
      <c r="H25" s="3" t="s">
        <v>28</v>
      </c>
      <c r="I25" s="3" t="s">
        <v>10</v>
      </c>
      <c r="J25" s="3" t="s">
        <v>25</v>
      </c>
      <c r="K25" s="3"/>
      <c r="L25" s="3"/>
      <c r="M25" s="9">
        <v>50</v>
      </c>
      <c r="N25" s="4"/>
      <c r="O25" s="1"/>
      <c r="P25" s="1" t="s">
        <v>26</v>
      </c>
      <c r="Q25" s="5" t="s">
        <v>20</v>
      </c>
    </row>
    <row r="26" spans="1:22" ht="15.75" customHeight="1" x14ac:dyDescent="0.3">
      <c r="A26" s="1">
        <f t="shared" si="0"/>
        <v>36</v>
      </c>
      <c r="B26" s="1">
        <v>9</v>
      </c>
      <c r="C26" s="2">
        <v>45906</v>
      </c>
      <c r="D26" s="3" t="s">
        <v>15</v>
      </c>
      <c r="E26" s="3"/>
      <c r="F26" s="3" t="s">
        <v>66</v>
      </c>
      <c r="G26" s="3"/>
      <c r="H26" s="3" t="s">
        <v>24</v>
      </c>
      <c r="I26" s="3" t="s">
        <v>10</v>
      </c>
      <c r="J26" s="3" t="s">
        <v>25</v>
      </c>
      <c r="K26" s="3"/>
      <c r="L26" s="3"/>
      <c r="M26" s="9">
        <v>1102</v>
      </c>
      <c r="N26" s="4"/>
      <c r="O26" s="1"/>
      <c r="P26" s="1" t="s">
        <v>60</v>
      </c>
      <c r="Q26" s="5" t="s">
        <v>20</v>
      </c>
    </row>
    <row r="27" spans="1:22" ht="15.75" customHeight="1" x14ac:dyDescent="0.3">
      <c r="A27" s="1">
        <f t="shared" si="0"/>
        <v>36</v>
      </c>
      <c r="B27" s="1">
        <v>9</v>
      </c>
      <c r="C27" s="2">
        <v>45906</v>
      </c>
      <c r="D27" s="3" t="s">
        <v>15</v>
      </c>
      <c r="E27" s="3"/>
      <c r="F27" s="3" t="s">
        <v>67</v>
      </c>
      <c r="G27" s="3"/>
      <c r="H27" s="3" t="s">
        <v>68</v>
      </c>
      <c r="I27" s="3" t="s">
        <v>10</v>
      </c>
      <c r="J27" s="3" t="s">
        <v>25</v>
      </c>
      <c r="K27" s="3"/>
      <c r="L27" s="3"/>
      <c r="M27" s="9">
        <v>1276</v>
      </c>
      <c r="N27" s="4"/>
      <c r="O27" s="1"/>
      <c r="P27" s="1" t="s">
        <v>60</v>
      </c>
      <c r="Q27" s="5" t="s">
        <v>20</v>
      </c>
    </row>
    <row r="28" spans="1:22" ht="15.75" customHeight="1" x14ac:dyDescent="0.3">
      <c r="A28" s="1">
        <f t="shared" si="0"/>
        <v>36</v>
      </c>
      <c r="B28" s="1">
        <v>9</v>
      </c>
      <c r="C28" s="2">
        <v>45906</v>
      </c>
      <c r="D28" s="3" t="s">
        <v>15</v>
      </c>
      <c r="E28" s="3"/>
      <c r="F28" s="3" t="s">
        <v>69</v>
      </c>
      <c r="G28" s="3"/>
      <c r="H28" s="3" t="s">
        <v>38</v>
      </c>
      <c r="I28" s="3" t="s">
        <v>10</v>
      </c>
      <c r="J28" s="3" t="s">
        <v>39</v>
      </c>
      <c r="K28" s="3"/>
      <c r="L28" s="3"/>
      <c r="M28" s="9">
        <v>1160</v>
      </c>
      <c r="N28" s="4"/>
      <c r="O28" s="1"/>
      <c r="P28" s="1" t="s">
        <v>60</v>
      </c>
      <c r="Q28" s="5" t="s">
        <v>20</v>
      </c>
    </row>
    <row r="29" spans="1:22" ht="15.75" customHeight="1" x14ac:dyDescent="0.3">
      <c r="A29" s="1">
        <f t="shared" si="0"/>
        <v>36</v>
      </c>
      <c r="B29" s="1">
        <v>9</v>
      </c>
      <c r="C29" s="2">
        <v>45906</v>
      </c>
      <c r="D29" s="3" t="s">
        <v>15</v>
      </c>
      <c r="E29" s="3"/>
      <c r="F29" s="3" t="s">
        <v>41</v>
      </c>
      <c r="G29" s="3"/>
      <c r="H29" s="3" t="s">
        <v>42</v>
      </c>
      <c r="I29" s="3" t="s">
        <v>10</v>
      </c>
      <c r="J29" s="3" t="s">
        <v>25</v>
      </c>
      <c r="K29" s="3"/>
      <c r="L29" s="3"/>
      <c r="M29" s="9">
        <v>280</v>
      </c>
      <c r="N29" s="4"/>
      <c r="O29" s="1"/>
      <c r="P29" s="1" t="s">
        <v>70</v>
      </c>
      <c r="Q29" s="5" t="s">
        <v>20</v>
      </c>
    </row>
    <row r="30" spans="1:22" ht="15.75" customHeight="1" x14ac:dyDescent="0.3">
      <c r="A30" s="1">
        <f t="shared" si="0"/>
        <v>36</v>
      </c>
      <c r="B30" s="1">
        <v>9</v>
      </c>
      <c r="C30" s="2">
        <v>45906</v>
      </c>
      <c r="D30" s="3" t="s">
        <v>15</v>
      </c>
      <c r="E30" s="3"/>
      <c r="F30" s="3" t="s">
        <v>71</v>
      </c>
      <c r="G30" s="3"/>
      <c r="H30" s="3" t="s">
        <v>42</v>
      </c>
      <c r="I30" s="3" t="s">
        <v>10</v>
      </c>
      <c r="J30" s="3" t="s">
        <v>25</v>
      </c>
      <c r="K30" s="3"/>
      <c r="L30" s="3"/>
      <c r="M30" s="9">
        <v>220</v>
      </c>
      <c r="N30" s="4"/>
      <c r="O30" s="1"/>
      <c r="P30" s="1" t="s">
        <v>72</v>
      </c>
      <c r="Q30" s="5" t="s">
        <v>20</v>
      </c>
    </row>
    <row r="31" spans="1:22" ht="15.75" customHeight="1" x14ac:dyDescent="0.3">
      <c r="A31" s="1">
        <f t="shared" si="0"/>
        <v>36</v>
      </c>
      <c r="B31" s="1">
        <v>9</v>
      </c>
      <c r="C31" s="2">
        <v>45906</v>
      </c>
      <c r="D31" s="3" t="s">
        <v>15</v>
      </c>
      <c r="E31" s="3"/>
      <c r="F31" s="3" t="s">
        <v>73</v>
      </c>
      <c r="G31" s="3"/>
      <c r="H31" s="3" t="s">
        <v>42</v>
      </c>
      <c r="I31" s="3" t="s">
        <v>10</v>
      </c>
      <c r="J31" s="3" t="s">
        <v>25</v>
      </c>
      <c r="K31" s="3"/>
      <c r="L31" s="3"/>
      <c r="M31" s="9">
        <v>150</v>
      </c>
      <c r="N31" s="4"/>
      <c r="O31" s="1"/>
      <c r="P31" s="1" t="s">
        <v>72</v>
      </c>
      <c r="Q31" s="5" t="s">
        <v>20</v>
      </c>
    </row>
    <row r="32" spans="1:22" ht="15.75" customHeight="1" x14ac:dyDescent="0.3">
      <c r="A32" s="1">
        <f t="shared" si="0"/>
        <v>36</v>
      </c>
      <c r="B32" s="1">
        <v>9</v>
      </c>
      <c r="C32" s="2">
        <v>45906</v>
      </c>
      <c r="D32" s="3" t="s">
        <v>15</v>
      </c>
      <c r="E32" s="3"/>
      <c r="F32" s="3" t="s">
        <v>32</v>
      </c>
      <c r="G32" s="3"/>
      <c r="H32" s="3" t="s">
        <v>33</v>
      </c>
      <c r="I32" s="3" t="s">
        <v>10</v>
      </c>
      <c r="J32" s="3" t="s">
        <v>25</v>
      </c>
      <c r="K32" s="3"/>
      <c r="L32" s="3"/>
      <c r="M32" s="9">
        <v>200</v>
      </c>
      <c r="N32" s="4"/>
      <c r="O32" s="1"/>
      <c r="P32" s="1" t="s">
        <v>49</v>
      </c>
      <c r="Q32" s="5" t="s">
        <v>20</v>
      </c>
    </row>
    <row r="33" spans="1:20" ht="15.75" customHeight="1" x14ac:dyDescent="0.3">
      <c r="A33" s="1">
        <f t="shared" si="0"/>
        <v>37</v>
      </c>
      <c r="B33" s="1">
        <v>9</v>
      </c>
      <c r="C33" s="2">
        <v>45908</v>
      </c>
      <c r="D33" s="3" t="s">
        <v>15</v>
      </c>
      <c r="E33" s="3"/>
      <c r="F33" s="3" t="s">
        <v>74</v>
      </c>
      <c r="G33" s="3"/>
      <c r="H33" s="3" t="s">
        <v>36</v>
      </c>
      <c r="I33" s="3" t="s">
        <v>10</v>
      </c>
      <c r="J33" s="3" t="s">
        <v>25</v>
      </c>
      <c r="K33" s="3"/>
      <c r="L33" s="3"/>
      <c r="M33" s="9">
        <v>450</v>
      </c>
      <c r="N33" s="4"/>
      <c r="O33" s="1"/>
      <c r="P33" s="1" t="s">
        <v>75</v>
      </c>
      <c r="Q33" s="5" t="s">
        <v>20</v>
      </c>
    </row>
    <row r="34" spans="1:20" ht="15.75" customHeight="1" x14ac:dyDescent="0.3">
      <c r="A34" s="1">
        <f t="shared" si="0"/>
        <v>37</v>
      </c>
      <c r="B34" s="1">
        <v>9</v>
      </c>
      <c r="C34" s="2">
        <v>45908</v>
      </c>
      <c r="D34" s="3" t="s">
        <v>15</v>
      </c>
      <c r="E34" s="3"/>
      <c r="F34" s="3" t="s">
        <v>76</v>
      </c>
      <c r="G34" s="3"/>
      <c r="H34" s="3" t="s">
        <v>36</v>
      </c>
      <c r="I34" s="3" t="s">
        <v>10</v>
      </c>
      <c r="J34" s="3" t="s">
        <v>25</v>
      </c>
      <c r="K34" s="3"/>
      <c r="L34" s="3"/>
      <c r="M34" s="9">
        <v>270</v>
      </c>
      <c r="N34" s="4"/>
      <c r="O34" s="1"/>
      <c r="P34" s="1" t="s">
        <v>75</v>
      </c>
      <c r="Q34" s="5" t="s">
        <v>20</v>
      </c>
    </row>
    <row r="35" spans="1:20" ht="15.75" customHeight="1" x14ac:dyDescent="0.3">
      <c r="A35" s="1">
        <f t="shared" si="0"/>
        <v>37</v>
      </c>
      <c r="B35" s="1">
        <v>9</v>
      </c>
      <c r="C35" s="2">
        <v>45908</v>
      </c>
      <c r="D35" s="3" t="s">
        <v>15</v>
      </c>
      <c r="E35" s="3"/>
      <c r="F35" s="3" t="s">
        <v>77</v>
      </c>
      <c r="G35" s="3"/>
      <c r="H35" s="3" t="s">
        <v>36</v>
      </c>
      <c r="I35" s="3" t="s">
        <v>10</v>
      </c>
      <c r="J35" s="3" t="s">
        <v>25</v>
      </c>
      <c r="K35" s="3"/>
      <c r="L35" s="3"/>
      <c r="M35" s="9">
        <v>120</v>
      </c>
      <c r="N35" s="4"/>
      <c r="O35" s="1"/>
      <c r="P35" s="1" t="s">
        <v>75</v>
      </c>
      <c r="Q35" s="5" t="s">
        <v>20</v>
      </c>
    </row>
    <row r="36" spans="1:20" ht="15.75" customHeight="1" x14ac:dyDescent="0.3">
      <c r="A36" s="1">
        <f t="shared" si="0"/>
        <v>37</v>
      </c>
      <c r="B36" s="1">
        <v>9</v>
      </c>
      <c r="C36" s="2">
        <v>45908</v>
      </c>
      <c r="D36" s="3" t="s">
        <v>15</v>
      </c>
      <c r="E36" s="33" t="s">
        <v>78</v>
      </c>
      <c r="F36" s="3" t="s">
        <v>79</v>
      </c>
      <c r="G36" s="3"/>
      <c r="H36" s="3" t="s">
        <v>80</v>
      </c>
      <c r="I36" s="3" t="s">
        <v>10</v>
      </c>
      <c r="J36" s="3" t="s">
        <v>18</v>
      </c>
      <c r="K36" s="3"/>
      <c r="L36" s="3"/>
      <c r="M36" s="9">
        <v>100</v>
      </c>
      <c r="N36" s="4"/>
      <c r="O36" s="1"/>
      <c r="P36" s="1" t="s">
        <v>75</v>
      </c>
      <c r="Q36" s="5" t="s">
        <v>20</v>
      </c>
    </row>
    <row r="37" spans="1:20" ht="15.75" customHeight="1" x14ac:dyDescent="0.3">
      <c r="A37" s="1">
        <f t="shared" si="0"/>
        <v>37</v>
      </c>
      <c r="B37" s="1">
        <v>9</v>
      </c>
      <c r="C37" s="2">
        <v>45909</v>
      </c>
      <c r="D37" s="3" t="s">
        <v>15</v>
      </c>
      <c r="E37" s="3"/>
      <c r="F37" s="3" t="s">
        <v>81</v>
      </c>
      <c r="G37" s="3"/>
      <c r="H37" s="3" t="s">
        <v>80</v>
      </c>
      <c r="I37" s="3" t="s">
        <v>10</v>
      </c>
      <c r="J37" s="3" t="s">
        <v>18</v>
      </c>
      <c r="K37" s="3"/>
      <c r="L37" s="3"/>
      <c r="M37" s="9">
        <v>363</v>
      </c>
      <c r="N37" s="4"/>
      <c r="O37" s="1"/>
      <c r="P37" s="1" t="s">
        <v>75</v>
      </c>
      <c r="Q37" s="5" t="s">
        <v>20</v>
      </c>
    </row>
    <row r="38" spans="1:20" ht="15.75" customHeight="1" x14ac:dyDescent="0.3">
      <c r="A38" s="1">
        <f t="shared" si="0"/>
        <v>37</v>
      </c>
      <c r="B38" s="1">
        <v>9</v>
      </c>
      <c r="C38" s="2">
        <v>45909</v>
      </c>
      <c r="D38" s="3" t="s">
        <v>15</v>
      </c>
      <c r="E38" s="3"/>
      <c r="F38" s="3" t="s">
        <v>82</v>
      </c>
      <c r="G38" s="3"/>
      <c r="H38" s="3" t="s">
        <v>68</v>
      </c>
      <c r="I38" s="3" t="s">
        <v>10</v>
      </c>
      <c r="J38" s="3" t="s">
        <v>25</v>
      </c>
      <c r="K38" s="3"/>
      <c r="L38" s="3"/>
      <c r="M38" s="9">
        <v>150</v>
      </c>
      <c r="N38" s="4"/>
      <c r="O38" s="1"/>
      <c r="P38" s="1" t="s">
        <v>75</v>
      </c>
      <c r="Q38" s="5" t="s">
        <v>20</v>
      </c>
    </row>
    <row r="39" spans="1:20" ht="15.75" customHeight="1" x14ac:dyDescent="0.3">
      <c r="A39" s="1">
        <f t="shared" si="0"/>
        <v>37</v>
      </c>
      <c r="B39" s="1">
        <v>9</v>
      </c>
      <c r="C39" s="2">
        <v>45910</v>
      </c>
      <c r="D39" s="3" t="s">
        <v>15</v>
      </c>
      <c r="E39" s="3"/>
      <c r="F39" s="3" t="s">
        <v>83</v>
      </c>
      <c r="G39" s="3"/>
      <c r="H39" s="3" t="s">
        <v>59</v>
      </c>
      <c r="I39" s="3" t="s">
        <v>10</v>
      </c>
      <c r="J39" s="3" t="s">
        <v>25</v>
      </c>
      <c r="K39" s="3"/>
      <c r="L39" s="3">
        <v>600</v>
      </c>
      <c r="M39" s="9">
        <v>600</v>
      </c>
      <c r="N39" s="4"/>
      <c r="O39" s="1"/>
      <c r="P39" s="1" t="s">
        <v>72</v>
      </c>
      <c r="Q39" s="5" t="s">
        <v>20</v>
      </c>
    </row>
    <row r="40" spans="1:20" ht="15.75" customHeight="1" x14ac:dyDescent="0.3">
      <c r="A40" s="1">
        <f t="shared" si="0"/>
        <v>37</v>
      </c>
      <c r="B40" s="1">
        <v>9</v>
      </c>
      <c r="C40" s="2">
        <v>45910</v>
      </c>
      <c r="D40" s="3" t="s">
        <v>15</v>
      </c>
      <c r="E40" s="3"/>
      <c r="F40" s="3" t="s">
        <v>84</v>
      </c>
      <c r="G40" s="3"/>
      <c r="H40" s="3" t="s">
        <v>85</v>
      </c>
      <c r="I40" s="3" t="s">
        <v>10</v>
      </c>
      <c r="J40" s="3" t="s">
        <v>25</v>
      </c>
      <c r="K40" s="3"/>
      <c r="L40" s="3">
        <v>250</v>
      </c>
      <c r="M40" s="9">
        <v>479.8</v>
      </c>
      <c r="N40" s="4"/>
      <c r="O40" s="1"/>
      <c r="P40" s="1" t="s">
        <v>49</v>
      </c>
      <c r="Q40" s="5" t="s">
        <v>86</v>
      </c>
    </row>
    <row r="41" spans="1:20" ht="15.75" customHeight="1" x14ac:dyDescent="0.3">
      <c r="A41" s="1">
        <f t="shared" si="0"/>
        <v>37</v>
      </c>
      <c r="B41" s="1">
        <v>9</v>
      </c>
      <c r="C41" s="2">
        <v>45910</v>
      </c>
      <c r="D41" s="3" t="s">
        <v>15</v>
      </c>
      <c r="E41" s="3"/>
      <c r="F41" s="3" t="s">
        <v>27</v>
      </c>
      <c r="G41" s="3"/>
      <c r="H41" s="3" t="s">
        <v>28</v>
      </c>
      <c r="I41" s="3" t="s">
        <v>10</v>
      </c>
      <c r="J41" s="3" t="s">
        <v>25</v>
      </c>
      <c r="K41" s="3"/>
      <c r="L41" s="3">
        <v>0</v>
      </c>
      <c r="M41" s="9">
        <v>50</v>
      </c>
      <c r="N41" s="4"/>
      <c r="O41" s="1"/>
      <c r="P41" s="1" t="s">
        <v>87</v>
      </c>
      <c r="Q41" s="5" t="s">
        <v>20</v>
      </c>
    </row>
    <row r="42" spans="1:20" ht="15.75" customHeight="1" x14ac:dyDescent="0.3">
      <c r="A42" s="1">
        <f t="shared" si="0"/>
        <v>37</v>
      </c>
      <c r="B42" s="1">
        <v>9</v>
      </c>
      <c r="C42" s="2">
        <v>45911</v>
      </c>
      <c r="D42" s="3" t="s">
        <v>15</v>
      </c>
      <c r="E42" s="3"/>
      <c r="F42" s="3" t="s">
        <v>88</v>
      </c>
      <c r="G42" s="3"/>
      <c r="H42" s="3" t="s">
        <v>46</v>
      </c>
      <c r="I42" s="3" t="s">
        <v>10</v>
      </c>
      <c r="J42" s="3" t="s">
        <v>25</v>
      </c>
      <c r="K42" s="3"/>
      <c r="L42" s="3">
        <v>555</v>
      </c>
      <c r="M42" s="9">
        <v>550</v>
      </c>
      <c r="N42" s="4"/>
      <c r="O42" s="1"/>
      <c r="P42" s="1" t="s">
        <v>49</v>
      </c>
      <c r="Q42" s="5" t="s">
        <v>89</v>
      </c>
    </row>
    <row r="43" spans="1:20" ht="15.75" customHeight="1" x14ac:dyDescent="0.3">
      <c r="A43" s="1">
        <f t="shared" si="0"/>
        <v>37</v>
      </c>
      <c r="B43" s="1">
        <v>9</v>
      </c>
      <c r="C43" s="2">
        <v>45911</v>
      </c>
      <c r="D43" s="3" t="s">
        <v>15</v>
      </c>
      <c r="E43" s="33" t="s">
        <v>78</v>
      </c>
      <c r="F43" s="3" t="s">
        <v>90</v>
      </c>
      <c r="G43" s="3"/>
      <c r="H43" s="3" t="s">
        <v>46</v>
      </c>
      <c r="I43" s="3" t="s">
        <v>10</v>
      </c>
      <c r="J43" s="3" t="s">
        <v>25</v>
      </c>
      <c r="K43" s="3"/>
      <c r="L43" s="3">
        <v>280</v>
      </c>
      <c r="M43" s="9">
        <f>82*4</f>
        <v>328</v>
      </c>
      <c r="N43" s="4"/>
      <c r="O43" s="1"/>
      <c r="P43" s="1" t="s">
        <v>49</v>
      </c>
      <c r="Q43" s="5" t="s">
        <v>91</v>
      </c>
    </row>
    <row r="44" spans="1:20" ht="15.75" customHeight="1" x14ac:dyDescent="0.3">
      <c r="A44" s="1">
        <f t="shared" si="0"/>
        <v>37</v>
      </c>
      <c r="B44" s="1">
        <v>9</v>
      </c>
      <c r="C44" s="2">
        <v>45911</v>
      </c>
      <c r="D44" s="3" t="s">
        <v>15</v>
      </c>
      <c r="E44" s="3"/>
      <c r="F44" s="3" t="s">
        <v>92</v>
      </c>
      <c r="G44" s="3"/>
      <c r="H44" s="3" t="s">
        <v>46</v>
      </c>
      <c r="I44" s="3" t="s">
        <v>10</v>
      </c>
      <c r="J44" s="3" t="s">
        <v>25</v>
      </c>
      <c r="K44" s="3"/>
      <c r="L44" s="3">
        <v>50</v>
      </c>
      <c r="M44" s="9">
        <v>0</v>
      </c>
      <c r="N44" s="4"/>
      <c r="O44" s="1"/>
      <c r="P44" s="1" t="s">
        <v>93</v>
      </c>
      <c r="Q44" s="5" t="s">
        <v>94</v>
      </c>
    </row>
    <row r="45" spans="1:20" ht="15.75" customHeight="1" x14ac:dyDescent="0.3">
      <c r="A45" s="1">
        <f t="shared" si="0"/>
        <v>37</v>
      </c>
      <c r="B45" s="1">
        <v>9</v>
      </c>
      <c r="C45" s="2">
        <v>45911</v>
      </c>
      <c r="D45" s="3" t="s">
        <v>15</v>
      </c>
      <c r="E45" s="3"/>
      <c r="F45" s="3" t="s">
        <v>95</v>
      </c>
      <c r="G45" s="3"/>
      <c r="H45" s="3" t="s">
        <v>46</v>
      </c>
      <c r="I45" s="3" t="s">
        <v>10</v>
      </c>
      <c r="J45" s="3" t="s">
        <v>25</v>
      </c>
      <c r="K45" s="3"/>
      <c r="L45" s="3">
        <v>35</v>
      </c>
      <c r="M45" s="9">
        <v>124</v>
      </c>
      <c r="N45" s="4"/>
      <c r="O45" s="1"/>
      <c r="P45" s="1" t="s">
        <v>49</v>
      </c>
      <c r="Q45" s="5" t="s">
        <v>96</v>
      </c>
    </row>
    <row r="46" spans="1:20" ht="15.75" customHeight="1" x14ac:dyDescent="0.3">
      <c r="A46" s="1">
        <f t="shared" si="0"/>
        <v>37</v>
      </c>
      <c r="B46" s="1">
        <v>9</v>
      </c>
      <c r="C46" s="2">
        <v>45911</v>
      </c>
      <c r="D46" s="3" t="s">
        <v>15</v>
      </c>
      <c r="E46" s="3" t="s">
        <v>78</v>
      </c>
      <c r="F46" s="3" t="s">
        <v>97</v>
      </c>
      <c r="G46" s="3"/>
      <c r="H46" s="3" t="s">
        <v>46</v>
      </c>
      <c r="I46" s="3" t="s">
        <v>10</v>
      </c>
      <c r="J46" s="3" t="s">
        <v>25</v>
      </c>
      <c r="K46" s="3"/>
      <c r="L46" s="3">
        <v>410</v>
      </c>
      <c r="M46" s="9">
        <v>397</v>
      </c>
      <c r="N46" s="4"/>
      <c r="O46" s="1"/>
      <c r="P46" s="1" t="s">
        <v>49</v>
      </c>
      <c r="Q46" s="5" t="s">
        <v>96</v>
      </c>
    </row>
    <row r="47" spans="1:20" ht="15.75" customHeight="1" x14ac:dyDescent="0.3">
      <c r="A47" s="1">
        <f t="shared" si="0"/>
        <v>37</v>
      </c>
      <c r="B47" s="1">
        <v>9</v>
      </c>
      <c r="C47" s="2">
        <v>45911</v>
      </c>
      <c r="D47" s="3" t="s">
        <v>15</v>
      </c>
      <c r="E47" s="3" t="s">
        <v>78</v>
      </c>
      <c r="F47" s="3" t="s">
        <v>98</v>
      </c>
      <c r="G47" s="3"/>
      <c r="H47" s="3" t="s">
        <v>46</v>
      </c>
      <c r="I47" s="3" t="s">
        <v>10</v>
      </c>
      <c r="J47" s="3" t="s">
        <v>25</v>
      </c>
      <c r="K47" s="3"/>
      <c r="L47" s="3">
        <v>410</v>
      </c>
      <c r="M47" s="9">
        <v>464</v>
      </c>
      <c r="N47" s="4"/>
      <c r="O47" s="1"/>
      <c r="P47" s="1" t="s">
        <v>49</v>
      </c>
      <c r="Q47" s="5" t="s">
        <v>99</v>
      </c>
      <c r="T47" s="8" t="s">
        <v>20</v>
      </c>
    </row>
    <row r="48" spans="1:20" ht="15.75" customHeight="1" x14ac:dyDescent="0.3">
      <c r="A48" s="1">
        <f t="shared" si="0"/>
        <v>37</v>
      </c>
      <c r="B48" s="1">
        <v>9</v>
      </c>
      <c r="C48" s="2">
        <v>45911</v>
      </c>
      <c r="D48" s="3" t="s">
        <v>15</v>
      </c>
      <c r="E48" s="3"/>
      <c r="F48" s="3" t="s">
        <v>88</v>
      </c>
      <c r="G48" s="3"/>
      <c r="H48" s="3" t="s">
        <v>100</v>
      </c>
      <c r="I48" s="3" t="s">
        <v>10</v>
      </c>
      <c r="J48" s="3" t="s">
        <v>25</v>
      </c>
      <c r="K48" s="3"/>
      <c r="L48" s="3">
        <v>555</v>
      </c>
      <c r="M48" s="9">
        <v>550</v>
      </c>
      <c r="N48" s="4"/>
      <c r="O48" s="1"/>
      <c r="P48" s="1" t="s">
        <v>49</v>
      </c>
      <c r="Q48" s="5" t="s">
        <v>86</v>
      </c>
    </row>
    <row r="49" spans="1:17" ht="15.75" customHeight="1" x14ac:dyDescent="0.3">
      <c r="A49" s="1">
        <f t="shared" si="0"/>
        <v>37</v>
      </c>
      <c r="B49" s="1">
        <v>9</v>
      </c>
      <c r="C49" s="2">
        <v>45911</v>
      </c>
      <c r="D49" s="3" t="s">
        <v>15</v>
      </c>
      <c r="E49" s="33" t="s">
        <v>78</v>
      </c>
      <c r="F49" s="3" t="s">
        <v>90</v>
      </c>
      <c r="G49" s="3"/>
      <c r="H49" s="3" t="s">
        <v>100</v>
      </c>
      <c r="I49" s="3" t="s">
        <v>10</v>
      </c>
      <c r="J49" s="3" t="s">
        <v>25</v>
      </c>
      <c r="K49" s="3"/>
      <c r="L49" s="3">
        <v>200</v>
      </c>
      <c r="M49" s="9">
        <v>0</v>
      </c>
      <c r="N49" s="4"/>
      <c r="O49" s="1"/>
      <c r="P49" s="1" t="s">
        <v>93</v>
      </c>
      <c r="Q49" s="5" t="s">
        <v>20</v>
      </c>
    </row>
    <row r="50" spans="1:17" ht="15.75" customHeight="1" x14ac:dyDescent="0.3">
      <c r="A50" s="1">
        <f t="shared" si="0"/>
        <v>37</v>
      </c>
      <c r="B50" s="1">
        <v>9</v>
      </c>
      <c r="C50" s="2">
        <v>45911</v>
      </c>
      <c r="D50" s="3" t="s">
        <v>15</v>
      </c>
      <c r="E50" s="3"/>
      <c r="F50" s="3" t="s">
        <v>92</v>
      </c>
      <c r="G50" s="3"/>
      <c r="H50" s="3" t="s">
        <v>100</v>
      </c>
      <c r="I50" s="3" t="s">
        <v>10</v>
      </c>
      <c r="J50" s="3" t="s">
        <v>25</v>
      </c>
      <c r="K50" s="9"/>
      <c r="L50" s="9">
        <v>40</v>
      </c>
      <c r="M50" s="78">
        <v>77</v>
      </c>
      <c r="N50" s="10"/>
      <c r="O50" s="1"/>
      <c r="P50" s="1" t="s">
        <v>49</v>
      </c>
      <c r="Q50" s="11" t="s">
        <v>86</v>
      </c>
    </row>
    <row r="51" spans="1:17" ht="15.75" customHeight="1" x14ac:dyDescent="0.3">
      <c r="A51" s="1">
        <f t="shared" si="0"/>
        <v>37</v>
      </c>
      <c r="B51" s="1">
        <v>9</v>
      </c>
      <c r="C51" s="2">
        <v>45911</v>
      </c>
      <c r="D51" s="3" t="s">
        <v>15</v>
      </c>
      <c r="E51" s="3"/>
      <c r="F51" s="3" t="s">
        <v>95</v>
      </c>
      <c r="G51" s="3"/>
      <c r="H51" s="3" t="s">
        <v>100</v>
      </c>
      <c r="I51" s="3" t="s">
        <v>10</v>
      </c>
      <c r="J51" s="3" t="s">
        <v>25</v>
      </c>
      <c r="K51" s="9"/>
      <c r="L51" s="9">
        <v>35</v>
      </c>
      <c r="M51" s="78">
        <v>49</v>
      </c>
      <c r="N51" s="10"/>
      <c r="O51" s="1"/>
      <c r="P51" s="1" t="s">
        <v>49</v>
      </c>
      <c r="Q51" s="11" t="s">
        <v>86</v>
      </c>
    </row>
    <row r="52" spans="1:17" ht="15.75" customHeight="1" x14ac:dyDescent="0.3">
      <c r="A52" s="1">
        <f t="shared" si="0"/>
        <v>37</v>
      </c>
      <c r="B52" s="1">
        <v>9</v>
      </c>
      <c r="C52" s="2">
        <v>45911</v>
      </c>
      <c r="D52" s="3" t="s">
        <v>15</v>
      </c>
      <c r="E52" s="3" t="s">
        <v>78</v>
      </c>
      <c r="F52" s="3" t="s">
        <v>97</v>
      </c>
      <c r="G52" s="3"/>
      <c r="H52" s="3" t="s">
        <v>100</v>
      </c>
      <c r="I52" s="3" t="s">
        <v>10</v>
      </c>
      <c r="J52" s="3" t="s">
        <v>25</v>
      </c>
      <c r="K52" s="9"/>
      <c r="L52" s="9">
        <v>480</v>
      </c>
      <c r="M52" s="78">
        <v>358</v>
      </c>
      <c r="N52" s="10"/>
      <c r="O52" s="1"/>
      <c r="P52" s="1" t="s">
        <v>49</v>
      </c>
      <c r="Q52" s="11" t="s">
        <v>86</v>
      </c>
    </row>
    <row r="53" spans="1:17" ht="15.75" customHeight="1" x14ac:dyDescent="0.3">
      <c r="A53" s="1">
        <f t="shared" si="0"/>
        <v>37</v>
      </c>
      <c r="B53" s="1">
        <v>9</v>
      </c>
      <c r="C53" s="2">
        <v>45911</v>
      </c>
      <c r="D53" s="3" t="s">
        <v>15</v>
      </c>
      <c r="E53" s="3"/>
      <c r="F53" s="3" t="s">
        <v>88</v>
      </c>
      <c r="G53" s="3"/>
      <c r="H53" s="3" t="s">
        <v>101</v>
      </c>
      <c r="I53" s="3" t="s">
        <v>10</v>
      </c>
      <c r="J53" s="3" t="s">
        <v>25</v>
      </c>
      <c r="K53" s="9"/>
      <c r="L53" s="9">
        <v>555</v>
      </c>
      <c r="M53" s="78">
        <v>550</v>
      </c>
      <c r="N53" s="10"/>
      <c r="O53" s="1"/>
      <c r="P53" s="1" t="s">
        <v>49</v>
      </c>
      <c r="Q53" s="11" t="s">
        <v>86</v>
      </c>
    </row>
    <row r="54" spans="1:17" ht="15.75" customHeight="1" x14ac:dyDescent="0.3">
      <c r="A54" s="1">
        <f t="shared" si="0"/>
        <v>37</v>
      </c>
      <c r="B54" s="1">
        <v>9</v>
      </c>
      <c r="C54" s="2">
        <v>45911</v>
      </c>
      <c r="D54" s="3" t="s">
        <v>15</v>
      </c>
      <c r="E54" s="33" t="s">
        <v>78</v>
      </c>
      <c r="F54" s="3" t="s">
        <v>90</v>
      </c>
      <c r="G54" s="3"/>
      <c r="H54" s="3" t="s">
        <v>101</v>
      </c>
      <c r="I54" s="3" t="s">
        <v>10</v>
      </c>
      <c r="J54" s="3" t="s">
        <v>25</v>
      </c>
      <c r="K54" s="9"/>
      <c r="L54" s="9">
        <v>280</v>
      </c>
      <c r="M54" s="78">
        <v>328</v>
      </c>
      <c r="N54" s="10"/>
      <c r="O54" s="1"/>
      <c r="P54" s="1" t="s">
        <v>49</v>
      </c>
      <c r="Q54" s="11" t="s">
        <v>86</v>
      </c>
    </row>
    <row r="55" spans="1:17" ht="15.75" customHeight="1" x14ac:dyDescent="0.3">
      <c r="A55" s="1">
        <f t="shared" si="0"/>
        <v>37</v>
      </c>
      <c r="B55" s="1">
        <v>9</v>
      </c>
      <c r="C55" s="2">
        <v>45911</v>
      </c>
      <c r="D55" s="3" t="s">
        <v>15</v>
      </c>
      <c r="E55" s="3"/>
      <c r="F55" s="3" t="s">
        <v>92</v>
      </c>
      <c r="G55" s="3"/>
      <c r="H55" s="3" t="s">
        <v>101</v>
      </c>
      <c r="I55" s="3" t="s">
        <v>10</v>
      </c>
      <c r="J55" s="3" t="s">
        <v>25</v>
      </c>
      <c r="K55" s="9"/>
      <c r="L55" s="9">
        <v>50</v>
      </c>
      <c r="M55" s="78">
        <v>0</v>
      </c>
      <c r="N55" s="10"/>
      <c r="O55" s="1"/>
      <c r="P55" s="1" t="s">
        <v>93</v>
      </c>
      <c r="Q55" s="5" t="s">
        <v>20</v>
      </c>
    </row>
    <row r="56" spans="1:17" ht="15.75" customHeight="1" x14ac:dyDescent="0.3">
      <c r="A56" s="1">
        <f t="shared" si="0"/>
        <v>37</v>
      </c>
      <c r="B56" s="1">
        <v>9</v>
      </c>
      <c r="C56" s="2">
        <v>45911</v>
      </c>
      <c r="D56" s="3" t="s">
        <v>15</v>
      </c>
      <c r="E56" s="3"/>
      <c r="F56" s="3" t="s">
        <v>95</v>
      </c>
      <c r="G56" s="3"/>
      <c r="H56" s="3" t="s">
        <v>101</v>
      </c>
      <c r="I56" s="3" t="s">
        <v>10</v>
      </c>
      <c r="J56" s="3" t="s">
        <v>25</v>
      </c>
      <c r="K56" s="9"/>
      <c r="L56" s="9">
        <v>35</v>
      </c>
      <c r="M56" s="78">
        <v>124</v>
      </c>
      <c r="N56" s="10"/>
      <c r="O56" s="1"/>
      <c r="P56" s="1" t="s">
        <v>49</v>
      </c>
      <c r="Q56" s="11" t="s">
        <v>86</v>
      </c>
    </row>
    <row r="57" spans="1:17" ht="15.75" customHeight="1" x14ac:dyDescent="0.3">
      <c r="A57" s="1">
        <f t="shared" si="0"/>
        <v>37</v>
      </c>
      <c r="B57" s="1">
        <v>9</v>
      </c>
      <c r="C57" s="2">
        <v>45911</v>
      </c>
      <c r="D57" s="3" t="s">
        <v>15</v>
      </c>
      <c r="E57" s="3" t="s">
        <v>78</v>
      </c>
      <c r="F57" s="3" t="s">
        <v>97</v>
      </c>
      <c r="G57" s="3"/>
      <c r="H57" s="3" t="s">
        <v>101</v>
      </c>
      <c r="I57" s="3" t="s">
        <v>10</v>
      </c>
      <c r="J57" s="3" t="s">
        <v>25</v>
      </c>
      <c r="K57" s="9"/>
      <c r="L57" s="9">
        <v>580</v>
      </c>
      <c r="M57" s="78">
        <v>397</v>
      </c>
      <c r="N57" s="10"/>
      <c r="O57" s="1"/>
      <c r="P57" s="1" t="s">
        <v>49</v>
      </c>
      <c r="Q57" s="11" t="s">
        <v>86</v>
      </c>
    </row>
    <row r="58" spans="1:17" ht="15.75" customHeight="1" x14ac:dyDescent="0.3">
      <c r="A58" s="1">
        <f t="shared" si="0"/>
        <v>37</v>
      </c>
      <c r="B58" s="1">
        <v>9</v>
      </c>
      <c r="C58" s="2">
        <v>45911</v>
      </c>
      <c r="D58" s="3" t="s">
        <v>15</v>
      </c>
      <c r="E58" s="3"/>
      <c r="F58" s="3" t="s">
        <v>102</v>
      </c>
      <c r="G58" s="3"/>
      <c r="H58" s="3" t="s">
        <v>28</v>
      </c>
      <c r="I58" s="3" t="s">
        <v>10</v>
      </c>
      <c r="J58" s="3" t="s">
        <v>25</v>
      </c>
      <c r="K58" s="9"/>
      <c r="L58" s="9">
        <v>1500</v>
      </c>
      <c r="M58" s="78">
        <v>1500</v>
      </c>
      <c r="N58" s="10"/>
      <c r="O58" s="1"/>
      <c r="P58" s="1" t="s">
        <v>49</v>
      </c>
      <c r="Q58" s="11" t="s">
        <v>86</v>
      </c>
    </row>
    <row r="59" spans="1:17" ht="15.75" customHeight="1" x14ac:dyDescent="0.3">
      <c r="A59" s="1">
        <f t="shared" si="0"/>
        <v>37</v>
      </c>
      <c r="B59" s="1">
        <v>9</v>
      </c>
      <c r="C59" s="2">
        <v>45912</v>
      </c>
      <c r="D59" s="3" t="s">
        <v>15</v>
      </c>
      <c r="E59" s="3"/>
      <c r="F59" s="3" t="s">
        <v>103</v>
      </c>
      <c r="G59" s="3"/>
      <c r="H59" s="3" t="s">
        <v>104</v>
      </c>
      <c r="I59" s="3" t="s">
        <v>10</v>
      </c>
      <c r="J59" s="3" t="s">
        <v>25</v>
      </c>
      <c r="K59" s="9"/>
      <c r="L59" s="9">
        <v>250</v>
      </c>
      <c r="M59" s="78">
        <v>250</v>
      </c>
      <c r="N59" s="12"/>
      <c r="O59" s="3"/>
      <c r="P59" s="3" t="s">
        <v>87</v>
      </c>
      <c r="Q59" s="5"/>
    </row>
    <row r="60" spans="1:17" ht="15.75" customHeight="1" x14ac:dyDescent="0.3">
      <c r="A60" s="1">
        <f t="shared" si="0"/>
        <v>37</v>
      </c>
      <c r="B60" s="1">
        <v>9</v>
      </c>
      <c r="C60" s="2">
        <v>45912</v>
      </c>
      <c r="D60" s="3" t="s">
        <v>15</v>
      </c>
      <c r="E60" s="3"/>
      <c r="F60" s="3" t="s">
        <v>105</v>
      </c>
      <c r="G60" s="3"/>
      <c r="H60" s="3" t="s">
        <v>85</v>
      </c>
      <c r="I60" s="3" t="s">
        <v>10</v>
      </c>
      <c r="J60" s="3" t="s">
        <v>25</v>
      </c>
      <c r="K60" s="9"/>
      <c r="L60" s="9">
        <v>720</v>
      </c>
      <c r="M60" s="78">
        <v>1131</v>
      </c>
      <c r="N60" s="10"/>
      <c r="O60" s="3"/>
      <c r="P60" s="3" t="s">
        <v>87</v>
      </c>
      <c r="Q60" s="5"/>
    </row>
    <row r="61" spans="1:17" ht="15.75" customHeight="1" x14ac:dyDescent="0.3">
      <c r="A61" s="1">
        <f t="shared" si="0"/>
        <v>37</v>
      </c>
      <c r="B61" s="1">
        <v>9</v>
      </c>
      <c r="C61" s="2">
        <v>45913</v>
      </c>
      <c r="D61" s="3" t="s">
        <v>15</v>
      </c>
      <c r="E61" s="3"/>
      <c r="F61" s="3" t="s">
        <v>106</v>
      </c>
      <c r="G61" s="3"/>
      <c r="H61" s="3" t="s">
        <v>104</v>
      </c>
      <c r="I61" s="3" t="s">
        <v>10</v>
      </c>
      <c r="J61" s="3" t="s">
        <v>25</v>
      </c>
      <c r="K61" s="9"/>
      <c r="L61" s="9">
        <v>100</v>
      </c>
      <c r="M61" s="78">
        <v>100</v>
      </c>
      <c r="N61" s="12"/>
      <c r="O61" s="3"/>
      <c r="P61" s="3" t="s">
        <v>87</v>
      </c>
      <c r="Q61" s="5"/>
    </row>
    <row r="62" spans="1:17" ht="15.75" customHeight="1" x14ac:dyDescent="0.3">
      <c r="A62" s="1">
        <f t="shared" si="0"/>
        <v>37</v>
      </c>
      <c r="B62" s="1">
        <v>9</v>
      </c>
      <c r="C62" s="2">
        <v>45913</v>
      </c>
      <c r="D62" s="3" t="s">
        <v>15</v>
      </c>
      <c r="E62" s="3"/>
      <c r="F62" s="3" t="s">
        <v>106</v>
      </c>
      <c r="G62" s="3"/>
      <c r="H62" s="3" t="s">
        <v>104</v>
      </c>
      <c r="I62" s="3" t="s">
        <v>10</v>
      </c>
      <c r="J62" s="3" t="s">
        <v>25</v>
      </c>
      <c r="K62" s="9"/>
      <c r="L62" s="9">
        <v>100</v>
      </c>
      <c r="M62" s="78">
        <v>100</v>
      </c>
      <c r="N62" s="12"/>
      <c r="O62" s="3"/>
      <c r="P62" s="3" t="s">
        <v>87</v>
      </c>
      <c r="Q62" s="5"/>
    </row>
    <row r="63" spans="1:17" ht="15.75" customHeight="1" x14ac:dyDescent="0.3">
      <c r="A63" s="1">
        <f t="shared" si="0"/>
        <v>37</v>
      </c>
      <c r="B63" s="1">
        <v>9</v>
      </c>
      <c r="C63" s="2">
        <v>45913</v>
      </c>
      <c r="D63" s="3" t="s">
        <v>15</v>
      </c>
      <c r="E63" s="3"/>
      <c r="F63" s="3" t="s">
        <v>106</v>
      </c>
      <c r="G63" s="3"/>
      <c r="H63" s="3" t="s">
        <v>62</v>
      </c>
      <c r="I63" s="3" t="s">
        <v>10</v>
      </c>
      <c r="J63" s="3" t="s">
        <v>25</v>
      </c>
      <c r="K63" s="9"/>
      <c r="L63" s="9">
        <v>100</v>
      </c>
      <c r="M63" s="78">
        <v>100</v>
      </c>
      <c r="N63" s="12"/>
      <c r="O63" s="3"/>
      <c r="P63" s="3" t="s">
        <v>87</v>
      </c>
      <c r="Q63" s="5"/>
    </row>
    <row r="64" spans="1:17" ht="15.75" customHeight="1" x14ac:dyDescent="0.3">
      <c r="A64" s="1">
        <f t="shared" si="0"/>
        <v>37</v>
      </c>
      <c r="B64" s="1">
        <v>9</v>
      </c>
      <c r="C64" s="2">
        <v>45913</v>
      </c>
      <c r="D64" s="3" t="s">
        <v>15</v>
      </c>
      <c r="E64" s="3"/>
      <c r="F64" s="3" t="s">
        <v>106</v>
      </c>
      <c r="G64" s="3"/>
      <c r="H64" s="3" t="s">
        <v>62</v>
      </c>
      <c r="I64" s="3" t="s">
        <v>10</v>
      </c>
      <c r="J64" s="3" t="s">
        <v>25</v>
      </c>
      <c r="K64" s="9"/>
      <c r="L64" s="9">
        <v>100</v>
      </c>
      <c r="M64" s="78">
        <v>100</v>
      </c>
      <c r="N64" s="12"/>
      <c r="O64" s="3"/>
      <c r="P64" s="3" t="s">
        <v>87</v>
      </c>
      <c r="Q64" s="5"/>
    </row>
    <row r="65" spans="1:17" ht="15.75" customHeight="1" x14ac:dyDescent="0.3">
      <c r="A65" s="1">
        <f t="shared" si="0"/>
        <v>37</v>
      </c>
      <c r="B65" s="1">
        <v>9</v>
      </c>
      <c r="C65" s="2">
        <v>45913</v>
      </c>
      <c r="D65" s="3" t="s">
        <v>15</v>
      </c>
      <c r="E65" s="3"/>
      <c r="F65" s="3" t="s">
        <v>107</v>
      </c>
      <c r="G65" s="3"/>
      <c r="H65" s="3" t="s">
        <v>22</v>
      </c>
      <c r="I65" s="3" t="s">
        <v>10</v>
      </c>
      <c r="J65" s="3" t="s">
        <v>18</v>
      </c>
      <c r="K65" s="9"/>
      <c r="L65" s="9">
        <v>100</v>
      </c>
      <c r="M65" s="78">
        <v>60</v>
      </c>
      <c r="N65" s="10"/>
      <c r="O65" s="3"/>
      <c r="P65" s="3" t="s">
        <v>87</v>
      </c>
      <c r="Q65" s="5"/>
    </row>
    <row r="66" spans="1:17" ht="15.75" customHeight="1" x14ac:dyDescent="0.3">
      <c r="A66" s="1">
        <f t="shared" si="0"/>
        <v>38</v>
      </c>
      <c r="B66" s="1">
        <v>9</v>
      </c>
      <c r="C66" s="2">
        <v>45915</v>
      </c>
      <c r="D66" s="3" t="s">
        <v>15</v>
      </c>
      <c r="E66" s="3"/>
      <c r="F66" s="3" t="s">
        <v>32</v>
      </c>
      <c r="G66" s="3"/>
      <c r="H66" s="3" t="s">
        <v>33</v>
      </c>
      <c r="I66" s="3" t="s">
        <v>10</v>
      </c>
      <c r="J66" s="3" t="s">
        <v>25</v>
      </c>
      <c r="K66" s="9"/>
      <c r="L66" s="9"/>
      <c r="M66" s="78">
        <v>50</v>
      </c>
      <c r="N66" s="10"/>
      <c r="O66" s="3"/>
      <c r="P66" s="3" t="s">
        <v>87</v>
      </c>
      <c r="Q66" s="5"/>
    </row>
    <row r="67" spans="1:17" ht="15.75" customHeight="1" x14ac:dyDescent="0.3">
      <c r="A67" s="1">
        <f t="shared" si="0"/>
        <v>38</v>
      </c>
      <c r="B67" s="1">
        <v>9</v>
      </c>
      <c r="C67" s="2">
        <v>45915</v>
      </c>
      <c r="D67" s="3" t="s">
        <v>15</v>
      </c>
      <c r="E67" s="3"/>
      <c r="F67" s="3" t="s">
        <v>108</v>
      </c>
      <c r="G67" s="3"/>
      <c r="H67" s="3" t="s">
        <v>24</v>
      </c>
      <c r="I67" s="3" t="s">
        <v>10</v>
      </c>
      <c r="J67" s="3" t="s">
        <v>25</v>
      </c>
      <c r="K67" s="9"/>
      <c r="L67" s="9"/>
      <c r="M67" s="78">
        <v>45</v>
      </c>
      <c r="N67" s="10"/>
      <c r="O67" s="3"/>
      <c r="P67" s="3" t="s">
        <v>87</v>
      </c>
      <c r="Q67" s="5"/>
    </row>
    <row r="68" spans="1:17" ht="15.75" customHeight="1" x14ac:dyDescent="0.3">
      <c r="A68" s="1">
        <f t="shared" si="0"/>
        <v>38</v>
      </c>
      <c r="B68" s="1">
        <v>9</v>
      </c>
      <c r="C68" s="2">
        <v>45915</v>
      </c>
      <c r="D68" s="3" t="s">
        <v>15</v>
      </c>
      <c r="E68" s="3"/>
      <c r="F68" s="3" t="s">
        <v>109</v>
      </c>
      <c r="G68" s="3"/>
      <c r="H68" s="3" t="s">
        <v>110</v>
      </c>
      <c r="I68" s="3" t="s">
        <v>10</v>
      </c>
      <c r="J68" s="3" t="s">
        <v>18</v>
      </c>
      <c r="K68" s="9"/>
      <c r="L68" s="9"/>
      <c r="M68" s="78">
        <v>100</v>
      </c>
      <c r="N68" s="10"/>
      <c r="O68" s="3"/>
      <c r="P68" s="3" t="s">
        <v>87</v>
      </c>
      <c r="Q68" s="5"/>
    </row>
    <row r="69" spans="1:17" ht="15.75" customHeight="1" x14ac:dyDescent="0.3">
      <c r="A69" s="1">
        <f t="shared" si="0"/>
        <v>38</v>
      </c>
      <c r="B69" s="1">
        <v>9</v>
      </c>
      <c r="C69" s="2">
        <v>45915</v>
      </c>
      <c r="D69" s="3" t="s">
        <v>15</v>
      </c>
      <c r="E69" s="3"/>
      <c r="F69" s="3" t="s">
        <v>111</v>
      </c>
      <c r="G69" s="3"/>
      <c r="H69" s="3" t="s">
        <v>24</v>
      </c>
      <c r="I69" s="3" t="s">
        <v>10</v>
      </c>
      <c r="J69" s="3" t="s">
        <v>25</v>
      </c>
      <c r="K69" s="9"/>
      <c r="L69" s="9"/>
      <c r="M69" s="78">
        <v>50</v>
      </c>
      <c r="N69" s="10"/>
      <c r="O69" s="3"/>
      <c r="P69" s="3" t="s">
        <v>87</v>
      </c>
      <c r="Q69" s="5"/>
    </row>
    <row r="70" spans="1:17" ht="15.75" customHeight="1" x14ac:dyDescent="0.3">
      <c r="A70" s="1">
        <f t="shared" si="0"/>
        <v>38</v>
      </c>
      <c r="B70" s="1">
        <v>9</v>
      </c>
      <c r="C70" s="2">
        <v>45917</v>
      </c>
      <c r="D70" s="3" t="s">
        <v>15</v>
      </c>
      <c r="E70" s="3"/>
      <c r="F70" s="3" t="s">
        <v>105</v>
      </c>
      <c r="G70" s="3"/>
      <c r="H70" s="3" t="s">
        <v>101</v>
      </c>
      <c r="I70" s="3" t="s">
        <v>10</v>
      </c>
      <c r="J70" s="3" t="s">
        <v>25</v>
      </c>
      <c r="K70" s="9"/>
      <c r="L70" s="9">
        <v>720</v>
      </c>
      <c r="M70" s="78">
        <v>740</v>
      </c>
      <c r="N70" s="10"/>
      <c r="O70" s="3"/>
      <c r="P70" s="3" t="s">
        <v>87</v>
      </c>
      <c r="Q70" s="11"/>
    </row>
    <row r="71" spans="1:17" ht="15.75" customHeight="1" x14ac:dyDescent="0.3">
      <c r="A71" s="1">
        <f t="shared" si="0"/>
        <v>38</v>
      </c>
      <c r="B71" s="1">
        <v>9</v>
      </c>
      <c r="C71" s="2">
        <v>45917</v>
      </c>
      <c r="D71" s="3" t="s">
        <v>15</v>
      </c>
      <c r="E71" s="3"/>
      <c r="F71" s="3" t="s">
        <v>112</v>
      </c>
      <c r="G71" s="3"/>
      <c r="H71" s="3" t="s">
        <v>62</v>
      </c>
      <c r="I71" s="3" t="s">
        <v>10</v>
      </c>
      <c r="J71" s="3" t="s">
        <v>25</v>
      </c>
      <c r="K71" s="9"/>
      <c r="L71" s="9"/>
      <c r="M71" s="78">
        <v>50</v>
      </c>
      <c r="N71" s="10"/>
      <c r="O71" s="3"/>
      <c r="P71" s="3" t="s">
        <v>87</v>
      </c>
      <c r="Q71" s="5"/>
    </row>
    <row r="72" spans="1:17" ht="15.75" customHeight="1" x14ac:dyDescent="0.3">
      <c r="A72" s="1">
        <f t="shared" si="0"/>
        <v>38</v>
      </c>
      <c r="B72" s="1">
        <v>9</v>
      </c>
      <c r="C72" s="2">
        <v>45918</v>
      </c>
      <c r="D72" s="3" t="s">
        <v>15</v>
      </c>
      <c r="E72" s="3"/>
      <c r="F72" s="3" t="s">
        <v>107</v>
      </c>
      <c r="G72" s="3"/>
      <c r="H72" s="3" t="s">
        <v>101</v>
      </c>
      <c r="I72" s="3" t="s">
        <v>10</v>
      </c>
      <c r="J72" s="3" t="s">
        <v>25</v>
      </c>
      <c r="K72" s="3"/>
      <c r="L72" s="3"/>
      <c r="M72" s="78">
        <v>40</v>
      </c>
      <c r="N72" s="12"/>
      <c r="O72" s="3"/>
      <c r="P72" s="3" t="s">
        <v>87</v>
      </c>
      <c r="Q72" s="5"/>
    </row>
    <row r="73" spans="1:17" ht="15.75" customHeight="1" x14ac:dyDescent="0.3">
      <c r="A73" s="1">
        <f t="shared" si="0"/>
        <v>38</v>
      </c>
      <c r="B73" s="1">
        <v>9</v>
      </c>
      <c r="C73" s="2">
        <v>45918</v>
      </c>
      <c r="D73" s="3" t="s">
        <v>15</v>
      </c>
      <c r="E73" s="3"/>
      <c r="F73" s="3" t="s">
        <v>113</v>
      </c>
      <c r="G73" s="3"/>
      <c r="H73" s="3" t="s">
        <v>104</v>
      </c>
      <c r="I73" s="3" t="s">
        <v>10</v>
      </c>
      <c r="J73" s="3" t="s">
        <v>25</v>
      </c>
      <c r="K73" s="3"/>
      <c r="L73" s="3">
        <v>1800</v>
      </c>
      <c r="M73" s="78">
        <v>2082</v>
      </c>
      <c r="N73" s="3"/>
      <c r="O73" s="3"/>
      <c r="P73" s="3" t="s">
        <v>87</v>
      </c>
      <c r="Q73" s="3"/>
    </row>
    <row r="74" spans="1:17" ht="15.75" customHeight="1" x14ac:dyDescent="0.3">
      <c r="A74" s="1">
        <f t="shared" si="0"/>
        <v>38</v>
      </c>
      <c r="B74" s="1">
        <v>9</v>
      </c>
      <c r="C74" s="2">
        <v>45918</v>
      </c>
      <c r="D74" s="3" t="s">
        <v>15</v>
      </c>
      <c r="E74" s="3"/>
      <c r="F74" s="3" t="s">
        <v>114</v>
      </c>
      <c r="G74" s="3"/>
      <c r="H74" s="3" t="s">
        <v>104</v>
      </c>
      <c r="I74" s="3" t="s">
        <v>10</v>
      </c>
      <c r="J74" s="3" t="s">
        <v>25</v>
      </c>
      <c r="K74" s="3"/>
      <c r="L74" s="3"/>
      <c r="M74" s="78">
        <v>18</v>
      </c>
      <c r="N74" s="3"/>
      <c r="O74" s="3"/>
      <c r="P74" s="3" t="s">
        <v>87</v>
      </c>
      <c r="Q74" s="3"/>
    </row>
    <row r="75" spans="1:17" ht="15.75" customHeight="1" x14ac:dyDescent="0.3">
      <c r="A75" s="1">
        <f t="shared" si="0"/>
        <v>38</v>
      </c>
      <c r="B75" s="1">
        <v>9</v>
      </c>
      <c r="C75" s="2">
        <v>45918</v>
      </c>
      <c r="D75" s="3" t="s">
        <v>15</v>
      </c>
      <c r="E75" s="3"/>
      <c r="F75" s="3" t="s">
        <v>115</v>
      </c>
      <c r="G75" s="3"/>
      <c r="H75" s="3" t="s">
        <v>116</v>
      </c>
      <c r="I75" s="3" t="s">
        <v>10</v>
      </c>
      <c r="J75" s="3" t="s">
        <v>25</v>
      </c>
      <c r="K75" s="3"/>
      <c r="L75" s="3"/>
      <c r="M75" s="78">
        <v>1500</v>
      </c>
      <c r="N75" s="3"/>
      <c r="O75" s="3"/>
      <c r="P75" s="3" t="s">
        <v>87</v>
      </c>
      <c r="Q75" s="3"/>
    </row>
    <row r="76" spans="1:17" ht="15.75" customHeight="1" x14ac:dyDescent="0.3">
      <c r="A76" s="1">
        <f t="shared" si="0"/>
        <v>38</v>
      </c>
      <c r="B76" s="1">
        <v>9</v>
      </c>
      <c r="C76" s="2">
        <v>45919</v>
      </c>
      <c r="D76" s="3" t="s">
        <v>15</v>
      </c>
      <c r="E76" s="3"/>
      <c r="F76" s="3" t="s">
        <v>117</v>
      </c>
      <c r="G76" s="3"/>
      <c r="H76" s="3" t="s">
        <v>118</v>
      </c>
      <c r="I76" s="3" t="s">
        <v>10</v>
      </c>
      <c r="J76" s="3" t="s">
        <v>25</v>
      </c>
      <c r="K76" s="3"/>
      <c r="L76" s="3"/>
      <c r="M76" s="78">
        <v>200</v>
      </c>
      <c r="N76" s="3"/>
      <c r="O76" s="3"/>
      <c r="P76" s="3" t="s">
        <v>87</v>
      </c>
      <c r="Q76" s="3"/>
    </row>
    <row r="77" spans="1:17" ht="15.75" customHeight="1" x14ac:dyDescent="0.3">
      <c r="A77" s="1">
        <f t="shared" si="0"/>
        <v>38</v>
      </c>
      <c r="B77" s="1">
        <v>9</v>
      </c>
      <c r="C77" s="2">
        <v>45919</v>
      </c>
      <c r="D77" s="3" t="s">
        <v>15</v>
      </c>
      <c r="E77" s="3"/>
      <c r="F77" s="3" t="s">
        <v>119</v>
      </c>
      <c r="G77" s="3"/>
      <c r="H77" s="3" t="s">
        <v>118</v>
      </c>
      <c r="I77" s="3" t="s">
        <v>10</v>
      </c>
      <c r="J77" s="3" t="s">
        <v>25</v>
      </c>
      <c r="K77" s="3"/>
      <c r="L77" s="3"/>
      <c r="M77" s="78">
        <v>50</v>
      </c>
      <c r="N77" s="3"/>
      <c r="O77" s="3"/>
      <c r="P77" s="3" t="s">
        <v>87</v>
      </c>
      <c r="Q77" s="3"/>
    </row>
    <row r="78" spans="1:17" ht="15.75" customHeight="1" x14ac:dyDescent="0.3">
      <c r="A78" s="1">
        <f t="shared" si="0"/>
        <v>38</v>
      </c>
      <c r="B78" s="1">
        <v>9</v>
      </c>
      <c r="C78" s="2">
        <v>45919</v>
      </c>
      <c r="D78" s="3" t="s">
        <v>15</v>
      </c>
      <c r="E78" s="3"/>
      <c r="F78" s="3" t="s">
        <v>88</v>
      </c>
      <c r="G78" s="3"/>
      <c r="H78" s="3" t="s">
        <v>120</v>
      </c>
      <c r="I78" s="3" t="s">
        <v>10</v>
      </c>
      <c r="J78" s="3" t="s">
        <v>25</v>
      </c>
      <c r="K78" s="9"/>
      <c r="L78" s="9">
        <v>555</v>
      </c>
      <c r="M78" s="78">
        <v>550</v>
      </c>
      <c r="N78" s="10"/>
      <c r="O78" s="3"/>
      <c r="P78" s="3" t="s">
        <v>87</v>
      </c>
      <c r="Q78" s="5"/>
    </row>
    <row r="79" spans="1:17" ht="15.75" customHeight="1" x14ac:dyDescent="0.3">
      <c r="A79" s="1">
        <f t="shared" si="0"/>
        <v>38</v>
      </c>
      <c r="B79" s="1">
        <v>9</v>
      </c>
      <c r="C79" s="2">
        <v>45919</v>
      </c>
      <c r="D79" s="3" t="s">
        <v>15</v>
      </c>
      <c r="E79" s="33" t="s">
        <v>78</v>
      </c>
      <c r="F79" s="3" t="s">
        <v>90</v>
      </c>
      <c r="G79" s="3"/>
      <c r="H79" s="3" t="s">
        <v>120</v>
      </c>
      <c r="I79" s="3" t="s">
        <v>10</v>
      </c>
      <c r="J79" s="3" t="s">
        <v>25</v>
      </c>
      <c r="K79" s="9"/>
      <c r="L79" s="9">
        <v>280</v>
      </c>
      <c r="M79" s="78">
        <v>0</v>
      </c>
      <c r="N79" s="10"/>
      <c r="O79" s="3"/>
      <c r="P79" s="3" t="s">
        <v>87</v>
      </c>
      <c r="Q79" s="5" t="s">
        <v>121</v>
      </c>
    </row>
    <row r="80" spans="1:17" ht="15.75" customHeight="1" x14ac:dyDescent="0.3">
      <c r="A80" s="1">
        <f t="shared" si="0"/>
        <v>38</v>
      </c>
      <c r="B80" s="1">
        <v>9</v>
      </c>
      <c r="C80" s="2">
        <v>45919</v>
      </c>
      <c r="D80" s="3" t="s">
        <v>15</v>
      </c>
      <c r="E80" s="3"/>
      <c r="F80" s="3" t="s">
        <v>92</v>
      </c>
      <c r="G80" s="3"/>
      <c r="H80" s="3" t="s">
        <v>120</v>
      </c>
      <c r="I80" s="3" t="s">
        <v>10</v>
      </c>
      <c r="J80" s="3" t="s">
        <v>25</v>
      </c>
      <c r="K80" s="9"/>
      <c r="L80" s="9">
        <v>50</v>
      </c>
      <c r="M80" s="78">
        <v>50</v>
      </c>
      <c r="N80" s="10"/>
      <c r="O80" s="3"/>
      <c r="P80" s="3" t="s">
        <v>87</v>
      </c>
      <c r="Q80" s="5"/>
    </row>
    <row r="81" spans="1:17" ht="15.75" customHeight="1" x14ac:dyDescent="0.3">
      <c r="A81" s="1">
        <f t="shared" si="0"/>
        <v>38</v>
      </c>
      <c r="B81" s="1">
        <v>9</v>
      </c>
      <c r="C81" s="2">
        <v>45919</v>
      </c>
      <c r="D81" s="3" t="s">
        <v>15</v>
      </c>
      <c r="E81" s="3"/>
      <c r="F81" s="3" t="s">
        <v>95</v>
      </c>
      <c r="G81" s="3"/>
      <c r="H81" s="3" t="s">
        <v>120</v>
      </c>
      <c r="I81" s="3" t="s">
        <v>10</v>
      </c>
      <c r="J81" s="3" t="s">
        <v>25</v>
      </c>
      <c r="K81" s="9"/>
      <c r="L81" s="9">
        <v>35</v>
      </c>
      <c r="M81" s="78">
        <v>50</v>
      </c>
      <c r="N81" s="10"/>
      <c r="O81" s="3"/>
      <c r="P81" s="3" t="s">
        <v>87</v>
      </c>
      <c r="Q81" s="5"/>
    </row>
    <row r="82" spans="1:17" ht="15.75" customHeight="1" x14ac:dyDescent="0.3">
      <c r="A82" s="1">
        <f t="shared" si="0"/>
        <v>38</v>
      </c>
      <c r="B82" s="1">
        <v>9</v>
      </c>
      <c r="C82" s="2">
        <v>45919</v>
      </c>
      <c r="D82" s="3" t="s">
        <v>15</v>
      </c>
      <c r="E82" s="3"/>
      <c r="F82" s="3" t="s">
        <v>122</v>
      </c>
      <c r="G82" s="3"/>
      <c r="H82" s="3" t="s">
        <v>123</v>
      </c>
      <c r="I82" s="3" t="s">
        <v>10</v>
      </c>
      <c r="J82" s="3" t="s">
        <v>25</v>
      </c>
      <c r="K82" s="3"/>
      <c r="L82" s="3"/>
      <c r="M82" s="78">
        <v>183</v>
      </c>
      <c r="N82" s="3"/>
      <c r="O82" s="3"/>
      <c r="P82" s="3" t="s">
        <v>87</v>
      </c>
      <c r="Q82" s="3"/>
    </row>
    <row r="83" spans="1:17" ht="15.75" customHeight="1" x14ac:dyDescent="0.3">
      <c r="A83" s="1">
        <f t="shared" si="0"/>
        <v>38</v>
      </c>
      <c r="B83" s="1">
        <v>9</v>
      </c>
      <c r="C83" s="2">
        <v>45919</v>
      </c>
      <c r="D83" s="3" t="s">
        <v>15</v>
      </c>
      <c r="E83" s="3"/>
      <c r="F83" s="3" t="s">
        <v>124</v>
      </c>
      <c r="G83" s="3"/>
      <c r="H83" s="3" t="s">
        <v>123</v>
      </c>
      <c r="I83" s="3" t="s">
        <v>10</v>
      </c>
      <c r="J83" s="3" t="s">
        <v>25</v>
      </c>
      <c r="K83" s="3"/>
      <c r="L83" s="3"/>
      <c r="M83" s="78">
        <v>365</v>
      </c>
      <c r="N83" s="3"/>
      <c r="O83" s="3"/>
      <c r="P83" s="3" t="s">
        <v>87</v>
      </c>
      <c r="Q83" s="3"/>
    </row>
    <row r="84" spans="1:17" ht="15.75" customHeight="1" x14ac:dyDescent="0.3">
      <c r="A84" s="1">
        <f t="shared" si="0"/>
        <v>38</v>
      </c>
      <c r="B84" s="1">
        <v>9</v>
      </c>
      <c r="C84" s="2">
        <v>45919</v>
      </c>
      <c r="D84" s="3" t="s">
        <v>15</v>
      </c>
      <c r="E84" s="3"/>
      <c r="F84" s="3" t="s">
        <v>32</v>
      </c>
      <c r="G84" s="3"/>
      <c r="H84" s="3" t="s">
        <v>33</v>
      </c>
      <c r="I84" s="3" t="s">
        <v>10</v>
      </c>
      <c r="J84" s="3" t="s">
        <v>25</v>
      </c>
      <c r="K84" s="3"/>
      <c r="L84" s="3"/>
      <c r="M84" s="78">
        <v>200</v>
      </c>
      <c r="N84" s="3"/>
      <c r="O84" s="3"/>
      <c r="P84" s="3" t="s">
        <v>87</v>
      </c>
      <c r="Q84" s="3"/>
    </row>
    <row r="85" spans="1:17" ht="15.75" customHeight="1" x14ac:dyDescent="0.3">
      <c r="A85" s="1">
        <f t="shared" si="0"/>
        <v>38</v>
      </c>
      <c r="B85" s="1">
        <v>9</v>
      </c>
      <c r="C85" s="2">
        <v>45919</v>
      </c>
      <c r="D85" s="3" t="s">
        <v>15</v>
      </c>
      <c r="E85" s="3"/>
      <c r="F85" s="3" t="s">
        <v>125</v>
      </c>
      <c r="G85" s="3"/>
      <c r="H85" s="3" t="s">
        <v>22</v>
      </c>
      <c r="I85" s="3" t="s">
        <v>10</v>
      </c>
      <c r="J85" s="3" t="s">
        <v>18</v>
      </c>
      <c r="K85" s="3"/>
      <c r="L85" s="3"/>
      <c r="M85" s="78">
        <v>966</v>
      </c>
      <c r="N85" s="3"/>
      <c r="O85" s="3"/>
      <c r="P85" s="3" t="s">
        <v>87</v>
      </c>
      <c r="Q85" s="3"/>
    </row>
    <row r="86" spans="1:17" ht="15.75" customHeight="1" x14ac:dyDescent="0.3">
      <c r="A86" s="1">
        <f t="shared" si="0"/>
        <v>38</v>
      </c>
      <c r="B86" s="1">
        <v>9</v>
      </c>
      <c r="C86" s="2">
        <v>45920</v>
      </c>
      <c r="D86" s="3" t="s">
        <v>15</v>
      </c>
      <c r="E86" s="3"/>
      <c r="F86" s="3" t="s">
        <v>126</v>
      </c>
      <c r="G86" s="3"/>
      <c r="H86" s="3" t="s">
        <v>123</v>
      </c>
      <c r="I86" s="3" t="s">
        <v>10</v>
      </c>
      <c r="J86" s="3" t="s">
        <v>25</v>
      </c>
      <c r="K86" s="3"/>
      <c r="L86" s="3"/>
      <c r="M86" s="78">
        <v>120</v>
      </c>
      <c r="N86" s="3"/>
      <c r="O86" s="3"/>
      <c r="P86" s="3" t="s">
        <v>87</v>
      </c>
      <c r="Q86" s="3"/>
    </row>
    <row r="87" spans="1:17" ht="15.75" customHeight="1" x14ac:dyDescent="0.3">
      <c r="A87" s="1">
        <f t="shared" si="0"/>
        <v>38</v>
      </c>
      <c r="B87" s="1">
        <v>9</v>
      </c>
      <c r="C87" s="2">
        <v>45920</v>
      </c>
      <c r="D87" s="3" t="s">
        <v>15</v>
      </c>
      <c r="E87" s="3"/>
      <c r="F87" s="3" t="s">
        <v>105</v>
      </c>
      <c r="G87" s="3"/>
      <c r="H87" s="3" t="s">
        <v>104</v>
      </c>
      <c r="I87" s="3" t="s">
        <v>10</v>
      </c>
      <c r="J87" s="3" t="s">
        <v>25</v>
      </c>
      <c r="K87" s="9"/>
      <c r="L87" s="9">
        <v>740</v>
      </c>
      <c r="M87" s="78">
        <v>740</v>
      </c>
      <c r="N87" s="12"/>
      <c r="O87" s="3"/>
      <c r="P87" s="3" t="s">
        <v>87</v>
      </c>
      <c r="Q87" s="5"/>
    </row>
    <row r="88" spans="1:17" ht="15.75" customHeight="1" x14ac:dyDescent="0.3">
      <c r="A88" s="1">
        <f t="shared" si="0"/>
        <v>38</v>
      </c>
      <c r="B88" s="1">
        <v>9</v>
      </c>
      <c r="C88" s="2">
        <v>45920</v>
      </c>
      <c r="D88" s="3" t="s">
        <v>15</v>
      </c>
      <c r="E88" s="3"/>
      <c r="F88" s="3" t="s">
        <v>127</v>
      </c>
      <c r="G88" s="3"/>
      <c r="H88" s="3" t="s">
        <v>85</v>
      </c>
      <c r="I88" s="3" t="s">
        <v>10</v>
      </c>
      <c r="J88" s="3" t="s">
        <v>25</v>
      </c>
      <c r="K88" s="3"/>
      <c r="L88" s="3"/>
      <c r="M88" s="78">
        <v>250</v>
      </c>
      <c r="N88" s="3"/>
      <c r="O88" s="3"/>
      <c r="P88" s="3" t="s">
        <v>87</v>
      </c>
      <c r="Q88" s="3"/>
    </row>
    <row r="89" spans="1:17" ht="15.75" customHeight="1" x14ac:dyDescent="0.3">
      <c r="A89" s="1">
        <f t="shared" si="0"/>
        <v>38</v>
      </c>
      <c r="B89" s="1">
        <v>9</v>
      </c>
      <c r="C89" s="2">
        <v>45920</v>
      </c>
      <c r="D89" s="3" t="s">
        <v>15</v>
      </c>
      <c r="E89" s="3"/>
      <c r="F89" s="3" t="s">
        <v>128</v>
      </c>
      <c r="G89" s="3"/>
      <c r="H89" s="3" t="s">
        <v>104</v>
      </c>
      <c r="I89" s="3" t="s">
        <v>10</v>
      </c>
      <c r="J89" s="3" t="s">
        <v>25</v>
      </c>
      <c r="K89" s="3"/>
      <c r="L89" s="3"/>
      <c r="M89" s="78">
        <v>50</v>
      </c>
      <c r="N89" s="3"/>
      <c r="O89" s="3"/>
      <c r="P89" s="3" t="s">
        <v>87</v>
      </c>
      <c r="Q89" s="3"/>
    </row>
    <row r="90" spans="1:17" ht="15.75" customHeight="1" x14ac:dyDescent="0.3">
      <c r="A90" s="1">
        <f t="shared" si="0"/>
        <v>38</v>
      </c>
      <c r="B90" s="1">
        <v>9</v>
      </c>
      <c r="C90" s="2">
        <v>45920</v>
      </c>
      <c r="D90" s="3" t="s">
        <v>15</v>
      </c>
      <c r="E90" s="3"/>
      <c r="F90" s="3" t="s">
        <v>129</v>
      </c>
      <c r="G90" s="3"/>
      <c r="H90" s="3" t="s">
        <v>130</v>
      </c>
      <c r="I90" s="3" t="s">
        <v>10</v>
      </c>
      <c r="J90" s="3" t="s">
        <v>18</v>
      </c>
      <c r="K90" s="3"/>
      <c r="L90" s="3"/>
      <c r="M90" s="78">
        <v>100</v>
      </c>
      <c r="N90" s="3"/>
      <c r="O90" s="3"/>
      <c r="P90" s="3" t="s">
        <v>87</v>
      </c>
      <c r="Q90" s="3"/>
    </row>
    <row r="91" spans="1:17" ht="15.75" customHeight="1" x14ac:dyDescent="0.3">
      <c r="A91" s="1">
        <f t="shared" si="0"/>
        <v>38</v>
      </c>
      <c r="B91" s="1">
        <v>9</v>
      </c>
      <c r="C91" s="2">
        <v>45920</v>
      </c>
      <c r="D91" s="3" t="s">
        <v>15</v>
      </c>
      <c r="E91" s="3"/>
      <c r="F91" s="3" t="s">
        <v>131</v>
      </c>
      <c r="G91" s="3"/>
      <c r="H91" s="3" t="s">
        <v>17</v>
      </c>
      <c r="I91" s="3" t="s">
        <v>10</v>
      </c>
      <c r="J91" s="3" t="s">
        <v>18</v>
      </c>
      <c r="K91" s="3"/>
      <c r="L91" s="3"/>
      <c r="M91" s="78">
        <v>200</v>
      </c>
      <c r="N91" s="3"/>
      <c r="O91" s="3"/>
      <c r="P91" s="3" t="s">
        <v>87</v>
      </c>
      <c r="Q91" s="3"/>
    </row>
    <row r="92" spans="1:17" ht="15.75" customHeight="1" x14ac:dyDescent="0.3">
      <c r="A92" s="1">
        <f t="shared" si="0"/>
        <v>39</v>
      </c>
      <c r="B92" s="1">
        <v>9</v>
      </c>
      <c r="C92" s="2">
        <v>45922</v>
      </c>
      <c r="D92" s="3" t="s">
        <v>15</v>
      </c>
      <c r="E92" s="3"/>
      <c r="F92" s="3" t="s">
        <v>132</v>
      </c>
      <c r="G92" s="3"/>
      <c r="H92" s="3" t="s">
        <v>130</v>
      </c>
      <c r="I92" s="3" t="s">
        <v>10</v>
      </c>
      <c r="J92" s="3" t="s">
        <v>18</v>
      </c>
      <c r="K92" s="3"/>
      <c r="L92" s="3"/>
      <c r="M92" s="78">
        <v>120</v>
      </c>
      <c r="N92" s="3"/>
      <c r="O92" s="3"/>
      <c r="P92" s="3" t="s">
        <v>87</v>
      </c>
      <c r="Q92" s="3"/>
    </row>
    <row r="93" spans="1:17" ht="15.75" customHeight="1" x14ac:dyDescent="0.3">
      <c r="A93" s="1">
        <f t="shared" si="0"/>
        <v>39</v>
      </c>
      <c r="B93" s="1">
        <v>9</v>
      </c>
      <c r="C93" s="2">
        <v>45922</v>
      </c>
      <c r="D93" s="3" t="s">
        <v>15</v>
      </c>
      <c r="E93" s="3"/>
      <c r="F93" s="3" t="s">
        <v>133</v>
      </c>
      <c r="G93" s="3"/>
      <c r="H93" s="3" t="s">
        <v>104</v>
      </c>
      <c r="I93" s="3" t="s">
        <v>10</v>
      </c>
      <c r="J93" s="3" t="s">
        <v>25</v>
      </c>
      <c r="K93" s="3"/>
      <c r="L93" s="3"/>
      <c r="M93" s="78">
        <v>500</v>
      </c>
      <c r="N93" s="3"/>
      <c r="O93" s="3"/>
      <c r="P93" s="3" t="s">
        <v>87</v>
      </c>
      <c r="Q93" s="3"/>
    </row>
    <row r="94" spans="1:17" ht="15.75" customHeight="1" x14ac:dyDescent="0.3">
      <c r="A94" s="1">
        <f t="shared" si="0"/>
        <v>39</v>
      </c>
      <c r="B94" s="1">
        <v>9</v>
      </c>
      <c r="C94" s="2">
        <v>45922</v>
      </c>
      <c r="D94" s="3" t="s">
        <v>15</v>
      </c>
      <c r="E94" s="3"/>
      <c r="F94" s="3" t="s">
        <v>125</v>
      </c>
      <c r="G94" s="3"/>
      <c r="H94" s="3" t="s">
        <v>22</v>
      </c>
      <c r="I94" s="3" t="s">
        <v>10</v>
      </c>
      <c r="J94" s="3" t="s">
        <v>18</v>
      </c>
      <c r="K94" s="3"/>
      <c r="L94" s="3"/>
      <c r="M94" s="78">
        <v>807</v>
      </c>
      <c r="N94" s="3"/>
      <c r="O94" s="3"/>
      <c r="P94" s="3" t="s">
        <v>87</v>
      </c>
      <c r="Q94" s="3"/>
    </row>
    <row r="95" spans="1:17" ht="15.75" customHeight="1" x14ac:dyDescent="0.3">
      <c r="A95" s="1">
        <f t="shared" si="0"/>
        <v>39</v>
      </c>
      <c r="B95" s="1">
        <v>9</v>
      </c>
      <c r="C95" s="2">
        <v>45922</v>
      </c>
      <c r="D95" s="3" t="s">
        <v>15</v>
      </c>
      <c r="E95" s="3"/>
      <c r="F95" s="3" t="s">
        <v>125</v>
      </c>
      <c r="G95" s="3"/>
      <c r="H95" s="3" t="s">
        <v>22</v>
      </c>
      <c r="I95" s="3" t="s">
        <v>10</v>
      </c>
      <c r="J95" s="3" t="s">
        <v>18</v>
      </c>
      <c r="K95" s="3"/>
      <c r="L95" s="3"/>
      <c r="M95" s="78">
        <v>200</v>
      </c>
      <c r="N95" s="3"/>
      <c r="O95" s="3"/>
      <c r="P95" s="3" t="s">
        <v>87</v>
      </c>
      <c r="Q95" s="5"/>
    </row>
    <row r="96" spans="1:17" ht="15.75" customHeight="1" x14ac:dyDescent="0.3">
      <c r="A96" s="1">
        <f t="shared" si="0"/>
        <v>39</v>
      </c>
      <c r="B96" s="1">
        <v>9</v>
      </c>
      <c r="C96" s="2">
        <v>45922</v>
      </c>
      <c r="D96" s="3" t="s">
        <v>15</v>
      </c>
      <c r="E96" s="3"/>
      <c r="F96" s="3" t="s">
        <v>134</v>
      </c>
      <c r="G96" s="3"/>
      <c r="H96" s="3" t="s">
        <v>123</v>
      </c>
      <c r="I96" s="3" t="s">
        <v>10</v>
      </c>
      <c r="J96" s="3" t="s">
        <v>25</v>
      </c>
      <c r="K96" s="3"/>
      <c r="L96" s="3"/>
      <c r="M96" s="78">
        <v>440</v>
      </c>
      <c r="N96" s="3"/>
      <c r="O96" s="3"/>
      <c r="P96" s="3" t="s">
        <v>87</v>
      </c>
      <c r="Q96" s="3"/>
    </row>
    <row r="97" spans="1:17" ht="15.75" customHeight="1" x14ac:dyDescent="0.3">
      <c r="A97" s="1">
        <f t="shared" si="0"/>
        <v>39</v>
      </c>
      <c r="B97" s="1">
        <v>9</v>
      </c>
      <c r="C97" s="2">
        <v>45923</v>
      </c>
      <c r="D97" s="3" t="s">
        <v>15</v>
      </c>
      <c r="E97" s="3"/>
      <c r="F97" s="3" t="s">
        <v>105</v>
      </c>
      <c r="G97" s="3"/>
      <c r="H97" s="3" t="s">
        <v>135</v>
      </c>
      <c r="I97" s="3" t="s">
        <v>10</v>
      </c>
      <c r="J97" s="3" t="s">
        <v>25</v>
      </c>
      <c r="K97" s="9"/>
      <c r="L97" s="9">
        <v>720</v>
      </c>
      <c r="M97" s="78">
        <v>740</v>
      </c>
      <c r="N97" s="10"/>
      <c r="O97" s="3"/>
      <c r="P97" s="3" t="s">
        <v>87</v>
      </c>
      <c r="Q97" s="5"/>
    </row>
    <row r="98" spans="1:17" ht="15.75" customHeight="1" x14ac:dyDescent="0.3">
      <c r="A98" s="1">
        <f t="shared" si="0"/>
        <v>39</v>
      </c>
      <c r="B98" s="1">
        <v>9</v>
      </c>
      <c r="C98" s="2">
        <v>45923</v>
      </c>
      <c r="D98" s="3" t="s">
        <v>15</v>
      </c>
      <c r="E98" s="3"/>
      <c r="F98" s="3" t="s">
        <v>136</v>
      </c>
      <c r="G98" s="3"/>
      <c r="H98" s="3" t="s">
        <v>100</v>
      </c>
      <c r="I98" s="3" t="s">
        <v>10</v>
      </c>
      <c r="J98" s="3" t="s">
        <v>25</v>
      </c>
      <c r="K98" s="3"/>
      <c r="L98" s="3"/>
      <c r="M98" s="78">
        <v>30</v>
      </c>
      <c r="N98" s="10"/>
      <c r="O98" s="3"/>
      <c r="P98" s="3" t="s">
        <v>87</v>
      </c>
      <c r="Q98" s="5"/>
    </row>
    <row r="99" spans="1:17" ht="15.75" customHeight="1" x14ac:dyDescent="0.3">
      <c r="A99" s="1">
        <f t="shared" si="0"/>
        <v>39</v>
      </c>
      <c r="B99" s="1">
        <v>9</v>
      </c>
      <c r="C99" s="2">
        <v>45923</v>
      </c>
      <c r="D99" s="3" t="s">
        <v>15</v>
      </c>
      <c r="E99" s="3"/>
      <c r="F99" s="3" t="s">
        <v>137</v>
      </c>
      <c r="G99" s="3"/>
      <c r="H99" s="3" t="s">
        <v>24</v>
      </c>
      <c r="I99" s="3" t="s">
        <v>10</v>
      </c>
      <c r="J99" s="3" t="s">
        <v>25</v>
      </c>
      <c r="K99" s="3"/>
      <c r="L99" s="3"/>
      <c r="M99" s="78">
        <v>250</v>
      </c>
      <c r="N99" s="10"/>
      <c r="O99" s="3"/>
      <c r="P99" s="3" t="s">
        <v>87</v>
      </c>
      <c r="Q99" s="5"/>
    </row>
    <row r="100" spans="1:17" ht="15.75" customHeight="1" x14ac:dyDescent="0.3">
      <c r="A100" s="1">
        <f t="shared" si="0"/>
        <v>39</v>
      </c>
      <c r="B100" s="1">
        <v>9</v>
      </c>
      <c r="C100" s="2">
        <v>45923</v>
      </c>
      <c r="D100" s="3" t="s">
        <v>15</v>
      </c>
      <c r="E100" s="3"/>
      <c r="F100" s="3" t="s">
        <v>138</v>
      </c>
      <c r="G100" s="3"/>
      <c r="H100" s="3" t="s">
        <v>110</v>
      </c>
      <c r="I100" s="3" t="s">
        <v>10</v>
      </c>
      <c r="J100" s="3" t="s">
        <v>18</v>
      </c>
      <c r="K100" s="3"/>
      <c r="L100" s="3"/>
      <c r="M100" s="78">
        <v>40</v>
      </c>
      <c r="N100" s="10"/>
      <c r="O100" s="3"/>
      <c r="P100" s="3" t="s">
        <v>87</v>
      </c>
      <c r="Q100" s="5"/>
    </row>
    <row r="101" spans="1:17" ht="15.75" customHeight="1" x14ac:dyDescent="0.3">
      <c r="A101" s="1">
        <f t="shared" si="0"/>
        <v>39</v>
      </c>
      <c r="B101" s="1">
        <v>9</v>
      </c>
      <c r="C101" s="2">
        <v>45923</v>
      </c>
      <c r="D101" s="3" t="s">
        <v>15</v>
      </c>
      <c r="E101" s="3"/>
      <c r="F101" s="3" t="s">
        <v>139</v>
      </c>
      <c r="G101" s="3"/>
      <c r="H101" s="3" t="s">
        <v>24</v>
      </c>
      <c r="I101" s="3" t="s">
        <v>10</v>
      </c>
      <c r="J101" s="3" t="s">
        <v>25</v>
      </c>
      <c r="K101" s="3"/>
      <c r="L101" s="3"/>
      <c r="M101" s="78">
        <v>20</v>
      </c>
      <c r="N101" s="10"/>
      <c r="O101" s="3"/>
      <c r="P101" s="3" t="s">
        <v>87</v>
      </c>
      <c r="Q101" s="5"/>
    </row>
    <row r="102" spans="1:17" ht="15.75" customHeight="1" x14ac:dyDescent="0.3">
      <c r="A102" s="1">
        <f t="shared" si="0"/>
        <v>39</v>
      </c>
      <c r="B102" s="1">
        <v>9</v>
      </c>
      <c r="C102" s="2">
        <v>45923</v>
      </c>
      <c r="D102" s="3" t="s">
        <v>15</v>
      </c>
      <c r="E102" s="3"/>
      <c r="F102" s="3" t="s">
        <v>140</v>
      </c>
      <c r="G102" s="3"/>
      <c r="H102" s="3" t="s">
        <v>17</v>
      </c>
      <c r="I102" s="3" t="s">
        <v>10</v>
      </c>
      <c r="J102" s="3" t="s">
        <v>18</v>
      </c>
      <c r="K102" s="3"/>
      <c r="L102" s="3"/>
      <c r="M102" s="78">
        <v>135</v>
      </c>
      <c r="N102" s="10"/>
      <c r="O102" s="3"/>
      <c r="P102" s="3" t="s">
        <v>141</v>
      </c>
      <c r="Q102" s="5"/>
    </row>
    <row r="103" spans="1:17" ht="15.75" customHeight="1" x14ac:dyDescent="0.3">
      <c r="A103" s="1">
        <f t="shared" si="0"/>
        <v>39</v>
      </c>
      <c r="B103" s="1">
        <v>9</v>
      </c>
      <c r="C103" s="2">
        <v>45923</v>
      </c>
      <c r="D103" s="3" t="s">
        <v>15</v>
      </c>
      <c r="E103" s="3"/>
      <c r="F103" s="3" t="s">
        <v>142</v>
      </c>
      <c r="G103" s="3"/>
      <c r="H103" s="3" t="s">
        <v>17</v>
      </c>
      <c r="I103" s="3" t="s">
        <v>10</v>
      </c>
      <c r="J103" s="3" t="s">
        <v>18</v>
      </c>
      <c r="K103" s="3"/>
      <c r="L103" s="3"/>
      <c r="M103" s="78">
        <v>165</v>
      </c>
      <c r="N103" s="10"/>
      <c r="O103" s="3"/>
      <c r="P103" s="3" t="s">
        <v>141</v>
      </c>
      <c r="Q103" s="5"/>
    </row>
    <row r="104" spans="1:17" ht="15.75" customHeight="1" x14ac:dyDescent="0.3">
      <c r="A104" s="1">
        <f t="shared" si="0"/>
        <v>39</v>
      </c>
      <c r="B104" s="1">
        <v>9</v>
      </c>
      <c r="C104" s="2">
        <v>45923</v>
      </c>
      <c r="D104" s="3" t="s">
        <v>15</v>
      </c>
      <c r="E104" s="3"/>
      <c r="F104" s="3" t="s">
        <v>127</v>
      </c>
      <c r="G104" s="3"/>
      <c r="H104" s="3" t="s">
        <v>17</v>
      </c>
      <c r="I104" s="3" t="s">
        <v>10</v>
      </c>
      <c r="J104" s="3" t="s">
        <v>18</v>
      </c>
      <c r="K104" s="3"/>
      <c r="L104" s="3"/>
      <c r="M104" s="78">
        <v>150</v>
      </c>
      <c r="N104" s="10"/>
      <c r="O104" s="3"/>
      <c r="P104" s="3" t="s">
        <v>141</v>
      </c>
      <c r="Q104" s="5"/>
    </row>
    <row r="105" spans="1:17" ht="15.75" customHeight="1" x14ac:dyDescent="0.3">
      <c r="A105" s="1">
        <f t="shared" si="0"/>
        <v>39</v>
      </c>
      <c r="B105" s="1">
        <v>9</v>
      </c>
      <c r="C105" s="2">
        <v>45923</v>
      </c>
      <c r="D105" s="3" t="s">
        <v>15</v>
      </c>
      <c r="E105" s="3"/>
      <c r="F105" s="3" t="s">
        <v>127</v>
      </c>
      <c r="G105" s="3"/>
      <c r="H105" s="3" t="s">
        <v>24</v>
      </c>
      <c r="I105" s="3" t="s">
        <v>10</v>
      </c>
      <c r="J105" s="3" t="s">
        <v>25</v>
      </c>
      <c r="K105" s="3"/>
      <c r="L105" s="3"/>
      <c r="M105" s="78">
        <v>300</v>
      </c>
      <c r="N105" s="10"/>
      <c r="O105" s="3"/>
      <c r="P105" s="3" t="s">
        <v>87</v>
      </c>
      <c r="Q105" s="5"/>
    </row>
    <row r="106" spans="1:17" ht="15.75" customHeight="1" x14ac:dyDescent="0.3">
      <c r="A106" s="1">
        <f t="shared" si="0"/>
        <v>39</v>
      </c>
      <c r="B106" s="1">
        <v>9</v>
      </c>
      <c r="C106" s="2">
        <v>45923</v>
      </c>
      <c r="D106" s="3" t="s">
        <v>15</v>
      </c>
      <c r="E106" s="3"/>
      <c r="F106" s="3" t="s">
        <v>143</v>
      </c>
      <c r="G106" s="3"/>
      <c r="H106" s="3" t="s">
        <v>62</v>
      </c>
      <c r="I106" s="3" t="s">
        <v>10</v>
      </c>
      <c r="J106" s="3" t="s">
        <v>25</v>
      </c>
      <c r="K106" s="3"/>
      <c r="L106" s="3"/>
      <c r="M106" s="78">
        <v>200</v>
      </c>
      <c r="N106" s="10"/>
      <c r="O106" s="3"/>
      <c r="P106" s="3" t="s">
        <v>87</v>
      </c>
      <c r="Q106" s="5"/>
    </row>
    <row r="107" spans="1:17" ht="15.75" customHeight="1" x14ac:dyDescent="0.3">
      <c r="A107" s="1">
        <f t="shared" si="0"/>
        <v>39</v>
      </c>
      <c r="B107" s="1">
        <v>9</v>
      </c>
      <c r="C107" s="2">
        <v>45923</v>
      </c>
      <c r="D107" s="3" t="s">
        <v>15</v>
      </c>
      <c r="E107" s="3"/>
      <c r="F107" s="3" t="s">
        <v>92</v>
      </c>
      <c r="G107" s="3"/>
      <c r="H107" s="3" t="s">
        <v>38</v>
      </c>
      <c r="I107" s="3" t="s">
        <v>10</v>
      </c>
      <c r="J107" s="3" t="s">
        <v>39</v>
      </c>
      <c r="K107" s="3"/>
      <c r="L107" s="3"/>
      <c r="M107" s="78">
        <v>120</v>
      </c>
      <c r="N107" s="10"/>
      <c r="O107" s="3"/>
      <c r="P107" s="3" t="s">
        <v>87</v>
      </c>
      <c r="Q107" s="5"/>
    </row>
    <row r="108" spans="1:17" ht="15.75" customHeight="1" x14ac:dyDescent="0.3">
      <c r="A108" s="1">
        <f t="shared" si="0"/>
        <v>39</v>
      </c>
      <c r="B108" s="1">
        <v>9</v>
      </c>
      <c r="C108" s="2">
        <v>45924</v>
      </c>
      <c r="D108" s="3" t="s">
        <v>15</v>
      </c>
      <c r="E108" s="3"/>
      <c r="F108" s="3" t="s">
        <v>144</v>
      </c>
      <c r="G108" s="3"/>
      <c r="H108" s="3" t="s">
        <v>59</v>
      </c>
      <c r="I108" s="3" t="s">
        <v>10</v>
      </c>
      <c r="J108" s="3" t="s">
        <v>25</v>
      </c>
      <c r="K108" s="3"/>
      <c r="L108" s="3"/>
      <c r="M108" s="78">
        <v>3600</v>
      </c>
      <c r="N108" s="10"/>
      <c r="O108" s="3"/>
      <c r="P108" s="3" t="s">
        <v>145</v>
      </c>
      <c r="Q108" s="5"/>
    </row>
    <row r="109" spans="1:17" ht="15.75" customHeight="1" x14ac:dyDescent="0.3">
      <c r="A109" s="1">
        <f t="shared" si="0"/>
        <v>39</v>
      </c>
      <c r="B109" s="1">
        <v>9</v>
      </c>
      <c r="C109" s="2">
        <v>45924</v>
      </c>
      <c r="D109" s="3" t="s">
        <v>15</v>
      </c>
      <c r="E109" s="3"/>
      <c r="F109" s="3" t="s">
        <v>74</v>
      </c>
      <c r="G109" s="3"/>
      <c r="H109" s="3" t="s">
        <v>59</v>
      </c>
      <c r="I109" s="3" t="s">
        <v>10</v>
      </c>
      <c r="J109" s="3" t="s">
        <v>25</v>
      </c>
      <c r="K109" s="3"/>
      <c r="L109" s="3"/>
      <c r="M109" s="78">
        <v>350</v>
      </c>
      <c r="N109" s="10"/>
      <c r="O109" s="3"/>
      <c r="P109" s="3" t="s">
        <v>146</v>
      </c>
      <c r="Q109" s="5"/>
    </row>
    <row r="110" spans="1:17" ht="15.75" customHeight="1" x14ac:dyDescent="0.3">
      <c r="A110" s="1">
        <f t="shared" si="0"/>
        <v>39</v>
      </c>
      <c r="B110" s="1">
        <v>9</v>
      </c>
      <c r="C110" s="2">
        <v>45925</v>
      </c>
      <c r="D110" s="3" t="s">
        <v>15</v>
      </c>
      <c r="E110" s="3"/>
      <c r="F110" s="3" t="s">
        <v>147</v>
      </c>
      <c r="G110" s="3"/>
      <c r="H110" s="3" t="s">
        <v>130</v>
      </c>
      <c r="I110" s="3" t="s">
        <v>10</v>
      </c>
      <c r="J110" s="3" t="s">
        <v>18</v>
      </c>
      <c r="K110" s="3"/>
      <c r="L110" s="3"/>
      <c r="M110" s="78">
        <v>480</v>
      </c>
      <c r="N110" s="10"/>
      <c r="O110" s="3"/>
      <c r="P110" s="3" t="s">
        <v>141</v>
      </c>
      <c r="Q110" s="5"/>
    </row>
    <row r="111" spans="1:17" ht="15.75" customHeight="1" x14ac:dyDescent="0.3">
      <c r="A111" s="1">
        <f t="shared" si="0"/>
        <v>39</v>
      </c>
      <c r="B111" s="1">
        <v>9</v>
      </c>
      <c r="C111" s="2">
        <v>45925</v>
      </c>
      <c r="D111" s="3" t="s">
        <v>15</v>
      </c>
      <c r="E111" s="3"/>
      <c r="F111" s="3" t="s">
        <v>148</v>
      </c>
      <c r="G111" s="3"/>
      <c r="H111" s="3" t="s">
        <v>55</v>
      </c>
      <c r="I111" s="3" t="s">
        <v>10</v>
      </c>
      <c r="J111" s="3" t="s">
        <v>25</v>
      </c>
      <c r="K111" s="3"/>
      <c r="L111" s="3"/>
      <c r="M111" s="78">
        <v>100</v>
      </c>
      <c r="N111" s="10"/>
      <c r="O111" s="3"/>
      <c r="P111" s="3" t="s">
        <v>87</v>
      </c>
      <c r="Q111" s="5"/>
    </row>
    <row r="112" spans="1:17" ht="15.75" customHeight="1" x14ac:dyDescent="0.3">
      <c r="A112" s="1">
        <f t="shared" si="0"/>
        <v>39</v>
      </c>
      <c r="B112" s="1">
        <v>9</v>
      </c>
      <c r="C112" s="2">
        <v>45925</v>
      </c>
      <c r="D112" s="3" t="s">
        <v>15</v>
      </c>
      <c r="E112" s="3"/>
      <c r="F112" s="3" t="s">
        <v>149</v>
      </c>
      <c r="G112" s="3"/>
      <c r="H112" s="3" t="s">
        <v>150</v>
      </c>
      <c r="I112" s="3" t="s">
        <v>10</v>
      </c>
      <c r="J112" s="3" t="s">
        <v>25</v>
      </c>
      <c r="K112" s="3"/>
      <c r="L112" s="3"/>
      <c r="M112" s="78">
        <v>100</v>
      </c>
      <c r="N112" s="10"/>
      <c r="O112" s="3"/>
      <c r="P112" s="3" t="s">
        <v>87</v>
      </c>
      <c r="Q112" s="5"/>
    </row>
    <row r="113" spans="1:17" ht="15.75" customHeight="1" x14ac:dyDescent="0.3">
      <c r="A113" s="1">
        <f t="shared" si="0"/>
        <v>39</v>
      </c>
      <c r="B113" s="1">
        <v>9</v>
      </c>
      <c r="C113" s="2">
        <v>45925</v>
      </c>
      <c r="D113" s="3" t="s">
        <v>15</v>
      </c>
      <c r="E113" s="3"/>
      <c r="F113" s="3" t="s">
        <v>151</v>
      </c>
      <c r="G113" s="3"/>
      <c r="H113" s="3" t="s">
        <v>152</v>
      </c>
      <c r="I113" s="3" t="s">
        <v>10</v>
      </c>
      <c r="J113" s="3" t="s">
        <v>39</v>
      </c>
      <c r="K113" s="3"/>
      <c r="L113" s="3"/>
      <c r="M113" s="78">
        <v>200</v>
      </c>
      <c r="N113" s="10"/>
      <c r="O113" s="3"/>
      <c r="P113" s="3" t="s">
        <v>87</v>
      </c>
      <c r="Q113" s="5"/>
    </row>
    <row r="114" spans="1:17" ht="15.75" customHeight="1" x14ac:dyDescent="0.3">
      <c r="A114" s="1">
        <f t="shared" si="0"/>
        <v>39</v>
      </c>
      <c r="B114" s="1">
        <v>9</v>
      </c>
      <c r="C114" s="2">
        <v>45925</v>
      </c>
      <c r="D114" s="3" t="s">
        <v>15</v>
      </c>
      <c r="E114" s="3"/>
      <c r="F114" s="3" t="s">
        <v>153</v>
      </c>
      <c r="G114" s="3"/>
      <c r="H114" s="3" t="s">
        <v>22</v>
      </c>
      <c r="I114" s="3" t="s">
        <v>10</v>
      </c>
      <c r="J114" s="3" t="s">
        <v>18</v>
      </c>
      <c r="K114" s="3"/>
      <c r="L114" s="3"/>
      <c r="M114" s="78">
        <v>20</v>
      </c>
      <c r="N114" s="10"/>
      <c r="O114" s="3"/>
      <c r="P114" s="3" t="s">
        <v>87</v>
      </c>
      <c r="Q114" s="5"/>
    </row>
    <row r="115" spans="1:17" ht="15.75" customHeight="1" x14ac:dyDescent="0.3">
      <c r="A115" s="1">
        <f t="shared" si="0"/>
        <v>39</v>
      </c>
      <c r="B115" s="1">
        <v>9</v>
      </c>
      <c r="C115" s="2">
        <v>45925</v>
      </c>
      <c r="D115" s="3" t="s">
        <v>15</v>
      </c>
      <c r="E115" s="3"/>
      <c r="F115" s="3" t="s">
        <v>132</v>
      </c>
      <c r="G115" s="3"/>
      <c r="H115" s="3" t="s">
        <v>22</v>
      </c>
      <c r="I115" s="3" t="s">
        <v>10</v>
      </c>
      <c r="J115" s="3" t="s">
        <v>18</v>
      </c>
      <c r="K115" s="3"/>
      <c r="L115" s="3"/>
      <c r="M115" s="78">
        <v>110</v>
      </c>
      <c r="N115" s="10"/>
      <c r="O115" s="3"/>
      <c r="P115" s="3" t="s">
        <v>87</v>
      </c>
      <c r="Q115" s="5"/>
    </row>
    <row r="116" spans="1:17" ht="15.75" customHeight="1" x14ac:dyDescent="0.3">
      <c r="A116" s="1">
        <f t="shared" si="0"/>
        <v>39</v>
      </c>
      <c r="B116" s="1">
        <v>9</v>
      </c>
      <c r="C116" s="2">
        <v>45925</v>
      </c>
      <c r="D116" s="3" t="s">
        <v>15</v>
      </c>
      <c r="E116" s="3"/>
      <c r="F116" s="3" t="s">
        <v>154</v>
      </c>
      <c r="G116" s="3"/>
      <c r="H116" s="3" t="s">
        <v>118</v>
      </c>
      <c r="I116" s="3" t="s">
        <v>10</v>
      </c>
      <c r="J116" s="3" t="s">
        <v>25</v>
      </c>
      <c r="K116" s="3"/>
      <c r="L116" s="3"/>
      <c r="M116" s="78">
        <v>60</v>
      </c>
      <c r="N116" s="10"/>
      <c r="O116" s="3"/>
      <c r="P116" s="3" t="s">
        <v>146</v>
      </c>
      <c r="Q116" s="5"/>
    </row>
    <row r="117" spans="1:17" ht="15.75" customHeight="1" x14ac:dyDescent="0.3">
      <c r="A117" s="1">
        <f t="shared" si="0"/>
        <v>39</v>
      </c>
      <c r="B117" s="1">
        <v>9</v>
      </c>
      <c r="C117" s="2">
        <v>45925</v>
      </c>
      <c r="D117" s="3" t="s">
        <v>15</v>
      </c>
      <c r="E117" s="3"/>
      <c r="F117" s="3" t="s">
        <v>155</v>
      </c>
      <c r="G117" s="3"/>
      <c r="H117" s="3" t="s">
        <v>118</v>
      </c>
      <c r="I117" s="3" t="s">
        <v>10</v>
      </c>
      <c r="J117" s="3" t="s">
        <v>25</v>
      </c>
      <c r="K117" s="3"/>
      <c r="L117" s="3"/>
      <c r="M117" s="78">
        <v>250</v>
      </c>
      <c r="N117" s="10"/>
      <c r="O117" s="3"/>
      <c r="P117" s="3" t="s">
        <v>146</v>
      </c>
      <c r="Q117" s="5"/>
    </row>
    <row r="118" spans="1:17" ht="15.75" customHeight="1" x14ac:dyDescent="0.3">
      <c r="A118" s="1">
        <f t="shared" si="0"/>
        <v>39</v>
      </c>
      <c r="B118" s="1">
        <v>9</v>
      </c>
      <c r="C118" s="2">
        <v>45926</v>
      </c>
      <c r="D118" s="3" t="s">
        <v>15</v>
      </c>
      <c r="E118" s="3"/>
      <c r="F118" s="3" t="s">
        <v>156</v>
      </c>
      <c r="G118" s="3"/>
      <c r="H118" s="3" t="s">
        <v>152</v>
      </c>
      <c r="I118" s="3" t="s">
        <v>10</v>
      </c>
      <c r="J118" s="3" t="s">
        <v>39</v>
      </c>
      <c r="K118" s="3"/>
      <c r="L118" s="3"/>
      <c r="M118" s="78">
        <v>6500</v>
      </c>
      <c r="N118" s="10"/>
      <c r="O118" s="3"/>
      <c r="P118" s="3" t="s">
        <v>157</v>
      </c>
      <c r="Q118" s="5"/>
    </row>
    <row r="119" spans="1:17" ht="15.75" customHeight="1" x14ac:dyDescent="0.3">
      <c r="A119" s="1">
        <f t="shared" si="0"/>
        <v>39</v>
      </c>
      <c r="B119" s="1">
        <v>9</v>
      </c>
      <c r="C119" s="2">
        <v>45927</v>
      </c>
      <c r="D119" s="3" t="s">
        <v>15</v>
      </c>
      <c r="E119" s="3"/>
      <c r="F119" s="3" t="s">
        <v>158</v>
      </c>
      <c r="G119" s="3"/>
      <c r="H119" s="3" t="s">
        <v>152</v>
      </c>
      <c r="I119" s="3" t="s">
        <v>10</v>
      </c>
      <c r="J119" s="3" t="s">
        <v>39</v>
      </c>
      <c r="K119" s="3"/>
      <c r="L119" s="3"/>
      <c r="M119" s="78">
        <v>200</v>
      </c>
      <c r="N119" s="10"/>
      <c r="O119" s="3"/>
      <c r="P119" s="3" t="s">
        <v>159</v>
      </c>
      <c r="Q119" s="5"/>
    </row>
    <row r="120" spans="1:17" ht="15.75" customHeight="1" x14ac:dyDescent="0.3">
      <c r="A120" s="1">
        <f t="shared" si="0"/>
        <v>39</v>
      </c>
      <c r="B120" s="1">
        <v>9</v>
      </c>
      <c r="C120" s="2">
        <v>45927</v>
      </c>
      <c r="D120" s="3" t="s">
        <v>15</v>
      </c>
      <c r="E120" s="3"/>
      <c r="F120" s="3" t="s">
        <v>160</v>
      </c>
      <c r="G120" s="3"/>
      <c r="H120" s="3" t="s">
        <v>152</v>
      </c>
      <c r="I120" s="3" t="s">
        <v>10</v>
      </c>
      <c r="J120" s="3" t="s">
        <v>39</v>
      </c>
      <c r="K120" s="3"/>
      <c r="L120" s="3"/>
      <c r="M120" s="78">
        <v>245</v>
      </c>
      <c r="N120" s="10"/>
      <c r="O120" s="3"/>
      <c r="P120" s="3" t="s">
        <v>157</v>
      </c>
      <c r="Q120" s="5"/>
    </row>
    <row r="121" spans="1:17" ht="15.75" customHeight="1" x14ac:dyDescent="0.3">
      <c r="A121" s="1">
        <f t="shared" si="0"/>
        <v>39</v>
      </c>
      <c r="B121" s="1">
        <v>9</v>
      </c>
      <c r="C121" s="2">
        <v>45927</v>
      </c>
      <c r="D121" s="3" t="s">
        <v>15</v>
      </c>
      <c r="E121" s="3"/>
      <c r="F121" s="3" t="s">
        <v>154</v>
      </c>
      <c r="G121" s="3"/>
      <c r="H121" s="3" t="s">
        <v>118</v>
      </c>
      <c r="I121" s="3" t="s">
        <v>10</v>
      </c>
      <c r="J121" s="3" t="s">
        <v>25</v>
      </c>
      <c r="K121" s="3"/>
      <c r="L121" s="3"/>
      <c r="M121" s="78">
        <v>150</v>
      </c>
      <c r="N121" s="10"/>
      <c r="O121" s="3"/>
      <c r="P121" s="3" t="s">
        <v>157</v>
      </c>
      <c r="Q121" s="5"/>
    </row>
    <row r="122" spans="1:17" ht="15.75" customHeight="1" x14ac:dyDescent="0.3">
      <c r="A122" s="1">
        <f t="shared" si="0"/>
        <v>39</v>
      </c>
      <c r="B122" s="1">
        <v>9</v>
      </c>
      <c r="C122" s="2">
        <v>45927</v>
      </c>
      <c r="D122" s="3" t="s">
        <v>15</v>
      </c>
      <c r="E122" s="3"/>
      <c r="F122" s="3" t="s">
        <v>161</v>
      </c>
      <c r="G122" s="3"/>
      <c r="H122" s="3" t="s">
        <v>38</v>
      </c>
      <c r="I122" s="3" t="s">
        <v>10</v>
      </c>
      <c r="J122" s="3" t="s">
        <v>39</v>
      </c>
      <c r="K122" s="3"/>
      <c r="L122" s="3"/>
      <c r="M122" s="78">
        <v>29</v>
      </c>
      <c r="N122" s="10"/>
      <c r="O122" s="3"/>
      <c r="P122" s="3" t="s">
        <v>87</v>
      </c>
      <c r="Q122" s="5"/>
    </row>
    <row r="123" spans="1:17" ht="15.75" customHeight="1" x14ac:dyDescent="0.3">
      <c r="A123" s="1">
        <f t="shared" si="0"/>
        <v>39</v>
      </c>
      <c r="B123" s="1">
        <v>9</v>
      </c>
      <c r="C123" s="2">
        <v>45927</v>
      </c>
      <c r="D123" s="3" t="s">
        <v>15</v>
      </c>
      <c r="E123" s="3"/>
      <c r="F123" s="3" t="s">
        <v>162</v>
      </c>
      <c r="G123" s="3"/>
      <c r="H123" s="3" t="s">
        <v>62</v>
      </c>
      <c r="I123" s="3" t="s">
        <v>10</v>
      </c>
      <c r="J123" s="3" t="s">
        <v>25</v>
      </c>
      <c r="K123" s="3"/>
      <c r="L123" s="3"/>
      <c r="M123" s="78">
        <v>289</v>
      </c>
      <c r="N123" s="10"/>
      <c r="O123" s="3"/>
      <c r="P123" s="3" t="s">
        <v>141</v>
      </c>
      <c r="Q123" s="5"/>
    </row>
    <row r="124" spans="1:17" ht="15.75" customHeight="1" x14ac:dyDescent="0.3">
      <c r="A124" s="1">
        <f t="shared" si="0"/>
        <v>40</v>
      </c>
      <c r="B124" s="1">
        <v>9</v>
      </c>
      <c r="C124" s="2">
        <v>45929</v>
      </c>
      <c r="D124" s="3" t="s">
        <v>15</v>
      </c>
      <c r="E124" s="3"/>
      <c r="F124" s="3" t="s">
        <v>127</v>
      </c>
      <c r="G124" s="3"/>
      <c r="H124" s="3" t="s">
        <v>152</v>
      </c>
      <c r="I124" s="3" t="s">
        <v>10</v>
      </c>
      <c r="J124" s="3" t="s">
        <v>39</v>
      </c>
      <c r="K124" s="3"/>
      <c r="L124" s="3"/>
      <c r="M124" s="78">
        <v>500</v>
      </c>
      <c r="N124" s="10"/>
      <c r="O124" s="3"/>
      <c r="P124" s="3" t="s">
        <v>146</v>
      </c>
      <c r="Q124" s="5"/>
    </row>
    <row r="125" spans="1:17" ht="15.75" customHeight="1" x14ac:dyDescent="0.3">
      <c r="A125" s="1">
        <f t="shared" si="0"/>
        <v>40</v>
      </c>
      <c r="B125" s="1">
        <v>9</v>
      </c>
      <c r="C125" s="2">
        <v>45930</v>
      </c>
      <c r="D125" s="3" t="s">
        <v>15</v>
      </c>
      <c r="E125" s="3"/>
      <c r="F125" s="3" t="s">
        <v>163</v>
      </c>
      <c r="G125" s="3"/>
      <c r="H125" s="3" t="s">
        <v>104</v>
      </c>
      <c r="I125" s="3" t="s">
        <v>10</v>
      </c>
      <c r="J125" s="3" t="s">
        <v>25</v>
      </c>
      <c r="K125" s="3"/>
      <c r="L125" s="3"/>
      <c r="M125" s="78">
        <v>1170</v>
      </c>
      <c r="N125" s="10"/>
      <c r="O125" s="3"/>
      <c r="P125" s="3" t="s">
        <v>164</v>
      </c>
      <c r="Q125" s="5"/>
    </row>
    <row r="126" spans="1:17" ht="15.75" customHeight="1" x14ac:dyDescent="0.3">
      <c r="A126" s="1">
        <f t="shared" si="0"/>
        <v>40</v>
      </c>
      <c r="B126" s="1">
        <v>9</v>
      </c>
      <c r="C126" s="2">
        <v>45930</v>
      </c>
      <c r="D126" s="3" t="s">
        <v>15</v>
      </c>
      <c r="E126" s="3"/>
      <c r="F126" s="3" t="s">
        <v>165</v>
      </c>
      <c r="G126" s="3"/>
      <c r="H126" s="3" t="s">
        <v>53</v>
      </c>
      <c r="I126" s="3" t="s">
        <v>10</v>
      </c>
      <c r="J126" s="3" t="s">
        <v>25</v>
      </c>
      <c r="K126" s="3"/>
      <c r="L126" s="3"/>
      <c r="M126" s="78">
        <v>150</v>
      </c>
      <c r="N126" s="10"/>
      <c r="O126" s="3"/>
      <c r="P126" s="3" t="s">
        <v>164</v>
      </c>
      <c r="Q126" s="5"/>
    </row>
    <row r="127" spans="1:17" ht="15.75" customHeight="1" x14ac:dyDescent="0.3">
      <c r="A127" s="1">
        <f t="shared" si="0"/>
        <v>40</v>
      </c>
      <c r="B127" s="1">
        <v>9</v>
      </c>
      <c r="C127" s="2">
        <v>45930</v>
      </c>
      <c r="D127" s="3" t="s">
        <v>15</v>
      </c>
      <c r="E127" s="3"/>
      <c r="F127" s="3" t="s">
        <v>166</v>
      </c>
      <c r="G127" s="3"/>
      <c r="H127" s="3" t="s">
        <v>53</v>
      </c>
      <c r="I127" s="3" t="s">
        <v>10</v>
      </c>
      <c r="J127" s="3" t="s">
        <v>25</v>
      </c>
      <c r="K127" s="3"/>
      <c r="L127" s="3"/>
      <c r="M127" s="78">
        <v>95</v>
      </c>
      <c r="N127" s="10"/>
      <c r="O127" s="3"/>
      <c r="P127" s="3" t="s">
        <v>164</v>
      </c>
      <c r="Q127" s="5"/>
    </row>
    <row r="128" spans="1:17" ht="15.75" customHeight="1" x14ac:dyDescent="0.3">
      <c r="A128" s="1">
        <f t="shared" si="0"/>
        <v>40</v>
      </c>
      <c r="B128" s="1">
        <v>9</v>
      </c>
      <c r="C128" s="2">
        <v>45930</v>
      </c>
      <c r="D128" s="3" t="s">
        <v>15</v>
      </c>
      <c r="E128" s="3"/>
      <c r="F128" s="3" t="s">
        <v>167</v>
      </c>
      <c r="G128" s="3"/>
      <c r="H128" s="3" t="s">
        <v>152</v>
      </c>
      <c r="I128" s="3" t="s">
        <v>10</v>
      </c>
      <c r="J128" s="3" t="s">
        <v>39</v>
      </c>
      <c r="K128" s="3"/>
      <c r="L128" s="3"/>
      <c r="M128" s="78">
        <v>180</v>
      </c>
      <c r="N128" s="10"/>
      <c r="O128" s="3"/>
      <c r="P128" s="3" t="s">
        <v>164</v>
      </c>
      <c r="Q128" s="5"/>
    </row>
    <row r="129" spans="1:17" ht="15.75" customHeight="1" x14ac:dyDescent="0.3">
      <c r="A129" s="1">
        <f t="shared" si="0"/>
        <v>40</v>
      </c>
      <c r="B129" s="1">
        <v>9</v>
      </c>
      <c r="C129" s="2">
        <v>45930</v>
      </c>
      <c r="D129" s="3" t="s">
        <v>15</v>
      </c>
      <c r="E129" s="3"/>
      <c r="F129" s="3" t="s">
        <v>168</v>
      </c>
      <c r="G129" s="3"/>
      <c r="H129" s="13" t="s">
        <v>169</v>
      </c>
      <c r="I129" s="3" t="s">
        <v>10</v>
      </c>
      <c r="J129" s="3" t="s">
        <v>25</v>
      </c>
      <c r="K129" s="3"/>
      <c r="L129" s="3"/>
      <c r="M129" s="78">
        <v>2010</v>
      </c>
      <c r="N129" s="10"/>
      <c r="O129" s="3"/>
      <c r="P129" s="3" t="s">
        <v>170</v>
      </c>
      <c r="Q129" s="5"/>
    </row>
    <row r="130" spans="1:17" ht="15.75" customHeight="1" x14ac:dyDescent="0.3">
      <c r="A130" s="1">
        <f t="shared" si="0"/>
        <v>40</v>
      </c>
      <c r="B130" s="1">
        <v>9</v>
      </c>
      <c r="C130" s="2">
        <v>45930</v>
      </c>
      <c r="D130" s="3" t="s">
        <v>15</v>
      </c>
      <c r="E130" s="3"/>
      <c r="F130" s="3" t="s">
        <v>171</v>
      </c>
      <c r="G130" s="3"/>
      <c r="H130" s="3" t="s">
        <v>62</v>
      </c>
      <c r="I130" s="3" t="s">
        <v>10</v>
      </c>
      <c r="J130" s="3" t="s">
        <v>25</v>
      </c>
      <c r="K130" s="3"/>
      <c r="L130" s="3"/>
      <c r="M130" s="78">
        <v>30</v>
      </c>
      <c r="N130" s="10"/>
      <c r="O130" s="3"/>
      <c r="P130" s="3" t="s">
        <v>164</v>
      </c>
      <c r="Q130" s="5"/>
    </row>
    <row r="131" spans="1:17" ht="15.75" customHeight="1" x14ac:dyDescent="0.3">
      <c r="A131" s="1">
        <f t="shared" si="0"/>
        <v>40</v>
      </c>
      <c r="B131" s="1">
        <v>9</v>
      </c>
      <c r="C131" s="2">
        <v>45930</v>
      </c>
      <c r="D131" s="3" t="s">
        <v>15</v>
      </c>
      <c r="E131" s="3"/>
      <c r="F131" s="3" t="s">
        <v>172</v>
      </c>
      <c r="G131" s="3"/>
      <c r="H131" s="3" t="s">
        <v>62</v>
      </c>
      <c r="I131" s="3" t="s">
        <v>10</v>
      </c>
      <c r="J131" s="3" t="s">
        <v>25</v>
      </c>
      <c r="K131" s="3"/>
      <c r="L131" s="3"/>
      <c r="M131" s="78">
        <v>10</v>
      </c>
      <c r="N131" s="10"/>
      <c r="O131" s="3"/>
      <c r="P131" s="3" t="s">
        <v>164</v>
      </c>
      <c r="Q131" s="5"/>
    </row>
    <row r="132" spans="1:17" ht="15.75" customHeight="1" x14ac:dyDescent="0.3">
      <c r="A132" s="1">
        <f t="shared" si="0"/>
        <v>40</v>
      </c>
      <c r="B132" s="1">
        <v>10</v>
      </c>
      <c r="C132" s="2">
        <v>45931</v>
      </c>
      <c r="D132" s="3" t="s">
        <v>15</v>
      </c>
      <c r="E132" s="79"/>
      <c r="F132" s="79" t="s">
        <v>173</v>
      </c>
      <c r="G132" s="3"/>
      <c r="H132" s="3" t="s">
        <v>17</v>
      </c>
      <c r="I132" s="3" t="s">
        <v>10</v>
      </c>
      <c r="J132" s="3" t="s">
        <v>18</v>
      </c>
      <c r="K132" s="3"/>
      <c r="L132" s="3"/>
      <c r="M132" s="80">
        <v>90</v>
      </c>
      <c r="N132" s="10"/>
      <c r="O132" s="3"/>
      <c r="P132" s="3" t="s">
        <v>141</v>
      </c>
      <c r="Q132" s="5"/>
    </row>
    <row r="133" spans="1:17" ht="15.75" customHeight="1" x14ac:dyDescent="0.3">
      <c r="A133" s="1">
        <f t="shared" si="0"/>
        <v>40</v>
      </c>
      <c r="B133" s="1">
        <v>10</v>
      </c>
      <c r="C133" s="2">
        <v>45931</v>
      </c>
      <c r="D133" s="3" t="s">
        <v>15</v>
      </c>
      <c r="E133" s="79"/>
      <c r="F133" s="79" t="s">
        <v>168</v>
      </c>
      <c r="G133" s="3"/>
      <c r="H133" s="3" t="s">
        <v>42</v>
      </c>
      <c r="I133" s="3" t="s">
        <v>10</v>
      </c>
      <c r="J133" s="3" t="s">
        <v>25</v>
      </c>
      <c r="K133" s="3"/>
      <c r="L133" s="3"/>
      <c r="M133" s="80">
        <v>1710</v>
      </c>
      <c r="N133" s="10"/>
      <c r="O133" s="3"/>
      <c r="P133" s="3" t="s">
        <v>174</v>
      </c>
      <c r="Q133" s="5"/>
    </row>
    <row r="134" spans="1:17" ht="15.75" customHeight="1" x14ac:dyDescent="0.3">
      <c r="A134" s="1">
        <f t="shared" si="0"/>
        <v>40</v>
      </c>
      <c r="B134" s="1">
        <v>10</v>
      </c>
      <c r="C134" s="2">
        <v>45931</v>
      </c>
      <c r="D134" s="3" t="s">
        <v>15</v>
      </c>
      <c r="E134" s="79"/>
      <c r="F134" s="79" t="s">
        <v>113</v>
      </c>
      <c r="G134" s="3"/>
      <c r="H134" s="3" t="s">
        <v>24</v>
      </c>
      <c r="I134" s="3" t="s">
        <v>10</v>
      </c>
      <c r="J134" s="3" t="s">
        <v>25</v>
      </c>
      <c r="K134" s="3"/>
      <c r="L134" s="3"/>
      <c r="M134" s="80">
        <v>1750</v>
      </c>
      <c r="N134" s="10"/>
      <c r="O134" s="3"/>
      <c r="P134" s="3" t="s">
        <v>174</v>
      </c>
      <c r="Q134" s="5"/>
    </row>
    <row r="135" spans="1:17" ht="13.5" customHeight="1" x14ac:dyDescent="0.3">
      <c r="A135" s="1">
        <f t="shared" si="0"/>
        <v>40</v>
      </c>
      <c r="B135" s="1">
        <v>10</v>
      </c>
      <c r="C135" s="2">
        <v>45932</v>
      </c>
      <c r="D135" s="3" t="s">
        <v>15</v>
      </c>
      <c r="E135" s="79"/>
      <c r="F135" s="79" t="s">
        <v>175</v>
      </c>
      <c r="G135" s="3"/>
      <c r="H135" s="3" t="s">
        <v>110</v>
      </c>
      <c r="I135" s="3" t="s">
        <v>10</v>
      </c>
      <c r="J135" s="3" t="s">
        <v>18</v>
      </c>
      <c r="K135" s="9"/>
      <c r="L135" s="9"/>
      <c r="M135" s="80">
        <v>720</v>
      </c>
      <c r="N135" s="10"/>
      <c r="O135" s="3"/>
      <c r="P135" s="3" t="s">
        <v>174</v>
      </c>
      <c r="Q135" s="5"/>
    </row>
    <row r="136" spans="1:17" ht="15.75" customHeight="1" x14ac:dyDescent="0.3">
      <c r="A136" s="1">
        <f t="shared" si="0"/>
        <v>40</v>
      </c>
      <c r="B136" s="1">
        <v>10</v>
      </c>
      <c r="C136" s="2">
        <v>45932</v>
      </c>
      <c r="D136" s="3" t="s">
        <v>15</v>
      </c>
      <c r="E136" s="79"/>
      <c r="F136" s="79" t="s">
        <v>132</v>
      </c>
      <c r="G136" s="3"/>
      <c r="H136" s="3" t="s">
        <v>55</v>
      </c>
      <c r="I136" s="3" t="s">
        <v>10</v>
      </c>
      <c r="J136" s="3" t="s">
        <v>25</v>
      </c>
      <c r="K136" s="3"/>
      <c r="L136" s="3"/>
      <c r="M136" s="80">
        <v>110</v>
      </c>
      <c r="N136" s="10"/>
      <c r="O136" s="3"/>
      <c r="P136" s="3" t="s">
        <v>176</v>
      </c>
      <c r="Q136" s="5"/>
    </row>
    <row r="137" spans="1:17" ht="15.75" customHeight="1" x14ac:dyDescent="0.3">
      <c r="A137" s="1">
        <f t="shared" si="0"/>
        <v>40</v>
      </c>
      <c r="B137" s="1">
        <v>10</v>
      </c>
      <c r="C137" s="2">
        <v>45932</v>
      </c>
      <c r="D137" s="3" t="s">
        <v>15</v>
      </c>
      <c r="E137" s="79"/>
      <c r="F137" s="79" t="s">
        <v>132</v>
      </c>
      <c r="G137" s="3"/>
      <c r="H137" s="3" t="s">
        <v>38</v>
      </c>
      <c r="I137" s="3" t="s">
        <v>10</v>
      </c>
      <c r="J137" s="3" t="s">
        <v>39</v>
      </c>
      <c r="K137" s="3"/>
      <c r="L137" s="3"/>
      <c r="M137" s="80">
        <v>110</v>
      </c>
      <c r="N137" s="10"/>
      <c r="O137" s="3"/>
      <c r="P137" s="3" t="s">
        <v>176</v>
      </c>
      <c r="Q137" s="5"/>
    </row>
    <row r="138" spans="1:17" ht="15.75" customHeight="1" x14ac:dyDescent="0.3">
      <c r="A138" s="1">
        <f t="shared" si="0"/>
        <v>40</v>
      </c>
      <c r="B138" s="1">
        <v>10</v>
      </c>
      <c r="C138" s="2">
        <v>45932</v>
      </c>
      <c r="D138" s="3" t="s">
        <v>15</v>
      </c>
      <c r="E138" s="79"/>
      <c r="F138" s="79" t="s">
        <v>177</v>
      </c>
      <c r="G138" s="3"/>
      <c r="H138" s="3" t="s">
        <v>116</v>
      </c>
      <c r="I138" s="3" t="s">
        <v>10</v>
      </c>
      <c r="J138" s="3" t="s">
        <v>25</v>
      </c>
      <c r="K138" s="3"/>
      <c r="L138" s="3"/>
      <c r="M138" s="80">
        <v>2442</v>
      </c>
      <c r="N138" s="10"/>
      <c r="O138" s="3"/>
      <c r="P138" s="3" t="s">
        <v>178</v>
      </c>
      <c r="Q138" s="5"/>
    </row>
    <row r="139" spans="1:17" ht="15.75" customHeight="1" x14ac:dyDescent="0.3">
      <c r="A139" s="1">
        <f t="shared" si="0"/>
        <v>40</v>
      </c>
      <c r="B139" s="1">
        <v>10</v>
      </c>
      <c r="C139" s="2">
        <v>45932</v>
      </c>
      <c r="D139" s="3" t="s">
        <v>15</v>
      </c>
      <c r="E139" s="79"/>
      <c r="F139" s="79" t="s">
        <v>179</v>
      </c>
      <c r="G139" s="3"/>
      <c r="H139" s="3" t="s">
        <v>116</v>
      </c>
      <c r="I139" s="3" t="s">
        <v>10</v>
      </c>
      <c r="J139" s="3" t="s">
        <v>25</v>
      </c>
      <c r="K139" s="3"/>
      <c r="L139" s="3"/>
      <c r="M139" s="80">
        <v>1500</v>
      </c>
      <c r="N139" s="12"/>
      <c r="O139" s="3"/>
      <c r="P139" s="3" t="s">
        <v>178</v>
      </c>
      <c r="Q139" s="5"/>
    </row>
    <row r="140" spans="1:17" ht="15.75" customHeight="1" x14ac:dyDescent="0.3">
      <c r="A140" s="1">
        <v>40</v>
      </c>
      <c r="B140" s="1">
        <v>10</v>
      </c>
      <c r="C140" s="2">
        <v>45933</v>
      </c>
      <c r="D140" s="3" t="s">
        <v>15</v>
      </c>
      <c r="E140" s="79"/>
      <c r="F140" s="79" t="s">
        <v>180</v>
      </c>
      <c r="G140" s="3"/>
      <c r="H140" s="3" t="s">
        <v>17</v>
      </c>
      <c r="I140" s="3" t="s">
        <v>10</v>
      </c>
      <c r="J140" s="3" t="s">
        <v>18</v>
      </c>
      <c r="K140" s="3"/>
      <c r="L140" s="3">
        <v>2300</v>
      </c>
      <c r="M140" s="81">
        <v>1492</v>
      </c>
      <c r="N140" s="12"/>
      <c r="O140" s="3"/>
      <c r="P140" s="3" t="s">
        <v>174</v>
      </c>
      <c r="Q140" s="5"/>
    </row>
    <row r="141" spans="1:17" ht="15.75" customHeight="1" x14ac:dyDescent="0.3">
      <c r="A141" s="1">
        <v>40</v>
      </c>
      <c r="B141" s="1">
        <v>10</v>
      </c>
      <c r="C141" s="2">
        <v>45933</v>
      </c>
      <c r="D141" s="3" t="s">
        <v>15</v>
      </c>
      <c r="E141" s="79"/>
      <c r="F141" s="79" t="s">
        <v>181</v>
      </c>
      <c r="G141" s="3"/>
      <c r="H141" s="3" t="s">
        <v>118</v>
      </c>
      <c r="I141" s="3" t="s">
        <v>10</v>
      </c>
      <c r="J141" s="3" t="s">
        <v>25</v>
      </c>
      <c r="K141" s="3"/>
      <c r="L141" s="3">
        <v>150</v>
      </c>
      <c r="M141" s="80">
        <v>100</v>
      </c>
      <c r="N141" s="12"/>
      <c r="O141" s="3"/>
      <c r="P141" s="3" t="s">
        <v>174</v>
      </c>
      <c r="Q141" s="5"/>
    </row>
    <row r="142" spans="1:17" ht="15.75" customHeight="1" x14ac:dyDescent="0.3">
      <c r="A142" s="1">
        <v>40</v>
      </c>
      <c r="B142" s="1">
        <v>10</v>
      </c>
      <c r="C142" s="2">
        <v>45933</v>
      </c>
      <c r="D142" s="3" t="s">
        <v>15</v>
      </c>
      <c r="E142" s="79"/>
      <c r="F142" s="79" t="s">
        <v>182</v>
      </c>
      <c r="G142" s="3"/>
      <c r="H142" s="3" t="s">
        <v>183</v>
      </c>
      <c r="I142" s="3" t="s">
        <v>10</v>
      </c>
      <c r="J142" s="3" t="s">
        <v>25</v>
      </c>
      <c r="K142" s="3"/>
      <c r="L142" s="3">
        <v>480</v>
      </c>
      <c r="M142" s="80">
        <v>417</v>
      </c>
      <c r="N142" s="12"/>
      <c r="O142" s="3"/>
      <c r="P142" s="3" t="s">
        <v>174</v>
      </c>
      <c r="Q142" s="5"/>
    </row>
    <row r="143" spans="1:17" ht="15.75" customHeight="1" x14ac:dyDescent="0.3">
      <c r="A143" s="1">
        <v>40</v>
      </c>
      <c r="B143" s="1">
        <v>10</v>
      </c>
      <c r="C143" s="2">
        <v>45933</v>
      </c>
      <c r="D143" s="3" t="s">
        <v>15</v>
      </c>
      <c r="E143" s="79"/>
      <c r="F143" s="79" t="s">
        <v>184</v>
      </c>
      <c r="G143" s="3"/>
      <c r="H143" s="3" t="s">
        <v>118</v>
      </c>
      <c r="I143" s="3" t="s">
        <v>10</v>
      </c>
      <c r="J143" s="3" t="s">
        <v>39</v>
      </c>
      <c r="K143" s="3"/>
      <c r="L143" s="3">
        <v>100</v>
      </c>
      <c r="M143" s="80">
        <v>100</v>
      </c>
      <c r="N143" s="12"/>
      <c r="O143" s="3"/>
      <c r="P143" s="3" t="s">
        <v>87</v>
      </c>
      <c r="Q143" s="5"/>
    </row>
    <row r="144" spans="1:17" ht="15.75" customHeight="1" x14ac:dyDescent="0.3">
      <c r="A144" s="1">
        <v>40</v>
      </c>
      <c r="B144" s="1">
        <v>10</v>
      </c>
      <c r="C144" s="2">
        <v>45933</v>
      </c>
      <c r="D144" s="3" t="s">
        <v>15</v>
      </c>
      <c r="E144" s="79"/>
      <c r="F144" s="79" t="s">
        <v>185</v>
      </c>
      <c r="G144" s="3"/>
      <c r="H144" s="3" t="s">
        <v>152</v>
      </c>
      <c r="I144" s="3" t="s">
        <v>10</v>
      </c>
      <c r="J144" s="3" t="s">
        <v>39</v>
      </c>
      <c r="K144" s="3"/>
      <c r="L144" s="3"/>
      <c r="M144" s="80">
        <v>200</v>
      </c>
      <c r="N144" s="12"/>
      <c r="O144" s="3"/>
      <c r="P144" s="3" t="s">
        <v>174</v>
      </c>
      <c r="Q144" s="5"/>
    </row>
    <row r="145" spans="1:17" ht="15.75" customHeight="1" x14ac:dyDescent="0.3">
      <c r="A145" s="1">
        <v>40</v>
      </c>
      <c r="B145" s="1">
        <v>10</v>
      </c>
      <c r="C145" s="2">
        <v>45933</v>
      </c>
      <c r="D145" s="3" t="s">
        <v>15</v>
      </c>
      <c r="E145" s="79"/>
      <c r="F145" s="79" t="s">
        <v>186</v>
      </c>
      <c r="G145" s="3"/>
      <c r="H145" s="3" t="s">
        <v>118</v>
      </c>
      <c r="I145" s="3" t="s">
        <v>10</v>
      </c>
      <c r="J145" s="3" t="s">
        <v>39</v>
      </c>
      <c r="K145" s="3"/>
      <c r="L145" s="3"/>
      <c r="M145" s="80">
        <v>30</v>
      </c>
      <c r="N145" s="12"/>
      <c r="O145" s="3"/>
      <c r="P145" s="3" t="s">
        <v>174</v>
      </c>
      <c r="Q145" s="5"/>
    </row>
    <row r="146" spans="1:17" ht="15.75" customHeight="1" x14ac:dyDescent="0.3">
      <c r="A146" s="1">
        <v>40</v>
      </c>
      <c r="B146" s="1">
        <v>10</v>
      </c>
      <c r="C146" s="2">
        <v>45933</v>
      </c>
      <c r="D146" s="3" t="s">
        <v>15</v>
      </c>
      <c r="E146" s="79"/>
      <c r="F146" s="79" t="s">
        <v>187</v>
      </c>
      <c r="G146" s="3"/>
      <c r="H146" s="3" t="s">
        <v>188</v>
      </c>
      <c r="I146" s="3" t="s">
        <v>10</v>
      </c>
      <c r="J146" s="3" t="s">
        <v>25</v>
      </c>
      <c r="K146" s="3"/>
      <c r="L146" s="3"/>
      <c r="M146" s="80">
        <v>720</v>
      </c>
      <c r="N146" s="12"/>
      <c r="O146" s="3"/>
      <c r="P146" s="3" t="s">
        <v>189</v>
      </c>
      <c r="Q146" s="5"/>
    </row>
    <row r="147" spans="1:17" ht="15.75" customHeight="1" x14ac:dyDescent="0.3">
      <c r="A147" s="1">
        <v>40</v>
      </c>
      <c r="B147" s="1">
        <v>10</v>
      </c>
      <c r="C147" s="2">
        <v>45933</v>
      </c>
      <c r="D147" s="3" t="s">
        <v>15</v>
      </c>
      <c r="E147" s="79"/>
      <c r="F147" s="79" t="s">
        <v>190</v>
      </c>
      <c r="G147" s="3"/>
      <c r="H147" s="3" t="s">
        <v>188</v>
      </c>
      <c r="I147" s="3" t="s">
        <v>10</v>
      </c>
      <c r="J147" s="3" t="s">
        <v>25</v>
      </c>
      <c r="K147" s="3"/>
      <c r="L147" s="3"/>
      <c r="M147" s="80">
        <v>1263</v>
      </c>
      <c r="N147" s="12"/>
      <c r="O147" s="3"/>
      <c r="P147" s="3" t="s">
        <v>189</v>
      </c>
      <c r="Q147" s="5"/>
    </row>
    <row r="148" spans="1:17" ht="15.75" customHeight="1" x14ac:dyDescent="0.3">
      <c r="A148" s="1">
        <v>40</v>
      </c>
      <c r="B148" s="1">
        <v>10</v>
      </c>
      <c r="C148" s="2">
        <v>45933</v>
      </c>
      <c r="D148" s="3" t="s">
        <v>15</v>
      </c>
      <c r="E148" s="79"/>
      <c r="F148" s="79" t="s">
        <v>191</v>
      </c>
      <c r="G148" s="3"/>
      <c r="H148" s="3" t="s">
        <v>188</v>
      </c>
      <c r="I148" s="3" t="s">
        <v>10</v>
      </c>
      <c r="J148" s="3" t="s">
        <v>25</v>
      </c>
      <c r="K148" s="3"/>
      <c r="L148" s="3"/>
      <c r="M148" s="80">
        <v>2338</v>
      </c>
      <c r="N148" s="12"/>
      <c r="O148" s="3"/>
      <c r="P148" s="3" t="s">
        <v>189</v>
      </c>
      <c r="Q148" s="5"/>
    </row>
    <row r="149" spans="1:17" ht="15.75" customHeight="1" x14ac:dyDescent="0.3">
      <c r="A149" s="1">
        <v>40</v>
      </c>
      <c r="B149" s="1">
        <v>10</v>
      </c>
      <c r="C149" s="2">
        <v>45933</v>
      </c>
      <c r="D149" s="3" t="s">
        <v>15</v>
      </c>
      <c r="E149" s="79"/>
      <c r="F149" s="79" t="s">
        <v>192</v>
      </c>
      <c r="G149" s="3"/>
      <c r="H149" s="3" t="s">
        <v>188</v>
      </c>
      <c r="I149" s="3" t="s">
        <v>10</v>
      </c>
      <c r="J149" s="3" t="s">
        <v>25</v>
      </c>
      <c r="K149" s="3"/>
      <c r="L149" s="3"/>
      <c r="M149" s="80">
        <v>3931</v>
      </c>
      <c r="N149" s="12"/>
      <c r="O149" s="3"/>
      <c r="P149" s="3" t="s">
        <v>189</v>
      </c>
      <c r="Q149" s="5"/>
    </row>
    <row r="150" spans="1:17" ht="15.75" customHeight="1" x14ac:dyDescent="0.3">
      <c r="A150" s="1">
        <v>40</v>
      </c>
      <c r="B150" s="1">
        <v>10</v>
      </c>
      <c r="C150" s="2">
        <v>45933</v>
      </c>
      <c r="D150" s="3" t="s">
        <v>15</v>
      </c>
      <c r="E150" s="79"/>
      <c r="F150" s="79" t="s">
        <v>193</v>
      </c>
      <c r="G150" s="3"/>
      <c r="H150" s="3" t="s">
        <v>55</v>
      </c>
      <c r="I150" s="3" t="s">
        <v>10</v>
      </c>
      <c r="J150" s="3" t="s">
        <v>25</v>
      </c>
      <c r="K150" s="3"/>
      <c r="L150" s="3"/>
      <c r="M150" s="80">
        <v>5500</v>
      </c>
      <c r="N150" s="12"/>
      <c r="O150" s="3"/>
      <c r="P150" s="3" t="s">
        <v>194</v>
      </c>
      <c r="Q150" s="5"/>
    </row>
    <row r="151" spans="1:17" ht="15.75" customHeight="1" x14ac:dyDescent="0.3">
      <c r="A151" s="1">
        <v>40</v>
      </c>
      <c r="B151" s="1">
        <v>10</v>
      </c>
      <c r="C151" s="2">
        <v>45934</v>
      </c>
      <c r="D151" s="3" t="s">
        <v>15</v>
      </c>
      <c r="E151" s="79"/>
      <c r="F151" s="79" t="s">
        <v>144</v>
      </c>
      <c r="G151" s="3"/>
      <c r="H151" s="3" t="s">
        <v>195</v>
      </c>
      <c r="I151" s="3" t="s">
        <v>10</v>
      </c>
      <c r="J151" s="3" t="s">
        <v>39</v>
      </c>
      <c r="K151" s="3"/>
      <c r="L151" s="3"/>
      <c r="M151" s="80">
        <v>1478</v>
      </c>
      <c r="N151" s="12"/>
      <c r="O151" s="3"/>
      <c r="P151" s="3" t="s">
        <v>174</v>
      </c>
      <c r="Q151" s="5"/>
    </row>
    <row r="152" spans="1:17" ht="15.75" customHeight="1" x14ac:dyDescent="0.3">
      <c r="A152" s="1">
        <v>40</v>
      </c>
      <c r="B152" s="1">
        <v>10</v>
      </c>
      <c r="C152" s="2">
        <v>45934</v>
      </c>
      <c r="D152" s="3" t="s">
        <v>15</v>
      </c>
      <c r="E152" s="79"/>
      <c r="F152" s="79" t="s">
        <v>196</v>
      </c>
      <c r="G152" s="3"/>
      <c r="H152" s="3" t="s">
        <v>118</v>
      </c>
      <c r="I152" s="3" t="s">
        <v>10</v>
      </c>
      <c r="J152" s="3" t="s">
        <v>25</v>
      </c>
      <c r="K152" s="3"/>
      <c r="L152" s="3"/>
      <c r="M152" s="80">
        <v>200</v>
      </c>
      <c r="N152" s="12"/>
      <c r="O152" s="3"/>
      <c r="P152" s="3" t="s">
        <v>174</v>
      </c>
      <c r="Q152" s="5"/>
    </row>
    <row r="153" spans="1:17" ht="15.75" customHeight="1" x14ac:dyDescent="0.3">
      <c r="A153" s="1">
        <v>40</v>
      </c>
      <c r="B153" s="1">
        <v>10</v>
      </c>
      <c r="C153" s="2">
        <v>45934</v>
      </c>
      <c r="D153" s="3" t="s">
        <v>15</v>
      </c>
      <c r="E153" s="79"/>
      <c r="F153" s="79" t="s">
        <v>197</v>
      </c>
      <c r="G153" s="3"/>
      <c r="H153" s="3" t="s">
        <v>188</v>
      </c>
      <c r="I153" s="3" t="s">
        <v>10</v>
      </c>
      <c r="J153" s="3" t="s">
        <v>25</v>
      </c>
      <c r="K153" s="3"/>
      <c r="L153" s="3"/>
      <c r="M153" s="80">
        <v>3931</v>
      </c>
      <c r="N153" s="12"/>
      <c r="O153" s="3"/>
      <c r="P153" s="3" t="s">
        <v>189</v>
      </c>
      <c r="Q153" s="5"/>
    </row>
    <row r="154" spans="1:17" ht="15.75" customHeight="1" x14ac:dyDescent="0.3">
      <c r="A154" s="1">
        <v>41</v>
      </c>
      <c r="B154" s="1">
        <v>10</v>
      </c>
      <c r="C154" s="2">
        <v>45936</v>
      </c>
      <c r="D154" s="3" t="s">
        <v>15</v>
      </c>
      <c r="E154" s="79"/>
      <c r="F154" s="79" t="s">
        <v>198</v>
      </c>
      <c r="G154" s="3"/>
      <c r="H154" s="3" t="s">
        <v>188</v>
      </c>
      <c r="I154" s="3" t="s">
        <v>10</v>
      </c>
      <c r="J154" s="3" t="s">
        <v>25</v>
      </c>
      <c r="K154" s="3"/>
      <c r="L154" s="3"/>
      <c r="M154" s="80">
        <v>760</v>
      </c>
      <c r="N154" s="12"/>
      <c r="O154" s="3"/>
      <c r="P154" s="3" t="s">
        <v>189</v>
      </c>
      <c r="Q154" s="5"/>
    </row>
    <row r="155" spans="1:17" ht="15.75" customHeight="1" x14ac:dyDescent="0.3">
      <c r="A155" s="1">
        <v>41</v>
      </c>
      <c r="B155" s="1">
        <v>10</v>
      </c>
      <c r="C155" s="2">
        <v>45936</v>
      </c>
      <c r="D155" s="3" t="s">
        <v>15</v>
      </c>
      <c r="E155" s="79"/>
      <c r="F155" s="79" t="s">
        <v>199</v>
      </c>
      <c r="G155" s="3"/>
      <c r="H155" s="3" t="s">
        <v>195</v>
      </c>
      <c r="I155" s="3" t="s">
        <v>10</v>
      </c>
      <c r="J155" s="3" t="s">
        <v>39</v>
      </c>
      <c r="K155" s="3"/>
      <c r="L155" s="3"/>
      <c r="M155" s="80">
        <v>250</v>
      </c>
      <c r="N155" s="12"/>
      <c r="O155" s="3"/>
      <c r="P155" s="3" t="s">
        <v>176</v>
      </c>
      <c r="Q155" s="5"/>
    </row>
    <row r="156" spans="1:17" ht="15.75" customHeight="1" x14ac:dyDescent="0.3">
      <c r="A156" s="1">
        <v>41</v>
      </c>
      <c r="B156" s="1">
        <v>10</v>
      </c>
      <c r="C156" s="2">
        <v>45936</v>
      </c>
      <c r="D156" s="3" t="s">
        <v>15</v>
      </c>
      <c r="E156" s="79"/>
      <c r="F156" s="79" t="s">
        <v>200</v>
      </c>
      <c r="G156" s="3"/>
      <c r="H156" s="3" t="s">
        <v>195</v>
      </c>
      <c r="I156" s="3" t="s">
        <v>10</v>
      </c>
      <c r="J156" s="3" t="s">
        <v>39</v>
      </c>
      <c r="K156" s="3"/>
      <c r="L156" s="3"/>
      <c r="M156" s="80">
        <v>100</v>
      </c>
      <c r="N156" s="12"/>
      <c r="O156" s="3"/>
      <c r="P156" s="3" t="s">
        <v>176</v>
      </c>
      <c r="Q156" s="5"/>
    </row>
    <row r="157" spans="1:17" ht="15.75" customHeight="1" x14ac:dyDescent="0.3">
      <c r="A157" s="1">
        <v>41</v>
      </c>
      <c r="B157" s="1">
        <v>10</v>
      </c>
      <c r="C157" s="2">
        <v>45937</v>
      </c>
      <c r="D157" s="3" t="s">
        <v>15</v>
      </c>
      <c r="E157" s="79"/>
      <c r="F157" s="79" t="s">
        <v>201</v>
      </c>
      <c r="G157" s="3"/>
      <c r="H157" s="3" t="s">
        <v>38</v>
      </c>
      <c r="I157" s="3" t="s">
        <v>10</v>
      </c>
      <c r="J157" s="3" t="s">
        <v>39</v>
      </c>
      <c r="K157" s="3"/>
      <c r="L157" s="3"/>
      <c r="M157" s="80">
        <v>729</v>
      </c>
      <c r="N157" s="12"/>
      <c r="O157" s="3"/>
      <c r="P157" s="3" t="s">
        <v>178</v>
      </c>
      <c r="Q157" s="5"/>
    </row>
    <row r="158" spans="1:17" ht="15.75" customHeight="1" x14ac:dyDescent="0.3">
      <c r="A158" s="1">
        <v>41</v>
      </c>
      <c r="B158" s="1">
        <v>10</v>
      </c>
      <c r="C158" s="2">
        <v>45937</v>
      </c>
      <c r="D158" s="3" t="s">
        <v>15</v>
      </c>
      <c r="E158" s="79"/>
      <c r="F158" s="79" t="s">
        <v>202</v>
      </c>
      <c r="G158" s="3"/>
      <c r="H158" s="3" t="s">
        <v>38</v>
      </c>
      <c r="I158" s="3" t="s">
        <v>10</v>
      </c>
      <c r="J158" s="3" t="s">
        <v>39</v>
      </c>
      <c r="K158" s="3"/>
      <c r="L158" s="3"/>
      <c r="M158" s="80">
        <v>10</v>
      </c>
      <c r="N158" s="12"/>
      <c r="O158" s="3"/>
      <c r="P158" s="3" t="s">
        <v>203</v>
      </c>
      <c r="Q158" s="5"/>
    </row>
    <row r="159" spans="1:17" ht="15.75" customHeight="1" x14ac:dyDescent="0.3">
      <c r="A159" s="1">
        <v>41</v>
      </c>
      <c r="B159" s="1">
        <v>10</v>
      </c>
      <c r="C159" s="2">
        <v>45938</v>
      </c>
      <c r="D159" s="3" t="s">
        <v>15</v>
      </c>
      <c r="E159" s="79"/>
      <c r="F159" s="79" t="s">
        <v>74</v>
      </c>
      <c r="G159" s="3"/>
      <c r="H159" s="3" t="s">
        <v>123</v>
      </c>
      <c r="I159" s="3" t="s">
        <v>10</v>
      </c>
      <c r="J159" s="3" t="s">
        <v>39</v>
      </c>
      <c r="K159" s="3"/>
      <c r="L159" s="3">
        <v>287</v>
      </c>
      <c r="M159" s="80">
        <v>550</v>
      </c>
      <c r="N159" s="12"/>
      <c r="O159" s="3"/>
      <c r="P159" s="3" t="s">
        <v>204</v>
      </c>
      <c r="Q159" s="5"/>
    </row>
    <row r="160" spans="1:17" ht="15.75" customHeight="1" x14ac:dyDescent="0.3">
      <c r="A160" s="1">
        <v>41</v>
      </c>
      <c r="B160" s="1">
        <v>10</v>
      </c>
      <c r="C160" s="2">
        <v>45938</v>
      </c>
      <c r="D160" s="3" t="s">
        <v>15</v>
      </c>
      <c r="E160" s="79"/>
      <c r="F160" s="79" t="s">
        <v>138</v>
      </c>
      <c r="G160" s="3"/>
      <c r="H160" s="3" t="s">
        <v>123</v>
      </c>
      <c r="I160" s="3" t="s">
        <v>10</v>
      </c>
      <c r="J160" s="3" t="s">
        <v>39</v>
      </c>
      <c r="K160" s="3"/>
      <c r="L160" s="3"/>
      <c r="M160" s="80">
        <v>40</v>
      </c>
      <c r="N160" s="12"/>
      <c r="O160" s="3"/>
      <c r="P160" s="3" t="s">
        <v>205</v>
      </c>
      <c r="Q160" s="5"/>
    </row>
    <row r="161" spans="1:22" ht="15.75" customHeight="1" x14ac:dyDescent="0.3">
      <c r="A161" s="1">
        <v>41</v>
      </c>
      <c r="B161" s="1">
        <v>10</v>
      </c>
      <c r="C161" s="2">
        <v>45938</v>
      </c>
      <c r="D161" s="3" t="s">
        <v>15</v>
      </c>
      <c r="E161" s="79"/>
      <c r="F161" s="79" t="s">
        <v>206</v>
      </c>
      <c r="G161" s="3"/>
      <c r="H161" s="3" t="s">
        <v>195</v>
      </c>
      <c r="I161" s="3" t="s">
        <v>10</v>
      </c>
      <c r="J161" s="3" t="s">
        <v>39</v>
      </c>
      <c r="K161" s="80"/>
      <c r="L161" s="80">
        <v>500</v>
      </c>
      <c r="M161" s="80">
        <v>586</v>
      </c>
      <c r="N161" s="12"/>
      <c r="O161" s="3"/>
      <c r="P161" s="3" t="s">
        <v>205</v>
      </c>
      <c r="Q161" s="5"/>
    </row>
    <row r="162" spans="1:22" ht="15.75" customHeight="1" x14ac:dyDescent="0.3">
      <c r="A162" s="1">
        <v>41</v>
      </c>
      <c r="B162" s="1">
        <v>10</v>
      </c>
      <c r="C162" s="2">
        <v>45938</v>
      </c>
      <c r="D162" s="3" t="s">
        <v>15</v>
      </c>
      <c r="E162" s="79"/>
      <c r="F162" s="79" t="s">
        <v>95</v>
      </c>
      <c r="G162" s="3"/>
      <c r="H162" s="3" t="s">
        <v>123</v>
      </c>
      <c r="I162" s="3" t="s">
        <v>10</v>
      </c>
      <c r="J162" s="3" t="s">
        <v>39</v>
      </c>
      <c r="K162" s="9"/>
      <c r="L162" s="9">
        <v>35</v>
      </c>
      <c r="M162" s="80">
        <v>49</v>
      </c>
      <c r="N162" s="10"/>
      <c r="O162" s="3"/>
      <c r="P162" s="3" t="s">
        <v>204</v>
      </c>
      <c r="Q162" s="5"/>
      <c r="V162" s="14"/>
    </row>
    <row r="163" spans="1:22" ht="15.75" customHeight="1" x14ac:dyDescent="0.3">
      <c r="A163" s="1">
        <v>41</v>
      </c>
      <c r="B163" s="1">
        <v>10</v>
      </c>
      <c r="C163" s="2">
        <v>45938</v>
      </c>
      <c r="D163" s="3" t="s">
        <v>15</v>
      </c>
      <c r="E163" s="79"/>
      <c r="F163" s="79" t="s">
        <v>88</v>
      </c>
      <c r="G163" s="3"/>
      <c r="H163" s="3" t="s">
        <v>123</v>
      </c>
      <c r="I163" s="3" t="s">
        <v>10</v>
      </c>
      <c r="J163" s="3" t="s">
        <v>39</v>
      </c>
      <c r="K163" s="9"/>
      <c r="L163" s="9">
        <v>555</v>
      </c>
      <c r="M163" s="80">
        <v>314</v>
      </c>
      <c r="N163" s="10"/>
      <c r="O163" s="3"/>
      <c r="P163" s="3" t="s">
        <v>207</v>
      </c>
      <c r="Q163" s="5"/>
      <c r="V163" s="14"/>
    </row>
    <row r="164" spans="1:22" ht="15.75" customHeight="1" x14ac:dyDescent="0.3">
      <c r="A164" s="1">
        <v>41</v>
      </c>
      <c r="B164" s="1">
        <v>10</v>
      </c>
      <c r="C164" s="2">
        <v>45938</v>
      </c>
      <c r="D164" s="3" t="s">
        <v>15</v>
      </c>
      <c r="E164" s="79"/>
      <c r="F164" s="79" t="s">
        <v>208</v>
      </c>
      <c r="G164" s="3"/>
      <c r="H164" s="3" t="s">
        <v>62</v>
      </c>
      <c r="I164" s="3" t="s">
        <v>10</v>
      </c>
      <c r="J164" s="3" t="s">
        <v>39</v>
      </c>
      <c r="K164" s="9"/>
      <c r="L164" s="9"/>
      <c r="M164" s="80">
        <v>40</v>
      </c>
      <c r="N164" s="10"/>
      <c r="O164" s="3"/>
      <c r="P164" s="3" t="s">
        <v>205</v>
      </c>
      <c r="Q164" s="5"/>
      <c r="V164" s="14"/>
    </row>
    <row r="165" spans="1:22" ht="15.75" customHeight="1" x14ac:dyDescent="0.3">
      <c r="A165" s="1">
        <v>41</v>
      </c>
      <c r="B165" s="1">
        <v>10</v>
      </c>
      <c r="C165" s="2">
        <v>45938</v>
      </c>
      <c r="D165" s="3" t="s">
        <v>15</v>
      </c>
      <c r="E165" s="79"/>
      <c r="F165" s="79" t="s">
        <v>209</v>
      </c>
      <c r="G165" s="3"/>
      <c r="H165" s="3" t="s">
        <v>62</v>
      </c>
      <c r="I165" s="3" t="s">
        <v>10</v>
      </c>
      <c r="J165" s="3" t="s">
        <v>39</v>
      </c>
      <c r="K165" s="9"/>
      <c r="L165" s="9"/>
      <c r="M165" s="80">
        <v>60</v>
      </c>
      <c r="N165" s="10"/>
      <c r="O165" s="3"/>
      <c r="P165" s="3" t="s">
        <v>205</v>
      </c>
      <c r="Q165" s="5"/>
      <c r="V165" s="14"/>
    </row>
    <row r="166" spans="1:22" ht="15.75" customHeight="1" x14ac:dyDescent="0.3">
      <c r="A166" s="1">
        <v>41</v>
      </c>
      <c r="B166" s="1">
        <v>10</v>
      </c>
      <c r="C166" s="2">
        <v>45939</v>
      </c>
      <c r="D166" s="3" t="s">
        <v>15</v>
      </c>
      <c r="E166" s="79"/>
      <c r="F166" s="79" t="s">
        <v>210</v>
      </c>
      <c r="G166" s="3"/>
      <c r="H166" s="3" t="s">
        <v>195</v>
      </c>
      <c r="I166" s="3" t="s">
        <v>10</v>
      </c>
      <c r="J166" s="3" t="s">
        <v>39</v>
      </c>
      <c r="K166" s="9"/>
      <c r="L166" s="9"/>
      <c r="M166" s="80">
        <v>380</v>
      </c>
      <c r="N166" s="10"/>
      <c r="O166" s="3"/>
      <c r="P166" s="3" t="s">
        <v>205</v>
      </c>
      <c r="Q166" s="5"/>
      <c r="V166" s="14"/>
    </row>
    <row r="167" spans="1:22" ht="15.75" customHeight="1" x14ac:dyDescent="0.3">
      <c r="A167" s="1">
        <v>41</v>
      </c>
      <c r="B167" s="1">
        <v>10</v>
      </c>
      <c r="C167" s="2">
        <v>45939</v>
      </c>
      <c r="D167" s="3" t="s">
        <v>15</v>
      </c>
      <c r="E167" s="79"/>
      <c r="F167" s="79" t="s">
        <v>211</v>
      </c>
      <c r="G167" s="3"/>
      <c r="H167" s="3" t="s">
        <v>120</v>
      </c>
      <c r="I167" s="3" t="s">
        <v>10</v>
      </c>
      <c r="J167" s="3" t="s">
        <v>25</v>
      </c>
      <c r="K167" s="9"/>
      <c r="L167" s="9">
        <v>1250</v>
      </c>
      <c r="M167" s="80">
        <v>1100</v>
      </c>
      <c r="N167" s="10"/>
      <c r="O167" s="3"/>
      <c r="P167" s="3" t="s">
        <v>205</v>
      </c>
      <c r="Q167" s="5"/>
      <c r="V167" s="14"/>
    </row>
    <row r="168" spans="1:22" ht="15.75" customHeight="1" x14ac:dyDescent="0.3">
      <c r="A168" s="1">
        <v>41</v>
      </c>
      <c r="B168" s="1">
        <v>10</v>
      </c>
      <c r="C168" s="2">
        <v>45939</v>
      </c>
      <c r="D168" s="3" t="s">
        <v>15</v>
      </c>
      <c r="E168" s="79"/>
      <c r="F168" s="79" t="s">
        <v>211</v>
      </c>
      <c r="G168" s="3"/>
      <c r="H168" s="3" t="s">
        <v>195</v>
      </c>
      <c r="I168" s="3" t="s">
        <v>10</v>
      </c>
      <c r="J168" s="3" t="s">
        <v>39</v>
      </c>
      <c r="K168" s="9"/>
      <c r="L168" s="9">
        <v>1250</v>
      </c>
      <c r="M168" s="80">
        <v>1100</v>
      </c>
      <c r="N168" s="10"/>
      <c r="O168" s="3"/>
      <c r="P168" s="3" t="s">
        <v>205</v>
      </c>
      <c r="Q168" s="5"/>
      <c r="V168" s="14"/>
    </row>
    <row r="169" spans="1:22" ht="15.75" customHeight="1" x14ac:dyDescent="0.3">
      <c r="A169" s="1">
        <v>41</v>
      </c>
      <c r="B169" s="1">
        <v>10</v>
      </c>
      <c r="C169" s="2">
        <v>45939</v>
      </c>
      <c r="D169" s="3" t="s">
        <v>15</v>
      </c>
      <c r="E169" s="79"/>
      <c r="F169" s="79" t="s">
        <v>212</v>
      </c>
      <c r="G169" s="3"/>
      <c r="H169" s="3" t="s">
        <v>213</v>
      </c>
      <c r="I169" s="3" t="s">
        <v>10</v>
      </c>
      <c r="J169" s="3" t="s">
        <v>39</v>
      </c>
      <c r="K169" s="9"/>
      <c r="L169" s="9">
        <v>1100</v>
      </c>
      <c r="M169" s="80">
        <v>1000</v>
      </c>
      <c r="N169" s="10"/>
      <c r="O169" s="3"/>
      <c r="P169" s="3" t="s">
        <v>205</v>
      </c>
      <c r="Q169" s="5"/>
      <c r="V169" s="14"/>
    </row>
    <row r="170" spans="1:22" ht="15.75" customHeight="1" x14ac:dyDescent="0.3">
      <c r="A170" s="1">
        <v>41</v>
      </c>
      <c r="B170" s="1">
        <v>10</v>
      </c>
      <c r="C170" s="2">
        <v>45939</v>
      </c>
      <c r="D170" s="3" t="s">
        <v>15</v>
      </c>
      <c r="E170" s="79"/>
      <c r="F170" s="79" t="s">
        <v>214</v>
      </c>
      <c r="G170" s="3"/>
      <c r="H170" s="3" t="s">
        <v>68</v>
      </c>
      <c r="I170" s="3" t="s">
        <v>10</v>
      </c>
      <c r="J170" s="3" t="s">
        <v>25</v>
      </c>
      <c r="K170" s="9"/>
      <c r="L170" s="9"/>
      <c r="M170" s="80">
        <v>130</v>
      </c>
      <c r="N170" s="10"/>
      <c r="O170" s="3"/>
      <c r="P170" s="3" t="s">
        <v>205</v>
      </c>
      <c r="Q170" s="5"/>
      <c r="V170" s="14"/>
    </row>
    <row r="171" spans="1:22" ht="15.75" customHeight="1" x14ac:dyDescent="0.3">
      <c r="A171" s="1">
        <v>41</v>
      </c>
      <c r="B171" s="1">
        <v>10</v>
      </c>
      <c r="C171" s="2">
        <v>45939</v>
      </c>
      <c r="D171" s="3" t="s">
        <v>15</v>
      </c>
      <c r="E171" s="79"/>
      <c r="F171" s="79" t="s">
        <v>140</v>
      </c>
      <c r="G171" s="3"/>
      <c r="H171" s="3" t="s">
        <v>22</v>
      </c>
      <c r="I171" s="3" t="s">
        <v>10</v>
      </c>
      <c r="J171" s="3" t="s">
        <v>18</v>
      </c>
      <c r="K171" s="9"/>
      <c r="L171" s="9"/>
      <c r="M171" s="80">
        <v>240</v>
      </c>
      <c r="N171" s="10"/>
      <c r="O171" s="3"/>
      <c r="P171" s="3" t="s">
        <v>215</v>
      </c>
      <c r="Q171" s="5"/>
      <c r="V171" s="14"/>
    </row>
    <row r="172" spans="1:22" ht="15.75" customHeight="1" x14ac:dyDescent="0.3">
      <c r="A172" s="1">
        <v>41</v>
      </c>
      <c r="B172" s="1">
        <v>10</v>
      </c>
      <c r="C172" s="2">
        <v>45939</v>
      </c>
      <c r="D172" s="3" t="s">
        <v>15</v>
      </c>
      <c r="E172" s="79"/>
      <c r="F172" s="79" t="s">
        <v>216</v>
      </c>
      <c r="G172" s="3"/>
      <c r="H172" s="3" t="s">
        <v>188</v>
      </c>
      <c r="I172" s="3" t="s">
        <v>10</v>
      </c>
      <c r="J172" s="3" t="s">
        <v>25</v>
      </c>
      <c r="K172" s="9"/>
      <c r="L172" s="9"/>
      <c r="M172" s="80">
        <v>210</v>
      </c>
      <c r="N172" s="10"/>
      <c r="O172" s="3"/>
      <c r="P172" s="3" t="s">
        <v>215</v>
      </c>
      <c r="Q172" s="5"/>
      <c r="V172" s="14"/>
    </row>
    <row r="173" spans="1:22" ht="15.75" customHeight="1" x14ac:dyDescent="0.3">
      <c r="A173" s="1">
        <v>41</v>
      </c>
      <c r="B173" s="1">
        <v>10</v>
      </c>
      <c r="C173" s="2">
        <v>45939</v>
      </c>
      <c r="D173" s="3" t="s">
        <v>15</v>
      </c>
      <c r="E173" s="79"/>
      <c r="F173" s="79" t="s">
        <v>217</v>
      </c>
      <c r="G173" s="3"/>
      <c r="H173" s="3" t="s">
        <v>188</v>
      </c>
      <c r="I173" s="3" t="s">
        <v>10</v>
      </c>
      <c r="J173" s="3" t="s">
        <v>25</v>
      </c>
      <c r="K173" s="9"/>
      <c r="L173" s="9"/>
      <c r="M173" s="80">
        <v>200</v>
      </c>
      <c r="N173" s="10"/>
      <c r="O173" s="3"/>
      <c r="P173" s="3" t="s">
        <v>215</v>
      </c>
      <c r="Q173" s="5"/>
      <c r="V173" s="14"/>
    </row>
    <row r="174" spans="1:22" ht="15.75" customHeight="1" x14ac:dyDescent="0.3">
      <c r="A174" s="1">
        <v>41</v>
      </c>
      <c r="B174" s="1">
        <v>10</v>
      </c>
      <c r="C174" s="2">
        <v>45939</v>
      </c>
      <c r="D174" s="3" t="s">
        <v>15</v>
      </c>
      <c r="E174" s="79"/>
      <c r="F174" s="79" t="s">
        <v>218</v>
      </c>
      <c r="G174" s="3"/>
      <c r="H174" s="3" t="s">
        <v>118</v>
      </c>
      <c r="I174" s="3" t="s">
        <v>10</v>
      </c>
      <c r="J174" s="3" t="s">
        <v>25</v>
      </c>
      <c r="K174" s="9"/>
      <c r="L174" s="9"/>
      <c r="M174" s="80">
        <v>50</v>
      </c>
      <c r="N174" s="10"/>
      <c r="O174" s="3"/>
      <c r="P174" s="3" t="s">
        <v>215</v>
      </c>
      <c r="Q174" s="5"/>
      <c r="V174" s="14"/>
    </row>
    <row r="175" spans="1:22" ht="15.75" customHeight="1" x14ac:dyDescent="0.3">
      <c r="A175" s="1">
        <v>41</v>
      </c>
      <c r="B175" s="1">
        <v>10</v>
      </c>
      <c r="C175" s="2">
        <v>45940</v>
      </c>
      <c r="D175" s="3" t="s">
        <v>15</v>
      </c>
      <c r="E175" s="79"/>
      <c r="F175" s="79" t="s">
        <v>219</v>
      </c>
      <c r="G175" s="3"/>
      <c r="H175" s="3" t="s">
        <v>123</v>
      </c>
      <c r="I175" s="3" t="s">
        <v>10</v>
      </c>
      <c r="J175" s="3" t="s">
        <v>39</v>
      </c>
      <c r="K175" s="9"/>
      <c r="L175" s="9"/>
      <c r="M175" s="80">
        <v>360</v>
      </c>
      <c r="N175" s="10"/>
      <c r="O175" s="3"/>
      <c r="P175" s="3" t="s">
        <v>205</v>
      </c>
      <c r="Q175" s="5"/>
      <c r="V175" s="14"/>
    </row>
    <row r="176" spans="1:22" ht="15.75" customHeight="1" x14ac:dyDescent="0.3">
      <c r="A176" s="1">
        <v>41</v>
      </c>
      <c r="B176" s="1">
        <v>10</v>
      </c>
      <c r="C176" s="2">
        <v>45940</v>
      </c>
      <c r="D176" s="3" t="s">
        <v>15</v>
      </c>
      <c r="E176" s="79"/>
      <c r="F176" s="79" t="s">
        <v>102</v>
      </c>
      <c r="G176" s="3"/>
      <c r="H176" s="3" t="s">
        <v>116</v>
      </c>
      <c r="I176" s="3" t="s">
        <v>10</v>
      </c>
      <c r="J176" s="3" t="s">
        <v>25</v>
      </c>
      <c r="K176" s="9"/>
      <c r="L176" s="9"/>
      <c r="M176" s="80">
        <v>1500</v>
      </c>
      <c r="N176" s="10"/>
      <c r="O176" s="3"/>
      <c r="P176" s="3" t="s">
        <v>205</v>
      </c>
      <c r="Q176" s="5"/>
      <c r="V176" s="14"/>
    </row>
    <row r="177" spans="1:22" ht="15.75" customHeight="1" x14ac:dyDescent="0.3">
      <c r="A177" s="1">
        <v>41</v>
      </c>
      <c r="B177" s="1">
        <v>10</v>
      </c>
      <c r="C177" s="2">
        <v>45940</v>
      </c>
      <c r="D177" s="3" t="s">
        <v>15</v>
      </c>
      <c r="E177" s="79"/>
      <c r="F177" s="79" t="s">
        <v>129</v>
      </c>
      <c r="G177" s="3"/>
      <c r="H177" s="3" t="s">
        <v>104</v>
      </c>
      <c r="I177" s="3" t="s">
        <v>10</v>
      </c>
      <c r="J177" s="3" t="s">
        <v>25</v>
      </c>
      <c r="K177" s="9"/>
      <c r="L177" s="9"/>
      <c r="M177" s="80">
        <v>100</v>
      </c>
      <c r="N177" s="10"/>
      <c r="O177" s="3"/>
      <c r="P177" s="3" t="s">
        <v>205</v>
      </c>
      <c r="Q177" s="5"/>
      <c r="V177" s="14"/>
    </row>
    <row r="178" spans="1:22" ht="15.75" customHeight="1" x14ac:dyDescent="0.3">
      <c r="A178" s="1">
        <v>41</v>
      </c>
      <c r="B178" s="1">
        <v>10</v>
      </c>
      <c r="C178" s="2">
        <v>45940</v>
      </c>
      <c r="D178" s="3" t="s">
        <v>15</v>
      </c>
      <c r="E178" s="79"/>
      <c r="F178" s="79" t="s">
        <v>220</v>
      </c>
      <c r="G178" s="3"/>
      <c r="H178" s="3" t="s">
        <v>104</v>
      </c>
      <c r="I178" s="3" t="s">
        <v>10</v>
      </c>
      <c r="J178" s="3" t="s">
        <v>25</v>
      </c>
      <c r="K178" s="9"/>
      <c r="L178" s="9">
        <v>1000</v>
      </c>
      <c r="M178" s="80">
        <v>817</v>
      </c>
      <c r="N178" s="10"/>
      <c r="O178" s="3"/>
      <c r="P178" s="3" t="s">
        <v>205</v>
      </c>
      <c r="Q178" s="5"/>
      <c r="V178" s="14"/>
    </row>
    <row r="179" spans="1:22" ht="15.75" customHeight="1" x14ac:dyDescent="0.3">
      <c r="A179" s="1">
        <v>41</v>
      </c>
      <c r="B179" s="1">
        <v>10</v>
      </c>
      <c r="C179" s="2">
        <v>45940</v>
      </c>
      <c r="D179" s="3" t="s">
        <v>15</v>
      </c>
      <c r="E179" s="79"/>
      <c r="F179" s="79" t="s">
        <v>221</v>
      </c>
      <c r="G179" s="3"/>
      <c r="H179" s="3" t="s">
        <v>104</v>
      </c>
      <c r="I179" s="3" t="s">
        <v>10</v>
      </c>
      <c r="J179" s="3" t="s">
        <v>25</v>
      </c>
      <c r="K179" s="9"/>
      <c r="L179" s="9">
        <v>500</v>
      </c>
      <c r="M179" s="80">
        <v>394</v>
      </c>
      <c r="N179" s="10"/>
      <c r="O179" s="3"/>
      <c r="P179" s="3" t="s">
        <v>205</v>
      </c>
      <c r="Q179" s="5"/>
      <c r="V179" s="14"/>
    </row>
    <row r="180" spans="1:22" ht="15.75" customHeight="1" x14ac:dyDescent="0.3">
      <c r="A180" s="1">
        <v>41</v>
      </c>
      <c r="B180" s="1">
        <v>10</v>
      </c>
      <c r="C180" s="2">
        <v>45940</v>
      </c>
      <c r="D180" s="3" t="s">
        <v>15</v>
      </c>
      <c r="E180" s="79"/>
      <c r="F180" s="79" t="s">
        <v>193</v>
      </c>
      <c r="G180" s="3"/>
      <c r="H180" s="3" t="s">
        <v>104</v>
      </c>
      <c r="I180" s="3" t="s">
        <v>10</v>
      </c>
      <c r="J180" s="3" t="s">
        <v>25</v>
      </c>
      <c r="K180" s="9"/>
      <c r="L180" s="9">
        <v>17300</v>
      </c>
      <c r="M180" s="80">
        <v>17300</v>
      </c>
      <c r="N180" s="12"/>
      <c r="O180" s="3"/>
      <c r="P180" s="3" t="s">
        <v>222</v>
      </c>
      <c r="Q180" s="5"/>
    </row>
    <row r="181" spans="1:22" ht="15.75" customHeight="1" x14ac:dyDescent="0.3">
      <c r="A181" s="1">
        <v>41</v>
      </c>
      <c r="B181" s="1">
        <v>10</v>
      </c>
      <c r="C181" s="2">
        <v>45941</v>
      </c>
      <c r="D181" s="3" t="s">
        <v>15</v>
      </c>
      <c r="E181" s="79"/>
      <c r="F181" s="79" t="s">
        <v>223</v>
      </c>
      <c r="G181" s="3"/>
      <c r="H181" s="3" t="s">
        <v>104</v>
      </c>
      <c r="I181" s="3" t="s">
        <v>10</v>
      </c>
      <c r="J181" s="3" t="s">
        <v>25</v>
      </c>
      <c r="K181" s="9"/>
      <c r="L181" s="9"/>
      <c r="M181" s="80">
        <v>30</v>
      </c>
      <c r="N181" s="10"/>
      <c r="O181" s="3"/>
      <c r="P181" s="3" t="s">
        <v>205</v>
      </c>
      <c r="Q181" s="5"/>
      <c r="V181" s="14"/>
    </row>
    <row r="182" spans="1:22" ht="15.75" customHeight="1" x14ac:dyDescent="0.3">
      <c r="A182" s="1">
        <v>42</v>
      </c>
      <c r="B182" s="1">
        <v>10</v>
      </c>
      <c r="C182" s="2">
        <v>45943</v>
      </c>
      <c r="D182" s="3" t="s">
        <v>15</v>
      </c>
      <c r="E182" s="79"/>
      <c r="F182" s="79" t="s">
        <v>224</v>
      </c>
      <c r="G182" s="3"/>
      <c r="H182" s="3" t="s">
        <v>104</v>
      </c>
      <c r="I182" s="3" t="s">
        <v>10</v>
      </c>
      <c r="J182" s="3" t="s">
        <v>25</v>
      </c>
      <c r="K182" s="9"/>
      <c r="L182" s="9"/>
      <c r="M182" s="80">
        <v>464</v>
      </c>
      <c r="N182" s="10"/>
      <c r="O182" s="3"/>
      <c r="P182" s="3" t="s">
        <v>205</v>
      </c>
      <c r="Q182" s="5"/>
      <c r="V182" s="14"/>
    </row>
    <row r="183" spans="1:22" ht="15.75" customHeight="1" x14ac:dyDescent="0.3">
      <c r="A183" s="1">
        <v>42</v>
      </c>
      <c r="B183" s="1">
        <v>10</v>
      </c>
      <c r="C183" s="2">
        <v>45943</v>
      </c>
      <c r="D183" s="3" t="s">
        <v>15</v>
      </c>
      <c r="E183" s="79"/>
      <c r="F183" s="79" t="s">
        <v>225</v>
      </c>
      <c r="G183" s="3"/>
      <c r="H183" s="3" t="s">
        <v>104</v>
      </c>
      <c r="I183" s="3" t="s">
        <v>10</v>
      </c>
      <c r="J183" s="3" t="s">
        <v>25</v>
      </c>
      <c r="K183" s="9"/>
      <c r="L183" s="9"/>
      <c r="M183" s="80">
        <v>335</v>
      </c>
      <c r="N183" s="10"/>
      <c r="O183" s="3"/>
      <c r="P183" s="3" t="s">
        <v>205</v>
      </c>
      <c r="Q183" s="5"/>
      <c r="V183" s="14"/>
    </row>
    <row r="184" spans="1:22" ht="15.75" customHeight="1" x14ac:dyDescent="0.3">
      <c r="A184" s="1">
        <v>42</v>
      </c>
      <c r="B184" s="1">
        <v>10</v>
      </c>
      <c r="C184" s="2">
        <v>45943</v>
      </c>
      <c r="D184" s="3" t="s">
        <v>15</v>
      </c>
      <c r="E184" s="79"/>
      <c r="F184" s="79" t="s">
        <v>127</v>
      </c>
      <c r="G184" s="3"/>
      <c r="H184" s="3" t="s">
        <v>33</v>
      </c>
      <c r="I184" s="3" t="s">
        <v>10</v>
      </c>
      <c r="J184" s="3" t="s">
        <v>25</v>
      </c>
      <c r="K184" s="9"/>
      <c r="L184" s="9"/>
      <c r="M184" s="80">
        <v>150</v>
      </c>
      <c r="N184" s="10"/>
      <c r="O184" s="3"/>
      <c r="P184" s="3" t="s">
        <v>205</v>
      </c>
      <c r="Q184" s="5"/>
      <c r="V184" s="14"/>
    </row>
    <row r="185" spans="1:22" ht="15.75" customHeight="1" x14ac:dyDescent="0.3">
      <c r="A185" s="1">
        <v>42</v>
      </c>
      <c r="B185" s="1">
        <v>10</v>
      </c>
      <c r="C185" s="2">
        <v>45943</v>
      </c>
      <c r="D185" s="3" t="s">
        <v>15</v>
      </c>
      <c r="E185" s="79"/>
      <c r="F185" s="79" t="s">
        <v>226</v>
      </c>
      <c r="G185" s="3"/>
      <c r="H185" s="13" t="s">
        <v>169</v>
      </c>
      <c r="I185" s="3" t="s">
        <v>10</v>
      </c>
      <c r="J185" s="3" t="s">
        <v>39</v>
      </c>
      <c r="K185" s="9"/>
      <c r="L185" s="9"/>
      <c r="M185" s="80">
        <v>150</v>
      </c>
      <c r="N185" s="10"/>
      <c r="O185" s="3"/>
      <c r="P185" s="3" t="s">
        <v>205</v>
      </c>
      <c r="Q185" s="5"/>
      <c r="V185" s="14"/>
    </row>
    <row r="186" spans="1:22" ht="15.75" customHeight="1" x14ac:dyDescent="0.3">
      <c r="A186" s="1">
        <v>42</v>
      </c>
      <c r="B186" s="1">
        <v>10</v>
      </c>
      <c r="C186" s="2">
        <v>45943</v>
      </c>
      <c r="D186" s="3" t="s">
        <v>15</v>
      </c>
      <c r="E186" s="79"/>
      <c r="F186" s="79" t="s">
        <v>226</v>
      </c>
      <c r="G186" s="3"/>
      <c r="H186" s="3" t="s">
        <v>135</v>
      </c>
      <c r="I186" s="3" t="s">
        <v>10</v>
      </c>
      <c r="J186" s="3" t="s">
        <v>25</v>
      </c>
      <c r="K186" s="9"/>
      <c r="L186" s="9"/>
      <c r="M186" s="80">
        <v>150</v>
      </c>
      <c r="N186" s="10"/>
      <c r="O186" s="3"/>
      <c r="P186" s="3" t="s">
        <v>205</v>
      </c>
      <c r="Q186" s="5"/>
      <c r="V186" s="14"/>
    </row>
    <row r="187" spans="1:22" ht="15.75" customHeight="1" x14ac:dyDescent="0.3">
      <c r="A187" s="1">
        <v>42</v>
      </c>
      <c r="B187" s="1">
        <v>10</v>
      </c>
      <c r="C187" s="2">
        <v>45943</v>
      </c>
      <c r="D187" s="3" t="s">
        <v>15</v>
      </c>
      <c r="E187" s="79"/>
      <c r="F187" s="79" t="s">
        <v>216</v>
      </c>
      <c r="G187" s="3"/>
      <c r="H187" s="3" t="s">
        <v>123</v>
      </c>
      <c r="I187" s="3" t="s">
        <v>10</v>
      </c>
      <c r="J187" s="3" t="s">
        <v>39</v>
      </c>
      <c r="K187" s="9"/>
      <c r="L187" s="9"/>
      <c r="M187" s="80">
        <v>100</v>
      </c>
      <c r="N187" s="10"/>
      <c r="O187" s="3"/>
      <c r="P187" s="3" t="s">
        <v>227</v>
      </c>
      <c r="Q187" s="5"/>
      <c r="V187" s="14"/>
    </row>
    <row r="188" spans="1:22" ht="15.75" customHeight="1" x14ac:dyDescent="0.3">
      <c r="A188" s="1">
        <v>42</v>
      </c>
      <c r="B188" s="1">
        <v>10</v>
      </c>
      <c r="C188" s="2">
        <v>45943</v>
      </c>
      <c r="D188" s="3" t="s">
        <v>15</v>
      </c>
      <c r="E188" s="79"/>
      <c r="F188" s="79" t="s">
        <v>228</v>
      </c>
      <c r="G188" s="3"/>
      <c r="H188" s="3" t="s">
        <v>53</v>
      </c>
      <c r="I188" s="3" t="s">
        <v>10</v>
      </c>
      <c r="J188" s="3" t="s">
        <v>25</v>
      </c>
      <c r="K188" s="9"/>
      <c r="L188" s="9"/>
      <c r="M188" s="80">
        <v>500</v>
      </c>
      <c r="N188" s="10"/>
      <c r="O188" s="3"/>
      <c r="P188" s="3" t="s">
        <v>178</v>
      </c>
      <c r="Q188" s="5"/>
      <c r="V188" s="14"/>
    </row>
    <row r="189" spans="1:22" ht="15.75" customHeight="1" x14ac:dyDescent="0.3">
      <c r="A189" s="1">
        <v>42</v>
      </c>
      <c r="B189" s="1">
        <v>10</v>
      </c>
      <c r="C189" s="2">
        <v>45943</v>
      </c>
      <c r="D189" s="3" t="s">
        <v>15</v>
      </c>
      <c r="E189" s="79"/>
      <c r="F189" s="79" t="s">
        <v>125</v>
      </c>
      <c r="G189" s="3"/>
      <c r="H189" s="3" t="s">
        <v>53</v>
      </c>
      <c r="I189" s="3" t="s">
        <v>10</v>
      </c>
      <c r="J189" s="3" t="s">
        <v>25</v>
      </c>
      <c r="K189" s="9"/>
      <c r="L189" s="9"/>
      <c r="M189" s="80">
        <v>282</v>
      </c>
      <c r="N189" s="10"/>
      <c r="O189" s="3"/>
      <c r="P189" s="3" t="s">
        <v>229</v>
      </c>
      <c r="Q189" s="5"/>
      <c r="V189" s="14"/>
    </row>
    <row r="190" spans="1:22" ht="15.75" customHeight="1" x14ac:dyDescent="0.3">
      <c r="A190" s="1">
        <v>42</v>
      </c>
      <c r="B190" s="1">
        <v>10</v>
      </c>
      <c r="C190" s="2">
        <v>45944</v>
      </c>
      <c r="D190" s="3" t="s">
        <v>15</v>
      </c>
      <c r="E190" s="79"/>
      <c r="F190" s="79" t="s">
        <v>230</v>
      </c>
      <c r="G190" s="3"/>
      <c r="H190" s="3" t="s">
        <v>135</v>
      </c>
      <c r="I190" s="3" t="s">
        <v>10</v>
      </c>
      <c r="J190" s="3" t="s">
        <v>25</v>
      </c>
      <c r="K190" s="9"/>
      <c r="L190" s="9"/>
      <c r="M190" s="80">
        <v>500</v>
      </c>
      <c r="N190" s="10"/>
      <c r="O190" s="3"/>
      <c r="P190" s="3" t="s">
        <v>205</v>
      </c>
      <c r="Q190" s="5"/>
      <c r="V190" s="14"/>
    </row>
    <row r="191" spans="1:22" ht="15.75" customHeight="1" x14ac:dyDescent="0.3">
      <c r="A191" s="1">
        <v>42</v>
      </c>
      <c r="B191" s="1">
        <v>10</v>
      </c>
      <c r="C191" s="2">
        <v>45944</v>
      </c>
      <c r="D191" s="3" t="s">
        <v>15</v>
      </c>
      <c r="E191" s="79"/>
      <c r="F191" s="79" t="s">
        <v>231</v>
      </c>
      <c r="G191" s="3"/>
      <c r="H191" s="3" t="s">
        <v>104</v>
      </c>
      <c r="I191" s="3" t="s">
        <v>10</v>
      </c>
      <c r="J191" s="3" t="s">
        <v>25</v>
      </c>
      <c r="K191" s="9"/>
      <c r="L191" s="9"/>
      <c r="M191" s="80">
        <v>240</v>
      </c>
      <c r="N191" s="10"/>
      <c r="O191" s="3"/>
      <c r="P191" s="3" t="s">
        <v>203</v>
      </c>
      <c r="Q191" s="5"/>
      <c r="V191" s="14"/>
    </row>
    <row r="192" spans="1:22" ht="15.75" customHeight="1" x14ac:dyDescent="0.3">
      <c r="A192" s="1">
        <v>42</v>
      </c>
      <c r="B192" s="1">
        <v>10</v>
      </c>
      <c r="C192" s="2">
        <v>45944</v>
      </c>
      <c r="D192" s="3" t="s">
        <v>15</v>
      </c>
      <c r="E192" s="79"/>
      <c r="F192" s="79" t="s">
        <v>232</v>
      </c>
      <c r="G192" s="3"/>
      <c r="H192" s="3" t="s">
        <v>104</v>
      </c>
      <c r="I192" s="3" t="s">
        <v>10</v>
      </c>
      <c r="J192" s="3" t="s">
        <v>25</v>
      </c>
      <c r="K192" s="9"/>
      <c r="L192" s="9"/>
      <c r="M192" s="80">
        <v>240</v>
      </c>
      <c r="N192" s="10"/>
      <c r="O192" s="3"/>
      <c r="P192" s="3" t="s">
        <v>203</v>
      </c>
      <c r="Q192" s="5"/>
      <c r="V192" s="14"/>
    </row>
    <row r="193" spans="1:22" ht="15.75" customHeight="1" x14ac:dyDescent="0.3">
      <c r="A193" s="1">
        <v>42</v>
      </c>
      <c r="B193" s="1">
        <v>10</v>
      </c>
      <c r="C193" s="2">
        <v>45944</v>
      </c>
      <c r="D193" s="3" t="s">
        <v>15</v>
      </c>
      <c r="E193" s="79"/>
      <c r="F193" s="79" t="s">
        <v>228</v>
      </c>
      <c r="G193" s="3"/>
      <c r="H193" s="3" t="s">
        <v>104</v>
      </c>
      <c r="I193" s="3" t="s">
        <v>10</v>
      </c>
      <c r="J193" s="3" t="s">
        <v>25</v>
      </c>
      <c r="K193" s="9"/>
      <c r="L193" s="9"/>
      <c r="M193" s="80">
        <v>200</v>
      </c>
      <c r="N193" s="10"/>
      <c r="O193" s="3"/>
      <c r="P193" s="3" t="s">
        <v>229</v>
      </c>
      <c r="Q193" s="5"/>
      <c r="V193" s="14"/>
    </row>
    <row r="194" spans="1:22" ht="15.75" customHeight="1" x14ac:dyDescent="0.3">
      <c r="A194" s="1">
        <v>42</v>
      </c>
      <c r="B194" s="1">
        <v>10</v>
      </c>
      <c r="C194" s="2">
        <v>45944</v>
      </c>
      <c r="D194" s="3" t="s">
        <v>15</v>
      </c>
      <c r="E194" s="79"/>
      <c r="F194" s="79" t="s">
        <v>133</v>
      </c>
      <c r="G194" s="3"/>
      <c r="H194" s="3" t="s">
        <v>104</v>
      </c>
      <c r="I194" s="3" t="s">
        <v>10</v>
      </c>
      <c r="J194" s="3" t="s">
        <v>25</v>
      </c>
      <c r="K194" s="9"/>
      <c r="L194" s="9"/>
      <c r="M194" s="80">
        <v>200</v>
      </c>
      <c r="N194" s="10"/>
      <c r="O194" s="3"/>
      <c r="P194" s="3" t="s">
        <v>229</v>
      </c>
      <c r="Q194" s="5"/>
      <c r="V194" s="14"/>
    </row>
    <row r="195" spans="1:22" ht="15.75" customHeight="1" x14ac:dyDescent="0.3">
      <c r="A195" s="1">
        <v>42</v>
      </c>
      <c r="B195" s="1">
        <v>10</v>
      </c>
      <c r="C195" s="2">
        <v>45944</v>
      </c>
      <c r="D195" s="3" t="s">
        <v>15</v>
      </c>
      <c r="E195" s="79"/>
      <c r="F195" s="79" t="s">
        <v>233</v>
      </c>
      <c r="G195" s="3"/>
      <c r="H195" s="3" t="s">
        <v>104</v>
      </c>
      <c r="I195" s="3" t="s">
        <v>10</v>
      </c>
      <c r="J195" s="3" t="s">
        <v>25</v>
      </c>
      <c r="K195" s="9"/>
      <c r="L195" s="9"/>
      <c r="M195" s="80">
        <v>450</v>
      </c>
      <c r="N195" s="10"/>
      <c r="O195" s="3"/>
      <c r="P195" s="3" t="s">
        <v>234</v>
      </c>
      <c r="Q195" s="5"/>
      <c r="V195" s="14"/>
    </row>
    <row r="196" spans="1:22" ht="15.75" customHeight="1" x14ac:dyDescent="0.3">
      <c r="A196" s="1">
        <v>42</v>
      </c>
      <c r="B196" s="1">
        <v>10</v>
      </c>
      <c r="C196" s="2">
        <v>45944</v>
      </c>
      <c r="D196" s="3" t="s">
        <v>15</v>
      </c>
      <c r="E196" s="79"/>
      <c r="F196" s="79" t="s">
        <v>224</v>
      </c>
      <c r="G196" s="3"/>
      <c r="H196" s="3" t="s">
        <v>188</v>
      </c>
      <c r="I196" s="3" t="s">
        <v>10</v>
      </c>
      <c r="J196" s="3" t="s">
        <v>25</v>
      </c>
      <c r="K196" s="9"/>
      <c r="L196" s="9"/>
      <c r="M196" s="80">
        <v>1050</v>
      </c>
      <c r="N196" s="10"/>
      <c r="O196" s="3"/>
      <c r="P196" s="3" t="s">
        <v>229</v>
      </c>
      <c r="Q196" s="5"/>
      <c r="V196" s="14"/>
    </row>
    <row r="197" spans="1:22" ht="15.75" customHeight="1" x14ac:dyDescent="0.3">
      <c r="A197" s="1">
        <v>42</v>
      </c>
      <c r="B197" s="1">
        <v>10</v>
      </c>
      <c r="C197" s="2">
        <v>45944</v>
      </c>
      <c r="D197" s="3" t="s">
        <v>15</v>
      </c>
      <c r="E197" s="79"/>
      <c r="F197" s="79" t="s">
        <v>235</v>
      </c>
      <c r="G197" s="3"/>
      <c r="H197" s="3" t="s">
        <v>188</v>
      </c>
      <c r="I197" s="3" t="s">
        <v>10</v>
      </c>
      <c r="J197" s="3" t="s">
        <v>25</v>
      </c>
      <c r="K197" s="9"/>
      <c r="L197" s="9"/>
      <c r="M197" s="80">
        <v>159</v>
      </c>
      <c r="N197" s="10"/>
      <c r="O197" s="3"/>
      <c r="P197" s="3" t="s">
        <v>229</v>
      </c>
      <c r="Q197" s="5"/>
      <c r="V197" s="14"/>
    </row>
    <row r="198" spans="1:22" ht="15.75" customHeight="1" x14ac:dyDescent="0.3">
      <c r="A198" s="1">
        <v>42</v>
      </c>
      <c r="B198" s="1">
        <v>10</v>
      </c>
      <c r="C198" s="2">
        <v>45944</v>
      </c>
      <c r="D198" s="3" t="s">
        <v>15</v>
      </c>
      <c r="E198" s="79"/>
      <c r="F198" s="79" t="s">
        <v>236</v>
      </c>
      <c r="G198" s="3"/>
      <c r="H198" s="3" t="s">
        <v>188</v>
      </c>
      <c r="I198" s="3" t="s">
        <v>10</v>
      </c>
      <c r="J198" s="3" t="s">
        <v>25</v>
      </c>
      <c r="K198" s="9"/>
      <c r="L198" s="9"/>
      <c r="M198" s="80">
        <v>800</v>
      </c>
      <c r="N198" s="10"/>
      <c r="O198" s="3"/>
      <c r="P198" s="3" t="s">
        <v>229</v>
      </c>
      <c r="Q198" s="5"/>
      <c r="V198" s="14"/>
    </row>
    <row r="199" spans="1:22" ht="15.75" customHeight="1" x14ac:dyDescent="0.3">
      <c r="A199" s="1">
        <v>42</v>
      </c>
      <c r="B199" s="1">
        <v>10</v>
      </c>
      <c r="C199" s="2">
        <v>45944</v>
      </c>
      <c r="D199" s="3" t="s">
        <v>15</v>
      </c>
      <c r="E199" s="79"/>
      <c r="F199" s="79" t="s">
        <v>237</v>
      </c>
      <c r="G199" s="3"/>
      <c r="H199" s="3" t="s">
        <v>188</v>
      </c>
      <c r="I199" s="3" t="s">
        <v>10</v>
      </c>
      <c r="J199" s="3" t="s">
        <v>25</v>
      </c>
      <c r="K199" s="9"/>
      <c r="L199" s="9"/>
      <c r="M199" s="80">
        <v>4000</v>
      </c>
      <c r="N199" s="10"/>
      <c r="O199" s="3"/>
      <c r="P199" s="3" t="s">
        <v>229</v>
      </c>
      <c r="Q199" s="5"/>
      <c r="V199" s="14"/>
    </row>
    <row r="200" spans="1:22" ht="15.75" customHeight="1" x14ac:dyDescent="0.3">
      <c r="A200" s="1">
        <v>42</v>
      </c>
      <c r="B200" s="1">
        <v>10</v>
      </c>
      <c r="C200" s="2">
        <v>45944</v>
      </c>
      <c r="D200" s="3" t="s">
        <v>15</v>
      </c>
      <c r="E200" s="79"/>
      <c r="F200" s="79" t="s">
        <v>238</v>
      </c>
      <c r="G200" s="3"/>
      <c r="H200" s="3" t="s">
        <v>104</v>
      </c>
      <c r="I200" s="3" t="s">
        <v>10</v>
      </c>
      <c r="J200" s="3" t="s">
        <v>25</v>
      </c>
      <c r="K200" s="9"/>
      <c r="L200" s="9"/>
      <c r="M200" s="80">
        <v>60</v>
      </c>
      <c r="N200" s="10"/>
      <c r="O200" s="3"/>
      <c r="P200" s="3" t="s">
        <v>229</v>
      </c>
      <c r="Q200" s="5"/>
      <c r="V200" s="14"/>
    </row>
    <row r="201" spans="1:22" ht="15.75" customHeight="1" x14ac:dyDescent="0.3">
      <c r="A201" s="1">
        <v>42</v>
      </c>
      <c r="B201" s="1">
        <v>10</v>
      </c>
      <c r="C201" s="2">
        <v>45945</v>
      </c>
      <c r="D201" s="3" t="s">
        <v>15</v>
      </c>
      <c r="E201" s="79"/>
      <c r="F201" s="79" t="s">
        <v>196</v>
      </c>
      <c r="G201" s="3"/>
      <c r="H201" s="3" t="s">
        <v>118</v>
      </c>
      <c r="I201" s="3" t="s">
        <v>10</v>
      </c>
      <c r="J201" s="3" t="s">
        <v>25</v>
      </c>
      <c r="K201" s="9"/>
      <c r="L201" s="9">
        <v>200</v>
      </c>
      <c r="M201" s="80">
        <v>200</v>
      </c>
      <c r="N201" s="12"/>
      <c r="O201" s="3"/>
      <c r="P201" s="3" t="s">
        <v>239</v>
      </c>
      <c r="Q201" s="5"/>
    </row>
    <row r="202" spans="1:22" ht="15.75" customHeight="1" x14ac:dyDescent="0.3">
      <c r="A202" s="1">
        <v>42</v>
      </c>
      <c r="B202" s="1">
        <v>10</v>
      </c>
      <c r="C202" s="2">
        <v>45945</v>
      </c>
      <c r="D202" s="3" t="s">
        <v>15</v>
      </c>
      <c r="E202" s="79"/>
      <c r="F202" s="79" t="s">
        <v>92</v>
      </c>
      <c r="G202" s="3"/>
      <c r="H202" s="3" t="s">
        <v>135</v>
      </c>
      <c r="I202" s="3" t="s">
        <v>10</v>
      </c>
      <c r="J202" s="3" t="s">
        <v>25</v>
      </c>
      <c r="K202" s="9"/>
      <c r="L202" s="9">
        <v>80</v>
      </c>
      <c r="M202" s="80">
        <v>120</v>
      </c>
      <c r="N202" s="10"/>
      <c r="O202" s="3"/>
      <c r="P202" s="3" t="s">
        <v>239</v>
      </c>
      <c r="Q202" s="5"/>
    </row>
    <row r="203" spans="1:22" ht="15.75" customHeight="1" x14ac:dyDescent="0.3">
      <c r="A203" s="1">
        <v>42</v>
      </c>
      <c r="B203" s="1">
        <v>10</v>
      </c>
      <c r="C203" s="2">
        <v>45945</v>
      </c>
      <c r="D203" s="3" t="s">
        <v>15</v>
      </c>
      <c r="E203" s="79"/>
      <c r="F203" s="79" t="s">
        <v>240</v>
      </c>
      <c r="G203" s="3"/>
      <c r="H203" s="3" t="s">
        <v>241</v>
      </c>
      <c r="I203" s="3" t="s">
        <v>10</v>
      </c>
      <c r="J203" s="3" t="s">
        <v>25</v>
      </c>
      <c r="K203" s="9"/>
      <c r="L203" s="9">
        <f t="shared" ref="L203:M203" si="1">3835+680</f>
        <v>4515</v>
      </c>
      <c r="M203" s="80">
        <f t="shared" si="1"/>
        <v>4515</v>
      </c>
      <c r="N203" s="12"/>
      <c r="O203" s="3"/>
      <c r="P203" s="3" t="s">
        <v>239</v>
      </c>
      <c r="Q203" s="5"/>
    </row>
    <row r="204" spans="1:22" ht="15.75" customHeight="1" x14ac:dyDescent="0.3">
      <c r="A204" s="1">
        <v>42</v>
      </c>
      <c r="B204" s="1">
        <v>10</v>
      </c>
      <c r="C204" s="2">
        <v>45945</v>
      </c>
      <c r="D204" s="3" t="s">
        <v>15</v>
      </c>
      <c r="E204" s="79"/>
      <c r="F204" s="79" t="s">
        <v>240</v>
      </c>
      <c r="G204" s="3"/>
      <c r="H204" s="3" t="s">
        <v>15</v>
      </c>
      <c r="I204" s="3" t="s">
        <v>10</v>
      </c>
      <c r="J204" s="3" t="s">
        <v>25</v>
      </c>
      <c r="K204" s="9"/>
      <c r="L204" s="9">
        <v>1610</v>
      </c>
      <c r="M204" s="80">
        <v>1610</v>
      </c>
      <c r="N204" s="12"/>
      <c r="O204" s="3"/>
      <c r="P204" s="3" t="s">
        <v>239</v>
      </c>
      <c r="Q204" s="5"/>
    </row>
    <row r="205" spans="1:22" ht="15.75" customHeight="1" x14ac:dyDescent="0.3">
      <c r="A205" s="1">
        <v>42</v>
      </c>
      <c r="B205" s="1">
        <v>10</v>
      </c>
      <c r="C205" s="2">
        <v>45945</v>
      </c>
      <c r="D205" s="3" t="s">
        <v>15</v>
      </c>
      <c r="E205" s="79"/>
      <c r="F205" s="79" t="s">
        <v>240</v>
      </c>
      <c r="G205" s="3"/>
      <c r="H205" s="3" t="s">
        <v>242</v>
      </c>
      <c r="I205" s="3" t="s">
        <v>10</v>
      </c>
      <c r="J205" s="3" t="s">
        <v>25</v>
      </c>
      <c r="K205" s="9"/>
      <c r="L205" s="9">
        <v>100</v>
      </c>
      <c r="M205" s="80">
        <v>100</v>
      </c>
      <c r="N205" s="12"/>
      <c r="O205" s="3"/>
      <c r="P205" s="3" t="s">
        <v>239</v>
      </c>
      <c r="Q205" s="5"/>
    </row>
    <row r="206" spans="1:22" ht="15.75" customHeight="1" x14ac:dyDescent="0.3">
      <c r="A206" s="1">
        <v>42</v>
      </c>
      <c r="B206" s="1">
        <v>10</v>
      </c>
      <c r="C206" s="2">
        <v>45945</v>
      </c>
      <c r="D206" s="3" t="s">
        <v>15</v>
      </c>
      <c r="E206" s="79"/>
      <c r="F206" s="79" t="s">
        <v>240</v>
      </c>
      <c r="G206" s="3"/>
      <c r="H206" s="3" t="s">
        <v>243</v>
      </c>
      <c r="I206" s="3" t="s">
        <v>10</v>
      </c>
      <c r="J206" s="3" t="s">
        <v>25</v>
      </c>
      <c r="K206" s="9"/>
      <c r="L206" s="9">
        <v>310</v>
      </c>
      <c r="M206" s="80">
        <v>310</v>
      </c>
      <c r="N206" s="12"/>
      <c r="O206" s="3"/>
      <c r="P206" s="3" t="s">
        <v>239</v>
      </c>
      <c r="Q206" s="15"/>
    </row>
    <row r="207" spans="1:22" ht="15.75" customHeight="1" x14ac:dyDescent="0.3">
      <c r="A207" s="1">
        <v>42</v>
      </c>
      <c r="B207" s="1">
        <v>10</v>
      </c>
      <c r="C207" s="2">
        <v>45945</v>
      </c>
      <c r="D207" s="3" t="s">
        <v>15</v>
      </c>
      <c r="E207" s="79"/>
      <c r="F207" s="79" t="s">
        <v>240</v>
      </c>
      <c r="G207" s="3"/>
      <c r="H207" s="3" t="s">
        <v>244</v>
      </c>
      <c r="I207" s="3" t="s">
        <v>10</v>
      </c>
      <c r="J207" s="3" t="s">
        <v>25</v>
      </c>
      <c r="K207" s="9"/>
      <c r="L207" s="9">
        <v>1300</v>
      </c>
      <c r="M207" s="80">
        <v>1300</v>
      </c>
      <c r="N207" s="12"/>
      <c r="O207" s="3"/>
      <c r="P207" s="3" t="s">
        <v>239</v>
      </c>
      <c r="Q207" s="5"/>
    </row>
    <row r="208" spans="1:22" ht="15.75" customHeight="1" x14ac:dyDescent="0.3">
      <c r="A208" s="1">
        <v>42</v>
      </c>
      <c r="B208" s="1">
        <v>10</v>
      </c>
      <c r="C208" s="2">
        <v>45945</v>
      </c>
      <c r="D208" s="3" t="s">
        <v>15</v>
      </c>
      <c r="E208" s="79"/>
      <c r="F208" s="79" t="s">
        <v>240</v>
      </c>
      <c r="G208" s="3"/>
      <c r="H208" s="3" t="s">
        <v>245</v>
      </c>
      <c r="I208" s="3" t="s">
        <v>10</v>
      </c>
      <c r="J208" s="3" t="s">
        <v>25</v>
      </c>
      <c r="K208" s="9"/>
      <c r="L208" s="9">
        <v>4579</v>
      </c>
      <c r="M208" s="80">
        <v>4579</v>
      </c>
      <c r="N208" s="12"/>
      <c r="O208" s="3"/>
      <c r="P208" s="3" t="s">
        <v>239</v>
      </c>
      <c r="Q208" s="5"/>
    </row>
    <row r="209" spans="1:22" ht="15.75" customHeight="1" x14ac:dyDescent="0.3">
      <c r="A209" s="1">
        <v>42</v>
      </c>
      <c r="B209" s="1">
        <v>10</v>
      </c>
      <c r="C209" s="2">
        <v>45945</v>
      </c>
      <c r="D209" s="3" t="s">
        <v>15</v>
      </c>
      <c r="E209" s="79"/>
      <c r="F209" s="79" t="s">
        <v>246</v>
      </c>
      <c r="G209" s="3"/>
      <c r="H209" s="3" t="s">
        <v>118</v>
      </c>
      <c r="I209" s="3" t="s">
        <v>10</v>
      </c>
      <c r="J209" s="3" t="s">
        <v>25</v>
      </c>
      <c r="K209" s="9"/>
      <c r="L209" s="9">
        <v>324</v>
      </c>
      <c r="M209" s="80">
        <v>333</v>
      </c>
      <c r="N209" s="12"/>
      <c r="O209" s="3"/>
      <c r="P209" s="3" t="s">
        <v>239</v>
      </c>
      <c r="Q209" s="5"/>
    </row>
    <row r="210" spans="1:22" ht="15.75" customHeight="1" x14ac:dyDescent="0.3">
      <c r="A210" s="1">
        <v>42</v>
      </c>
      <c r="B210" s="1">
        <v>10</v>
      </c>
      <c r="C210" s="2">
        <v>45945</v>
      </c>
      <c r="D210" s="3" t="s">
        <v>15</v>
      </c>
      <c r="E210" s="79"/>
      <c r="F210" s="79" t="s">
        <v>247</v>
      </c>
      <c r="G210" s="3"/>
      <c r="H210" s="3" t="s">
        <v>62</v>
      </c>
      <c r="I210" s="3" t="s">
        <v>10</v>
      </c>
      <c r="J210" s="3" t="s">
        <v>25</v>
      </c>
      <c r="K210" s="9"/>
      <c r="L210" s="9">
        <v>2500</v>
      </c>
      <c r="M210" s="80">
        <v>2443</v>
      </c>
      <c r="N210" s="12"/>
      <c r="O210" s="3"/>
      <c r="P210" s="3" t="s">
        <v>239</v>
      </c>
      <c r="Q210" s="5"/>
    </row>
    <row r="211" spans="1:22" ht="15.75" customHeight="1" x14ac:dyDescent="0.3">
      <c r="A211" s="1">
        <v>42</v>
      </c>
      <c r="B211" s="1">
        <v>10</v>
      </c>
      <c r="C211" s="2">
        <v>45945</v>
      </c>
      <c r="D211" s="3" t="s">
        <v>15</v>
      </c>
      <c r="E211" s="79"/>
      <c r="F211" s="79" t="s">
        <v>248</v>
      </c>
      <c r="G211" s="3"/>
      <c r="H211" s="3" t="s">
        <v>135</v>
      </c>
      <c r="I211" s="3" t="s">
        <v>10</v>
      </c>
      <c r="J211" s="3" t="s">
        <v>25</v>
      </c>
      <c r="K211" s="9"/>
      <c r="L211" s="9">
        <v>210</v>
      </c>
      <c r="M211" s="80">
        <v>216</v>
      </c>
      <c r="N211" s="12"/>
      <c r="O211" s="3"/>
      <c r="P211" s="3" t="s">
        <v>239</v>
      </c>
      <c r="Q211" s="5"/>
    </row>
    <row r="212" spans="1:22" ht="15.75" customHeight="1" x14ac:dyDescent="0.3">
      <c r="A212" s="1">
        <v>42</v>
      </c>
      <c r="B212" s="1">
        <v>10</v>
      </c>
      <c r="C212" s="2">
        <v>45945</v>
      </c>
      <c r="D212" s="3" t="s">
        <v>15</v>
      </c>
      <c r="E212" s="79"/>
      <c r="F212" s="79" t="s">
        <v>248</v>
      </c>
      <c r="G212" s="3"/>
      <c r="H212" s="3" t="s">
        <v>46</v>
      </c>
      <c r="I212" s="3" t="s">
        <v>10</v>
      </c>
      <c r="J212" s="3" t="s">
        <v>25</v>
      </c>
      <c r="K212" s="9"/>
      <c r="L212" s="9">
        <v>210</v>
      </c>
      <c r="M212" s="80">
        <v>216</v>
      </c>
      <c r="N212" s="12"/>
      <c r="O212" s="3"/>
      <c r="P212" s="3" t="s">
        <v>239</v>
      </c>
      <c r="Q212" s="5"/>
    </row>
    <row r="213" spans="1:22" ht="15.75" customHeight="1" x14ac:dyDescent="0.3">
      <c r="A213" s="1">
        <v>42</v>
      </c>
      <c r="B213" s="1">
        <v>10</v>
      </c>
      <c r="C213" s="2">
        <v>45945</v>
      </c>
      <c r="D213" s="3" t="s">
        <v>15</v>
      </c>
      <c r="E213" s="79"/>
      <c r="F213" s="79" t="s">
        <v>248</v>
      </c>
      <c r="G213" s="3"/>
      <c r="H213" s="3" t="s">
        <v>150</v>
      </c>
      <c r="I213" s="3" t="s">
        <v>10</v>
      </c>
      <c r="J213" s="3" t="s">
        <v>25</v>
      </c>
      <c r="K213" s="9"/>
      <c r="L213" s="9">
        <v>210</v>
      </c>
      <c r="M213" s="80">
        <v>216</v>
      </c>
      <c r="N213" s="12"/>
      <c r="O213" s="3"/>
      <c r="P213" s="3" t="s">
        <v>239</v>
      </c>
      <c r="Q213" s="5"/>
    </row>
    <row r="214" spans="1:22" ht="15.75" customHeight="1" x14ac:dyDescent="0.3">
      <c r="A214" s="1">
        <v>42</v>
      </c>
      <c r="B214" s="1">
        <v>10</v>
      </c>
      <c r="C214" s="2">
        <v>45945</v>
      </c>
      <c r="D214" s="3" t="s">
        <v>15</v>
      </c>
      <c r="E214" s="79"/>
      <c r="F214" s="79" t="s">
        <v>248</v>
      </c>
      <c r="G214" s="3"/>
      <c r="H214" s="3" t="s">
        <v>64</v>
      </c>
      <c r="I214" s="3" t="s">
        <v>10</v>
      </c>
      <c r="J214" s="3" t="s">
        <v>25</v>
      </c>
      <c r="K214" s="9"/>
      <c r="L214" s="9">
        <v>210</v>
      </c>
      <c r="M214" s="80">
        <v>216</v>
      </c>
      <c r="N214" s="12"/>
      <c r="O214" s="3"/>
      <c r="P214" s="3" t="s">
        <v>239</v>
      </c>
      <c r="Q214" s="5"/>
    </row>
    <row r="215" spans="1:22" ht="15.75" customHeight="1" x14ac:dyDescent="0.3">
      <c r="A215" s="1">
        <v>42</v>
      </c>
      <c r="B215" s="1">
        <v>10</v>
      </c>
      <c r="C215" s="2">
        <v>45945</v>
      </c>
      <c r="D215" s="3" t="s">
        <v>15</v>
      </c>
      <c r="E215" s="79"/>
      <c r="F215" s="79" t="s">
        <v>249</v>
      </c>
      <c r="G215" s="3"/>
      <c r="H215" s="3" t="s">
        <v>62</v>
      </c>
      <c r="I215" s="3" t="s">
        <v>10</v>
      </c>
      <c r="J215" s="3" t="s">
        <v>25</v>
      </c>
      <c r="K215" s="9"/>
      <c r="L215" s="9">
        <v>300</v>
      </c>
      <c r="M215" s="80">
        <v>298</v>
      </c>
      <c r="N215" s="12"/>
      <c r="O215" s="3"/>
      <c r="P215" s="3" t="s">
        <v>239</v>
      </c>
      <c r="Q215" s="5"/>
    </row>
    <row r="216" spans="1:22" ht="15.75" customHeight="1" x14ac:dyDescent="0.3">
      <c r="A216" s="1">
        <v>42</v>
      </c>
      <c r="B216" s="1">
        <v>10</v>
      </c>
      <c r="C216" s="2">
        <v>45945</v>
      </c>
      <c r="D216" s="3" t="s">
        <v>15</v>
      </c>
      <c r="E216" s="79"/>
      <c r="F216" s="79" t="s">
        <v>250</v>
      </c>
      <c r="G216" s="3"/>
      <c r="H216" s="3" t="s">
        <v>118</v>
      </c>
      <c r="I216" s="3" t="s">
        <v>10</v>
      </c>
      <c r="J216" s="3" t="s">
        <v>25</v>
      </c>
      <c r="K216" s="9"/>
      <c r="L216" s="9"/>
      <c r="M216" s="80">
        <v>34</v>
      </c>
      <c r="N216" s="12"/>
      <c r="O216" s="3"/>
      <c r="P216" s="3" t="s">
        <v>203</v>
      </c>
      <c r="Q216" s="5"/>
    </row>
    <row r="217" spans="1:22" ht="15.75" customHeight="1" x14ac:dyDescent="0.3">
      <c r="A217" s="1">
        <v>42</v>
      </c>
      <c r="B217" s="1">
        <v>10</v>
      </c>
      <c r="C217" s="2">
        <v>45945</v>
      </c>
      <c r="D217" s="3" t="s">
        <v>15</v>
      </c>
      <c r="E217" s="79"/>
      <c r="F217" s="79" t="s">
        <v>111</v>
      </c>
      <c r="G217" s="3"/>
      <c r="H217" s="3" t="s">
        <v>195</v>
      </c>
      <c r="I217" s="3" t="s">
        <v>10</v>
      </c>
      <c r="J217" s="3" t="s">
        <v>25</v>
      </c>
      <c r="K217" s="9"/>
      <c r="L217" s="9"/>
      <c r="M217" s="80">
        <v>50</v>
      </c>
      <c r="N217" s="12"/>
      <c r="O217" s="3"/>
      <c r="P217" s="3" t="s">
        <v>239</v>
      </c>
      <c r="Q217" s="5"/>
    </row>
    <row r="218" spans="1:22" ht="15.75" customHeight="1" x14ac:dyDescent="0.3">
      <c r="A218" s="1">
        <v>42</v>
      </c>
      <c r="B218" s="1">
        <v>10</v>
      </c>
      <c r="C218" s="2">
        <v>45945</v>
      </c>
      <c r="D218" s="3" t="s">
        <v>15</v>
      </c>
      <c r="E218" s="79"/>
      <c r="F218" s="79" t="s">
        <v>111</v>
      </c>
      <c r="G218" s="3"/>
      <c r="H218" s="3" t="s">
        <v>104</v>
      </c>
      <c r="I218" s="3" t="s">
        <v>10</v>
      </c>
      <c r="J218" s="3" t="s">
        <v>25</v>
      </c>
      <c r="K218" s="9"/>
      <c r="L218" s="9"/>
      <c r="M218" s="80">
        <v>50</v>
      </c>
      <c r="N218" s="12"/>
      <c r="O218" s="3"/>
      <c r="P218" s="3" t="s">
        <v>239</v>
      </c>
      <c r="Q218" s="5"/>
    </row>
    <row r="219" spans="1:22" ht="15.75" customHeight="1" x14ac:dyDescent="0.3">
      <c r="A219" s="1">
        <v>42</v>
      </c>
      <c r="B219" s="1">
        <v>10</v>
      </c>
      <c r="C219" s="2">
        <v>45945</v>
      </c>
      <c r="D219" s="3" t="s">
        <v>15</v>
      </c>
      <c r="E219" s="79"/>
      <c r="F219" s="79" t="s">
        <v>251</v>
      </c>
      <c r="G219" s="3"/>
      <c r="H219" s="3" t="s">
        <v>135</v>
      </c>
      <c r="I219" s="3" t="s">
        <v>10</v>
      </c>
      <c r="J219" s="3" t="s">
        <v>25</v>
      </c>
      <c r="K219" s="9"/>
      <c r="L219" s="9">
        <v>1000</v>
      </c>
      <c r="M219" s="80">
        <v>250</v>
      </c>
      <c r="N219" s="10"/>
      <c r="O219" s="3"/>
      <c r="P219" s="3" t="s">
        <v>239</v>
      </c>
      <c r="Q219" s="5"/>
    </row>
    <row r="220" spans="1:22" ht="15.75" customHeight="1" x14ac:dyDescent="0.3">
      <c r="A220" s="1">
        <v>42</v>
      </c>
      <c r="B220" s="1">
        <v>10</v>
      </c>
      <c r="C220" s="2">
        <v>45945</v>
      </c>
      <c r="D220" s="3" t="s">
        <v>15</v>
      </c>
      <c r="E220" s="79"/>
      <c r="F220" s="79" t="s">
        <v>252</v>
      </c>
      <c r="G220" s="3"/>
      <c r="H220" s="3" t="s">
        <v>104</v>
      </c>
      <c r="I220" s="3" t="s">
        <v>10</v>
      </c>
      <c r="J220" s="3" t="s">
        <v>25</v>
      </c>
      <c r="K220" s="9"/>
      <c r="L220" s="9"/>
      <c r="M220" s="80">
        <v>250</v>
      </c>
      <c r="N220" s="10"/>
      <c r="O220" s="3"/>
      <c r="P220" s="3" t="s">
        <v>229</v>
      </c>
      <c r="Q220" s="5"/>
    </row>
    <row r="221" spans="1:22" ht="15.75" customHeight="1" x14ac:dyDescent="0.3">
      <c r="A221" s="1">
        <v>42</v>
      </c>
      <c r="B221" s="1">
        <v>10</v>
      </c>
      <c r="C221" s="2">
        <v>45946</v>
      </c>
      <c r="D221" s="3" t="s">
        <v>15</v>
      </c>
      <c r="E221" s="79"/>
      <c r="F221" s="79" t="s">
        <v>253</v>
      </c>
      <c r="G221" s="3"/>
      <c r="H221" s="3" t="s">
        <v>46</v>
      </c>
      <c r="I221" s="3" t="s">
        <v>10</v>
      </c>
      <c r="J221" s="3" t="s">
        <v>25</v>
      </c>
      <c r="K221" s="9"/>
      <c r="L221" s="9">
        <v>566</v>
      </c>
      <c r="M221" s="80">
        <v>566</v>
      </c>
      <c r="N221" s="12"/>
      <c r="O221" s="3"/>
      <c r="P221" s="3" t="s">
        <v>239</v>
      </c>
      <c r="Q221" s="5"/>
    </row>
    <row r="222" spans="1:22" ht="15.75" customHeight="1" x14ac:dyDescent="0.3">
      <c r="A222" s="1">
        <v>42</v>
      </c>
      <c r="B222" s="1">
        <v>10</v>
      </c>
      <c r="C222" s="2">
        <v>45946</v>
      </c>
      <c r="D222" s="3" t="s">
        <v>15</v>
      </c>
      <c r="E222" s="79"/>
      <c r="F222" s="79" t="s">
        <v>254</v>
      </c>
      <c r="G222" s="3"/>
      <c r="H222" s="3" t="s">
        <v>255</v>
      </c>
      <c r="I222" s="3" t="s">
        <v>10</v>
      </c>
      <c r="J222" s="3" t="s">
        <v>25</v>
      </c>
      <c r="K222" s="9"/>
      <c r="L222" s="9"/>
      <c r="M222" s="80">
        <v>45</v>
      </c>
      <c r="N222" s="3"/>
      <c r="O222" s="3"/>
      <c r="P222" s="3" t="s">
        <v>239</v>
      </c>
      <c r="Q222" s="3"/>
    </row>
    <row r="223" spans="1:22" ht="15.75" customHeight="1" x14ac:dyDescent="0.3">
      <c r="A223" s="1">
        <v>42</v>
      </c>
      <c r="B223" s="1">
        <v>10</v>
      </c>
      <c r="C223" s="2">
        <v>45946</v>
      </c>
      <c r="D223" s="3" t="s">
        <v>15</v>
      </c>
      <c r="E223" s="79"/>
      <c r="F223" s="79" t="s">
        <v>92</v>
      </c>
      <c r="G223" s="3"/>
      <c r="H223" s="3" t="s">
        <v>256</v>
      </c>
      <c r="I223" s="3" t="s">
        <v>10</v>
      </c>
      <c r="J223" s="3" t="s">
        <v>25</v>
      </c>
      <c r="K223" s="9"/>
      <c r="L223" s="9">
        <v>50</v>
      </c>
      <c r="M223" s="80">
        <v>111</v>
      </c>
      <c r="N223" s="10"/>
      <c r="O223" s="3"/>
      <c r="P223" s="3" t="s">
        <v>239</v>
      </c>
      <c r="Q223" s="5"/>
      <c r="V223" s="14"/>
    </row>
    <row r="224" spans="1:22" ht="15.75" customHeight="1" x14ac:dyDescent="0.3">
      <c r="A224" s="1">
        <v>42</v>
      </c>
      <c r="B224" s="1">
        <v>10</v>
      </c>
      <c r="C224" s="2">
        <v>45946</v>
      </c>
      <c r="D224" s="3" t="s">
        <v>15</v>
      </c>
      <c r="E224" s="79"/>
      <c r="F224" s="79" t="s">
        <v>92</v>
      </c>
      <c r="G224" s="3"/>
      <c r="H224" s="3" t="s">
        <v>36</v>
      </c>
      <c r="I224" s="3" t="s">
        <v>10</v>
      </c>
      <c r="J224" s="3" t="s">
        <v>25</v>
      </c>
      <c r="K224" s="9"/>
      <c r="L224" s="9">
        <v>50</v>
      </c>
      <c r="M224" s="80">
        <v>43</v>
      </c>
      <c r="N224" s="12"/>
      <c r="O224" s="3"/>
      <c r="P224" s="3" t="s">
        <v>239</v>
      </c>
      <c r="Q224" s="5"/>
    </row>
    <row r="225" spans="1:22" ht="15.75" customHeight="1" x14ac:dyDescent="0.3">
      <c r="A225" s="1">
        <v>42</v>
      </c>
      <c r="B225" s="1">
        <v>10</v>
      </c>
      <c r="C225" s="2">
        <v>45946</v>
      </c>
      <c r="D225" s="3" t="s">
        <v>15</v>
      </c>
      <c r="E225" s="79"/>
      <c r="F225" s="79" t="s">
        <v>95</v>
      </c>
      <c r="G225" s="3"/>
      <c r="H225" s="3" t="s">
        <v>256</v>
      </c>
      <c r="I225" s="3" t="s">
        <v>10</v>
      </c>
      <c r="J225" s="3" t="s">
        <v>25</v>
      </c>
      <c r="K225" s="9"/>
      <c r="L225" s="9">
        <v>35</v>
      </c>
      <c r="M225" s="80">
        <v>98</v>
      </c>
      <c r="N225" s="10"/>
      <c r="O225" s="3"/>
      <c r="P225" s="3" t="s">
        <v>239</v>
      </c>
      <c r="Q225" s="5"/>
    </row>
    <row r="226" spans="1:22" ht="15.75" customHeight="1" x14ac:dyDescent="0.3">
      <c r="A226" s="1">
        <v>42</v>
      </c>
      <c r="B226" s="1">
        <v>10</v>
      </c>
      <c r="C226" s="2">
        <v>45946</v>
      </c>
      <c r="D226" s="3" t="s">
        <v>15</v>
      </c>
      <c r="E226" s="79"/>
      <c r="F226" s="79" t="s">
        <v>88</v>
      </c>
      <c r="G226" s="3"/>
      <c r="H226" s="3" t="s">
        <v>256</v>
      </c>
      <c r="I226" s="3" t="s">
        <v>10</v>
      </c>
      <c r="J226" s="3" t="s">
        <v>25</v>
      </c>
      <c r="K226" s="9"/>
      <c r="L226" s="9">
        <v>555</v>
      </c>
      <c r="M226" s="80">
        <v>550</v>
      </c>
      <c r="N226" s="10"/>
      <c r="O226" s="3"/>
      <c r="P226" s="3" t="s">
        <v>239</v>
      </c>
      <c r="Q226" s="5"/>
    </row>
    <row r="227" spans="1:22" ht="15.75" customHeight="1" x14ac:dyDescent="0.3">
      <c r="A227" s="1">
        <v>42</v>
      </c>
      <c r="B227" s="1">
        <v>10</v>
      </c>
      <c r="C227" s="2">
        <v>45946</v>
      </c>
      <c r="D227" s="3" t="s">
        <v>15</v>
      </c>
      <c r="E227" s="79"/>
      <c r="F227" s="79" t="s">
        <v>88</v>
      </c>
      <c r="G227" s="3"/>
      <c r="H227" s="3" t="s">
        <v>257</v>
      </c>
      <c r="I227" s="3" t="s">
        <v>10</v>
      </c>
      <c r="J227" s="3" t="s">
        <v>25</v>
      </c>
      <c r="K227" s="9"/>
      <c r="L227" s="9">
        <v>555</v>
      </c>
      <c r="M227" s="80">
        <v>550</v>
      </c>
      <c r="N227" s="10"/>
      <c r="O227" s="3"/>
      <c r="P227" s="3" t="s">
        <v>239</v>
      </c>
      <c r="Q227" s="5"/>
    </row>
    <row r="228" spans="1:22" ht="15.75" customHeight="1" x14ac:dyDescent="0.3">
      <c r="A228" s="1">
        <v>42</v>
      </c>
      <c r="B228" s="1">
        <v>10</v>
      </c>
      <c r="C228" s="2">
        <v>45946</v>
      </c>
      <c r="D228" s="3" t="s">
        <v>15</v>
      </c>
      <c r="E228" s="79"/>
      <c r="F228" s="79" t="s">
        <v>88</v>
      </c>
      <c r="G228" s="3"/>
      <c r="H228" s="3" t="s">
        <v>36</v>
      </c>
      <c r="I228" s="3" t="s">
        <v>10</v>
      </c>
      <c r="J228" s="3" t="s">
        <v>25</v>
      </c>
      <c r="K228" s="9"/>
      <c r="L228" s="9">
        <v>555</v>
      </c>
      <c r="M228" s="80">
        <v>550</v>
      </c>
      <c r="N228" s="12"/>
      <c r="O228" s="3"/>
      <c r="P228" s="3" t="s">
        <v>239</v>
      </c>
      <c r="Q228" s="5"/>
    </row>
    <row r="229" spans="1:22" ht="15.75" customHeight="1" x14ac:dyDescent="0.3">
      <c r="A229" s="1">
        <v>42</v>
      </c>
      <c r="B229" s="1">
        <v>10</v>
      </c>
      <c r="C229" s="2">
        <v>45946</v>
      </c>
      <c r="D229" s="3" t="s">
        <v>15</v>
      </c>
      <c r="E229" s="79"/>
      <c r="F229" s="79" t="s">
        <v>88</v>
      </c>
      <c r="G229" s="3"/>
      <c r="H229" s="3" t="s">
        <v>195</v>
      </c>
      <c r="I229" s="3" t="s">
        <v>10</v>
      </c>
      <c r="J229" s="3" t="s">
        <v>39</v>
      </c>
      <c r="K229" s="9"/>
      <c r="L229" s="9">
        <v>555</v>
      </c>
      <c r="M229" s="80">
        <v>550</v>
      </c>
      <c r="N229" s="10"/>
      <c r="O229" s="3"/>
      <c r="P229" s="3" t="s">
        <v>239</v>
      </c>
      <c r="Q229" s="5" t="s">
        <v>258</v>
      </c>
    </row>
    <row r="230" spans="1:22" ht="15.75" customHeight="1" x14ac:dyDescent="0.3">
      <c r="A230" s="1">
        <v>42</v>
      </c>
      <c r="B230" s="1">
        <v>10</v>
      </c>
      <c r="C230" s="2">
        <v>45946</v>
      </c>
      <c r="D230" s="3" t="s">
        <v>15</v>
      </c>
      <c r="E230" s="3" t="s">
        <v>78</v>
      </c>
      <c r="F230" s="79" t="s">
        <v>97</v>
      </c>
      <c r="G230" s="3"/>
      <c r="H230" s="3" t="s">
        <v>256</v>
      </c>
      <c r="I230" s="3" t="s">
        <v>10</v>
      </c>
      <c r="J230" s="3" t="s">
        <v>25</v>
      </c>
      <c r="K230" s="9"/>
      <c r="L230" s="9">
        <v>480</v>
      </c>
      <c r="M230" s="80">
        <v>450</v>
      </c>
      <c r="N230" s="10"/>
      <c r="O230" s="3"/>
      <c r="P230" s="3" t="s">
        <v>239</v>
      </c>
      <c r="Q230" s="5"/>
    </row>
    <row r="231" spans="1:22" ht="15.75" customHeight="1" x14ac:dyDescent="0.3">
      <c r="A231" s="1">
        <v>42</v>
      </c>
      <c r="B231" s="1">
        <v>10</v>
      </c>
      <c r="C231" s="2">
        <v>45946</v>
      </c>
      <c r="D231" s="3" t="s">
        <v>15</v>
      </c>
      <c r="E231" s="3" t="s">
        <v>78</v>
      </c>
      <c r="F231" s="79" t="s">
        <v>98</v>
      </c>
      <c r="G231" s="3"/>
      <c r="H231" s="3" t="s">
        <v>256</v>
      </c>
      <c r="I231" s="3" t="s">
        <v>10</v>
      </c>
      <c r="J231" s="3" t="s">
        <v>25</v>
      </c>
      <c r="K231" s="9"/>
      <c r="L231" s="9">
        <v>580</v>
      </c>
      <c r="M231" s="80">
        <v>280</v>
      </c>
      <c r="N231" s="10"/>
      <c r="O231" s="3"/>
      <c r="P231" s="3" t="s">
        <v>239</v>
      </c>
      <c r="Q231" s="5"/>
      <c r="V231" s="14"/>
    </row>
    <row r="232" spans="1:22" ht="15.75" customHeight="1" x14ac:dyDescent="0.3">
      <c r="A232" s="1">
        <v>42</v>
      </c>
      <c r="B232" s="1">
        <v>10</v>
      </c>
      <c r="C232" s="2">
        <v>45946</v>
      </c>
      <c r="D232" s="3" t="s">
        <v>15</v>
      </c>
      <c r="E232" s="3" t="s">
        <v>78</v>
      </c>
      <c r="F232" s="79" t="s">
        <v>97</v>
      </c>
      <c r="G232" s="3"/>
      <c r="H232" s="3" t="s">
        <v>36</v>
      </c>
      <c r="I232" s="3" t="s">
        <v>10</v>
      </c>
      <c r="J232" s="3" t="s">
        <v>25</v>
      </c>
      <c r="K232" s="9"/>
      <c r="L232" s="9">
        <v>480</v>
      </c>
      <c r="M232" s="80">
        <v>358</v>
      </c>
      <c r="N232" s="10"/>
      <c r="O232" s="3"/>
      <c r="P232" s="3" t="s">
        <v>239</v>
      </c>
      <c r="Q232" s="5"/>
      <c r="V232" s="14"/>
    </row>
    <row r="233" spans="1:22" ht="15.75" customHeight="1" x14ac:dyDescent="0.3">
      <c r="A233" s="1">
        <v>42</v>
      </c>
      <c r="B233" s="1">
        <v>10</v>
      </c>
      <c r="C233" s="2">
        <v>45946</v>
      </c>
      <c r="D233" s="3" t="s">
        <v>15</v>
      </c>
      <c r="E233" s="79"/>
      <c r="F233" s="79" t="s">
        <v>259</v>
      </c>
      <c r="G233" s="3"/>
      <c r="H233" s="3" t="s">
        <v>24</v>
      </c>
      <c r="I233" s="3" t="s">
        <v>10</v>
      </c>
      <c r="J233" s="3" t="s">
        <v>25</v>
      </c>
      <c r="K233" s="9"/>
      <c r="L233" s="9">
        <v>5</v>
      </c>
      <c r="M233" s="80">
        <v>150</v>
      </c>
      <c r="N233" s="10"/>
      <c r="O233" s="3"/>
      <c r="P233" s="3" t="s">
        <v>239</v>
      </c>
      <c r="Q233" s="5"/>
    </row>
    <row r="234" spans="1:22" ht="15.75" customHeight="1" x14ac:dyDescent="0.3">
      <c r="A234" s="1">
        <v>42</v>
      </c>
      <c r="B234" s="1">
        <v>10</v>
      </c>
      <c r="C234" s="2">
        <v>45946</v>
      </c>
      <c r="D234" s="3" t="s">
        <v>15</v>
      </c>
      <c r="E234" s="79"/>
      <c r="F234" s="79" t="s">
        <v>260</v>
      </c>
      <c r="G234" s="3"/>
      <c r="H234" s="3" t="s">
        <v>104</v>
      </c>
      <c r="I234" s="3" t="s">
        <v>10</v>
      </c>
      <c r="J234" s="3" t="s">
        <v>25</v>
      </c>
      <c r="K234" s="9"/>
      <c r="L234" s="9">
        <v>40</v>
      </c>
      <c r="M234" s="80">
        <v>132</v>
      </c>
      <c r="N234" s="10"/>
      <c r="O234" s="3"/>
      <c r="P234" s="3" t="s">
        <v>239</v>
      </c>
      <c r="Q234" s="5"/>
    </row>
    <row r="235" spans="1:22" ht="15.75" customHeight="1" x14ac:dyDescent="0.3">
      <c r="A235" s="1">
        <v>42</v>
      </c>
      <c r="B235" s="1">
        <v>10</v>
      </c>
      <c r="C235" s="2">
        <v>45946</v>
      </c>
      <c r="D235" s="3" t="s">
        <v>15</v>
      </c>
      <c r="E235" s="79"/>
      <c r="F235" s="79" t="s">
        <v>261</v>
      </c>
      <c r="G235" s="3"/>
      <c r="H235" s="3" t="s">
        <v>104</v>
      </c>
      <c r="I235" s="3" t="s">
        <v>10</v>
      </c>
      <c r="J235" s="3" t="s">
        <v>25</v>
      </c>
      <c r="K235" s="9"/>
      <c r="L235" s="9">
        <v>40</v>
      </c>
      <c r="M235" s="80">
        <v>109</v>
      </c>
      <c r="N235" s="10"/>
      <c r="O235" s="3"/>
      <c r="P235" s="3" t="s">
        <v>239</v>
      </c>
      <c r="Q235" s="5"/>
    </row>
    <row r="236" spans="1:22" ht="15.75" customHeight="1" x14ac:dyDescent="0.3">
      <c r="A236" s="1">
        <v>42</v>
      </c>
      <c r="B236" s="1">
        <v>10</v>
      </c>
      <c r="C236" s="2">
        <v>45946</v>
      </c>
      <c r="D236" s="3" t="s">
        <v>15</v>
      </c>
      <c r="E236" s="79"/>
      <c r="F236" s="79" t="s">
        <v>262</v>
      </c>
      <c r="G236" s="3"/>
      <c r="H236" s="3" t="s">
        <v>24</v>
      </c>
      <c r="I236" s="3" t="s">
        <v>10</v>
      </c>
      <c r="J236" s="3" t="s">
        <v>25</v>
      </c>
      <c r="K236" s="9"/>
      <c r="L236" s="9">
        <v>5</v>
      </c>
      <c r="M236" s="80">
        <v>184</v>
      </c>
      <c r="N236" s="10"/>
      <c r="O236" s="3"/>
      <c r="P236" s="3" t="s">
        <v>239</v>
      </c>
      <c r="Q236" s="5"/>
    </row>
    <row r="237" spans="1:22" ht="15.75" customHeight="1" x14ac:dyDescent="0.3">
      <c r="A237" s="1">
        <v>42</v>
      </c>
      <c r="B237" s="1">
        <v>10</v>
      </c>
      <c r="C237" s="2">
        <v>45946</v>
      </c>
      <c r="D237" s="3" t="s">
        <v>15</v>
      </c>
      <c r="E237" s="33" t="s">
        <v>78</v>
      </c>
      <c r="F237" s="79" t="s">
        <v>90</v>
      </c>
      <c r="G237" s="3"/>
      <c r="H237" s="3" t="s">
        <v>36</v>
      </c>
      <c r="I237" s="3" t="s">
        <v>10</v>
      </c>
      <c r="J237" s="3" t="s">
        <v>25</v>
      </c>
      <c r="K237" s="9"/>
      <c r="L237" s="9">
        <v>280</v>
      </c>
      <c r="M237" s="80">
        <v>180</v>
      </c>
      <c r="N237" s="10"/>
      <c r="O237" s="3"/>
      <c r="P237" s="3" t="s">
        <v>239</v>
      </c>
      <c r="Q237" s="5"/>
    </row>
    <row r="238" spans="1:22" ht="15.75" customHeight="1" x14ac:dyDescent="0.3">
      <c r="A238" s="1">
        <v>42</v>
      </c>
      <c r="B238" s="1">
        <v>10</v>
      </c>
      <c r="C238" s="2">
        <v>45946</v>
      </c>
      <c r="D238" s="3" t="s">
        <v>15</v>
      </c>
      <c r="E238" s="33" t="s">
        <v>78</v>
      </c>
      <c r="F238" s="79" t="s">
        <v>90</v>
      </c>
      <c r="G238" s="3"/>
      <c r="H238" s="3" t="s">
        <v>257</v>
      </c>
      <c r="I238" s="3" t="s">
        <v>10</v>
      </c>
      <c r="J238" s="3" t="s">
        <v>25</v>
      </c>
      <c r="K238" s="9"/>
      <c r="L238" s="9">
        <v>280</v>
      </c>
      <c r="M238" s="80">
        <v>180</v>
      </c>
      <c r="N238" s="10"/>
      <c r="O238" s="3"/>
      <c r="P238" s="3" t="s">
        <v>239</v>
      </c>
      <c r="Q238" s="5"/>
      <c r="V238" s="14"/>
    </row>
    <row r="239" spans="1:22" ht="15.75" customHeight="1" x14ac:dyDescent="0.3">
      <c r="A239" s="1">
        <v>42</v>
      </c>
      <c r="B239" s="1">
        <v>10</v>
      </c>
      <c r="C239" s="2">
        <v>45946</v>
      </c>
      <c r="D239" s="3" t="s">
        <v>15</v>
      </c>
      <c r="E239" s="33" t="s">
        <v>78</v>
      </c>
      <c r="F239" s="79" t="s">
        <v>90</v>
      </c>
      <c r="G239" s="3"/>
      <c r="H239" s="3" t="s">
        <v>195</v>
      </c>
      <c r="I239" s="3" t="s">
        <v>10</v>
      </c>
      <c r="J239" s="3" t="s">
        <v>39</v>
      </c>
      <c r="K239" s="9"/>
      <c r="L239" s="9">
        <v>280</v>
      </c>
      <c r="M239" s="80">
        <v>212</v>
      </c>
      <c r="N239" s="12"/>
      <c r="O239" s="3"/>
      <c r="P239" s="3" t="s">
        <v>239</v>
      </c>
      <c r="Q239" s="5" t="s">
        <v>258</v>
      </c>
    </row>
    <row r="240" spans="1:22" ht="15.75" customHeight="1" x14ac:dyDescent="0.3">
      <c r="A240" s="1">
        <v>42</v>
      </c>
      <c r="B240" s="1">
        <v>10</v>
      </c>
      <c r="C240" s="2">
        <v>45947</v>
      </c>
      <c r="D240" s="3" t="s">
        <v>15</v>
      </c>
      <c r="E240" s="79"/>
      <c r="F240" s="79" t="s">
        <v>263</v>
      </c>
      <c r="G240" s="3"/>
      <c r="H240" s="3" t="s">
        <v>152</v>
      </c>
      <c r="I240" s="3" t="s">
        <v>10</v>
      </c>
      <c r="J240" s="3" t="s">
        <v>25</v>
      </c>
      <c r="K240" s="9"/>
      <c r="L240" s="9"/>
      <c r="M240" s="80">
        <v>78</v>
      </c>
      <c r="N240" s="10"/>
      <c r="O240" s="3"/>
      <c r="P240" s="3" t="s">
        <v>264</v>
      </c>
      <c r="Q240" s="5"/>
    </row>
    <row r="241" spans="1:22" ht="15.75" customHeight="1" x14ac:dyDescent="0.3">
      <c r="A241" s="1">
        <v>42</v>
      </c>
      <c r="B241" s="1">
        <v>10</v>
      </c>
      <c r="C241" s="2">
        <v>45947</v>
      </c>
      <c r="D241" s="3" t="s">
        <v>15</v>
      </c>
      <c r="E241" s="79"/>
      <c r="F241" s="79" t="s">
        <v>126</v>
      </c>
      <c r="G241" s="3"/>
      <c r="H241" s="3" t="s">
        <v>152</v>
      </c>
      <c r="I241" s="3" t="s">
        <v>10</v>
      </c>
      <c r="J241" s="3" t="s">
        <v>25</v>
      </c>
      <c r="K241" s="9"/>
      <c r="L241" s="9"/>
      <c r="M241" s="80">
        <v>120</v>
      </c>
      <c r="N241" s="10"/>
      <c r="O241" s="3"/>
      <c r="P241" s="3" t="s">
        <v>264</v>
      </c>
      <c r="Q241" s="5"/>
    </row>
    <row r="242" spans="1:22" ht="15.75" customHeight="1" x14ac:dyDescent="0.3">
      <c r="A242" s="1">
        <v>42</v>
      </c>
      <c r="B242" s="1">
        <v>10</v>
      </c>
      <c r="C242" s="2">
        <v>45947</v>
      </c>
      <c r="D242" s="3" t="s">
        <v>15</v>
      </c>
      <c r="E242" s="79"/>
      <c r="F242" s="79" t="s">
        <v>265</v>
      </c>
      <c r="G242" s="3"/>
      <c r="H242" s="3" t="s">
        <v>152</v>
      </c>
      <c r="I242" s="3" t="s">
        <v>10</v>
      </c>
      <c r="J242" s="3" t="s">
        <v>25</v>
      </c>
      <c r="K242" s="9"/>
      <c r="L242" s="9"/>
      <c r="M242" s="80">
        <v>57</v>
      </c>
      <c r="N242" s="10"/>
      <c r="O242" s="3"/>
      <c r="P242" s="3" t="s">
        <v>264</v>
      </c>
      <c r="Q242" s="5"/>
    </row>
    <row r="243" spans="1:22" ht="15.75" customHeight="1" x14ac:dyDescent="0.3">
      <c r="A243" s="1">
        <v>42</v>
      </c>
      <c r="B243" s="1">
        <v>10</v>
      </c>
      <c r="C243" s="2">
        <v>45947</v>
      </c>
      <c r="D243" s="3" t="s">
        <v>15</v>
      </c>
      <c r="E243" s="79"/>
      <c r="F243" s="79" t="s">
        <v>266</v>
      </c>
      <c r="G243" s="3"/>
      <c r="H243" s="3" t="s">
        <v>152</v>
      </c>
      <c r="I243" s="3" t="s">
        <v>10</v>
      </c>
      <c r="J243" s="3" t="s">
        <v>25</v>
      </c>
      <c r="K243" s="9"/>
      <c r="L243" s="9"/>
      <c r="M243" s="80">
        <v>25</v>
      </c>
      <c r="N243" s="10"/>
      <c r="O243" s="3"/>
      <c r="P243" s="3" t="s">
        <v>264</v>
      </c>
      <c r="Q243" s="5"/>
    </row>
    <row r="244" spans="1:22" ht="15.75" customHeight="1" x14ac:dyDescent="0.3">
      <c r="A244" s="1">
        <v>42</v>
      </c>
      <c r="B244" s="1">
        <v>10</v>
      </c>
      <c r="C244" s="2">
        <v>45947</v>
      </c>
      <c r="D244" s="3" t="s">
        <v>15</v>
      </c>
      <c r="E244" s="79"/>
      <c r="F244" s="79" t="s">
        <v>163</v>
      </c>
      <c r="G244" s="3"/>
      <c r="H244" s="3" t="s">
        <v>104</v>
      </c>
      <c r="I244" s="3" t="s">
        <v>10</v>
      </c>
      <c r="J244" s="3" t="s">
        <v>25</v>
      </c>
      <c r="K244" s="9"/>
      <c r="L244" s="9"/>
      <c r="M244" s="80">
        <v>1100</v>
      </c>
      <c r="N244" s="10"/>
      <c r="O244" s="3"/>
      <c r="P244" s="3" t="s">
        <v>264</v>
      </c>
      <c r="Q244" s="5"/>
    </row>
    <row r="245" spans="1:22" ht="15.75" customHeight="1" x14ac:dyDescent="0.3">
      <c r="A245" s="1">
        <v>42</v>
      </c>
      <c r="B245" s="1">
        <v>10</v>
      </c>
      <c r="C245" s="2">
        <v>45947</v>
      </c>
      <c r="D245" s="3" t="s">
        <v>15</v>
      </c>
      <c r="E245" s="79"/>
      <c r="F245" s="79" t="s">
        <v>140</v>
      </c>
      <c r="G245" s="3"/>
      <c r="H245" s="3" t="s">
        <v>135</v>
      </c>
      <c r="I245" s="3" t="s">
        <v>10</v>
      </c>
      <c r="J245" s="3" t="s">
        <v>25</v>
      </c>
      <c r="K245" s="9"/>
      <c r="L245" s="9">
        <v>280</v>
      </c>
      <c r="M245" s="80">
        <v>240</v>
      </c>
      <c r="N245" s="12"/>
      <c r="O245" s="3"/>
      <c r="P245" s="3" t="s">
        <v>239</v>
      </c>
      <c r="Q245" s="5"/>
    </row>
    <row r="246" spans="1:22" ht="15.75" customHeight="1" x14ac:dyDescent="0.3">
      <c r="A246" s="1">
        <v>42</v>
      </c>
      <c r="B246" s="1">
        <v>10</v>
      </c>
      <c r="C246" s="2">
        <v>45947</v>
      </c>
      <c r="D246" s="3" t="s">
        <v>15</v>
      </c>
      <c r="E246" s="79"/>
      <c r="F246" s="79" t="s">
        <v>267</v>
      </c>
      <c r="G246" s="3"/>
      <c r="H246" s="3" t="s">
        <v>152</v>
      </c>
      <c r="I246" s="3" t="s">
        <v>10</v>
      </c>
      <c r="J246" s="3" t="s">
        <v>25</v>
      </c>
      <c r="K246" s="9"/>
      <c r="L246" s="9"/>
      <c r="M246" s="80">
        <v>120</v>
      </c>
      <c r="N246" s="10"/>
      <c r="O246" s="3"/>
      <c r="P246" s="3" t="s">
        <v>268</v>
      </c>
      <c r="Q246" s="5"/>
    </row>
    <row r="247" spans="1:22" ht="15.75" customHeight="1" x14ac:dyDescent="0.3">
      <c r="A247" s="1">
        <v>42</v>
      </c>
      <c r="B247" s="1">
        <v>10</v>
      </c>
      <c r="C247" s="2">
        <v>45947</v>
      </c>
      <c r="D247" s="3" t="s">
        <v>15</v>
      </c>
      <c r="E247" s="79"/>
      <c r="F247" s="79" t="s">
        <v>269</v>
      </c>
      <c r="G247" s="3"/>
      <c r="H247" s="3" t="s">
        <v>62</v>
      </c>
      <c r="I247" s="3" t="s">
        <v>10</v>
      </c>
      <c r="J247" s="3" t="s">
        <v>25</v>
      </c>
      <c r="K247" s="9"/>
      <c r="L247" s="9">
        <v>50</v>
      </c>
      <c r="M247" s="80">
        <v>25</v>
      </c>
      <c r="N247" s="10"/>
      <c r="O247" s="3"/>
      <c r="P247" s="3" t="s">
        <v>239</v>
      </c>
      <c r="Q247" s="5"/>
    </row>
    <row r="248" spans="1:22" ht="15.75" customHeight="1" x14ac:dyDescent="0.3">
      <c r="A248" s="1">
        <v>42</v>
      </c>
      <c r="B248" s="1">
        <v>10</v>
      </c>
      <c r="C248" s="2">
        <v>45947</v>
      </c>
      <c r="D248" s="3" t="s">
        <v>15</v>
      </c>
      <c r="E248" s="79"/>
      <c r="F248" s="79" t="s">
        <v>270</v>
      </c>
      <c r="G248" s="3"/>
      <c r="H248" s="3" t="s">
        <v>62</v>
      </c>
      <c r="I248" s="3" t="s">
        <v>10</v>
      </c>
      <c r="J248" s="3" t="s">
        <v>25</v>
      </c>
      <c r="K248" s="9"/>
      <c r="L248" s="9">
        <v>100</v>
      </c>
      <c r="M248" s="80">
        <v>120</v>
      </c>
      <c r="N248" s="10"/>
      <c r="O248" s="3"/>
      <c r="P248" s="3" t="s">
        <v>239</v>
      </c>
      <c r="Q248" s="5"/>
    </row>
    <row r="249" spans="1:22" ht="15.75" customHeight="1" x14ac:dyDescent="0.3">
      <c r="A249" s="1">
        <v>42</v>
      </c>
      <c r="B249" s="1">
        <v>10</v>
      </c>
      <c r="C249" s="2">
        <v>45947</v>
      </c>
      <c r="D249" s="3" t="s">
        <v>15</v>
      </c>
      <c r="E249" s="79"/>
      <c r="F249" s="79" t="s">
        <v>271</v>
      </c>
      <c r="G249" s="3"/>
      <c r="H249" s="3" t="s">
        <v>62</v>
      </c>
      <c r="I249" s="3" t="s">
        <v>10</v>
      </c>
      <c r="J249" s="3" t="s">
        <v>25</v>
      </c>
      <c r="K249" s="9"/>
      <c r="L249" s="9"/>
      <c r="M249" s="80">
        <v>152</v>
      </c>
      <c r="N249" s="10"/>
      <c r="O249" s="3"/>
      <c r="P249" s="3" t="s">
        <v>239</v>
      </c>
      <c r="Q249" s="5"/>
    </row>
    <row r="250" spans="1:22" ht="15.75" customHeight="1" x14ac:dyDescent="0.3">
      <c r="A250" s="1">
        <v>42</v>
      </c>
      <c r="B250" s="1">
        <v>10</v>
      </c>
      <c r="C250" s="2">
        <v>45947</v>
      </c>
      <c r="D250" s="3" t="s">
        <v>15</v>
      </c>
      <c r="E250" s="79"/>
      <c r="F250" s="79" t="s">
        <v>92</v>
      </c>
      <c r="G250" s="3"/>
      <c r="H250" s="3" t="s">
        <v>257</v>
      </c>
      <c r="I250" s="3" t="s">
        <v>10</v>
      </c>
      <c r="J250" s="3" t="s">
        <v>25</v>
      </c>
      <c r="K250" s="9"/>
      <c r="L250" s="9">
        <v>50</v>
      </c>
      <c r="M250" s="80">
        <v>0</v>
      </c>
      <c r="N250" s="10"/>
      <c r="O250" s="3"/>
      <c r="P250" s="3" t="s">
        <v>93</v>
      </c>
      <c r="Q250" s="5"/>
      <c r="V250" s="14"/>
    </row>
    <row r="251" spans="1:22" ht="15.75" customHeight="1" x14ac:dyDescent="0.3">
      <c r="A251" s="1">
        <v>42</v>
      </c>
      <c r="B251" s="1">
        <v>10</v>
      </c>
      <c r="C251" s="2">
        <v>45947</v>
      </c>
      <c r="D251" s="3" t="s">
        <v>15</v>
      </c>
      <c r="E251" s="79"/>
      <c r="F251" s="79" t="s">
        <v>95</v>
      </c>
      <c r="G251" s="3"/>
      <c r="H251" s="3" t="s">
        <v>36</v>
      </c>
      <c r="I251" s="3" t="s">
        <v>10</v>
      </c>
      <c r="J251" s="3" t="s">
        <v>25</v>
      </c>
      <c r="K251" s="9"/>
      <c r="L251" s="9">
        <v>35</v>
      </c>
      <c r="M251" s="80">
        <v>0</v>
      </c>
      <c r="N251" s="10"/>
      <c r="O251" s="3"/>
      <c r="P251" s="3" t="s">
        <v>93</v>
      </c>
      <c r="Q251" s="5"/>
    </row>
    <row r="252" spans="1:22" ht="15.75" customHeight="1" x14ac:dyDescent="0.3">
      <c r="A252" s="1">
        <v>42</v>
      </c>
      <c r="B252" s="1">
        <v>10</v>
      </c>
      <c r="C252" s="2">
        <v>45947</v>
      </c>
      <c r="D252" s="3" t="s">
        <v>15</v>
      </c>
      <c r="E252" s="79"/>
      <c r="F252" s="79" t="s">
        <v>272</v>
      </c>
      <c r="G252" s="3"/>
      <c r="H252" s="3" t="s">
        <v>80</v>
      </c>
      <c r="I252" s="3" t="s">
        <v>10</v>
      </c>
      <c r="J252" s="3" t="s">
        <v>25</v>
      </c>
      <c r="K252" s="9"/>
      <c r="L252" s="9"/>
      <c r="M252" s="80">
        <v>1600</v>
      </c>
      <c r="N252" s="10"/>
      <c r="O252" s="3"/>
      <c r="P252" s="3" t="s">
        <v>239</v>
      </c>
      <c r="Q252" s="3" t="s">
        <v>273</v>
      </c>
    </row>
    <row r="253" spans="1:22" ht="15.75" customHeight="1" x14ac:dyDescent="0.3">
      <c r="A253" s="1">
        <v>42</v>
      </c>
      <c r="B253" s="1">
        <v>10</v>
      </c>
      <c r="C253" s="2">
        <v>45948</v>
      </c>
      <c r="D253" s="3" t="s">
        <v>15</v>
      </c>
      <c r="E253" s="79"/>
      <c r="F253" s="79" t="s">
        <v>274</v>
      </c>
      <c r="G253" s="3"/>
      <c r="H253" s="3" t="s">
        <v>150</v>
      </c>
      <c r="I253" s="3" t="s">
        <v>10</v>
      </c>
      <c r="J253" s="3" t="s">
        <v>25</v>
      </c>
      <c r="K253" s="9"/>
      <c r="L253" s="9"/>
      <c r="M253" s="80">
        <v>200</v>
      </c>
      <c r="N253" s="10"/>
      <c r="O253" s="3"/>
      <c r="P253" s="3" t="s">
        <v>275</v>
      </c>
      <c r="Q253" s="3"/>
    </row>
    <row r="254" spans="1:22" ht="15.75" customHeight="1" x14ac:dyDescent="0.3">
      <c r="A254" s="1">
        <v>42</v>
      </c>
      <c r="B254" s="1">
        <v>10</v>
      </c>
      <c r="C254" s="2">
        <v>45948</v>
      </c>
      <c r="D254" s="3" t="s">
        <v>15</v>
      </c>
      <c r="E254" s="79"/>
      <c r="F254" s="79" t="s">
        <v>276</v>
      </c>
      <c r="G254" s="3"/>
      <c r="H254" s="3" t="s">
        <v>120</v>
      </c>
      <c r="I254" s="3" t="s">
        <v>10</v>
      </c>
      <c r="J254" s="3" t="s">
        <v>25</v>
      </c>
      <c r="K254" s="9"/>
      <c r="L254" s="9"/>
      <c r="M254" s="80">
        <v>1724</v>
      </c>
      <c r="N254" s="10"/>
      <c r="O254" s="3"/>
      <c r="P254" s="3" t="s">
        <v>275</v>
      </c>
      <c r="Q254" s="3"/>
    </row>
    <row r="255" spans="1:22" ht="15.75" customHeight="1" x14ac:dyDescent="0.3">
      <c r="A255" s="1">
        <v>42</v>
      </c>
      <c r="B255" s="1">
        <v>10</v>
      </c>
      <c r="C255" s="2">
        <v>45948</v>
      </c>
      <c r="D255" s="3" t="s">
        <v>15</v>
      </c>
      <c r="E255" s="79"/>
      <c r="F255" s="79" t="s">
        <v>277</v>
      </c>
      <c r="G255" s="3"/>
      <c r="H255" s="3" t="s">
        <v>120</v>
      </c>
      <c r="I255" s="3" t="s">
        <v>10</v>
      </c>
      <c r="J255" s="3" t="s">
        <v>25</v>
      </c>
      <c r="K255" s="9"/>
      <c r="L255" s="9"/>
      <c r="M255" s="80">
        <v>1176</v>
      </c>
      <c r="N255" s="10"/>
      <c r="O255" s="3"/>
      <c r="P255" s="3" t="s">
        <v>275</v>
      </c>
      <c r="Q255" s="3"/>
    </row>
    <row r="256" spans="1:22" ht="15.75" customHeight="1" x14ac:dyDescent="0.3">
      <c r="A256" s="1">
        <v>42</v>
      </c>
      <c r="B256" s="1">
        <v>10</v>
      </c>
      <c r="C256" s="2">
        <v>45948</v>
      </c>
      <c r="D256" s="3" t="s">
        <v>15</v>
      </c>
      <c r="E256" s="79"/>
      <c r="F256" s="79" t="s">
        <v>278</v>
      </c>
      <c r="G256" s="3"/>
      <c r="H256" s="3" t="s">
        <v>110</v>
      </c>
      <c r="I256" s="3" t="s">
        <v>10</v>
      </c>
      <c r="J256" s="3" t="s">
        <v>18</v>
      </c>
      <c r="K256" s="9"/>
      <c r="L256" s="9"/>
      <c r="M256" s="80">
        <v>1504</v>
      </c>
      <c r="N256" s="10"/>
      <c r="O256" s="3"/>
      <c r="P256" s="3" t="s">
        <v>275</v>
      </c>
      <c r="Q256" s="3"/>
    </row>
    <row r="257" spans="1:17" ht="15.75" customHeight="1" x14ac:dyDescent="0.3">
      <c r="A257" s="1">
        <v>42</v>
      </c>
      <c r="B257" s="1">
        <v>10</v>
      </c>
      <c r="C257" s="2">
        <v>45948</v>
      </c>
      <c r="D257" s="3" t="s">
        <v>15</v>
      </c>
      <c r="E257" s="79"/>
      <c r="F257" s="79" t="s">
        <v>279</v>
      </c>
      <c r="G257" s="6"/>
      <c r="H257" s="3" t="s">
        <v>110</v>
      </c>
      <c r="I257" s="3" t="s">
        <v>10</v>
      </c>
      <c r="J257" s="3" t="s">
        <v>18</v>
      </c>
      <c r="K257" s="9"/>
      <c r="L257" s="9"/>
      <c r="M257" s="80">
        <v>706</v>
      </c>
      <c r="N257" s="10"/>
      <c r="O257" s="3"/>
      <c r="P257" s="3" t="s">
        <v>275</v>
      </c>
      <c r="Q257" s="3"/>
    </row>
    <row r="258" spans="1:17" ht="15.75" customHeight="1" x14ac:dyDescent="0.3">
      <c r="A258" s="1">
        <v>42</v>
      </c>
      <c r="B258" s="1">
        <v>10</v>
      </c>
      <c r="C258" s="2">
        <v>45948</v>
      </c>
      <c r="D258" s="3" t="s">
        <v>15</v>
      </c>
      <c r="E258" s="79"/>
      <c r="F258" s="79" t="s">
        <v>280</v>
      </c>
      <c r="G258" s="3"/>
      <c r="H258" s="3" t="s">
        <v>110</v>
      </c>
      <c r="I258" s="3" t="s">
        <v>10</v>
      </c>
      <c r="J258" s="3" t="s">
        <v>18</v>
      </c>
      <c r="K258" s="9"/>
      <c r="L258" s="9"/>
      <c r="M258" s="80">
        <v>725</v>
      </c>
      <c r="N258" s="10"/>
      <c r="O258" s="3"/>
      <c r="P258" s="3" t="s">
        <v>275</v>
      </c>
      <c r="Q258" s="3"/>
    </row>
    <row r="259" spans="1:17" ht="15.75" customHeight="1" x14ac:dyDescent="0.3">
      <c r="A259" s="1">
        <v>42</v>
      </c>
      <c r="B259" s="1">
        <v>10</v>
      </c>
      <c r="C259" s="2">
        <v>45948</v>
      </c>
      <c r="D259" s="3" t="s">
        <v>15</v>
      </c>
      <c r="E259" s="79"/>
      <c r="F259" s="79" t="s">
        <v>281</v>
      </c>
      <c r="G259" s="3"/>
      <c r="H259" s="3" t="s">
        <v>110</v>
      </c>
      <c r="I259" s="3" t="s">
        <v>10</v>
      </c>
      <c r="J259" s="3" t="s">
        <v>18</v>
      </c>
      <c r="K259" s="9"/>
      <c r="L259" s="9"/>
      <c r="M259" s="80">
        <v>470</v>
      </c>
      <c r="N259" s="10"/>
      <c r="O259" s="3"/>
      <c r="P259" s="3" t="s">
        <v>275</v>
      </c>
      <c r="Q259" s="3"/>
    </row>
    <row r="260" spans="1:17" ht="15.75" customHeight="1" x14ac:dyDescent="0.3">
      <c r="A260" s="1">
        <v>42</v>
      </c>
      <c r="B260" s="1">
        <v>10</v>
      </c>
      <c r="C260" s="2">
        <v>45948</v>
      </c>
      <c r="D260" s="3" t="s">
        <v>15</v>
      </c>
      <c r="E260" s="79"/>
      <c r="F260" s="79" t="s">
        <v>277</v>
      </c>
      <c r="G260" s="3"/>
      <c r="H260" s="3" t="s">
        <v>110</v>
      </c>
      <c r="I260" s="3" t="s">
        <v>10</v>
      </c>
      <c r="J260" s="3" t="s">
        <v>18</v>
      </c>
      <c r="K260" s="9"/>
      <c r="L260" s="9"/>
      <c r="M260" s="80">
        <v>823</v>
      </c>
      <c r="N260" s="10"/>
      <c r="O260" s="3"/>
      <c r="P260" s="3" t="s">
        <v>275</v>
      </c>
      <c r="Q260" s="3"/>
    </row>
    <row r="261" spans="1:17" ht="15.75" customHeight="1" x14ac:dyDescent="0.3">
      <c r="A261" s="1">
        <v>42</v>
      </c>
      <c r="B261" s="1">
        <v>10</v>
      </c>
      <c r="C261" s="2">
        <v>45948</v>
      </c>
      <c r="D261" s="3" t="s">
        <v>15</v>
      </c>
      <c r="E261" s="79"/>
      <c r="F261" s="79" t="s">
        <v>282</v>
      </c>
      <c r="G261" s="3"/>
      <c r="H261" s="3" t="s">
        <v>110</v>
      </c>
      <c r="I261" s="3" t="s">
        <v>10</v>
      </c>
      <c r="J261" s="3" t="s">
        <v>18</v>
      </c>
      <c r="K261" s="9"/>
      <c r="L261" s="9"/>
      <c r="M261" s="80">
        <v>274</v>
      </c>
      <c r="N261" s="10"/>
      <c r="O261" s="3"/>
      <c r="P261" s="3" t="s">
        <v>275</v>
      </c>
      <c r="Q261" s="3"/>
    </row>
    <row r="262" spans="1:17" ht="15.75" customHeight="1" x14ac:dyDescent="0.3">
      <c r="A262" s="1">
        <v>42</v>
      </c>
      <c r="B262" s="1">
        <v>10</v>
      </c>
      <c r="C262" s="2">
        <v>45948</v>
      </c>
      <c r="D262" s="3" t="s">
        <v>15</v>
      </c>
      <c r="E262" s="79"/>
      <c r="F262" s="79" t="s">
        <v>283</v>
      </c>
      <c r="G262" s="3"/>
      <c r="H262" s="3" t="s">
        <v>110</v>
      </c>
      <c r="I262" s="3" t="s">
        <v>10</v>
      </c>
      <c r="J262" s="3" t="s">
        <v>18</v>
      </c>
      <c r="K262" s="9"/>
      <c r="L262" s="9"/>
      <c r="M262" s="80">
        <v>1411</v>
      </c>
      <c r="N262" s="10"/>
      <c r="O262" s="3"/>
      <c r="P262" s="3" t="s">
        <v>275</v>
      </c>
      <c r="Q262" s="3"/>
    </row>
    <row r="263" spans="1:17" ht="15.75" customHeight="1" x14ac:dyDescent="0.3">
      <c r="A263" s="1">
        <v>42</v>
      </c>
      <c r="B263" s="1">
        <v>10</v>
      </c>
      <c r="C263" s="2">
        <v>45948</v>
      </c>
      <c r="D263" s="3" t="s">
        <v>15</v>
      </c>
      <c r="E263" s="79"/>
      <c r="F263" s="79" t="s">
        <v>284</v>
      </c>
      <c r="G263" s="3" t="s">
        <v>285</v>
      </c>
      <c r="H263" s="3" t="s">
        <v>110</v>
      </c>
      <c r="I263" s="3" t="s">
        <v>10</v>
      </c>
      <c r="J263" s="3" t="s">
        <v>18</v>
      </c>
      <c r="K263" s="9"/>
      <c r="L263" s="9"/>
      <c r="M263" s="80">
        <v>709</v>
      </c>
      <c r="N263" s="10"/>
      <c r="O263" s="3"/>
      <c r="P263" s="3" t="s">
        <v>275</v>
      </c>
      <c r="Q263" s="3"/>
    </row>
    <row r="264" spans="1:17" ht="15.75" customHeight="1" x14ac:dyDescent="0.3">
      <c r="A264" s="1">
        <v>43</v>
      </c>
      <c r="B264" s="1">
        <v>10</v>
      </c>
      <c r="C264" s="2">
        <v>45948</v>
      </c>
      <c r="D264" s="3" t="s">
        <v>15</v>
      </c>
      <c r="E264" s="79"/>
      <c r="F264" s="79" t="s">
        <v>280</v>
      </c>
      <c r="G264" s="3"/>
      <c r="H264" s="3" t="s">
        <v>120</v>
      </c>
      <c r="I264" s="3" t="s">
        <v>10</v>
      </c>
      <c r="J264" s="3" t="s">
        <v>25</v>
      </c>
      <c r="K264" s="9"/>
      <c r="L264" s="9"/>
      <c r="M264" s="80">
        <v>235</v>
      </c>
      <c r="N264" s="10"/>
      <c r="O264" s="3"/>
      <c r="P264" s="3" t="s">
        <v>275</v>
      </c>
      <c r="Q264" s="3"/>
    </row>
    <row r="265" spans="1:17" ht="15.75" customHeight="1" x14ac:dyDescent="0.3">
      <c r="A265" s="1">
        <v>43</v>
      </c>
      <c r="B265" s="1">
        <v>10</v>
      </c>
      <c r="C265" s="2">
        <v>45948</v>
      </c>
      <c r="D265" s="3" t="s">
        <v>15</v>
      </c>
      <c r="E265" s="79"/>
      <c r="F265" s="79" t="s">
        <v>286</v>
      </c>
      <c r="G265" s="3"/>
      <c r="H265" s="3" t="s">
        <v>110</v>
      </c>
      <c r="I265" s="3" t="s">
        <v>10</v>
      </c>
      <c r="J265" s="3" t="s">
        <v>18</v>
      </c>
      <c r="K265" s="9"/>
      <c r="L265" s="9"/>
      <c r="M265" s="80">
        <v>116</v>
      </c>
      <c r="N265" s="10"/>
      <c r="O265" s="3"/>
      <c r="P265" s="3" t="s">
        <v>275</v>
      </c>
      <c r="Q265" s="3"/>
    </row>
    <row r="266" spans="1:17" ht="15.75" customHeight="1" x14ac:dyDescent="0.3">
      <c r="A266" s="1">
        <v>43</v>
      </c>
      <c r="B266" s="1">
        <v>10</v>
      </c>
      <c r="C266" s="2">
        <v>45948</v>
      </c>
      <c r="D266" s="3" t="s">
        <v>15</v>
      </c>
      <c r="E266" s="79"/>
      <c r="F266" s="79" t="s">
        <v>287</v>
      </c>
      <c r="G266" s="3"/>
      <c r="H266" s="3" t="s">
        <v>110</v>
      </c>
      <c r="I266" s="3" t="s">
        <v>10</v>
      </c>
      <c r="J266" s="3" t="s">
        <v>18</v>
      </c>
      <c r="K266" s="9"/>
      <c r="L266" s="9"/>
      <c r="M266" s="80">
        <v>294</v>
      </c>
      <c r="N266" s="10"/>
      <c r="O266" s="3"/>
      <c r="P266" s="3" t="s">
        <v>275</v>
      </c>
      <c r="Q266" s="3"/>
    </row>
    <row r="267" spans="1:17" ht="15.75" customHeight="1" x14ac:dyDescent="0.3">
      <c r="A267" s="1">
        <v>42</v>
      </c>
      <c r="B267" s="1">
        <v>10</v>
      </c>
      <c r="C267" s="2">
        <v>45949</v>
      </c>
      <c r="D267" s="3" t="s">
        <v>15</v>
      </c>
      <c r="E267" s="79"/>
      <c r="F267" s="79" t="s">
        <v>216</v>
      </c>
      <c r="G267" s="3"/>
      <c r="H267" s="3" t="s">
        <v>53</v>
      </c>
      <c r="I267" s="3" t="s">
        <v>10</v>
      </c>
      <c r="J267" s="3" t="s">
        <v>25</v>
      </c>
      <c r="K267" s="9"/>
      <c r="L267" s="9"/>
      <c r="M267" s="80">
        <v>170</v>
      </c>
      <c r="N267" s="10"/>
      <c r="O267" s="3"/>
      <c r="P267" s="3" t="s">
        <v>239</v>
      </c>
      <c r="Q267" s="3"/>
    </row>
    <row r="268" spans="1:17" ht="15.75" customHeight="1" x14ac:dyDescent="0.3">
      <c r="A268" s="1">
        <v>43</v>
      </c>
      <c r="B268" s="1">
        <v>10</v>
      </c>
      <c r="C268" s="2">
        <v>45950</v>
      </c>
      <c r="D268" s="3" t="s">
        <v>15</v>
      </c>
      <c r="E268" s="79"/>
      <c r="F268" s="79" t="s">
        <v>288</v>
      </c>
      <c r="G268" s="3"/>
      <c r="H268" s="3" t="s">
        <v>195</v>
      </c>
      <c r="I268" s="3" t="s">
        <v>10</v>
      </c>
      <c r="J268" s="3" t="s">
        <v>25</v>
      </c>
      <c r="K268" s="9"/>
      <c r="L268" s="9"/>
      <c r="M268" s="80">
        <v>150</v>
      </c>
      <c r="N268" s="10"/>
      <c r="O268" s="3"/>
      <c r="P268" s="3" t="s">
        <v>289</v>
      </c>
      <c r="Q268" s="3"/>
    </row>
    <row r="269" spans="1:17" ht="15.75" customHeight="1" x14ac:dyDescent="0.3">
      <c r="A269" s="1">
        <v>43</v>
      </c>
      <c r="B269" s="1">
        <v>10</v>
      </c>
      <c r="C269" s="2">
        <v>45950</v>
      </c>
      <c r="D269" s="3" t="s">
        <v>15</v>
      </c>
      <c r="E269" s="79"/>
      <c r="F269" s="79" t="s">
        <v>290</v>
      </c>
      <c r="G269" s="3"/>
      <c r="H269" s="3" t="s">
        <v>195</v>
      </c>
      <c r="I269" s="3" t="s">
        <v>10</v>
      </c>
      <c r="J269" s="3" t="s">
        <v>25</v>
      </c>
      <c r="K269" s="9"/>
      <c r="L269" s="9"/>
      <c r="M269" s="80">
        <v>150</v>
      </c>
      <c r="N269" s="10"/>
      <c r="O269" s="3"/>
      <c r="P269" s="3" t="s">
        <v>289</v>
      </c>
      <c r="Q269" s="3"/>
    </row>
    <row r="270" spans="1:17" ht="15.75" customHeight="1" x14ac:dyDescent="0.3">
      <c r="A270" s="1">
        <v>43</v>
      </c>
      <c r="B270" s="1">
        <v>10</v>
      </c>
      <c r="C270" s="2">
        <v>45950</v>
      </c>
      <c r="D270" s="3" t="s">
        <v>15</v>
      </c>
      <c r="E270" s="79"/>
      <c r="F270" s="79" t="s">
        <v>111</v>
      </c>
      <c r="G270" s="3"/>
      <c r="H270" s="3" t="s">
        <v>195</v>
      </c>
      <c r="I270" s="3" t="s">
        <v>10</v>
      </c>
      <c r="J270" s="3" t="s">
        <v>25</v>
      </c>
      <c r="K270" s="9"/>
      <c r="L270" s="9"/>
      <c r="M270" s="80">
        <v>50</v>
      </c>
      <c r="N270" s="10"/>
      <c r="O270" s="3"/>
      <c r="P270" s="3" t="s">
        <v>289</v>
      </c>
      <c r="Q270" s="3"/>
    </row>
    <row r="271" spans="1:17" ht="15.75" customHeight="1" x14ac:dyDescent="0.3">
      <c r="A271" s="1">
        <v>43</v>
      </c>
      <c r="B271" s="1">
        <v>10</v>
      </c>
      <c r="C271" s="2">
        <v>45950</v>
      </c>
      <c r="D271" s="3" t="s">
        <v>15</v>
      </c>
      <c r="E271" s="79"/>
      <c r="F271" s="79" t="s">
        <v>254</v>
      </c>
      <c r="G271" s="3"/>
      <c r="H271" s="3" t="s">
        <v>195</v>
      </c>
      <c r="I271" s="3" t="s">
        <v>10</v>
      </c>
      <c r="J271" s="3" t="s">
        <v>25</v>
      </c>
      <c r="K271" s="9"/>
      <c r="L271" s="9"/>
      <c r="M271" s="80">
        <v>3</v>
      </c>
      <c r="N271" s="10"/>
      <c r="O271" s="3"/>
      <c r="P271" s="3" t="s">
        <v>289</v>
      </c>
      <c r="Q271" s="3"/>
    </row>
    <row r="272" spans="1:17" ht="15.75" customHeight="1" x14ac:dyDescent="0.3">
      <c r="A272" s="1">
        <v>43</v>
      </c>
      <c r="B272" s="1">
        <v>10</v>
      </c>
      <c r="C272" s="2">
        <v>45950</v>
      </c>
      <c r="D272" s="3" t="s">
        <v>15</v>
      </c>
      <c r="E272" s="79"/>
      <c r="F272" s="79" t="s">
        <v>291</v>
      </c>
      <c r="G272" s="3"/>
      <c r="H272" s="3" t="s">
        <v>195</v>
      </c>
      <c r="I272" s="3" t="s">
        <v>10</v>
      </c>
      <c r="J272" s="3" t="s">
        <v>25</v>
      </c>
      <c r="K272" s="9"/>
      <c r="L272" s="9"/>
      <c r="M272" s="80">
        <v>2300</v>
      </c>
      <c r="N272" s="10"/>
      <c r="O272" s="3"/>
      <c r="P272" s="3" t="s">
        <v>239</v>
      </c>
      <c r="Q272" s="3"/>
    </row>
    <row r="273" spans="1:17" ht="15.75" customHeight="1" x14ac:dyDescent="0.3">
      <c r="A273" s="1">
        <v>43</v>
      </c>
      <c r="B273" s="1">
        <v>10</v>
      </c>
      <c r="C273" s="2">
        <v>45950</v>
      </c>
      <c r="D273" s="3" t="s">
        <v>15</v>
      </c>
      <c r="E273" s="79"/>
      <c r="F273" s="79" t="s">
        <v>127</v>
      </c>
      <c r="G273" s="3"/>
      <c r="H273" s="3" t="s">
        <v>150</v>
      </c>
      <c r="I273" s="3" t="s">
        <v>10</v>
      </c>
      <c r="J273" s="3" t="s">
        <v>25</v>
      </c>
      <c r="K273" s="9"/>
      <c r="L273" s="9"/>
      <c r="M273" s="80">
        <v>200</v>
      </c>
      <c r="N273" s="10"/>
      <c r="O273" s="3"/>
      <c r="P273" s="3" t="s">
        <v>239</v>
      </c>
      <c r="Q273" s="3"/>
    </row>
    <row r="274" spans="1:17" ht="15.75" customHeight="1" x14ac:dyDescent="0.3">
      <c r="A274" s="1">
        <v>43</v>
      </c>
      <c r="B274" s="1">
        <v>10</v>
      </c>
      <c r="C274" s="2">
        <v>45951</v>
      </c>
      <c r="D274" s="3" t="s">
        <v>15</v>
      </c>
      <c r="E274" s="79"/>
      <c r="F274" s="79" t="s">
        <v>292</v>
      </c>
      <c r="G274" s="3"/>
      <c r="H274" s="3" t="s">
        <v>36</v>
      </c>
      <c r="I274" s="3" t="s">
        <v>10</v>
      </c>
      <c r="J274" s="3" t="s">
        <v>25</v>
      </c>
      <c r="K274" s="9"/>
      <c r="L274" s="9"/>
      <c r="M274" s="80">
        <v>750</v>
      </c>
      <c r="N274" s="10"/>
      <c r="O274" s="3"/>
      <c r="P274" s="3" t="s">
        <v>239</v>
      </c>
      <c r="Q274" s="3"/>
    </row>
    <row r="275" spans="1:17" ht="15.75" customHeight="1" x14ac:dyDescent="0.3">
      <c r="A275" s="1">
        <v>43</v>
      </c>
      <c r="B275" s="1">
        <v>10</v>
      </c>
      <c r="C275" s="2">
        <v>45951</v>
      </c>
      <c r="D275" s="3" t="s">
        <v>15</v>
      </c>
      <c r="E275" s="79"/>
      <c r="F275" s="79" t="s">
        <v>105</v>
      </c>
      <c r="G275" s="3"/>
      <c r="H275" s="3" t="s">
        <v>36</v>
      </c>
      <c r="I275" s="3" t="s">
        <v>10</v>
      </c>
      <c r="J275" s="3" t="s">
        <v>25</v>
      </c>
      <c r="K275" s="9"/>
      <c r="L275" s="9">
        <v>740</v>
      </c>
      <c r="M275" s="80">
        <v>720</v>
      </c>
      <c r="N275" s="10"/>
      <c r="O275" s="3"/>
      <c r="P275" s="3" t="s">
        <v>239</v>
      </c>
      <c r="Q275" s="3"/>
    </row>
    <row r="276" spans="1:17" ht="15.75" customHeight="1" x14ac:dyDescent="0.3">
      <c r="A276" s="1">
        <v>43</v>
      </c>
      <c r="B276" s="1">
        <v>10</v>
      </c>
      <c r="C276" s="2">
        <v>45951</v>
      </c>
      <c r="D276" s="3" t="s">
        <v>15</v>
      </c>
      <c r="E276" s="3" t="s">
        <v>78</v>
      </c>
      <c r="F276" s="79" t="s">
        <v>293</v>
      </c>
      <c r="G276" s="3"/>
      <c r="H276" s="3" t="s">
        <v>36</v>
      </c>
      <c r="I276" s="3" t="s">
        <v>10</v>
      </c>
      <c r="J276" s="3" t="s">
        <v>25</v>
      </c>
      <c r="K276" s="9"/>
      <c r="L276" s="9" t="s">
        <v>1044</v>
      </c>
      <c r="M276" s="80">
        <v>25</v>
      </c>
      <c r="N276" s="10"/>
      <c r="O276" s="3"/>
      <c r="P276" s="3" t="s">
        <v>239</v>
      </c>
      <c r="Q276" s="3"/>
    </row>
    <row r="277" spans="1:17" ht="15.75" customHeight="1" x14ac:dyDescent="0.3">
      <c r="A277" s="1">
        <v>43</v>
      </c>
      <c r="B277" s="1">
        <v>10</v>
      </c>
      <c r="C277" s="2">
        <v>45951</v>
      </c>
      <c r="D277" s="3" t="s">
        <v>15</v>
      </c>
      <c r="E277" s="79"/>
      <c r="F277" s="79" t="s">
        <v>294</v>
      </c>
      <c r="G277" s="3"/>
      <c r="H277" s="3" t="s">
        <v>110</v>
      </c>
      <c r="I277" s="3" t="s">
        <v>10</v>
      </c>
      <c r="J277" s="3" t="s">
        <v>18</v>
      </c>
      <c r="K277" s="9"/>
      <c r="L277" s="9"/>
      <c r="M277" s="80">
        <v>216</v>
      </c>
      <c r="N277" s="10"/>
      <c r="O277" s="3"/>
      <c r="P277" s="3" t="s">
        <v>275</v>
      </c>
      <c r="Q277" s="3"/>
    </row>
    <row r="278" spans="1:17" ht="15.75" customHeight="1" x14ac:dyDescent="0.3">
      <c r="A278" s="1">
        <v>43</v>
      </c>
      <c r="B278" s="1">
        <v>10</v>
      </c>
      <c r="C278" s="2">
        <v>45951</v>
      </c>
      <c r="D278" s="3" t="s">
        <v>15</v>
      </c>
      <c r="E278" s="79"/>
      <c r="F278" s="79" t="s">
        <v>295</v>
      </c>
      <c r="G278" s="3"/>
      <c r="H278" s="3" t="s">
        <v>120</v>
      </c>
      <c r="I278" s="3" t="s">
        <v>10</v>
      </c>
      <c r="J278" s="3" t="s">
        <v>25</v>
      </c>
      <c r="K278" s="9"/>
      <c r="L278" s="9"/>
      <c r="M278" s="80">
        <v>1500</v>
      </c>
      <c r="N278" s="10"/>
      <c r="O278" s="3"/>
      <c r="P278" s="3" t="s">
        <v>296</v>
      </c>
      <c r="Q278" s="3" t="s">
        <v>297</v>
      </c>
    </row>
    <row r="279" spans="1:17" ht="15.75" customHeight="1" x14ac:dyDescent="0.3">
      <c r="A279" s="1">
        <v>43</v>
      </c>
      <c r="B279" s="1">
        <v>10</v>
      </c>
      <c r="C279" s="2">
        <v>45951</v>
      </c>
      <c r="D279" s="3" t="s">
        <v>15</v>
      </c>
      <c r="E279" s="79"/>
      <c r="F279" s="79" t="s">
        <v>298</v>
      </c>
      <c r="G279" s="3"/>
      <c r="H279" s="3" t="s">
        <v>36</v>
      </c>
      <c r="I279" s="3" t="s">
        <v>10</v>
      </c>
      <c r="J279" s="3" t="s">
        <v>25</v>
      </c>
      <c r="K279" s="9"/>
      <c r="L279" s="9"/>
      <c r="M279" s="80">
        <v>550</v>
      </c>
      <c r="N279" s="10"/>
      <c r="O279" s="3"/>
      <c r="P279" s="3" t="s">
        <v>203</v>
      </c>
      <c r="Q279" s="3"/>
    </row>
    <row r="280" spans="1:17" ht="15.75" customHeight="1" x14ac:dyDescent="0.3">
      <c r="A280" s="1">
        <v>43</v>
      </c>
      <c r="B280" s="1">
        <v>10</v>
      </c>
      <c r="C280" s="2">
        <v>45951</v>
      </c>
      <c r="D280" s="3" t="s">
        <v>15</v>
      </c>
      <c r="E280" s="79"/>
      <c r="F280" s="79" t="s">
        <v>200</v>
      </c>
      <c r="G280" s="3"/>
      <c r="H280" s="3" t="s">
        <v>36</v>
      </c>
      <c r="I280" s="3" t="s">
        <v>10</v>
      </c>
      <c r="J280" s="3" t="s">
        <v>25</v>
      </c>
      <c r="K280" s="9"/>
      <c r="L280" s="9"/>
      <c r="M280" s="80">
        <v>100</v>
      </c>
      <c r="N280" s="10"/>
      <c r="O280" s="3"/>
      <c r="P280" s="3" t="s">
        <v>203</v>
      </c>
      <c r="Q280" s="3"/>
    </row>
    <row r="281" spans="1:17" ht="15.75" customHeight="1" x14ac:dyDescent="0.3">
      <c r="A281" s="1">
        <v>43</v>
      </c>
      <c r="B281" s="1">
        <v>10</v>
      </c>
      <c r="C281" s="2">
        <v>45951</v>
      </c>
      <c r="D281" s="3" t="s">
        <v>15</v>
      </c>
      <c r="E281" s="3"/>
      <c r="F281" s="3" t="s">
        <v>299</v>
      </c>
      <c r="G281" s="3"/>
      <c r="H281" s="3" t="s">
        <v>118</v>
      </c>
      <c r="I281" s="3" t="s">
        <v>10</v>
      </c>
      <c r="J281" s="3" t="s">
        <v>25</v>
      </c>
      <c r="K281" s="9"/>
      <c r="L281" s="9"/>
      <c r="M281" s="80">
        <v>250</v>
      </c>
      <c r="N281" s="10"/>
      <c r="O281" s="3"/>
      <c r="P281" s="3" t="s">
        <v>229</v>
      </c>
      <c r="Q281" s="3" t="s">
        <v>300</v>
      </c>
    </row>
    <row r="282" spans="1:17" ht="15.75" customHeight="1" x14ac:dyDescent="0.3">
      <c r="A282" s="1">
        <v>43</v>
      </c>
      <c r="B282" s="1">
        <v>10</v>
      </c>
      <c r="C282" s="2">
        <v>45951</v>
      </c>
      <c r="D282" s="3" t="s">
        <v>15</v>
      </c>
      <c r="E282" s="79"/>
      <c r="F282" s="79" t="s">
        <v>154</v>
      </c>
      <c r="G282" s="3"/>
      <c r="H282" s="3" t="s">
        <v>118</v>
      </c>
      <c r="I282" s="3" t="s">
        <v>10</v>
      </c>
      <c r="J282" s="3" t="s">
        <v>25</v>
      </c>
      <c r="K282" s="9"/>
      <c r="L282" s="9"/>
      <c r="M282" s="80">
        <v>400</v>
      </c>
      <c r="N282" s="10"/>
      <c r="O282" s="3"/>
      <c r="P282" s="3" t="s">
        <v>301</v>
      </c>
      <c r="Q282" s="3"/>
    </row>
    <row r="283" spans="1:17" ht="15.75" customHeight="1" x14ac:dyDescent="0.3">
      <c r="A283" s="1">
        <v>43</v>
      </c>
      <c r="B283" s="1">
        <v>10</v>
      </c>
      <c r="C283" s="2">
        <v>45951</v>
      </c>
      <c r="D283" s="3" t="s">
        <v>15</v>
      </c>
      <c r="E283" s="79"/>
      <c r="F283" s="79" t="s">
        <v>302</v>
      </c>
      <c r="G283" s="3"/>
      <c r="H283" s="3" t="s">
        <v>118</v>
      </c>
      <c r="I283" s="3" t="s">
        <v>10</v>
      </c>
      <c r="J283" s="3" t="s">
        <v>25</v>
      </c>
      <c r="K283" s="9"/>
      <c r="L283" s="9"/>
      <c r="M283" s="80">
        <v>35</v>
      </c>
      <c r="N283" s="10"/>
      <c r="O283" s="3"/>
      <c r="P283" s="3" t="s">
        <v>301</v>
      </c>
      <c r="Q283" s="3"/>
    </row>
    <row r="284" spans="1:17" ht="15.75" customHeight="1" x14ac:dyDescent="0.3">
      <c r="A284" s="1">
        <v>43</v>
      </c>
      <c r="B284" s="1">
        <v>10</v>
      </c>
      <c r="C284" s="2">
        <v>45952</v>
      </c>
      <c r="D284" s="3" t="s">
        <v>15</v>
      </c>
      <c r="E284" s="79"/>
      <c r="F284" s="79" t="s">
        <v>303</v>
      </c>
      <c r="G284" s="3"/>
      <c r="H284" s="3" t="s">
        <v>304</v>
      </c>
      <c r="I284" s="3" t="s">
        <v>10</v>
      </c>
      <c r="J284" s="3" t="s">
        <v>25</v>
      </c>
      <c r="K284" s="9"/>
      <c r="L284" s="9"/>
      <c r="M284" s="80">
        <v>80</v>
      </c>
      <c r="N284" s="10"/>
      <c r="O284" s="3"/>
      <c r="P284" s="3" t="s">
        <v>239</v>
      </c>
      <c r="Q284" s="3"/>
    </row>
    <row r="285" spans="1:17" ht="15.75" customHeight="1" x14ac:dyDescent="0.3">
      <c r="A285" s="1">
        <v>43</v>
      </c>
      <c r="B285" s="1">
        <v>10</v>
      </c>
      <c r="C285" s="2">
        <v>45952</v>
      </c>
      <c r="D285" s="3" t="s">
        <v>15</v>
      </c>
      <c r="E285" s="79"/>
      <c r="F285" s="79" t="s">
        <v>303</v>
      </c>
      <c r="G285" s="3"/>
      <c r="H285" s="3" t="s">
        <v>304</v>
      </c>
      <c r="I285" s="3" t="s">
        <v>10</v>
      </c>
      <c r="J285" s="3" t="s">
        <v>25</v>
      </c>
      <c r="K285" s="9"/>
      <c r="L285" s="9"/>
      <c r="M285" s="80">
        <v>80</v>
      </c>
      <c r="N285" s="10"/>
      <c r="O285" s="3"/>
      <c r="P285" s="3" t="s">
        <v>239</v>
      </c>
      <c r="Q285" s="3"/>
    </row>
    <row r="286" spans="1:17" ht="15.75" customHeight="1" x14ac:dyDescent="0.3">
      <c r="A286" s="1">
        <v>43</v>
      </c>
      <c r="B286" s="1">
        <v>10</v>
      </c>
      <c r="C286" s="2">
        <v>45952</v>
      </c>
      <c r="D286" s="3" t="s">
        <v>15</v>
      </c>
      <c r="E286" s="79"/>
      <c r="F286" s="79" t="s">
        <v>303</v>
      </c>
      <c r="G286" s="3"/>
      <c r="H286" s="3" t="s">
        <v>304</v>
      </c>
      <c r="I286" s="3" t="s">
        <v>10</v>
      </c>
      <c r="J286" s="3" t="s">
        <v>25</v>
      </c>
      <c r="K286" s="9"/>
      <c r="L286" s="9"/>
      <c r="M286" s="80">
        <v>80</v>
      </c>
      <c r="N286" s="10"/>
      <c r="O286" s="3"/>
      <c r="P286" s="3" t="s">
        <v>239</v>
      </c>
      <c r="Q286" s="3"/>
    </row>
    <row r="287" spans="1:17" ht="15.75" customHeight="1" x14ac:dyDescent="0.3">
      <c r="A287" s="1">
        <v>43</v>
      </c>
      <c r="B287" s="1">
        <v>10</v>
      </c>
      <c r="C287" s="2">
        <v>45952</v>
      </c>
      <c r="D287" s="3" t="s">
        <v>15</v>
      </c>
      <c r="E287" s="79"/>
      <c r="F287" s="79" t="s">
        <v>199</v>
      </c>
      <c r="G287" s="3"/>
      <c r="H287" s="13" t="s">
        <v>169</v>
      </c>
      <c r="I287" s="3" t="s">
        <v>10</v>
      </c>
      <c r="J287" s="3" t="s">
        <v>39</v>
      </c>
      <c r="K287" s="9"/>
      <c r="L287" s="9"/>
      <c r="M287" s="80">
        <v>208</v>
      </c>
      <c r="N287" s="10"/>
      <c r="O287" s="3"/>
      <c r="P287" s="3" t="s">
        <v>239</v>
      </c>
      <c r="Q287" s="3"/>
    </row>
    <row r="288" spans="1:17" ht="15.75" customHeight="1" x14ac:dyDescent="0.3">
      <c r="A288" s="1">
        <v>43</v>
      </c>
      <c r="B288" s="1">
        <v>10</v>
      </c>
      <c r="C288" s="2">
        <v>45952</v>
      </c>
      <c r="D288" s="3" t="s">
        <v>15</v>
      </c>
      <c r="E288" s="79"/>
      <c r="F288" s="79" t="s">
        <v>127</v>
      </c>
      <c r="G288" s="3"/>
      <c r="H288" s="3" t="s">
        <v>150</v>
      </c>
      <c r="I288" s="3" t="s">
        <v>10</v>
      </c>
      <c r="J288" s="3" t="s">
        <v>25</v>
      </c>
      <c r="K288" s="9"/>
      <c r="L288" s="9"/>
      <c r="M288" s="80">
        <v>200</v>
      </c>
      <c r="N288" s="10"/>
      <c r="O288" s="3"/>
      <c r="P288" s="3" t="s">
        <v>239</v>
      </c>
      <c r="Q288" s="3"/>
    </row>
    <row r="289" spans="1:17" ht="15.75" customHeight="1" x14ac:dyDescent="0.3">
      <c r="A289" s="1">
        <v>43</v>
      </c>
      <c r="B289" s="1">
        <v>10</v>
      </c>
      <c r="C289" s="2">
        <v>45952</v>
      </c>
      <c r="D289" s="3" t="s">
        <v>15</v>
      </c>
      <c r="E289" s="79"/>
      <c r="F289" s="79" t="s">
        <v>305</v>
      </c>
      <c r="G289" s="3"/>
      <c r="H289" s="3" t="s">
        <v>118</v>
      </c>
      <c r="I289" s="3" t="s">
        <v>10</v>
      </c>
      <c r="J289" s="3" t="s">
        <v>25</v>
      </c>
      <c r="K289" s="9"/>
      <c r="L289" s="9"/>
      <c r="M289" s="80">
        <v>616</v>
      </c>
      <c r="N289" s="10"/>
      <c r="O289" s="3"/>
      <c r="P289" s="3" t="s">
        <v>239</v>
      </c>
      <c r="Q289" s="3"/>
    </row>
    <row r="290" spans="1:17" ht="15.75" customHeight="1" x14ac:dyDescent="0.3">
      <c r="A290" s="1">
        <v>43</v>
      </c>
      <c r="B290" s="1">
        <v>10</v>
      </c>
      <c r="C290" s="2">
        <v>45952</v>
      </c>
      <c r="D290" s="3" t="s">
        <v>15</v>
      </c>
      <c r="E290" s="79"/>
      <c r="F290" s="79" t="s">
        <v>185</v>
      </c>
      <c r="G290" s="3"/>
      <c r="H290" s="13" t="s">
        <v>169</v>
      </c>
      <c r="I290" s="3" t="s">
        <v>10</v>
      </c>
      <c r="J290" s="3" t="s">
        <v>25</v>
      </c>
      <c r="K290" s="9"/>
      <c r="L290" s="9"/>
      <c r="M290" s="80">
        <v>105</v>
      </c>
      <c r="N290" s="10"/>
      <c r="O290" s="3"/>
      <c r="P290" s="3" t="s">
        <v>239</v>
      </c>
      <c r="Q290" s="3"/>
    </row>
    <row r="291" spans="1:17" ht="15.75" customHeight="1" x14ac:dyDescent="0.3">
      <c r="A291" s="1">
        <v>43</v>
      </c>
      <c r="B291" s="1">
        <v>10</v>
      </c>
      <c r="C291" s="2">
        <v>45952</v>
      </c>
      <c r="D291" s="3" t="s">
        <v>15</v>
      </c>
      <c r="E291" s="79"/>
      <c r="F291" s="79" t="s">
        <v>306</v>
      </c>
      <c r="G291" s="3"/>
      <c r="H291" s="13" t="s">
        <v>169</v>
      </c>
      <c r="I291" s="3" t="s">
        <v>10</v>
      </c>
      <c r="J291" s="3" t="s">
        <v>25</v>
      </c>
      <c r="K291" s="9"/>
      <c r="L291" s="9">
        <v>1200</v>
      </c>
      <c r="M291" s="80">
        <v>3000</v>
      </c>
      <c r="N291" s="10"/>
      <c r="O291" s="3"/>
      <c r="P291" s="3" t="s">
        <v>239</v>
      </c>
      <c r="Q291" s="3"/>
    </row>
    <row r="292" spans="1:17" ht="15.75" customHeight="1" x14ac:dyDescent="0.3">
      <c r="A292" s="1">
        <v>43</v>
      </c>
      <c r="B292" s="1">
        <v>10</v>
      </c>
      <c r="C292" s="2">
        <v>45952</v>
      </c>
      <c r="D292" s="3" t="s">
        <v>15</v>
      </c>
      <c r="E292" s="79"/>
      <c r="F292" s="79" t="s">
        <v>307</v>
      </c>
      <c r="G292" s="3"/>
      <c r="H292" s="3" t="s">
        <v>110</v>
      </c>
      <c r="I292" s="3" t="s">
        <v>10</v>
      </c>
      <c r="J292" s="3" t="s">
        <v>18</v>
      </c>
      <c r="K292" s="9"/>
      <c r="L292" s="9"/>
      <c r="M292" s="80">
        <v>812</v>
      </c>
      <c r="N292" s="10"/>
      <c r="O292" s="3"/>
      <c r="P292" s="3" t="s">
        <v>239</v>
      </c>
      <c r="Q292" s="3"/>
    </row>
    <row r="293" spans="1:17" ht="15.75" customHeight="1" x14ac:dyDescent="0.3">
      <c r="A293" s="1">
        <v>43</v>
      </c>
      <c r="B293" s="1">
        <v>10</v>
      </c>
      <c r="C293" s="2">
        <v>45952</v>
      </c>
      <c r="D293" s="3" t="s">
        <v>15</v>
      </c>
      <c r="E293" s="79"/>
      <c r="F293" s="79" t="s">
        <v>308</v>
      </c>
      <c r="G293" s="3"/>
      <c r="H293" s="3" t="s">
        <v>62</v>
      </c>
      <c r="I293" s="3" t="s">
        <v>10</v>
      </c>
      <c r="J293" s="3" t="s">
        <v>25</v>
      </c>
      <c r="K293" s="9"/>
      <c r="L293" s="9"/>
      <c r="M293" s="80">
        <v>50</v>
      </c>
      <c r="N293" s="10"/>
      <c r="O293" s="3"/>
      <c r="P293" s="3" t="s">
        <v>239</v>
      </c>
      <c r="Q293" s="3"/>
    </row>
    <row r="294" spans="1:17" ht="15.75" customHeight="1" x14ac:dyDescent="0.3">
      <c r="A294" s="1">
        <v>43</v>
      </c>
      <c r="B294" s="1">
        <v>10</v>
      </c>
      <c r="C294" s="2">
        <v>45952</v>
      </c>
      <c r="D294" s="3" t="s">
        <v>15</v>
      </c>
      <c r="E294" s="79"/>
      <c r="F294" s="79" t="s">
        <v>309</v>
      </c>
      <c r="G294" s="3"/>
      <c r="H294" s="3" t="s">
        <v>62</v>
      </c>
      <c r="I294" s="3" t="s">
        <v>10</v>
      </c>
      <c r="J294" s="3" t="s">
        <v>25</v>
      </c>
      <c r="K294" s="9"/>
      <c r="L294" s="9"/>
      <c r="M294" s="80">
        <v>100</v>
      </c>
      <c r="N294" s="10"/>
      <c r="O294" s="3"/>
      <c r="P294" s="3" t="s">
        <v>239</v>
      </c>
      <c r="Q294" s="3"/>
    </row>
    <row r="295" spans="1:17" ht="15.75" customHeight="1" x14ac:dyDescent="0.3">
      <c r="A295" s="1">
        <v>43</v>
      </c>
      <c r="B295" s="1">
        <v>10</v>
      </c>
      <c r="C295" s="2">
        <v>45952</v>
      </c>
      <c r="D295" s="3" t="s">
        <v>15</v>
      </c>
      <c r="E295" s="79"/>
      <c r="F295" s="79" t="s">
        <v>281</v>
      </c>
      <c r="G295" s="3"/>
      <c r="H295" s="3" t="s">
        <v>120</v>
      </c>
      <c r="I295" s="3" t="s">
        <v>10</v>
      </c>
      <c r="J295" s="3" t="s">
        <v>25</v>
      </c>
      <c r="K295" s="9"/>
      <c r="L295" s="9"/>
      <c r="M295" s="80">
        <v>950</v>
      </c>
      <c r="N295" s="10"/>
      <c r="O295" s="3"/>
      <c r="P295" s="3" t="s">
        <v>239</v>
      </c>
      <c r="Q295" s="3"/>
    </row>
    <row r="296" spans="1:17" ht="15.75" customHeight="1" x14ac:dyDescent="0.3">
      <c r="A296" s="1">
        <v>43</v>
      </c>
      <c r="B296" s="1">
        <v>10</v>
      </c>
      <c r="C296" s="2">
        <v>45952</v>
      </c>
      <c r="D296" s="3" t="s">
        <v>15</v>
      </c>
      <c r="E296" s="79"/>
      <c r="F296" s="79" t="s">
        <v>310</v>
      </c>
      <c r="G296" s="3" t="s">
        <v>311</v>
      </c>
      <c r="H296" s="3" t="s">
        <v>120</v>
      </c>
      <c r="I296" s="3" t="s">
        <v>10</v>
      </c>
      <c r="J296" s="3" t="s">
        <v>25</v>
      </c>
      <c r="K296" s="9"/>
      <c r="L296" s="9"/>
      <c r="M296" s="80">
        <v>600</v>
      </c>
      <c r="N296" s="10"/>
      <c r="O296" s="3"/>
      <c r="P296" s="3" t="s">
        <v>239</v>
      </c>
      <c r="Q296" s="3"/>
    </row>
    <row r="297" spans="1:17" ht="15.75" customHeight="1" x14ac:dyDescent="0.3">
      <c r="A297" s="1">
        <v>43</v>
      </c>
      <c r="B297" s="1">
        <v>10</v>
      </c>
      <c r="C297" s="2">
        <v>45952</v>
      </c>
      <c r="D297" s="3" t="s">
        <v>15</v>
      </c>
      <c r="E297" s="79"/>
      <c r="F297" s="79" t="s">
        <v>312</v>
      </c>
      <c r="G297" s="3"/>
      <c r="H297" s="3" t="s">
        <v>62</v>
      </c>
      <c r="I297" s="3" t="s">
        <v>10</v>
      </c>
      <c r="J297" s="3" t="s">
        <v>25</v>
      </c>
      <c r="K297" s="9"/>
      <c r="L297" s="9"/>
      <c r="M297" s="80">
        <v>300</v>
      </c>
      <c r="N297" s="10"/>
      <c r="O297" s="3"/>
      <c r="P297" s="3" t="s">
        <v>239</v>
      </c>
      <c r="Q297" s="3"/>
    </row>
    <row r="298" spans="1:17" ht="15.75" customHeight="1" x14ac:dyDescent="0.3">
      <c r="A298" s="1">
        <v>43</v>
      </c>
      <c r="B298" s="1">
        <v>10</v>
      </c>
      <c r="C298" s="2">
        <v>45952</v>
      </c>
      <c r="D298" s="3" t="s">
        <v>15</v>
      </c>
      <c r="E298" s="79"/>
      <c r="F298" s="79" t="s">
        <v>313</v>
      </c>
      <c r="G298" s="3"/>
      <c r="H298" s="3" t="s">
        <v>46</v>
      </c>
      <c r="I298" s="3" t="s">
        <v>10</v>
      </c>
      <c r="J298" s="3" t="s">
        <v>25</v>
      </c>
      <c r="K298" s="9"/>
      <c r="L298" s="9">
        <v>1500</v>
      </c>
      <c r="M298" s="80">
        <v>700</v>
      </c>
      <c r="N298" s="10"/>
      <c r="O298" s="3"/>
      <c r="P298" s="3" t="s">
        <v>239</v>
      </c>
      <c r="Q298" s="3"/>
    </row>
    <row r="299" spans="1:17" ht="15.75" customHeight="1" x14ac:dyDescent="0.3">
      <c r="A299" s="1">
        <v>43</v>
      </c>
      <c r="B299" s="1">
        <v>10</v>
      </c>
      <c r="C299" s="2">
        <v>45952</v>
      </c>
      <c r="D299" s="3" t="s">
        <v>15</v>
      </c>
      <c r="E299" s="79"/>
      <c r="F299" s="79" t="s">
        <v>314</v>
      </c>
      <c r="G299" s="3"/>
      <c r="H299" s="82" t="s">
        <v>257</v>
      </c>
      <c r="I299" s="3" t="s">
        <v>10</v>
      </c>
      <c r="J299" s="3" t="s">
        <v>25</v>
      </c>
      <c r="K299" s="9"/>
      <c r="L299" s="9"/>
      <c r="M299" s="80">
        <v>60</v>
      </c>
      <c r="N299" s="10"/>
      <c r="O299" s="3"/>
      <c r="P299" s="3" t="s">
        <v>239</v>
      </c>
      <c r="Q299" s="3"/>
    </row>
    <row r="300" spans="1:17" ht="15.75" customHeight="1" x14ac:dyDescent="0.3">
      <c r="A300" s="1">
        <v>43</v>
      </c>
      <c r="B300" s="1">
        <v>10</v>
      </c>
      <c r="C300" s="2">
        <v>45952</v>
      </c>
      <c r="D300" s="3" t="s">
        <v>15</v>
      </c>
      <c r="E300" s="79"/>
      <c r="F300" s="79" t="s">
        <v>315</v>
      </c>
      <c r="G300" s="3"/>
      <c r="H300" s="3" t="s">
        <v>33</v>
      </c>
      <c r="I300" s="3" t="s">
        <v>10</v>
      </c>
      <c r="J300" s="3" t="s">
        <v>25</v>
      </c>
      <c r="K300" s="9"/>
      <c r="L300" s="9"/>
      <c r="M300" s="80">
        <v>195</v>
      </c>
      <c r="N300" s="10"/>
      <c r="O300" s="3"/>
      <c r="P300" s="3" t="s">
        <v>239</v>
      </c>
      <c r="Q300" s="3"/>
    </row>
    <row r="301" spans="1:17" ht="15.75" customHeight="1" x14ac:dyDescent="0.3">
      <c r="A301" s="1">
        <v>43</v>
      </c>
      <c r="B301" s="1">
        <v>10</v>
      </c>
      <c r="C301" s="2">
        <v>45952</v>
      </c>
      <c r="D301" s="3" t="s">
        <v>15</v>
      </c>
      <c r="E301" s="79"/>
      <c r="F301" s="79" t="s">
        <v>316</v>
      </c>
      <c r="G301" s="3"/>
      <c r="H301" s="3" t="s">
        <v>118</v>
      </c>
      <c r="I301" s="3" t="s">
        <v>10</v>
      </c>
      <c r="J301" s="3" t="s">
        <v>25</v>
      </c>
      <c r="K301" s="9"/>
      <c r="L301" s="9"/>
      <c r="M301" s="81">
        <v>250</v>
      </c>
      <c r="N301" s="10"/>
      <c r="O301" s="3"/>
      <c r="P301" s="3" t="s">
        <v>239</v>
      </c>
      <c r="Q301" s="3"/>
    </row>
    <row r="302" spans="1:17" ht="15.75" customHeight="1" x14ac:dyDescent="0.3">
      <c r="A302" s="1">
        <v>43</v>
      </c>
      <c r="B302" s="1">
        <v>10</v>
      </c>
      <c r="C302" s="2">
        <v>45953</v>
      </c>
      <c r="D302" s="3" t="s">
        <v>15</v>
      </c>
      <c r="E302" s="79"/>
      <c r="F302" s="79" t="s">
        <v>102</v>
      </c>
      <c r="G302" s="3"/>
      <c r="H302" s="3" t="s">
        <v>317</v>
      </c>
      <c r="I302" s="3" t="s">
        <v>10</v>
      </c>
      <c r="J302" s="3" t="s">
        <v>25</v>
      </c>
      <c r="K302" s="9"/>
      <c r="L302" s="9"/>
      <c r="M302" s="80">
        <v>1500</v>
      </c>
      <c r="N302" s="10"/>
      <c r="O302" s="3"/>
      <c r="P302" s="3" t="s">
        <v>239</v>
      </c>
      <c r="Q302" s="3"/>
    </row>
    <row r="303" spans="1:17" ht="15.75" customHeight="1" x14ac:dyDescent="0.3">
      <c r="A303" s="1">
        <v>43</v>
      </c>
      <c r="B303" s="1">
        <v>10</v>
      </c>
      <c r="C303" s="2">
        <v>45953</v>
      </c>
      <c r="D303" s="3" t="s">
        <v>15</v>
      </c>
      <c r="E303" s="79"/>
      <c r="F303" s="79" t="s">
        <v>303</v>
      </c>
      <c r="G303" s="3"/>
      <c r="H303" s="3" t="s">
        <v>318</v>
      </c>
      <c r="I303" s="3" t="s">
        <v>10</v>
      </c>
      <c r="J303" s="3" t="s">
        <v>25</v>
      </c>
      <c r="K303" s="9"/>
      <c r="L303" s="9"/>
      <c r="M303" s="80">
        <v>80</v>
      </c>
      <c r="N303" s="10"/>
      <c r="O303" s="3"/>
      <c r="P303" s="3" t="s">
        <v>239</v>
      </c>
      <c r="Q303" s="3"/>
    </row>
    <row r="304" spans="1:17" ht="15.75" customHeight="1" x14ac:dyDescent="0.3">
      <c r="A304" s="1">
        <v>43</v>
      </c>
      <c r="B304" s="1">
        <v>10</v>
      </c>
      <c r="C304" s="2">
        <v>45953</v>
      </c>
      <c r="D304" s="3" t="s">
        <v>15</v>
      </c>
      <c r="E304" s="79"/>
      <c r="F304" s="79" t="s">
        <v>319</v>
      </c>
      <c r="G304" s="3"/>
      <c r="H304" s="3" t="s">
        <v>118</v>
      </c>
      <c r="I304" s="3" t="s">
        <v>10</v>
      </c>
      <c r="J304" s="3" t="s">
        <v>25</v>
      </c>
      <c r="K304" s="9"/>
      <c r="L304" s="9"/>
      <c r="M304" s="80">
        <v>215</v>
      </c>
      <c r="N304" s="10"/>
      <c r="O304" s="3"/>
      <c r="P304" s="3" t="s">
        <v>239</v>
      </c>
      <c r="Q304" s="3"/>
    </row>
    <row r="305" spans="1:17" ht="15.75" customHeight="1" x14ac:dyDescent="0.3">
      <c r="A305" s="1">
        <v>43</v>
      </c>
      <c r="B305" s="1">
        <v>10</v>
      </c>
      <c r="C305" s="2">
        <v>45953</v>
      </c>
      <c r="D305" s="3" t="s">
        <v>320</v>
      </c>
      <c r="E305" s="79"/>
      <c r="F305" s="79" t="s">
        <v>321</v>
      </c>
      <c r="G305" s="3"/>
      <c r="H305" s="3" t="s">
        <v>257</v>
      </c>
      <c r="I305" s="3" t="s">
        <v>10</v>
      </c>
      <c r="J305" s="3" t="s">
        <v>25</v>
      </c>
      <c r="K305" s="9"/>
      <c r="L305" s="9"/>
      <c r="M305" s="80">
        <v>790</v>
      </c>
      <c r="N305" s="10"/>
      <c r="O305" s="3"/>
      <c r="P305" s="3" t="s">
        <v>322</v>
      </c>
      <c r="Q305" s="3"/>
    </row>
    <row r="306" spans="1:17" ht="15.75" customHeight="1" x14ac:dyDescent="0.3">
      <c r="A306" s="1">
        <v>43</v>
      </c>
      <c r="B306" s="1">
        <v>10</v>
      </c>
      <c r="C306" s="2">
        <v>45953</v>
      </c>
      <c r="D306" s="3" t="s">
        <v>320</v>
      </c>
      <c r="E306" s="79"/>
      <c r="F306" s="79" t="s">
        <v>127</v>
      </c>
      <c r="G306" s="3"/>
      <c r="H306" s="3" t="s">
        <v>120</v>
      </c>
      <c r="I306" s="3" t="s">
        <v>10</v>
      </c>
      <c r="J306" s="3" t="s">
        <v>25</v>
      </c>
      <c r="K306" s="9"/>
      <c r="L306" s="9"/>
      <c r="M306" s="80">
        <v>200</v>
      </c>
      <c r="N306" s="10"/>
      <c r="O306" s="3"/>
      <c r="P306" s="3" t="s">
        <v>323</v>
      </c>
      <c r="Q306" s="3"/>
    </row>
    <row r="307" spans="1:17" ht="15.75" customHeight="1" x14ac:dyDescent="0.3">
      <c r="A307" s="1">
        <v>43</v>
      </c>
      <c r="B307" s="1">
        <v>10</v>
      </c>
      <c r="C307" s="2">
        <v>45953</v>
      </c>
      <c r="D307" s="3" t="s">
        <v>320</v>
      </c>
      <c r="E307" s="79"/>
      <c r="F307" s="79" t="s">
        <v>324</v>
      </c>
      <c r="G307" s="3"/>
      <c r="H307" s="3" t="s">
        <v>120</v>
      </c>
      <c r="I307" s="3" t="s">
        <v>10</v>
      </c>
      <c r="J307" s="3" t="s">
        <v>25</v>
      </c>
      <c r="K307" s="9"/>
      <c r="L307" s="9"/>
      <c r="M307" s="80">
        <v>500</v>
      </c>
      <c r="N307" s="10"/>
      <c r="O307" s="3"/>
      <c r="P307" s="3" t="s">
        <v>323</v>
      </c>
      <c r="Q307" s="3"/>
    </row>
    <row r="308" spans="1:17" ht="15.75" customHeight="1" x14ac:dyDescent="0.3">
      <c r="A308" s="1">
        <v>43</v>
      </c>
      <c r="B308" s="1">
        <v>10</v>
      </c>
      <c r="C308" s="2">
        <v>45954</v>
      </c>
      <c r="D308" s="3" t="s">
        <v>320</v>
      </c>
      <c r="E308" s="3"/>
      <c r="F308" s="79" t="s">
        <v>327</v>
      </c>
      <c r="G308" s="3"/>
      <c r="H308" s="3" t="s">
        <v>120</v>
      </c>
      <c r="I308" s="3" t="s">
        <v>10</v>
      </c>
      <c r="J308" s="3" t="s">
        <v>25</v>
      </c>
      <c r="K308" s="9"/>
      <c r="L308" s="9"/>
      <c r="M308" s="80">
        <v>361.92</v>
      </c>
      <c r="N308" s="10"/>
      <c r="O308" s="3"/>
      <c r="P308" s="3" t="s">
        <v>323</v>
      </c>
      <c r="Q308" s="3"/>
    </row>
    <row r="309" spans="1:17" ht="15.75" customHeight="1" x14ac:dyDescent="0.3">
      <c r="A309" s="1">
        <v>43</v>
      </c>
      <c r="B309" s="1">
        <v>10</v>
      </c>
      <c r="C309" s="2">
        <v>45954</v>
      </c>
      <c r="D309" s="3" t="s">
        <v>320</v>
      </c>
      <c r="E309" s="3"/>
      <c r="F309" s="79" t="s">
        <v>328</v>
      </c>
      <c r="G309" s="3"/>
      <c r="H309" s="3" t="s">
        <v>120</v>
      </c>
      <c r="I309" s="3" t="s">
        <v>10</v>
      </c>
      <c r="J309" s="3" t="s">
        <v>25</v>
      </c>
      <c r="K309" s="9"/>
      <c r="L309" s="9"/>
      <c r="M309" s="80">
        <v>455.88</v>
      </c>
      <c r="N309" s="10"/>
      <c r="O309" s="3"/>
      <c r="P309" s="3" t="s">
        <v>323</v>
      </c>
      <c r="Q309" s="3"/>
    </row>
    <row r="310" spans="1:17" ht="15.75" customHeight="1" x14ac:dyDescent="0.3">
      <c r="A310" s="1">
        <v>43</v>
      </c>
      <c r="B310" s="1">
        <v>10</v>
      </c>
      <c r="C310" s="2">
        <v>45954</v>
      </c>
      <c r="D310" s="3" t="s">
        <v>320</v>
      </c>
      <c r="E310" s="3"/>
      <c r="F310" s="79" t="s">
        <v>329</v>
      </c>
      <c r="G310" s="3"/>
      <c r="H310" s="3" t="s">
        <v>120</v>
      </c>
      <c r="I310" s="3" t="s">
        <v>10</v>
      </c>
      <c r="J310" s="3" t="s">
        <v>25</v>
      </c>
      <c r="K310" s="9"/>
      <c r="L310" s="9"/>
      <c r="M310" s="80">
        <v>1345.6</v>
      </c>
      <c r="N310" s="10"/>
      <c r="O310" s="3"/>
      <c r="P310" s="3" t="s">
        <v>323</v>
      </c>
      <c r="Q310" s="3"/>
    </row>
    <row r="311" spans="1:17" ht="15.75" customHeight="1" x14ac:dyDescent="0.3">
      <c r="A311" s="1">
        <v>43</v>
      </c>
      <c r="B311" s="1">
        <v>10</v>
      </c>
      <c r="C311" s="2">
        <v>45954</v>
      </c>
      <c r="D311" s="3" t="s">
        <v>320</v>
      </c>
      <c r="E311" s="3" t="s">
        <v>78</v>
      </c>
      <c r="F311" s="79" t="s">
        <v>330</v>
      </c>
      <c r="G311" s="3"/>
      <c r="H311" s="3" t="s">
        <v>59</v>
      </c>
      <c r="I311" s="3" t="s">
        <v>10</v>
      </c>
      <c r="J311" s="3" t="s">
        <v>25</v>
      </c>
      <c r="K311" s="9"/>
      <c r="L311" s="9"/>
      <c r="M311" s="80">
        <v>500</v>
      </c>
      <c r="N311" s="10"/>
      <c r="O311" s="3"/>
      <c r="P311" s="3" t="s">
        <v>239</v>
      </c>
      <c r="Q311" s="3" t="s">
        <v>300</v>
      </c>
    </row>
    <row r="312" spans="1:17" ht="15.75" customHeight="1" x14ac:dyDescent="0.3">
      <c r="A312" s="1">
        <v>43</v>
      </c>
      <c r="B312" s="1">
        <v>10</v>
      </c>
      <c r="C312" s="2">
        <v>45954</v>
      </c>
      <c r="D312" s="3" t="s">
        <v>320</v>
      </c>
      <c r="E312" s="3"/>
      <c r="F312" s="79" t="s">
        <v>331</v>
      </c>
      <c r="G312" s="3"/>
      <c r="H312" s="3" t="s">
        <v>257</v>
      </c>
      <c r="I312" s="3" t="s">
        <v>10</v>
      </c>
      <c r="J312" s="3" t="s">
        <v>25</v>
      </c>
      <c r="K312" s="9"/>
      <c r="L312" s="9"/>
      <c r="M312" s="80">
        <v>500</v>
      </c>
      <c r="N312" s="10"/>
      <c r="O312" s="3"/>
      <c r="P312" s="3" t="s">
        <v>323</v>
      </c>
      <c r="Q312" s="3"/>
    </row>
    <row r="313" spans="1:17" ht="15.75" customHeight="1" x14ac:dyDescent="0.3">
      <c r="A313" s="1">
        <v>43</v>
      </c>
      <c r="B313" s="1">
        <v>10</v>
      </c>
      <c r="C313" s="2">
        <v>45954</v>
      </c>
      <c r="D313" s="3" t="s">
        <v>320</v>
      </c>
      <c r="E313" s="3"/>
      <c r="F313" s="79" t="s">
        <v>332</v>
      </c>
      <c r="G313" s="3"/>
      <c r="H313" s="3" t="s">
        <v>110</v>
      </c>
      <c r="I313" s="3" t="s">
        <v>10</v>
      </c>
      <c r="J313" s="3" t="s">
        <v>18</v>
      </c>
      <c r="K313" s="9"/>
      <c r="L313" s="9"/>
      <c r="M313" s="80">
        <v>100</v>
      </c>
      <c r="N313" s="10"/>
      <c r="O313" s="3"/>
      <c r="P313" s="3" t="s">
        <v>323</v>
      </c>
      <c r="Q313" s="3"/>
    </row>
    <row r="314" spans="1:17" ht="15.75" customHeight="1" x14ac:dyDescent="0.3">
      <c r="A314" s="1">
        <v>43</v>
      </c>
      <c r="B314" s="1">
        <v>10</v>
      </c>
      <c r="C314" s="2">
        <v>45954</v>
      </c>
      <c r="D314" s="3" t="s">
        <v>320</v>
      </c>
      <c r="E314" s="3"/>
      <c r="F314" s="79" t="s">
        <v>333</v>
      </c>
      <c r="G314" s="3"/>
      <c r="H314" s="3" t="s">
        <v>334</v>
      </c>
      <c r="I314" s="3" t="s">
        <v>10</v>
      </c>
      <c r="J314" s="3" t="s">
        <v>25</v>
      </c>
      <c r="K314" s="9"/>
      <c r="L314" s="9"/>
      <c r="M314" s="80">
        <v>2150.86</v>
      </c>
      <c r="N314" s="10"/>
      <c r="O314" s="3"/>
      <c r="P314" s="3" t="s">
        <v>323</v>
      </c>
      <c r="Q314" s="3"/>
    </row>
    <row r="315" spans="1:17" ht="15.75" customHeight="1" x14ac:dyDescent="0.3">
      <c r="A315" s="1">
        <v>43</v>
      </c>
      <c r="B315" s="1">
        <v>10</v>
      </c>
      <c r="C315" s="2">
        <v>45954</v>
      </c>
      <c r="D315" s="3" t="s">
        <v>320</v>
      </c>
      <c r="E315" s="3"/>
      <c r="F315" s="79" t="s">
        <v>335</v>
      </c>
      <c r="G315" s="3"/>
      <c r="H315" s="3" t="s">
        <v>118</v>
      </c>
      <c r="I315" s="3" t="s">
        <v>10</v>
      </c>
      <c r="J315" s="3" t="s">
        <v>25</v>
      </c>
      <c r="K315" s="9"/>
      <c r="L315" s="9"/>
      <c r="M315" s="80">
        <v>200</v>
      </c>
      <c r="N315" s="10"/>
      <c r="O315" s="3"/>
      <c r="P315" s="3" t="s">
        <v>323</v>
      </c>
      <c r="Q315" s="3"/>
    </row>
    <row r="316" spans="1:17" ht="15.75" customHeight="1" x14ac:dyDescent="0.3">
      <c r="A316" s="1">
        <v>43</v>
      </c>
      <c r="B316" s="1">
        <v>10</v>
      </c>
      <c r="C316" s="2">
        <v>45955</v>
      </c>
      <c r="D316" s="3" t="s">
        <v>320</v>
      </c>
      <c r="E316" s="3"/>
      <c r="F316" s="79" t="s">
        <v>336</v>
      </c>
      <c r="G316" s="3"/>
      <c r="H316" s="3" t="s">
        <v>110</v>
      </c>
      <c r="I316" s="3" t="s">
        <v>10</v>
      </c>
      <c r="J316" s="3" t="s">
        <v>25</v>
      </c>
      <c r="K316" s="9"/>
      <c r="L316" s="9"/>
      <c r="M316" s="80">
        <v>125</v>
      </c>
      <c r="N316" s="10"/>
      <c r="O316" s="3"/>
      <c r="P316" s="3" t="s">
        <v>323</v>
      </c>
      <c r="Q316" s="3"/>
    </row>
    <row r="317" spans="1:17" ht="15.75" customHeight="1" x14ac:dyDescent="0.3">
      <c r="A317" s="1">
        <v>43</v>
      </c>
      <c r="B317" s="1">
        <v>10</v>
      </c>
      <c r="C317" s="2">
        <v>45955</v>
      </c>
      <c r="D317" s="3" t="s">
        <v>320</v>
      </c>
      <c r="E317" s="3"/>
      <c r="F317" s="79" t="s">
        <v>336</v>
      </c>
      <c r="G317" s="3"/>
      <c r="H317" s="3" t="s">
        <v>100</v>
      </c>
      <c r="I317" s="3" t="s">
        <v>10</v>
      </c>
      <c r="J317" s="3" t="s">
        <v>25</v>
      </c>
      <c r="K317" s="9"/>
      <c r="L317" s="9"/>
      <c r="M317" s="80">
        <v>125</v>
      </c>
      <c r="N317" s="10"/>
      <c r="O317" s="3"/>
      <c r="P317" s="3" t="s">
        <v>323</v>
      </c>
      <c r="Q317" s="3"/>
    </row>
    <row r="318" spans="1:17" ht="15.75" customHeight="1" x14ac:dyDescent="0.3">
      <c r="A318" s="1">
        <v>43</v>
      </c>
      <c r="B318" s="1">
        <v>10</v>
      </c>
      <c r="C318" s="2">
        <v>45955</v>
      </c>
      <c r="D318" s="3" t="s">
        <v>320</v>
      </c>
      <c r="E318" s="3"/>
      <c r="F318" s="79" t="s">
        <v>336</v>
      </c>
      <c r="G318" s="3"/>
      <c r="H318" s="3" t="s">
        <v>257</v>
      </c>
      <c r="I318" s="3" t="s">
        <v>10</v>
      </c>
      <c r="J318" s="3" t="s">
        <v>25</v>
      </c>
      <c r="K318" s="9"/>
      <c r="L318" s="9"/>
      <c r="M318" s="80">
        <v>125</v>
      </c>
      <c r="N318" s="10"/>
      <c r="O318" s="3"/>
      <c r="P318" s="3" t="s">
        <v>323</v>
      </c>
      <c r="Q318" s="3"/>
    </row>
    <row r="319" spans="1:17" ht="15.75" customHeight="1" x14ac:dyDescent="0.3">
      <c r="A319" s="1">
        <v>43</v>
      </c>
      <c r="B319" s="1">
        <v>10</v>
      </c>
      <c r="C319" s="2">
        <v>45955</v>
      </c>
      <c r="D319" s="3" t="s">
        <v>320</v>
      </c>
      <c r="E319" s="3"/>
      <c r="F319" s="79" t="s">
        <v>337</v>
      </c>
      <c r="G319" s="3"/>
      <c r="H319" s="3" t="s">
        <v>110</v>
      </c>
      <c r="I319" s="3" t="s">
        <v>10</v>
      </c>
      <c r="J319" s="3" t="s">
        <v>18</v>
      </c>
      <c r="K319" s="9"/>
      <c r="L319" s="9"/>
      <c r="M319" s="80">
        <v>180</v>
      </c>
      <c r="N319" s="10"/>
      <c r="O319" s="3"/>
      <c r="P319" s="3" t="s">
        <v>323</v>
      </c>
      <c r="Q319" s="3"/>
    </row>
    <row r="320" spans="1:17" ht="15.75" customHeight="1" x14ac:dyDescent="0.3">
      <c r="A320" s="1">
        <v>43</v>
      </c>
      <c r="B320" s="1">
        <v>10</v>
      </c>
      <c r="C320" s="2">
        <v>45955</v>
      </c>
      <c r="D320" s="3" t="s">
        <v>320</v>
      </c>
      <c r="E320" s="3"/>
      <c r="F320" s="79" t="s">
        <v>193</v>
      </c>
      <c r="G320" s="3"/>
      <c r="H320" s="3" t="s">
        <v>110</v>
      </c>
      <c r="I320" s="3" t="s">
        <v>10</v>
      </c>
      <c r="J320" s="3" t="s">
        <v>18</v>
      </c>
      <c r="K320" s="9"/>
      <c r="L320" s="9">
        <v>6500</v>
      </c>
      <c r="M320" s="80">
        <v>6500</v>
      </c>
      <c r="N320" s="10"/>
      <c r="O320" s="3"/>
      <c r="P320" s="3" t="s">
        <v>222</v>
      </c>
      <c r="Q320" s="3"/>
    </row>
    <row r="321" spans="1:17" ht="15.75" customHeight="1" x14ac:dyDescent="0.3">
      <c r="A321" s="1">
        <v>43</v>
      </c>
      <c r="B321" s="1">
        <v>10</v>
      </c>
      <c r="C321" s="2">
        <v>45955</v>
      </c>
      <c r="D321" s="3" t="s">
        <v>320</v>
      </c>
      <c r="E321" s="3"/>
      <c r="F321" s="79" t="s">
        <v>193</v>
      </c>
      <c r="G321" s="3"/>
      <c r="H321" s="3" t="s">
        <v>120</v>
      </c>
      <c r="I321" s="3" t="s">
        <v>10</v>
      </c>
      <c r="J321" s="3" t="s">
        <v>25</v>
      </c>
      <c r="K321" s="9"/>
      <c r="L321" s="9">
        <v>3000</v>
      </c>
      <c r="M321" s="80">
        <v>3000</v>
      </c>
      <c r="N321" s="10"/>
      <c r="O321" s="3"/>
      <c r="P321" s="3" t="s">
        <v>222</v>
      </c>
      <c r="Q321" s="3"/>
    </row>
    <row r="322" spans="1:17" ht="15.75" customHeight="1" x14ac:dyDescent="0.3">
      <c r="A322" s="1">
        <v>43</v>
      </c>
      <c r="B322" s="1">
        <v>10</v>
      </c>
      <c r="C322" s="2">
        <v>45955</v>
      </c>
      <c r="D322" s="3" t="s">
        <v>320</v>
      </c>
      <c r="E322" s="3"/>
      <c r="F322" s="79" t="s">
        <v>111</v>
      </c>
      <c r="G322" s="3"/>
      <c r="H322" s="3" t="s">
        <v>120</v>
      </c>
      <c r="I322" s="3" t="s">
        <v>10</v>
      </c>
      <c r="J322" s="3" t="s">
        <v>25</v>
      </c>
      <c r="K322" s="9"/>
      <c r="L322" s="9"/>
      <c r="M322" s="80">
        <v>50</v>
      </c>
      <c r="N322" s="10"/>
      <c r="O322" s="3"/>
      <c r="P322" s="3" t="s">
        <v>322</v>
      </c>
      <c r="Q322" s="3"/>
    </row>
    <row r="323" spans="1:17" ht="15.75" customHeight="1" x14ac:dyDescent="0.3">
      <c r="A323" s="1">
        <v>44</v>
      </c>
      <c r="B323" s="1">
        <v>10</v>
      </c>
      <c r="C323" s="2">
        <v>45957</v>
      </c>
      <c r="D323" s="3" t="s">
        <v>320</v>
      </c>
      <c r="E323" s="3" t="s">
        <v>78</v>
      </c>
      <c r="F323" s="79" t="s">
        <v>98</v>
      </c>
      <c r="G323" s="3"/>
      <c r="H323" s="3" t="s">
        <v>24</v>
      </c>
      <c r="I323" s="3" t="s">
        <v>10</v>
      </c>
      <c r="J323" s="3" t="s">
        <v>25</v>
      </c>
      <c r="K323" s="9"/>
      <c r="L323" s="9"/>
      <c r="M323" s="80">
        <v>450</v>
      </c>
      <c r="N323" s="10"/>
      <c r="O323" s="3"/>
      <c r="P323" s="3" t="s">
        <v>323</v>
      </c>
      <c r="Q323" s="3"/>
    </row>
    <row r="324" spans="1:17" ht="15.75" customHeight="1" x14ac:dyDescent="0.3">
      <c r="A324" s="1">
        <v>44</v>
      </c>
      <c r="B324" s="1">
        <v>10</v>
      </c>
      <c r="C324" s="2">
        <v>45957</v>
      </c>
      <c r="D324" s="3" t="s">
        <v>320</v>
      </c>
      <c r="E324" s="3"/>
      <c r="F324" s="79" t="s">
        <v>338</v>
      </c>
      <c r="G324" s="3"/>
      <c r="H324" s="3" t="s">
        <v>120</v>
      </c>
      <c r="I324" s="3" t="s">
        <v>10</v>
      </c>
      <c r="J324" s="3" t="s">
        <v>25</v>
      </c>
      <c r="K324" s="9"/>
      <c r="L324" s="9"/>
      <c r="M324" s="80">
        <v>150</v>
      </c>
      <c r="N324" s="10"/>
      <c r="O324" s="3"/>
      <c r="P324" s="3" t="s">
        <v>323</v>
      </c>
      <c r="Q324" s="3"/>
    </row>
    <row r="325" spans="1:17" ht="15.75" customHeight="1" x14ac:dyDescent="0.3">
      <c r="A325" s="1">
        <v>44</v>
      </c>
      <c r="B325" s="1">
        <v>10</v>
      </c>
      <c r="C325" s="2">
        <v>45957</v>
      </c>
      <c r="D325" s="3" t="s">
        <v>320</v>
      </c>
      <c r="E325" s="3"/>
      <c r="F325" s="79" t="s">
        <v>339</v>
      </c>
      <c r="G325" s="3"/>
      <c r="H325" s="3" t="s">
        <v>110</v>
      </c>
      <c r="I325" s="3" t="s">
        <v>10</v>
      </c>
      <c r="J325" s="3" t="s">
        <v>18</v>
      </c>
      <c r="K325" s="9"/>
      <c r="L325" s="9"/>
      <c r="M325" s="80">
        <v>580</v>
      </c>
      <c r="N325" s="10"/>
      <c r="O325" s="3"/>
      <c r="P325" s="3" t="s">
        <v>340</v>
      </c>
      <c r="Q325" s="3"/>
    </row>
    <row r="326" spans="1:17" ht="15.75" customHeight="1" x14ac:dyDescent="0.3">
      <c r="A326" s="1">
        <v>44</v>
      </c>
      <c r="B326" s="1">
        <v>10</v>
      </c>
      <c r="C326" s="2">
        <v>45957</v>
      </c>
      <c r="D326" s="3" t="s">
        <v>320</v>
      </c>
      <c r="E326" s="3"/>
      <c r="F326" s="79" t="s">
        <v>341</v>
      </c>
      <c r="G326" s="3"/>
      <c r="H326" s="3" t="s">
        <v>120</v>
      </c>
      <c r="I326" s="3" t="s">
        <v>10</v>
      </c>
      <c r="J326" s="3" t="s">
        <v>25</v>
      </c>
      <c r="K326" s="9"/>
      <c r="L326" s="9"/>
      <c r="M326" s="80">
        <v>1100</v>
      </c>
      <c r="N326" s="10"/>
      <c r="O326" s="3"/>
      <c r="P326" s="3" t="s">
        <v>229</v>
      </c>
      <c r="Q326" s="3"/>
    </row>
    <row r="327" spans="1:17" ht="15.75" customHeight="1" x14ac:dyDescent="0.3">
      <c r="A327" s="1">
        <v>44</v>
      </c>
      <c r="B327" s="1">
        <v>10</v>
      </c>
      <c r="C327" s="2">
        <v>45957</v>
      </c>
      <c r="D327" s="3" t="s">
        <v>320</v>
      </c>
      <c r="E327" s="3"/>
      <c r="F327" s="79" t="s">
        <v>342</v>
      </c>
      <c r="G327" s="3"/>
      <c r="H327" s="3" t="s">
        <v>343</v>
      </c>
      <c r="I327" s="3" t="s">
        <v>10</v>
      </c>
      <c r="J327" s="3" t="s">
        <v>25</v>
      </c>
      <c r="K327" s="9"/>
      <c r="L327" s="9"/>
      <c r="M327" s="80">
        <v>160</v>
      </c>
      <c r="N327" s="10"/>
      <c r="O327" s="3"/>
      <c r="P327" s="3" t="s">
        <v>344</v>
      </c>
      <c r="Q327" s="3"/>
    </row>
    <row r="328" spans="1:17" ht="15.75" customHeight="1" x14ac:dyDescent="0.3">
      <c r="A328" s="1">
        <v>44</v>
      </c>
      <c r="B328" s="1">
        <v>10</v>
      </c>
      <c r="C328" s="2">
        <v>45957</v>
      </c>
      <c r="D328" s="3" t="s">
        <v>320</v>
      </c>
      <c r="E328" s="3"/>
      <c r="F328" s="79" t="s">
        <v>345</v>
      </c>
      <c r="G328" s="3"/>
      <c r="H328" s="3" t="s">
        <v>53</v>
      </c>
      <c r="I328" s="3" t="s">
        <v>10</v>
      </c>
      <c r="J328" s="3" t="s">
        <v>25</v>
      </c>
      <c r="K328" s="9"/>
      <c r="L328" s="9"/>
      <c r="M328" s="80">
        <v>50</v>
      </c>
      <c r="N328" s="10"/>
      <c r="O328" s="3"/>
      <c r="P328" s="3" t="s">
        <v>323</v>
      </c>
      <c r="Q328" s="3"/>
    </row>
    <row r="329" spans="1:17" ht="15.75" customHeight="1" x14ac:dyDescent="0.3">
      <c r="A329" s="1">
        <v>44</v>
      </c>
      <c r="B329" s="1">
        <v>10</v>
      </c>
      <c r="C329" s="2">
        <v>45957</v>
      </c>
      <c r="D329" s="3" t="s">
        <v>320</v>
      </c>
      <c r="E329" s="3"/>
      <c r="F329" s="79" t="s">
        <v>346</v>
      </c>
      <c r="G329" s="3"/>
      <c r="H329" s="3" t="s">
        <v>347</v>
      </c>
      <c r="I329" s="3" t="s">
        <v>10</v>
      </c>
      <c r="J329" s="3" t="s">
        <v>25</v>
      </c>
      <c r="K329" s="9"/>
      <c r="L329" s="9"/>
      <c r="M329" s="80">
        <v>140</v>
      </c>
      <c r="N329" s="10"/>
      <c r="O329" s="3"/>
      <c r="P329" s="3" t="s">
        <v>323</v>
      </c>
      <c r="Q329" s="3"/>
    </row>
    <row r="330" spans="1:17" ht="15.75" customHeight="1" x14ac:dyDescent="0.3">
      <c r="A330" s="1">
        <v>44</v>
      </c>
      <c r="B330" s="1">
        <v>10</v>
      </c>
      <c r="C330" s="2">
        <v>45957</v>
      </c>
      <c r="D330" s="3" t="s">
        <v>320</v>
      </c>
      <c r="E330" s="3"/>
      <c r="F330" s="79" t="s">
        <v>105</v>
      </c>
      <c r="G330" s="3"/>
      <c r="H330" s="3" t="s">
        <v>195</v>
      </c>
      <c r="I330" s="3" t="s">
        <v>10</v>
      </c>
      <c r="J330" s="3" t="s">
        <v>39</v>
      </c>
      <c r="K330" s="9"/>
      <c r="L330" s="9">
        <v>740</v>
      </c>
      <c r="M330" s="80">
        <v>720</v>
      </c>
      <c r="N330" s="12"/>
      <c r="O330" s="3"/>
      <c r="P330" s="3" t="s">
        <v>323</v>
      </c>
      <c r="Q330" s="5"/>
    </row>
    <row r="331" spans="1:17" ht="15.75" customHeight="1" x14ac:dyDescent="0.3">
      <c r="A331" s="1">
        <v>44</v>
      </c>
      <c r="B331" s="1">
        <v>10</v>
      </c>
      <c r="C331" s="2">
        <v>45957</v>
      </c>
      <c r="D331" s="3" t="s">
        <v>320</v>
      </c>
      <c r="E331" s="3"/>
      <c r="F331" s="79" t="s">
        <v>348</v>
      </c>
      <c r="G331" s="3"/>
      <c r="H331" s="3" t="s">
        <v>120</v>
      </c>
      <c r="I331" s="3" t="s">
        <v>10</v>
      </c>
      <c r="J331" s="3" t="s">
        <v>25</v>
      </c>
      <c r="K331" s="9"/>
      <c r="L331" s="9"/>
      <c r="M331" s="80">
        <v>500</v>
      </c>
      <c r="N331" s="12"/>
      <c r="O331" s="3"/>
      <c r="P331" s="3" t="s">
        <v>323</v>
      </c>
      <c r="Q331" s="5"/>
    </row>
    <row r="332" spans="1:17" ht="15.75" customHeight="1" x14ac:dyDescent="0.3">
      <c r="A332" s="1">
        <v>44</v>
      </c>
      <c r="B332" s="1">
        <v>10</v>
      </c>
      <c r="C332" s="2">
        <v>45958</v>
      </c>
      <c r="D332" s="3" t="s">
        <v>320</v>
      </c>
      <c r="E332" s="3"/>
      <c r="F332" s="79" t="s">
        <v>349</v>
      </c>
      <c r="G332" s="3"/>
      <c r="H332" s="3" t="s">
        <v>347</v>
      </c>
      <c r="I332" s="3" t="s">
        <v>10</v>
      </c>
      <c r="J332" s="3" t="s">
        <v>25</v>
      </c>
      <c r="K332" s="9"/>
      <c r="L332" s="9"/>
      <c r="M332" s="80">
        <v>200</v>
      </c>
      <c r="N332" s="12"/>
      <c r="O332" s="3"/>
      <c r="P332" s="3" t="s">
        <v>203</v>
      </c>
      <c r="Q332" s="5"/>
    </row>
    <row r="333" spans="1:17" ht="15.75" customHeight="1" x14ac:dyDescent="0.3">
      <c r="A333" s="1">
        <v>44</v>
      </c>
      <c r="B333" s="1">
        <v>10</v>
      </c>
      <c r="C333" s="2">
        <v>45958</v>
      </c>
      <c r="D333" s="3" t="s">
        <v>320</v>
      </c>
      <c r="E333" s="3"/>
      <c r="F333" s="79" t="s">
        <v>350</v>
      </c>
      <c r="G333" s="3"/>
      <c r="H333" s="3" t="s">
        <v>17</v>
      </c>
      <c r="I333" s="3" t="s">
        <v>10</v>
      </c>
      <c r="J333" s="3" t="s">
        <v>25</v>
      </c>
      <c r="K333" s="9"/>
      <c r="L333" s="9"/>
      <c r="M333" s="80">
        <v>100</v>
      </c>
      <c r="N333" s="12"/>
      <c r="O333" s="3"/>
      <c r="P333" s="3" t="s">
        <v>351</v>
      </c>
      <c r="Q333" s="5"/>
    </row>
    <row r="334" spans="1:17" ht="15.75" customHeight="1" x14ac:dyDescent="0.3">
      <c r="A334" s="1">
        <v>44</v>
      </c>
      <c r="B334" s="1">
        <v>10</v>
      </c>
      <c r="C334" s="2">
        <v>45959</v>
      </c>
      <c r="D334" s="3" t="s">
        <v>320</v>
      </c>
      <c r="E334" s="3"/>
      <c r="F334" s="79" t="s">
        <v>352</v>
      </c>
      <c r="G334" s="3"/>
      <c r="H334" s="3" t="s">
        <v>255</v>
      </c>
      <c r="I334" s="3" t="s">
        <v>10</v>
      </c>
      <c r="J334" s="3" t="s">
        <v>25</v>
      </c>
      <c r="K334" s="9"/>
      <c r="L334" s="9"/>
      <c r="M334" s="80">
        <v>2372</v>
      </c>
      <c r="N334" s="12"/>
      <c r="O334" s="3"/>
      <c r="P334" s="3" t="s">
        <v>353</v>
      </c>
      <c r="Q334" s="5"/>
    </row>
    <row r="335" spans="1:17" ht="15.75" customHeight="1" x14ac:dyDescent="0.3">
      <c r="A335" s="1">
        <v>44</v>
      </c>
      <c r="B335" s="1">
        <v>10</v>
      </c>
      <c r="C335" s="2">
        <v>45959</v>
      </c>
      <c r="D335" s="3" t="s">
        <v>320</v>
      </c>
      <c r="E335" s="3"/>
      <c r="F335" s="79" t="s">
        <v>352</v>
      </c>
      <c r="G335" s="3"/>
      <c r="H335" s="3" t="s">
        <v>255</v>
      </c>
      <c r="I335" s="3" t="s">
        <v>10</v>
      </c>
      <c r="J335" s="3" t="s">
        <v>25</v>
      </c>
      <c r="K335" s="9"/>
      <c r="L335" s="9"/>
      <c r="M335" s="80">
        <v>2372</v>
      </c>
      <c r="N335" s="12"/>
      <c r="O335" s="3"/>
      <c r="P335" s="3" t="s">
        <v>353</v>
      </c>
      <c r="Q335" s="5"/>
    </row>
    <row r="336" spans="1:17" ht="15.75" customHeight="1" x14ac:dyDescent="0.3">
      <c r="A336" s="1">
        <v>44</v>
      </c>
      <c r="B336" s="1">
        <v>10</v>
      </c>
      <c r="C336" s="2">
        <v>45959</v>
      </c>
      <c r="D336" s="3" t="s">
        <v>320</v>
      </c>
      <c r="E336" s="3"/>
      <c r="F336" s="79" t="s">
        <v>354</v>
      </c>
      <c r="G336" s="3"/>
      <c r="H336" s="3" t="s">
        <v>120</v>
      </c>
      <c r="I336" s="3" t="s">
        <v>10</v>
      </c>
      <c r="J336" s="3" t="s">
        <v>25</v>
      </c>
      <c r="K336" s="9"/>
      <c r="L336" s="9"/>
      <c r="M336" s="80">
        <v>100</v>
      </c>
      <c r="N336" s="12"/>
      <c r="O336" s="3"/>
      <c r="P336" s="3" t="s">
        <v>323</v>
      </c>
      <c r="Q336" s="5"/>
    </row>
    <row r="337" spans="1:30" ht="15.75" customHeight="1" x14ac:dyDescent="0.3">
      <c r="A337" s="1">
        <v>44</v>
      </c>
      <c r="B337" s="1">
        <v>10</v>
      </c>
      <c r="C337" s="2">
        <v>45959</v>
      </c>
      <c r="D337" s="3" t="s">
        <v>320</v>
      </c>
      <c r="E337" s="3"/>
      <c r="F337" s="79" t="s">
        <v>355</v>
      </c>
      <c r="G337" s="3"/>
      <c r="H337" s="13" t="s">
        <v>169</v>
      </c>
      <c r="I337" s="3" t="s">
        <v>10</v>
      </c>
      <c r="J337" s="3" t="s">
        <v>25</v>
      </c>
      <c r="K337" s="9"/>
      <c r="L337" s="9"/>
      <c r="M337" s="80">
        <v>100</v>
      </c>
      <c r="N337" s="12"/>
      <c r="O337" s="3"/>
      <c r="P337" s="3" t="s">
        <v>323</v>
      </c>
      <c r="Q337" s="5"/>
    </row>
    <row r="338" spans="1:30" ht="15.75" customHeight="1" x14ac:dyDescent="0.3">
      <c r="A338" s="1">
        <v>44</v>
      </c>
      <c r="B338" s="1">
        <v>10</v>
      </c>
      <c r="C338" s="2">
        <v>45959</v>
      </c>
      <c r="D338" s="3" t="s">
        <v>320</v>
      </c>
      <c r="E338" s="3" t="s">
        <v>356</v>
      </c>
      <c r="F338" s="79" t="s">
        <v>127</v>
      </c>
      <c r="G338" s="3"/>
      <c r="H338" s="16" t="s">
        <v>357</v>
      </c>
      <c r="I338" s="3" t="s">
        <v>10</v>
      </c>
      <c r="J338" s="3" t="s">
        <v>25</v>
      </c>
      <c r="K338" s="83" t="s">
        <v>358</v>
      </c>
      <c r="L338" s="9"/>
      <c r="M338" s="80">
        <v>200</v>
      </c>
      <c r="N338" s="12"/>
      <c r="O338" s="3"/>
      <c r="P338" s="3" t="s">
        <v>359</v>
      </c>
      <c r="Q338" s="5"/>
    </row>
    <row r="339" spans="1:30" ht="15.75" customHeight="1" x14ac:dyDescent="0.3">
      <c r="A339" s="1">
        <v>44</v>
      </c>
      <c r="B339" s="1">
        <v>10</v>
      </c>
      <c r="C339" s="2">
        <v>45959</v>
      </c>
      <c r="D339" s="3" t="s">
        <v>320</v>
      </c>
      <c r="E339" s="3" t="s">
        <v>356</v>
      </c>
      <c r="F339" s="79" t="s">
        <v>127</v>
      </c>
      <c r="G339" s="3"/>
      <c r="H339" s="16" t="s">
        <v>360</v>
      </c>
      <c r="I339" s="3" t="s">
        <v>10</v>
      </c>
      <c r="J339" s="3" t="s">
        <v>25</v>
      </c>
      <c r="K339" s="83" t="s">
        <v>358</v>
      </c>
      <c r="L339" s="9"/>
      <c r="M339" s="80">
        <v>200</v>
      </c>
      <c r="N339" s="12"/>
      <c r="O339" s="3"/>
      <c r="P339" s="3" t="s">
        <v>359</v>
      </c>
      <c r="Q339" s="5"/>
    </row>
    <row r="340" spans="1:30" ht="15.75" customHeight="1" x14ac:dyDescent="0.3">
      <c r="A340" s="1">
        <v>44</v>
      </c>
      <c r="B340" s="1">
        <v>10</v>
      </c>
      <c r="C340" s="2">
        <v>45959</v>
      </c>
      <c r="D340" s="3" t="s">
        <v>320</v>
      </c>
      <c r="E340" s="3" t="s">
        <v>356</v>
      </c>
      <c r="F340" s="79" t="s">
        <v>127</v>
      </c>
      <c r="G340" s="3"/>
      <c r="H340" s="16" t="s">
        <v>361</v>
      </c>
      <c r="I340" s="3" t="s">
        <v>10</v>
      </c>
      <c r="J340" s="3" t="s">
        <v>25</v>
      </c>
      <c r="K340" s="9" t="s">
        <v>358</v>
      </c>
      <c r="L340" s="9"/>
      <c r="M340" s="80">
        <v>200</v>
      </c>
      <c r="N340" s="12"/>
      <c r="O340" s="3"/>
      <c r="P340" s="3" t="s">
        <v>359</v>
      </c>
      <c r="Q340" s="5"/>
    </row>
    <row r="341" spans="1:30" ht="15.75" customHeight="1" x14ac:dyDescent="0.3">
      <c r="A341" s="1">
        <v>44</v>
      </c>
      <c r="B341" s="1">
        <v>10</v>
      </c>
      <c r="C341" s="2">
        <v>45959</v>
      </c>
      <c r="D341" s="3" t="s">
        <v>320</v>
      </c>
      <c r="E341" s="3" t="s">
        <v>356</v>
      </c>
      <c r="F341" s="79" t="s">
        <v>362</v>
      </c>
      <c r="G341" s="3"/>
      <c r="H341" s="16" t="s">
        <v>363</v>
      </c>
      <c r="I341" s="3" t="s">
        <v>10</v>
      </c>
      <c r="J341" s="3" t="s">
        <v>25</v>
      </c>
      <c r="K341" s="9" t="s">
        <v>364</v>
      </c>
      <c r="L341" s="9"/>
      <c r="M341" s="80">
        <v>20</v>
      </c>
      <c r="N341" s="12"/>
      <c r="O341" s="3"/>
      <c r="P341" s="3" t="s">
        <v>323</v>
      </c>
      <c r="Q341" s="5"/>
    </row>
    <row r="342" spans="1:30" ht="15.75" customHeight="1" x14ac:dyDescent="0.3">
      <c r="A342" s="1">
        <v>44</v>
      </c>
      <c r="B342" s="1">
        <v>10</v>
      </c>
      <c r="C342" s="2">
        <v>45959</v>
      </c>
      <c r="D342" s="3" t="s">
        <v>320</v>
      </c>
      <c r="E342" s="3" t="s">
        <v>356</v>
      </c>
      <c r="F342" s="79" t="s">
        <v>365</v>
      </c>
      <c r="G342" s="3"/>
      <c r="H342" s="3" t="s">
        <v>118</v>
      </c>
      <c r="I342" s="3" t="s">
        <v>10</v>
      </c>
      <c r="J342" s="3" t="s">
        <v>25</v>
      </c>
      <c r="K342" s="9" t="s">
        <v>364</v>
      </c>
      <c r="L342" s="9"/>
      <c r="M342" s="80">
        <v>80</v>
      </c>
      <c r="N342" s="12"/>
      <c r="O342" s="3"/>
      <c r="P342" s="3" t="s">
        <v>351</v>
      </c>
      <c r="Q342" s="5"/>
    </row>
    <row r="343" spans="1:30" ht="15.75" customHeight="1" x14ac:dyDescent="0.3">
      <c r="A343" s="1">
        <v>44</v>
      </c>
      <c r="B343" s="1">
        <v>10</v>
      </c>
      <c r="C343" s="2">
        <v>45960</v>
      </c>
      <c r="D343" s="3" t="s">
        <v>320</v>
      </c>
      <c r="E343" s="3"/>
      <c r="F343" s="79" t="s">
        <v>133</v>
      </c>
      <c r="G343" s="3"/>
      <c r="H343" s="3" t="s">
        <v>68</v>
      </c>
      <c r="I343" s="3" t="s">
        <v>10</v>
      </c>
      <c r="J343" s="3" t="s">
        <v>25</v>
      </c>
      <c r="K343" s="9"/>
      <c r="L343" s="9"/>
      <c r="M343" s="80">
        <v>500</v>
      </c>
      <c r="N343" s="12"/>
      <c r="O343" s="3"/>
      <c r="P343" s="3" t="s">
        <v>366</v>
      </c>
      <c r="Q343" s="5"/>
    </row>
    <row r="344" spans="1:30" ht="15.75" customHeight="1" x14ac:dyDescent="0.3">
      <c r="A344" s="1">
        <v>44</v>
      </c>
      <c r="B344" s="1">
        <v>10</v>
      </c>
      <c r="C344" s="2">
        <v>45960</v>
      </c>
      <c r="D344" s="3" t="s">
        <v>320</v>
      </c>
      <c r="E344" s="3"/>
      <c r="F344" s="79" t="s">
        <v>133</v>
      </c>
      <c r="G344" s="3"/>
      <c r="H344" s="3" t="s">
        <v>150</v>
      </c>
      <c r="I344" s="3" t="s">
        <v>10</v>
      </c>
      <c r="J344" s="3" t="s">
        <v>25</v>
      </c>
      <c r="K344" s="9"/>
      <c r="L344" s="9"/>
      <c r="M344" s="80">
        <v>200</v>
      </c>
      <c r="N344" s="12"/>
      <c r="O344" s="3"/>
      <c r="P344" s="3" t="s">
        <v>366</v>
      </c>
      <c r="Q344" s="5"/>
    </row>
    <row r="345" spans="1:30" ht="15.75" customHeight="1" x14ac:dyDescent="0.3">
      <c r="A345" s="1">
        <v>44</v>
      </c>
      <c r="B345" s="1">
        <v>10</v>
      </c>
      <c r="C345" s="2">
        <v>45960</v>
      </c>
      <c r="D345" s="3" t="s">
        <v>320</v>
      </c>
      <c r="E345" s="3"/>
      <c r="F345" s="79" t="s">
        <v>102</v>
      </c>
      <c r="G345" s="3"/>
      <c r="H345" s="3" t="s">
        <v>317</v>
      </c>
      <c r="I345" s="3" t="s">
        <v>10</v>
      </c>
      <c r="J345" s="3" t="s">
        <v>25</v>
      </c>
      <c r="K345" s="9"/>
      <c r="L345" s="9"/>
      <c r="M345" s="80">
        <v>1500</v>
      </c>
      <c r="N345" s="12"/>
      <c r="O345" s="3"/>
      <c r="P345" s="3" t="s">
        <v>189</v>
      </c>
      <c r="Q345" s="5"/>
    </row>
    <row r="346" spans="1:30" ht="15.75" customHeight="1" x14ac:dyDescent="0.3">
      <c r="A346" s="1">
        <v>44</v>
      </c>
      <c r="B346" s="1">
        <v>11</v>
      </c>
      <c r="C346" s="2">
        <v>45962</v>
      </c>
      <c r="D346" s="3" t="s">
        <v>320</v>
      </c>
      <c r="E346" s="3" t="s">
        <v>367</v>
      </c>
      <c r="F346" s="3" t="s">
        <v>368</v>
      </c>
      <c r="G346" s="3" t="s">
        <v>311</v>
      </c>
      <c r="H346" s="3" t="s">
        <v>317</v>
      </c>
      <c r="I346" s="3" t="s">
        <v>10</v>
      </c>
      <c r="J346" s="3" t="s">
        <v>39</v>
      </c>
      <c r="K346" s="18" t="s">
        <v>369</v>
      </c>
      <c r="L346" s="9"/>
      <c r="M346" s="9">
        <v>100</v>
      </c>
      <c r="N346" s="12"/>
      <c r="O346" s="17"/>
      <c r="P346" s="3" t="s">
        <v>370</v>
      </c>
      <c r="Q346" s="5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spans="1:30" ht="15.75" customHeight="1" x14ac:dyDescent="0.3">
      <c r="A347" s="1">
        <v>45</v>
      </c>
      <c r="B347" s="1">
        <v>11</v>
      </c>
      <c r="C347" s="2">
        <v>45965</v>
      </c>
      <c r="D347" s="3" t="s">
        <v>320</v>
      </c>
      <c r="E347" s="33" t="s">
        <v>78</v>
      </c>
      <c r="F347" s="3" t="s">
        <v>90</v>
      </c>
      <c r="G347" s="3" t="s">
        <v>371</v>
      </c>
      <c r="H347" s="3" t="s">
        <v>372</v>
      </c>
      <c r="I347" s="3" t="s">
        <v>10</v>
      </c>
      <c r="J347" s="3" t="s">
        <v>39</v>
      </c>
      <c r="K347" s="18" t="s">
        <v>369</v>
      </c>
      <c r="L347" s="9"/>
      <c r="M347" s="9">
        <v>328</v>
      </c>
      <c r="N347" s="12"/>
      <c r="O347" s="17"/>
      <c r="P347" s="3" t="s">
        <v>370</v>
      </c>
      <c r="Q347" s="5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ht="15.75" customHeight="1" x14ac:dyDescent="0.3">
      <c r="A348" s="1">
        <v>45</v>
      </c>
      <c r="B348" s="1">
        <v>11</v>
      </c>
      <c r="C348" s="2">
        <v>45965</v>
      </c>
      <c r="D348" s="3" t="s">
        <v>320</v>
      </c>
      <c r="E348" s="3" t="s">
        <v>78</v>
      </c>
      <c r="F348" s="3" t="s">
        <v>97</v>
      </c>
      <c r="G348" s="3" t="s">
        <v>371</v>
      </c>
      <c r="H348" s="3" t="s">
        <v>372</v>
      </c>
      <c r="I348" s="3" t="s">
        <v>10</v>
      </c>
      <c r="J348" s="3" t="s">
        <v>39</v>
      </c>
      <c r="K348" s="18" t="s">
        <v>364</v>
      </c>
      <c r="L348" s="9"/>
      <c r="M348" s="9">
        <v>420</v>
      </c>
      <c r="N348" s="12"/>
      <c r="O348" s="17"/>
      <c r="P348" s="3" t="s">
        <v>373</v>
      </c>
      <c r="Q348" s="5" t="s">
        <v>374</v>
      </c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spans="1:30" ht="15.75" customHeight="1" x14ac:dyDescent="0.3">
      <c r="A349" s="1">
        <v>45</v>
      </c>
      <c r="B349" s="1">
        <v>11</v>
      </c>
      <c r="C349" s="2">
        <v>45965</v>
      </c>
      <c r="D349" s="3" t="s">
        <v>320</v>
      </c>
      <c r="E349" s="3" t="s">
        <v>78</v>
      </c>
      <c r="F349" s="3" t="s">
        <v>95</v>
      </c>
      <c r="G349" s="3" t="s">
        <v>371</v>
      </c>
      <c r="H349" s="3" t="s">
        <v>372</v>
      </c>
      <c r="I349" s="3" t="s">
        <v>10</v>
      </c>
      <c r="J349" s="3" t="s">
        <v>39</v>
      </c>
      <c r="K349" s="18" t="s">
        <v>369</v>
      </c>
      <c r="L349" s="9"/>
      <c r="M349" s="9">
        <v>46</v>
      </c>
      <c r="N349" s="12"/>
      <c r="O349" s="17"/>
      <c r="P349" s="3" t="s">
        <v>370</v>
      </c>
      <c r="Q349" s="5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ht="15.75" customHeight="1" x14ac:dyDescent="0.3">
      <c r="A350" s="1">
        <v>45</v>
      </c>
      <c r="B350" s="1">
        <v>11</v>
      </c>
      <c r="C350" s="2">
        <v>45965</v>
      </c>
      <c r="D350" s="3" t="s">
        <v>320</v>
      </c>
      <c r="E350" s="3" t="s">
        <v>78</v>
      </c>
      <c r="F350" s="3" t="s">
        <v>88</v>
      </c>
      <c r="G350" s="3" t="s">
        <v>371</v>
      </c>
      <c r="H350" s="3" t="s">
        <v>372</v>
      </c>
      <c r="I350" s="3" t="s">
        <v>10</v>
      </c>
      <c r="J350" s="3" t="s">
        <v>39</v>
      </c>
      <c r="K350" s="18" t="s">
        <v>369</v>
      </c>
      <c r="L350" s="9">
        <v>555</v>
      </c>
      <c r="M350" s="9">
        <v>550</v>
      </c>
      <c r="N350" s="12"/>
      <c r="O350" s="17"/>
      <c r="P350" s="3" t="s">
        <v>370</v>
      </c>
      <c r="Q350" s="5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spans="1:30" ht="15.75" customHeight="1" x14ac:dyDescent="0.3">
      <c r="A351" s="1">
        <v>45</v>
      </c>
      <c r="B351" s="1">
        <v>11</v>
      </c>
      <c r="C351" s="2">
        <v>45965</v>
      </c>
      <c r="D351" s="3" t="s">
        <v>320</v>
      </c>
      <c r="E351" s="3" t="s">
        <v>356</v>
      </c>
      <c r="F351" s="3" t="s">
        <v>131</v>
      </c>
      <c r="G351" s="3" t="s">
        <v>311</v>
      </c>
      <c r="H351" s="3" t="s">
        <v>17</v>
      </c>
      <c r="I351" s="3" t="s">
        <v>10</v>
      </c>
      <c r="J351" s="3" t="s">
        <v>18</v>
      </c>
      <c r="K351" s="18" t="s">
        <v>375</v>
      </c>
      <c r="L351" s="9"/>
      <c r="M351" s="9">
        <v>250</v>
      </c>
      <c r="N351" s="12"/>
      <c r="O351" s="17"/>
      <c r="P351" s="3" t="s">
        <v>340</v>
      </c>
      <c r="Q351" s="5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ht="15.75" customHeight="1" x14ac:dyDescent="0.3">
      <c r="A352" s="1">
        <v>45</v>
      </c>
      <c r="B352" s="1">
        <v>11</v>
      </c>
      <c r="C352" s="2">
        <v>45965</v>
      </c>
      <c r="D352" s="3" t="s">
        <v>320</v>
      </c>
      <c r="E352" s="3" t="s">
        <v>78</v>
      </c>
      <c r="F352" s="3" t="s">
        <v>98</v>
      </c>
      <c r="G352" s="3" t="s">
        <v>371</v>
      </c>
      <c r="H352" s="3" t="s">
        <v>372</v>
      </c>
      <c r="I352" s="3" t="s">
        <v>10</v>
      </c>
      <c r="J352" s="3" t="s">
        <v>39</v>
      </c>
      <c r="K352" s="18" t="s">
        <v>364</v>
      </c>
      <c r="L352" s="9">
        <v>391</v>
      </c>
      <c r="M352" s="9">
        <v>450</v>
      </c>
      <c r="N352" s="12"/>
      <c r="O352" s="17"/>
      <c r="P352" s="3" t="s">
        <v>229</v>
      </c>
      <c r="Q352" s="5" t="s">
        <v>374</v>
      </c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1:30" ht="15.75" customHeight="1" x14ac:dyDescent="0.3">
      <c r="A353" s="1">
        <v>45</v>
      </c>
      <c r="B353" s="1">
        <v>11</v>
      </c>
      <c r="C353" s="2">
        <v>45965</v>
      </c>
      <c r="D353" s="3" t="s">
        <v>320</v>
      </c>
      <c r="E353" s="33" t="s">
        <v>376</v>
      </c>
      <c r="F353" s="33" t="s">
        <v>377</v>
      </c>
      <c r="G353" s="33" t="s">
        <v>311</v>
      </c>
      <c r="H353" s="3" t="s">
        <v>195</v>
      </c>
      <c r="I353" s="3" t="s">
        <v>10</v>
      </c>
      <c r="J353" s="3" t="s">
        <v>39</v>
      </c>
      <c r="K353" s="84" t="s">
        <v>364</v>
      </c>
      <c r="L353" s="85"/>
      <c r="M353" s="9">
        <v>430</v>
      </c>
      <c r="N353" s="86"/>
      <c r="O353" s="17"/>
      <c r="P353" s="3" t="s">
        <v>229</v>
      </c>
      <c r="Q353" s="5" t="s">
        <v>374</v>
      </c>
    </row>
    <row r="354" spans="1:30" ht="15.75" customHeight="1" x14ac:dyDescent="0.3">
      <c r="A354" s="1">
        <v>45</v>
      </c>
      <c r="B354" s="1">
        <v>11</v>
      </c>
      <c r="C354" s="2">
        <v>45965</v>
      </c>
      <c r="D354" s="3" t="s">
        <v>320</v>
      </c>
      <c r="E354" s="33" t="s">
        <v>376</v>
      </c>
      <c r="F354" s="33" t="s">
        <v>126</v>
      </c>
      <c r="G354" s="33" t="s">
        <v>311</v>
      </c>
      <c r="H354" s="3" t="s">
        <v>195</v>
      </c>
      <c r="I354" s="3" t="s">
        <v>10</v>
      </c>
      <c r="J354" s="3" t="s">
        <v>39</v>
      </c>
      <c r="K354" s="84" t="s">
        <v>364</v>
      </c>
      <c r="L354" s="85"/>
      <c r="M354" s="9">
        <v>100</v>
      </c>
      <c r="N354" s="86"/>
      <c r="O354" s="17"/>
      <c r="P354" s="3" t="s">
        <v>229</v>
      </c>
      <c r="Q354" s="5" t="s">
        <v>374</v>
      </c>
    </row>
    <row r="355" spans="1:30" ht="15.75" customHeight="1" x14ac:dyDescent="0.3">
      <c r="A355" s="30">
        <v>45</v>
      </c>
      <c r="B355" s="1">
        <v>11</v>
      </c>
      <c r="C355" s="2">
        <v>45966</v>
      </c>
      <c r="D355" s="33" t="s">
        <v>320</v>
      </c>
      <c r="E355" s="33" t="s">
        <v>376</v>
      </c>
      <c r="F355" s="33" t="s">
        <v>378</v>
      </c>
      <c r="G355" s="33" t="s">
        <v>379</v>
      </c>
      <c r="H355" s="30" t="s">
        <v>104</v>
      </c>
      <c r="I355" s="3" t="s">
        <v>10</v>
      </c>
      <c r="J355" s="33" t="s">
        <v>25</v>
      </c>
      <c r="K355" s="84" t="s">
        <v>380</v>
      </c>
      <c r="L355" s="85"/>
      <c r="M355" s="9">
        <v>375</v>
      </c>
      <c r="N355" s="86"/>
      <c r="O355" s="83" t="s">
        <v>381</v>
      </c>
      <c r="P355" s="33" t="s">
        <v>382</v>
      </c>
      <c r="Q355" s="5" t="s">
        <v>374</v>
      </c>
    </row>
    <row r="356" spans="1:30" ht="15.75" customHeight="1" x14ac:dyDescent="0.3">
      <c r="A356" s="30">
        <v>45</v>
      </c>
      <c r="B356" s="1">
        <v>11</v>
      </c>
      <c r="C356" s="2">
        <v>45966</v>
      </c>
      <c r="D356" s="33" t="s">
        <v>320</v>
      </c>
      <c r="E356" s="33" t="s">
        <v>376</v>
      </c>
      <c r="F356" s="33" t="s">
        <v>383</v>
      </c>
      <c r="G356" s="33" t="s">
        <v>311</v>
      </c>
      <c r="H356" s="30" t="s">
        <v>104</v>
      </c>
      <c r="I356" s="3" t="s">
        <v>10</v>
      </c>
      <c r="J356" s="3" t="s">
        <v>39</v>
      </c>
      <c r="K356" s="84" t="s">
        <v>380</v>
      </c>
      <c r="L356" s="85"/>
      <c r="M356" s="9">
        <v>68</v>
      </c>
      <c r="N356" s="86"/>
      <c r="O356" s="83" t="s">
        <v>381</v>
      </c>
      <c r="P356" s="33" t="s">
        <v>382</v>
      </c>
      <c r="Q356" s="5" t="s">
        <v>374</v>
      </c>
    </row>
    <row r="357" spans="1:30" ht="15.75" customHeight="1" x14ac:dyDescent="0.3">
      <c r="A357" s="30">
        <v>45</v>
      </c>
      <c r="B357" s="1">
        <v>11</v>
      </c>
      <c r="C357" s="2">
        <v>45966</v>
      </c>
      <c r="D357" s="33" t="s">
        <v>320</v>
      </c>
      <c r="E357" s="33" t="s">
        <v>376</v>
      </c>
      <c r="F357" s="33" t="s">
        <v>384</v>
      </c>
      <c r="G357" s="33" t="s">
        <v>311</v>
      </c>
      <c r="H357" s="30" t="s">
        <v>195</v>
      </c>
      <c r="I357" s="3" t="s">
        <v>10</v>
      </c>
      <c r="J357" s="3" t="s">
        <v>39</v>
      </c>
      <c r="K357" s="84" t="s">
        <v>380</v>
      </c>
      <c r="L357" s="85"/>
      <c r="M357" s="9">
        <v>875</v>
      </c>
      <c r="N357" s="86"/>
      <c r="O357" s="83" t="s">
        <v>381</v>
      </c>
      <c r="P357" s="33" t="s">
        <v>382</v>
      </c>
      <c r="Q357" s="5" t="s">
        <v>374</v>
      </c>
    </row>
    <row r="358" spans="1:30" ht="15.75" customHeight="1" x14ac:dyDescent="0.3">
      <c r="A358" s="1">
        <v>45</v>
      </c>
      <c r="B358" s="1">
        <v>11</v>
      </c>
      <c r="C358" s="2">
        <v>45966</v>
      </c>
      <c r="D358" s="33" t="s">
        <v>320</v>
      </c>
      <c r="E358" s="33" t="s">
        <v>376</v>
      </c>
      <c r="F358" s="33" t="s">
        <v>385</v>
      </c>
      <c r="G358" s="33" t="s">
        <v>386</v>
      </c>
      <c r="H358" s="30" t="s">
        <v>55</v>
      </c>
      <c r="I358" s="3" t="s">
        <v>10</v>
      </c>
      <c r="J358" s="3" t="s">
        <v>39</v>
      </c>
      <c r="K358" s="84" t="s">
        <v>364</v>
      </c>
      <c r="L358" s="85"/>
      <c r="M358" s="9">
        <v>45</v>
      </c>
      <c r="N358" s="86"/>
      <c r="O358" s="83"/>
      <c r="P358" s="33" t="s">
        <v>387</v>
      </c>
      <c r="Q358" s="5"/>
    </row>
    <row r="359" spans="1:30" ht="15.75" customHeight="1" x14ac:dyDescent="0.3">
      <c r="A359" s="30">
        <v>45</v>
      </c>
      <c r="B359" s="1">
        <v>11</v>
      </c>
      <c r="C359" s="87">
        <v>45967</v>
      </c>
      <c r="D359" s="33" t="s">
        <v>320</v>
      </c>
      <c r="E359" s="33" t="s">
        <v>356</v>
      </c>
      <c r="F359" s="33" t="s">
        <v>127</v>
      </c>
      <c r="G359" s="33" t="s">
        <v>311</v>
      </c>
      <c r="H359" s="30" t="s">
        <v>152</v>
      </c>
      <c r="I359" s="3" t="s">
        <v>10</v>
      </c>
      <c r="J359" s="33" t="s">
        <v>25</v>
      </c>
      <c r="K359" s="84" t="s">
        <v>380</v>
      </c>
      <c r="L359" s="85"/>
      <c r="M359" s="9">
        <v>100</v>
      </c>
      <c r="N359" s="86"/>
      <c r="O359" s="83" t="s">
        <v>388</v>
      </c>
      <c r="P359" s="33" t="s">
        <v>382</v>
      </c>
      <c r="Q359" s="5" t="s">
        <v>374</v>
      </c>
    </row>
    <row r="360" spans="1:30" ht="15.75" customHeight="1" x14ac:dyDescent="0.3">
      <c r="A360" s="30">
        <v>45</v>
      </c>
      <c r="B360" s="1">
        <v>11</v>
      </c>
      <c r="C360" s="87">
        <v>45967</v>
      </c>
      <c r="D360" s="33" t="s">
        <v>320</v>
      </c>
      <c r="E360" s="33" t="s">
        <v>356</v>
      </c>
      <c r="F360" s="33" t="s">
        <v>127</v>
      </c>
      <c r="G360" s="33" t="s">
        <v>311</v>
      </c>
      <c r="H360" s="3" t="s">
        <v>120</v>
      </c>
      <c r="I360" s="33" t="s">
        <v>10</v>
      </c>
      <c r="J360" s="33" t="s">
        <v>39</v>
      </c>
      <c r="K360" s="83" t="s">
        <v>358</v>
      </c>
      <c r="L360" s="85">
        <v>200</v>
      </c>
      <c r="M360" s="9">
        <v>200</v>
      </c>
      <c r="N360" s="86"/>
      <c r="O360" s="83" t="s">
        <v>389</v>
      </c>
      <c r="P360" s="33" t="s">
        <v>359</v>
      </c>
      <c r="Q360" s="5"/>
    </row>
    <row r="361" spans="1:30" ht="15.75" customHeight="1" x14ac:dyDescent="0.3">
      <c r="A361" s="30">
        <v>45</v>
      </c>
      <c r="B361" s="1">
        <v>11</v>
      </c>
      <c r="C361" s="87">
        <v>45967</v>
      </c>
      <c r="D361" s="33" t="s">
        <v>320</v>
      </c>
      <c r="E361" s="33" t="s">
        <v>356</v>
      </c>
      <c r="F361" s="33" t="s">
        <v>127</v>
      </c>
      <c r="G361" s="33" t="s">
        <v>311</v>
      </c>
      <c r="H361" s="88" t="s">
        <v>101</v>
      </c>
      <c r="I361" s="33" t="s">
        <v>10</v>
      </c>
      <c r="J361" s="33" t="s">
        <v>25</v>
      </c>
      <c r="K361" s="83" t="s">
        <v>358</v>
      </c>
      <c r="L361" s="85"/>
      <c r="M361" s="9">
        <v>100</v>
      </c>
      <c r="N361" s="86"/>
      <c r="O361" s="83"/>
      <c r="P361" s="33" t="s">
        <v>359</v>
      </c>
      <c r="Q361" s="5"/>
    </row>
    <row r="362" spans="1:30" ht="15.75" customHeight="1" x14ac:dyDescent="0.3">
      <c r="A362" s="30">
        <v>45</v>
      </c>
      <c r="B362" s="1">
        <v>11</v>
      </c>
      <c r="C362" s="87">
        <v>45967</v>
      </c>
      <c r="D362" s="33" t="s">
        <v>320</v>
      </c>
      <c r="E362" s="33" t="s">
        <v>390</v>
      </c>
      <c r="F362" s="33" t="s">
        <v>391</v>
      </c>
      <c r="G362" s="33" t="s">
        <v>311</v>
      </c>
      <c r="H362" s="3" t="s">
        <v>120</v>
      </c>
      <c r="I362" s="33" t="s">
        <v>10</v>
      </c>
      <c r="J362" s="33" t="s">
        <v>25</v>
      </c>
      <c r="K362" s="84" t="s">
        <v>392</v>
      </c>
      <c r="L362" s="85">
        <v>1550</v>
      </c>
      <c r="M362" s="9">
        <v>1130</v>
      </c>
      <c r="N362" s="86"/>
      <c r="O362" s="83" t="s">
        <v>393</v>
      </c>
      <c r="P362" s="33" t="s">
        <v>394</v>
      </c>
      <c r="Q362" s="21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 x14ac:dyDescent="0.3">
      <c r="A363" s="30">
        <v>45</v>
      </c>
      <c r="B363" s="1">
        <v>11</v>
      </c>
      <c r="C363" s="87">
        <v>45967</v>
      </c>
      <c r="D363" s="33" t="s">
        <v>320</v>
      </c>
      <c r="E363" s="33" t="s">
        <v>390</v>
      </c>
      <c r="F363" s="33" t="s">
        <v>395</v>
      </c>
      <c r="G363" s="33" t="s">
        <v>311</v>
      </c>
      <c r="H363" s="3" t="s">
        <v>120</v>
      </c>
      <c r="I363" s="33" t="s">
        <v>10</v>
      </c>
      <c r="J363" s="33" t="s">
        <v>25</v>
      </c>
      <c r="K363" s="84" t="s">
        <v>380</v>
      </c>
      <c r="L363" s="85">
        <v>0</v>
      </c>
      <c r="M363" s="9">
        <v>60</v>
      </c>
      <c r="N363" s="86"/>
      <c r="O363" s="83" t="s">
        <v>393</v>
      </c>
      <c r="P363" s="33" t="s">
        <v>382</v>
      </c>
      <c r="Q363" s="5" t="s">
        <v>374</v>
      </c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 x14ac:dyDescent="0.3">
      <c r="A364" s="30">
        <v>45</v>
      </c>
      <c r="B364" s="1">
        <v>11</v>
      </c>
      <c r="C364" s="87">
        <v>45967</v>
      </c>
      <c r="D364" s="33" t="s">
        <v>320</v>
      </c>
      <c r="E364" s="33" t="s">
        <v>78</v>
      </c>
      <c r="F364" s="33" t="s">
        <v>88</v>
      </c>
      <c r="G364" s="33" t="s">
        <v>371</v>
      </c>
      <c r="H364" s="3" t="s">
        <v>372</v>
      </c>
      <c r="I364" s="33" t="s">
        <v>10</v>
      </c>
      <c r="J364" s="33" t="s">
        <v>25</v>
      </c>
      <c r="K364" s="83" t="s">
        <v>364</v>
      </c>
      <c r="L364" s="85"/>
      <c r="M364" s="9">
        <v>300</v>
      </c>
      <c r="N364" s="86"/>
      <c r="O364" s="17" t="s">
        <v>381</v>
      </c>
      <c r="P364" s="30" t="s">
        <v>229</v>
      </c>
      <c r="Q364" s="5" t="s">
        <v>374</v>
      </c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 x14ac:dyDescent="0.3">
      <c r="A365" s="30">
        <v>45</v>
      </c>
      <c r="B365" s="1">
        <v>11</v>
      </c>
      <c r="C365" s="87">
        <v>45967</v>
      </c>
      <c r="D365" s="33" t="s">
        <v>320</v>
      </c>
      <c r="E365" s="33" t="s">
        <v>376</v>
      </c>
      <c r="F365" s="33" t="s">
        <v>219</v>
      </c>
      <c r="G365" s="33" t="s">
        <v>379</v>
      </c>
      <c r="H365" s="30" t="s">
        <v>104</v>
      </c>
      <c r="I365" s="33" t="s">
        <v>10</v>
      </c>
      <c r="J365" s="33" t="s">
        <v>25</v>
      </c>
      <c r="K365" s="83" t="s">
        <v>364</v>
      </c>
      <c r="L365" s="85"/>
      <c r="M365" s="9">
        <v>330</v>
      </c>
      <c r="N365" s="86"/>
      <c r="O365" s="17" t="s">
        <v>381</v>
      </c>
      <c r="P365" s="30" t="s">
        <v>229</v>
      </c>
      <c r="Q365" s="5" t="s">
        <v>374</v>
      </c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 x14ac:dyDescent="0.3">
      <c r="A366" s="30">
        <v>45</v>
      </c>
      <c r="B366" s="1">
        <v>11</v>
      </c>
      <c r="C366" s="87">
        <v>45967</v>
      </c>
      <c r="D366" s="33" t="s">
        <v>320</v>
      </c>
      <c r="E366" s="33" t="s">
        <v>317</v>
      </c>
      <c r="F366" s="33" t="s">
        <v>396</v>
      </c>
      <c r="G366" s="33" t="s">
        <v>311</v>
      </c>
      <c r="H366" s="33" t="s">
        <v>244</v>
      </c>
      <c r="I366" s="33" t="s">
        <v>10</v>
      </c>
      <c r="J366" s="33" t="s">
        <v>25</v>
      </c>
      <c r="K366" s="83" t="s">
        <v>397</v>
      </c>
      <c r="L366" s="85"/>
      <c r="M366" s="9">
        <v>457</v>
      </c>
      <c r="N366" s="86"/>
      <c r="O366" s="17" t="s">
        <v>398</v>
      </c>
      <c r="P366" s="30" t="s">
        <v>397</v>
      </c>
      <c r="Q366" s="21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 x14ac:dyDescent="0.3">
      <c r="A367" s="30">
        <v>45</v>
      </c>
      <c r="B367" s="1">
        <v>11</v>
      </c>
      <c r="C367" s="87">
        <v>45968</v>
      </c>
      <c r="D367" s="33" t="s">
        <v>320</v>
      </c>
      <c r="E367" s="33" t="s">
        <v>78</v>
      </c>
      <c r="F367" s="33" t="s">
        <v>79</v>
      </c>
      <c r="G367" s="33" t="s">
        <v>311</v>
      </c>
      <c r="H367" s="33" t="s">
        <v>62</v>
      </c>
      <c r="I367" s="33" t="s">
        <v>10</v>
      </c>
      <c r="J367" s="33" t="s">
        <v>25</v>
      </c>
      <c r="K367" s="83" t="s">
        <v>358</v>
      </c>
      <c r="L367" s="85"/>
      <c r="M367" s="9">
        <v>100</v>
      </c>
      <c r="N367" s="86"/>
      <c r="O367" s="17" t="s">
        <v>399</v>
      </c>
      <c r="P367" s="33" t="s">
        <v>359</v>
      </c>
      <c r="Q367" s="21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 x14ac:dyDescent="0.3">
      <c r="A368" s="30">
        <v>45</v>
      </c>
      <c r="B368" s="1">
        <v>11</v>
      </c>
      <c r="C368" s="87">
        <v>45968</v>
      </c>
      <c r="D368" s="33" t="s">
        <v>320</v>
      </c>
      <c r="E368" s="33" t="s">
        <v>376</v>
      </c>
      <c r="F368" s="33" t="s">
        <v>400</v>
      </c>
      <c r="G368" s="33" t="s">
        <v>311</v>
      </c>
      <c r="H368" s="30" t="s">
        <v>195</v>
      </c>
      <c r="I368" s="33" t="s">
        <v>10</v>
      </c>
      <c r="J368" s="33" t="s">
        <v>39</v>
      </c>
      <c r="K368" s="83" t="s">
        <v>364</v>
      </c>
      <c r="L368" s="85"/>
      <c r="M368" s="9">
        <v>70</v>
      </c>
      <c r="N368" s="86"/>
      <c r="O368" s="83" t="s">
        <v>381</v>
      </c>
      <c r="P368" s="33" t="s">
        <v>229</v>
      </c>
      <c r="Q368" s="5" t="s">
        <v>374</v>
      </c>
    </row>
    <row r="369" spans="1:17" ht="15.75" customHeight="1" x14ac:dyDescent="0.3">
      <c r="A369" s="30">
        <v>45</v>
      </c>
      <c r="B369" s="1">
        <v>11</v>
      </c>
      <c r="C369" s="87">
        <v>45968</v>
      </c>
      <c r="D369" s="33" t="s">
        <v>320</v>
      </c>
      <c r="E369" s="33" t="s">
        <v>376</v>
      </c>
      <c r="F369" s="33" t="s">
        <v>401</v>
      </c>
      <c r="G369" s="33" t="s">
        <v>311</v>
      </c>
      <c r="H369" s="30" t="s">
        <v>195</v>
      </c>
      <c r="I369" s="33" t="s">
        <v>10</v>
      </c>
      <c r="J369" s="33" t="s">
        <v>39</v>
      </c>
      <c r="K369" s="83" t="s">
        <v>364</v>
      </c>
      <c r="L369" s="85"/>
      <c r="M369" s="9">
        <v>375</v>
      </c>
      <c r="N369" s="86"/>
      <c r="O369" s="83" t="s">
        <v>381</v>
      </c>
      <c r="P369" s="33" t="s">
        <v>229</v>
      </c>
      <c r="Q369" s="5" t="s">
        <v>374</v>
      </c>
    </row>
    <row r="370" spans="1:17" ht="15.75" customHeight="1" x14ac:dyDescent="0.3">
      <c r="A370" s="30">
        <v>45</v>
      </c>
      <c r="B370" s="1">
        <v>11</v>
      </c>
      <c r="C370" s="87">
        <v>45969</v>
      </c>
      <c r="D370" s="33" t="s">
        <v>320</v>
      </c>
      <c r="E370" s="33" t="s">
        <v>317</v>
      </c>
      <c r="F370" s="33" t="s">
        <v>402</v>
      </c>
      <c r="G370" s="33" t="s">
        <v>311</v>
      </c>
      <c r="H370" s="33" t="s">
        <v>244</v>
      </c>
      <c r="I370" s="33" t="s">
        <v>10</v>
      </c>
      <c r="J370" s="33" t="s">
        <v>25</v>
      </c>
      <c r="K370" s="83" t="s">
        <v>358</v>
      </c>
      <c r="L370" s="85"/>
      <c r="M370" s="9">
        <v>418</v>
      </c>
      <c r="N370" s="86"/>
      <c r="O370" s="83" t="s">
        <v>403</v>
      </c>
      <c r="P370" s="33" t="s">
        <v>359</v>
      </c>
      <c r="Q370" s="21" t="s">
        <v>404</v>
      </c>
    </row>
    <row r="371" spans="1:17" ht="15.75" customHeight="1" x14ac:dyDescent="0.3">
      <c r="A371" s="30">
        <v>45</v>
      </c>
      <c r="B371" s="1">
        <v>11</v>
      </c>
      <c r="C371" s="87">
        <v>45969</v>
      </c>
      <c r="D371" s="33" t="s">
        <v>320</v>
      </c>
      <c r="E371" s="33" t="s">
        <v>317</v>
      </c>
      <c r="F371" s="33" t="s">
        <v>405</v>
      </c>
      <c r="G371" s="33" t="s">
        <v>311</v>
      </c>
      <c r="H371" s="33" t="s">
        <v>244</v>
      </c>
      <c r="I371" s="33" t="s">
        <v>10</v>
      </c>
      <c r="J371" s="33" t="s">
        <v>25</v>
      </c>
      <c r="K371" s="83" t="s">
        <v>358</v>
      </c>
      <c r="L371" s="85"/>
      <c r="M371" s="9">
        <v>109</v>
      </c>
      <c r="N371" s="86"/>
      <c r="O371" s="83" t="s">
        <v>403</v>
      </c>
      <c r="P371" s="33" t="s">
        <v>359</v>
      </c>
      <c r="Q371" s="5"/>
    </row>
    <row r="372" spans="1:17" ht="15.75" customHeight="1" x14ac:dyDescent="0.3">
      <c r="A372" s="30">
        <v>45</v>
      </c>
      <c r="B372" s="1">
        <v>11</v>
      </c>
      <c r="C372" s="87">
        <v>45969</v>
      </c>
      <c r="D372" s="33" t="s">
        <v>320</v>
      </c>
      <c r="E372" s="33" t="s">
        <v>376</v>
      </c>
      <c r="F372" s="33" t="s">
        <v>339</v>
      </c>
      <c r="G372" s="33" t="s">
        <v>406</v>
      </c>
      <c r="H372" s="33" t="s">
        <v>51</v>
      </c>
      <c r="I372" s="33" t="s">
        <v>10</v>
      </c>
      <c r="J372" s="33" t="s">
        <v>39</v>
      </c>
      <c r="K372" s="83" t="s">
        <v>358</v>
      </c>
      <c r="L372" s="85"/>
      <c r="M372" s="9">
        <v>620</v>
      </c>
      <c r="N372" s="86"/>
      <c r="O372" s="83" t="s">
        <v>381</v>
      </c>
      <c r="P372" s="33" t="s">
        <v>359</v>
      </c>
      <c r="Q372" s="5"/>
    </row>
    <row r="373" spans="1:17" ht="15.75" customHeight="1" x14ac:dyDescent="0.3">
      <c r="A373" s="30">
        <v>45</v>
      </c>
      <c r="B373" s="1">
        <v>11</v>
      </c>
      <c r="C373" s="87">
        <v>45969</v>
      </c>
      <c r="D373" s="33" t="s">
        <v>320</v>
      </c>
      <c r="E373" s="33" t="s">
        <v>356</v>
      </c>
      <c r="F373" s="33" t="s">
        <v>127</v>
      </c>
      <c r="G373" s="33" t="s">
        <v>311</v>
      </c>
      <c r="H373" s="3" t="s">
        <v>120</v>
      </c>
      <c r="I373" s="33" t="s">
        <v>10</v>
      </c>
      <c r="J373" s="33" t="s">
        <v>25</v>
      </c>
      <c r="K373" s="83" t="s">
        <v>380</v>
      </c>
      <c r="L373" s="85"/>
      <c r="M373" s="9">
        <v>150</v>
      </c>
      <c r="N373" s="86"/>
      <c r="O373" s="83" t="s">
        <v>389</v>
      </c>
      <c r="P373" s="33" t="s">
        <v>382</v>
      </c>
      <c r="Q373" s="5" t="s">
        <v>374</v>
      </c>
    </row>
    <row r="374" spans="1:17" ht="15.75" customHeight="1" x14ac:dyDescent="0.3">
      <c r="A374" s="30">
        <v>45</v>
      </c>
      <c r="B374" s="1">
        <v>11</v>
      </c>
      <c r="C374" s="87">
        <v>45969</v>
      </c>
      <c r="D374" s="33" t="s">
        <v>320</v>
      </c>
      <c r="E374" s="33" t="s">
        <v>376</v>
      </c>
      <c r="F374" s="33" t="s">
        <v>407</v>
      </c>
      <c r="G374" s="33" t="s">
        <v>408</v>
      </c>
      <c r="H374" s="3" t="s">
        <v>409</v>
      </c>
      <c r="I374" s="33" t="s">
        <v>10</v>
      </c>
      <c r="J374" s="33" t="s">
        <v>25</v>
      </c>
      <c r="K374" s="83" t="s">
        <v>364</v>
      </c>
      <c r="L374" s="85"/>
      <c r="M374" s="9">
        <v>5</v>
      </c>
      <c r="N374" s="86"/>
      <c r="O374" s="83" t="s">
        <v>381</v>
      </c>
      <c r="P374" s="33" t="s">
        <v>410</v>
      </c>
      <c r="Q374" s="5" t="s">
        <v>374</v>
      </c>
    </row>
    <row r="375" spans="1:17" ht="15.75" customHeight="1" x14ac:dyDescent="0.3">
      <c r="A375" s="30">
        <v>45</v>
      </c>
      <c r="B375" s="1">
        <v>11</v>
      </c>
      <c r="C375" s="87">
        <v>45969</v>
      </c>
      <c r="D375" s="33" t="s">
        <v>320</v>
      </c>
      <c r="E375" s="33" t="s">
        <v>376</v>
      </c>
      <c r="F375" s="33" t="s">
        <v>411</v>
      </c>
      <c r="G375" s="33" t="s">
        <v>408</v>
      </c>
      <c r="H375" s="3" t="s">
        <v>409</v>
      </c>
      <c r="I375" s="33" t="s">
        <v>10</v>
      </c>
      <c r="J375" s="33" t="s">
        <v>25</v>
      </c>
      <c r="K375" s="83" t="s">
        <v>364</v>
      </c>
      <c r="L375" s="85"/>
      <c r="M375" s="9">
        <v>8</v>
      </c>
      <c r="N375" s="86"/>
      <c r="O375" s="83" t="s">
        <v>381</v>
      </c>
      <c r="P375" s="33" t="s">
        <v>410</v>
      </c>
      <c r="Q375" s="5" t="s">
        <v>374</v>
      </c>
    </row>
    <row r="376" spans="1:17" ht="15.75" customHeight="1" x14ac:dyDescent="0.3">
      <c r="A376" s="30">
        <v>46</v>
      </c>
      <c r="B376" s="1">
        <v>11</v>
      </c>
      <c r="C376" s="87">
        <v>45971</v>
      </c>
      <c r="D376" s="33" t="s">
        <v>320</v>
      </c>
      <c r="E376" s="33" t="s">
        <v>376</v>
      </c>
      <c r="F376" s="33" t="s">
        <v>412</v>
      </c>
      <c r="G376" s="33" t="s">
        <v>406</v>
      </c>
      <c r="H376" s="33" t="s">
        <v>51</v>
      </c>
      <c r="I376" s="33" t="s">
        <v>10</v>
      </c>
      <c r="J376" s="33" t="s">
        <v>39</v>
      </c>
      <c r="K376" s="83" t="s">
        <v>358</v>
      </c>
      <c r="L376" s="85"/>
      <c r="M376" s="9">
        <v>1240</v>
      </c>
      <c r="N376" s="86"/>
      <c r="O376" s="83" t="s">
        <v>381</v>
      </c>
      <c r="P376" s="33" t="s">
        <v>359</v>
      </c>
      <c r="Q376" s="5"/>
    </row>
    <row r="377" spans="1:17" ht="15.75" customHeight="1" x14ac:dyDescent="0.3">
      <c r="A377" s="30">
        <v>46</v>
      </c>
      <c r="B377" s="1">
        <v>11</v>
      </c>
      <c r="C377" s="87">
        <v>45971</v>
      </c>
      <c r="D377" s="33" t="s">
        <v>320</v>
      </c>
      <c r="E377" s="33" t="s">
        <v>376</v>
      </c>
      <c r="F377" s="33" t="s">
        <v>413</v>
      </c>
      <c r="G377" s="33" t="s">
        <v>311</v>
      </c>
      <c r="H377" s="33" t="s">
        <v>17</v>
      </c>
      <c r="I377" s="33" t="s">
        <v>10</v>
      </c>
      <c r="J377" s="33" t="s">
        <v>18</v>
      </c>
      <c r="K377" s="84" t="s">
        <v>375</v>
      </c>
      <c r="L377" s="85"/>
      <c r="M377" s="9">
        <v>1900</v>
      </c>
      <c r="N377" s="86"/>
      <c r="O377" s="83" t="s">
        <v>414</v>
      </c>
      <c r="P377" s="3" t="s">
        <v>340</v>
      </c>
      <c r="Q377" s="5"/>
    </row>
    <row r="378" spans="1:17" ht="15.75" customHeight="1" x14ac:dyDescent="0.3">
      <c r="A378" s="30">
        <v>46</v>
      </c>
      <c r="B378" s="1">
        <v>11</v>
      </c>
      <c r="C378" s="87">
        <v>45971</v>
      </c>
      <c r="D378" s="33" t="s">
        <v>320</v>
      </c>
      <c r="E378" s="33" t="s">
        <v>78</v>
      </c>
      <c r="F378" s="33" t="s">
        <v>92</v>
      </c>
      <c r="G378" s="33" t="s">
        <v>406</v>
      </c>
      <c r="H378" s="33" t="s">
        <v>51</v>
      </c>
      <c r="I378" s="33" t="s">
        <v>10</v>
      </c>
      <c r="J378" s="33" t="s">
        <v>25</v>
      </c>
      <c r="K378" s="84" t="s">
        <v>364</v>
      </c>
      <c r="L378" s="85"/>
      <c r="M378" s="9">
        <v>130</v>
      </c>
      <c r="N378" s="86"/>
      <c r="O378" s="83" t="s">
        <v>381</v>
      </c>
      <c r="P378" s="3" t="s">
        <v>229</v>
      </c>
      <c r="Q378" s="5" t="s">
        <v>374</v>
      </c>
    </row>
    <row r="379" spans="1:17" ht="15.75" customHeight="1" x14ac:dyDescent="0.3">
      <c r="A379" s="30">
        <v>46</v>
      </c>
      <c r="B379" s="1">
        <v>11</v>
      </c>
      <c r="C379" s="87">
        <v>45972</v>
      </c>
      <c r="D379" s="33" t="s">
        <v>320</v>
      </c>
      <c r="E379" s="33" t="s">
        <v>376</v>
      </c>
      <c r="F379" s="33" t="s">
        <v>415</v>
      </c>
      <c r="G379" s="33" t="s">
        <v>311</v>
      </c>
      <c r="H379" s="30" t="s">
        <v>195</v>
      </c>
      <c r="I379" s="33" t="s">
        <v>10</v>
      </c>
      <c r="J379" s="33" t="s">
        <v>39</v>
      </c>
      <c r="K379" s="84" t="s">
        <v>364</v>
      </c>
      <c r="L379" s="85"/>
      <c r="M379" s="9">
        <v>100</v>
      </c>
      <c r="N379" s="86"/>
      <c r="O379" s="83" t="s">
        <v>381</v>
      </c>
      <c r="P379" s="3" t="s">
        <v>229</v>
      </c>
      <c r="Q379" s="5" t="s">
        <v>374</v>
      </c>
    </row>
    <row r="380" spans="1:17" ht="15.75" customHeight="1" x14ac:dyDescent="0.3">
      <c r="A380" s="30">
        <v>46</v>
      </c>
      <c r="B380" s="1">
        <v>11</v>
      </c>
      <c r="C380" s="87">
        <v>45972</v>
      </c>
      <c r="D380" s="33" t="s">
        <v>320</v>
      </c>
      <c r="E380" s="33" t="s">
        <v>376</v>
      </c>
      <c r="F380" s="33" t="s">
        <v>416</v>
      </c>
      <c r="G380" s="33" t="s">
        <v>311</v>
      </c>
      <c r="H380" s="30" t="s">
        <v>195</v>
      </c>
      <c r="I380" s="33" t="s">
        <v>10</v>
      </c>
      <c r="J380" s="33" t="s">
        <v>39</v>
      </c>
      <c r="K380" s="84" t="s">
        <v>364</v>
      </c>
      <c r="L380" s="85"/>
      <c r="M380" s="9">
        <v>430</v>
      </c>
      <c r="N380" s="86"/>
      <c r="O380" s="83" t="s">
        <v>381</v>
      </c>
      <c r="P380" s="3" t="s">
        <v>229</v>
      </c>
      <c r="Q380" s="5" t="s">
        <v>374</v>
      </c>
    </row>
    <row r="381" spans="1:17" ht="15.75" customHeight="1" x14ac:dyDescent="0.3">
      <c r="A381" s="30">
        <v>46</v>
      </c>
      <c r="B381" s="1">
        <v>11</v>
      </c>
      <c r="C381" s="87">
        <v>45972</v>
      </c>
      <c r="D381" s="33" t="s">
        <v>320</v>
      </c>
      <c r="E381" s="33" t="s">
        <v>376</v>
      </c>
      <c r="F381" s="33" t="s">
        <v>417</v>
      </c>
      <c r="G381" s="33" t="s">
        <v>311</v>
      </c>
      <c r="H381" s="30" t="s">
        <v>195</v>
      </c>
      <c r="I381" s="33" t="s">
        <v>10</v>
      </c>
      <c r="J381" s="33" t="s">
        <v>39</v>
      </c>
      <c r="K381" s="84" t="s">
        <v>364</v>
      </c>
      <c r="L381" s="85"/>
      <c r="M381" s="9">
        <v>370</v>
      </c>
      <c r="N381" s="86"/>
      <c r="O381" s="83" t="s">
        <v>381</v>
      </c>
      <c r="P381" s="3" t="s">
        <v>229</v>
      </c>
      <c r="Q381" s="5" t="s">
        <v>374</v>
      </c>
    </row>
    <row r="382" spans="1:17" ht="15.75" customHeight="1" x14ac:dyDescent="0.3">
      <c r="A382" s="30">
        <v>46</v>
      </c>
      <c r="B382" s="1">
        <v>11</v>
      </c>
      <c r="C382" s="87">
        <v>45972</v>
      </c>
      <c r="D382" s="33" t="s">
        <v>320</v>
      </c>
      <c r="E382" s="33" t="s">
        <v>356</v>
      </c>
      <c r="F382" s="33" t="s">
        <v>127</v>
      </c>
      <c r="G382" s="33" t="s">
        <v>418</v>
      </c>
      <c r="H382" s="16" t="s">
        <v>135</v>
      </c>
      <c r="I382" s="33" t="s">
        <v>10</v>
      </c>
      <c r="J382" s="33" t="s">
        <v>39</v>
      </c>
      <c r="K382" s="84" t="s">
        <v>358</v>
      </c>
      <c r="L382" s="85"/>
      <c r="M382" s="9">
        <v>550</v>
      </c>
      <c r="N382" s="86"/>
      <c r="O382" s="83" t="s">
        <v>389</v>
      </c>
      <c r="P382" s="3" t="s">
        <v>359</v>
      </c>
      <c r="Q382" s="5" t="s">
        <v>419</v>
      </c>
    </row>
    <row r="383" spans="1:17" ht="15.75" customHeight="1" x14ac:dyDescent="0.3">
      <c r="A383" s="30">
        <v>46</v>
      </c>
      <c r="B383" s="1">
        <v>11</v>
      </c>
      <c r="C383" s="87">
        <v>45972</v>
      </c>
      <c r="D383" s="33" t="s">
        <v>320</v>
      </c>
      <c r="E383" s="33" t="s">
        <v>356</v>
      </c>
      <c r="F383" s="33" t="s">
        <v>127</v>
      </c>
      <c r="G383" s="33" t="s">
        <v>418</v>
      </c>
      <c r="H383" s="16" t="s">
        <v>135</v>
      </c>
      <c r="I383" s="33" t="s">
        <v>10</v>
      </c>
      <c r="J383" s="33" t="s">
        <v>39</v>
      </c>
      <c r="K383" s="84" t="s">
        <v>358</v>
      </c>
      <c r="L383" s="85"/>
      <c r="M383" s="9">
        <v>563.52</v>
      </c>
      <c r="N383" s="86"/>
      <c r="O383" s="83" t="s">
        <v>389</v>
      </c>
      <c r="P383" s="3" t="s">
        <v>359</v>
      </c>
      <c r="Q383" s="5" t="s">
        <v>419</v>
      </c>
    </row>
    <row r="384" spans="1:17" ht="15.75" customHeight="1" x14ac:dyDescent="0.3">
      <c r="A384" s="30">
        <v>46</v>
      </c>
      <c r="B384" s="1">
        <v>11</v>
      </c>
      <c r="C384" s="87">
        <v>45972</v>
      </c>
      <c r="D384" s="33" t="s">
        <v>320</v>
      </c>
      <c r="E384" s="33" t="s">
        <v>356</v>
      </c>
      <c r="F384" s="33" t="s">
        <v>127</v>
      </c>
      <c r="G384" s="33" t="s">
        <v>418</v>
      </c>
      <c r="H384" s="16" t="s">
        <v>135</v>
      </c>
      <c r="I384" s="33" t="s">
        <v>10</v>
      </c>
      <c r="J384" s="33" t="s">
        <v>39</v>
      </c>
      <c r="K384" s="84" t="s">
        <v>358</v>
      </c>
      <c r="L384" s="85"/>
      <c r="M384" s="9">
        <v>150</v>
      </c>
      <c r="N384" s="86"/>
      <c r="O384" s="83" t="s">
        <v>389</v>
      </c>
      <c r="P384" s="3" t="s">
        <v>359</v>
      </c>
      <c r="Q384" s="5" t="s">
        <v>419</v>
      </c>
    </row>
    <row r="385" spans="1:17" ht="15.75" customHeight="1" x14ac:dyDescent="0.3">
      <c r="A385" s="30">
        <v>46</v>
      </c>
      <c r="B385" s="1">
        <v>11</v>
      </c>
      <c r="C385" s="87">
        <v>45972</v>
      </c>
      <c r="D385" s="33" t="s">
        <v>320</v>
      </c>
      <c r="E385" s="33" t="s">
        <v>356</v>
      </c>
      <c r="F385" s="33" t="s">
        <v>127</v>
      </c>
      <c r="G385" s="33" t="s">
        <v>420</v>
      </c>
      <c r="H385" s="16" t="s">
        <v>334</v>
      </c>
      <c r="I385" s="33" t="s">
        <v>10</v>
      </c>
      <c r="J385" s="33" t="s">
        <v>39</v>
      </c>
      <c r="K385" s="84" t="s">
        <v>369</v>
      </c>
      <c r="L385" s="85"/>
      <c r="M385" s="9">
        <v>696.14</v>
      </c>
      <c r="N385" s="86"/>
      <c r="O385" s="83" t="s">
        <v>388</v>
      </c>
      <c r="P385" s="3" t="s">
        <v>421</v>
      </c>
      <c r="Q385" s="5" t="s">
        <v>419</v>
      </c>
    </row>
    <row r="386" spans="1:17" ht="15.75" customHeight="1" x14ac:dyDescent="0.3">
      <c r="A386" s="30">
        <v>46</v>
      </c>
      <c r="B386" s="1">
        <v>11</v>
      </c>
      <c r="C386" s="87">
        <v>45973</v>
      </c>
      <c r="D386" s="33" t="s">
        <v>320</v>
      </c>
      <c r="E386" s="33" t="s">
        <v>422</v>
      </c>
      <c r="F386" s="33" t="s">
        <v>423</v>
      </c>
      <c r="G386" s="33" t="s">
        <v>311</v>
      </c>
      <c r="H386" s="33" t="s">
        <v>17</v>
      </c>
      <c r="I386" s="33" t="s">
        <v>10</v>
      </c>
      <c r="J386" s="33" t="s">
        <v>18</v>
      </c>
      <c r="K386" s="84" t="s">
        <v>375</v>
      </c>
      <c r="L386" s="85"/>
      <c r="M386" s="9">
        <v>79</v>
      </c>
      <c r="N386" s="86"/>
      <c r="O386" s="83" t="s">
        <v>424</v>
      </c>
      <c r="P386" s="3" t="s">
        <v>340</v>
      </c>
      <c r="Q386" s="5"/>
    </row>
    <row r="387" spans="1:17" ht="15.75" customHeight="1" x14ac:dyDescent="0.3">
      <c r="A387" s="30">
        <v>46</v>
      </c>
      <c r="B387" s="1">
        <v>11</v>
      </c>
      <c r="C387" s="87">
        <v>45974</v>
      </c>
      <c r="D387" s="33" t="s">
        <v>320</v>
      </c>
      <c r="E387" s="33" t="s">
        <v>356</v>
      </c>
      <c r="F387" s="33" t="s">
        <v>127</v>
      </c>
      <c r="G387" s="33" t="s">
        <v>311</v>
      </c>
      <c r="H387" s="3" t="s">
        <v>120</v>
      </c>
      <c r="I387" s="33" t="s">
        <v>10</v>
      </c>
      <c r="J387" s="33" t="s">
        <v>25</v>
      </c>
      <c r="K387" s="84" t="s">
        <v>358</v>
      </c>
      <c r="L387" s="85"/>
      <c r="M387" s="9">
        <v>200</v>
      </c>
      <c r="N387" s="86"/>
      <c r="O387" s="83" t="s">
        <v>389</v>
      </c>
      <c r="P387" s="33" t="s">
        <v>359</v>
      </c>
      <c r="Q387" s="5"/>
    </row>
    <row r="388" spans="1:17" ht="15.75" customHeight="1" x14ac:dyDescent="0.3">
      <c r="A388" s="30">
        <v>46</v>
      </c>
      <c r="B388" s="1">
        <v>11</v>
      </c>
      <c r="C388" s="87">
        <v>45974</v>
      </c>
      <c r="D388" s="33" t="s">
        <v>320</v>
      </c>
      <c r="E388" s="3" t="s">
        <v>78</v>
      </c>
      <c r="F388" s="33" t="s">
        <v>97</v>
      </c>
      <c r="G388" s="33" t="s">
        <v>425</v>
      </c>
      <c r="H388" s="33" t="s">
        <v>426</v>
      </c>
      <c r="I388" s="33" t="s">
        <v>10</v>
      </c>
      <c r="J388" s="33" t="s">
        <v>25</v>
      </c>
      <c r="K388" s="84" t="s">
        <v>358</v>
      </c>
      <c r="L388" s="85"/>
      <c r="M388" s="9">
        <v>540</v>
      </c>
      <c r="N388" s="86"/>
      <c r="O388" s="83" t="s">
        <v>381</v>
      </c>
      <c r="P388" s="33" t="s">
        <v>359</v>
      </c>
      <c r="Q388" s="5"/>
    </row>
    <row r="389" spans="1:17" ht="15.75" customHeight="1" x14ac:dyDescent="0.3">
      <c r="A389" s="30">
        <v>46</v>
      </c>
      <c r="B389" s="1">
        <v>11</v>
      </c>
      <c r="C389" s="87">
        <v>45974</v>
      </c>
      <c r="D389" s="33" t="s">
        <v>320</v>
      </c>
      <c r="E389" s="33" t="s">
        <v>356</v>
      </c>
      <c r="F389" s="33" t="s">
        <v>250</v>
      </c>
      <c r="G389" s="33" t="s">
        <v>406</v>
      </c>
      <c r="H389" s="33" t="s">
        <v>51</v>
      </c>
      <c r="I389" s="33" t="s">
        <v>10</v>
      </c>
      <c r="J389" s="33" t="s">
        <v>25</v>
      </c>
      <c r="K389" s="84" t="s">
        <v>369</v>
      </c>
      <c r="L389" s="85"/>
      <c r="M389" s="9">
        <v>80</v>
      </c>
      <c r="N389" s="86"/>
      <c r="O389" s="83" t="s">
        <v>86</v>
      </c>
      <c r="P389" s="33" t="s">
        <v>427</v>
      </c>
      <c r="Q389" s="5"/>
    </row>
    <row r="390" spans="1:17" ht="15.75" customHeight="1" x14ac:dyDescent="0.3">
      <c r="A390" s="30">
        <v>46</v>
      </c>
      <c r="B390" s="1">
        <v>11</v>
      </c>
      <c r="C390" s="87">
        <v>45975</v>
      </c>
      <c r="D390" s="33" t="s">
        <v>320</v>
      </c>
      <c r="E390" s="33" t="s">
        <v>376</v>
      </c>
      <c r="F390" s="33" t="s">
        <v>428</v>
      </c>
      <c r="G390" s="33" t="s">
        <v>311</v>
      </c>
      <c r="H390" s="3" t="s">
        <v>120</v>
      </c>
      <c r="I390" s="33" t="s">
        <v>10</v>
      </c>
      <c r="J390" s="33" t="s">
        <v>25</v>
      </c>
      <c r="K390" s="84" t="s">
        <v>364</v>
      </c>
      <c r="L390" s="85"/>
      <c r="M390" s="247">
        <v>500</v>
      </c>
      <c r="N390" s="86"/>
      <c r="O390" s="83" t="s">
        <v>429</v>
      </c>
      <c r="P390" s="33" t="s">
        <v>387</v>
      </c>
      <c r="Q390" s="5"/>
    </row>
    <row r="391" spans="1:17" ht="15.75" customHeight="1" x14ac:dyDescent="0.3">
      <c r="A391" s="30">
        <v>46</v>
      </c>
      <c r="B391" s="1">
        <v>11</v>
      </c>
      <c r="C391" s="87">
        <v>45975</v>
      </c>
      <c r="D391" s="33" t="s">
        <v>320</v>
      </c>
      <c r="E391" s="33" t="s">
        <v>376</v>
      </c>
      <c r="F391" s="33" t="s">
        <v>430</v>
      </c>
      <c r="G391" s="33" t="s">
        <v>311</v>
      </c>
      <c r="H391" s="3" t="s">
        <v>120</v>
      </c>
      <c r="I391" s="33" t="s">
        <v>10</v>
      </c>
      <c r="J391" s="33" t="s">
        <v>25</v>
      </c>
      <c r="K391" s="84" t="s">
        <v>364</v>
      </c>
      <c r="L391" s="85"/>
      <c r="M391" s="248"/>
      <c r="N391" s="86"/>
      <c r="O391" s="83" t="s">
        <v>429</v>
      </c>
      <c r="P391" s="33" t="s">
        <v>387</v>
      </c>
      <c r="Q391" s="5"/>
    </row>
    <row r="392" spans="1:17" ht="15.75" customHeight="1" x14ac:dyDescent="0.3">
      <c r="A392" s="30">
        <v>46</v>
      </c>
      <c r="B392" s="1">
        <v>11</v>
      </c>
      <c r="C392" s="87">
        <v>45975</v>
      </c>
      <c r="D392" s="33" t="s">
        <v>320</v>
      </c>
      <c r="E392" s="33" t="s">
        <v>376</v>
      </c>
      <c r="F392" s="33" t="s">
        <v>431</v>
      </c>
      <c r="G392" s="33" t="s">
        <v>311</v>
      </c>
      <c r="H392" s="3" t="s">
        <v>120</v>
      </c>
      <c r="I392" s="33" t="s">
        <v>10</v>
      </c>
      <c r="J392" s="33" t="s">
        <v>25</v>
      </c>
      <c r="K392" s="84" t="s">
        <v>364</v>
      </c>
      <c r="L392" s="85"/>
      <c r="M392" s="249"/>
      <c r="N392" s="86"/>
      <c r="O392" s="83" t="s">
        <v>429</v>
      </c>
      <c r="P392" s="33" t="s">
        <v>387</v>
      </c>
      <c r="Q392" s="5"/>
    </row>
    <row r="393" spans="1:17" ht="15.75" customHeight="1" x14ac:dyDescent="0.3">
      <c r="A393" s="30">
        <v>46</v>
      </c>
      <c r="B393" s="1">
        <v>11</v>
      </c>
      <c r="C393" s="87">
        <v>45976</v>
      </c>
      <c r="D393" s="33" t="s">
        <v>320</v>
      </c>
      <c r="E393" s="33" t="s">
        <v>317</v>
      </c>
      <c r="F393" s="33" t="s">
        <v>102</v>
      </c>
      <c r="G393" s="33" t="s">
        <v>311</v>
      </c>
      <c r="H393" s="33" t="s">
        <v>317</v>
      </c>
      <c r="I393" s="33" t="s">
        <v>10</v>
      </c>
      <c r="J393" s="33" t="s">
        <v>25</v>
      </c>
      <c r="K393" s="84" t="s">
        <v>369</v>
      </c>
      <c r="L393" s="85"/>
      <c r="M393" s="85">
        <v>1500</v>
      </c>
      <c r="N393" s="85"/>
      <c r="O393" s="84" t="s">
        <v>86</v>
      </c>
      <c r="P393" s="85" t="s">
        <v>432</v>
      </c>
      <c r="Q393" s="21"/>
    </row>
    <row r="394" spans="1:17" ht="15.75" customHeight="1" x14ac:dyDescent="0.3">
      <c r="A394" s="30">
        <v>46</v>
      </c>
      <c r="B394" s="1">
        <v>11</v>
      </c>
      <c r="C394" s="87">
        <v>45976</v>
      </c>
      <c r="D394" s="33" t="s">
        <v>320</v>
      </c>
      <c r="E394" s="33" t="s">
        <v>356</v>
      </c>
      <c r="F394" s="33" t="s">
        <v>127</v>
      </c>
      <c r="G394" s="33" t="s">
        <v>311</v>
      </c>
      <c r="H394" s="3" t="s">
        <v>120</v>
      </c>
      <c r="I394" s="33" t="s">
        <v>10</v>
      </c>
      <c r="J394" s="33" t="s">
        <v>25</v>
      </c>
      <c r="K394" s="84" t="s">
        <v>364</v>
      </c>
      <c r="L394" s="85"/>
      <c r="M394" s="85">
        <v>150</v>
      </c>
      <c r="N394" s="86"/>
      <c r="O394" s="83" t="s">
        <v>433</v>
      </c>
      <c r="P394" s="33" t="s">
        <v>387</v>
      </c>
      <c r="Q394" s="21"/>
    </row>
    <row r="395" spans="1:17" ht="15.75" customHeight="1" x14ac:dyDescent="0.3">
      <c r="A395" s="30">
        <v>46</v>
      </c>
      <c r="B395" s="1">
        <v>11</v>
      </c>
      <c r="C395" s="87">
        <v>45976</v>
      </c>
      <c r="D395" s="33" t="s">
        <v>320</v>
      </c>
      <c r="E395" s="33" t="s">
        <v>376</v>
      </c>
      <c r="F395" s="33" t="s">
        <v>434</v>
      </c>
      <c r="G395" s="33" t="s">
        <v>311</v>
      </c>
      <c r="H395" s="3" t="s">
        <v>120</v>
      </c>
      <c r="I395" s="33" t="s">
        <v>10</v>
      </c>
      <c r="J395" s="33" t="s">
        <v>25</v>
      </c>
      <c r="K395" s="84" t="s">
        <v>364</v>
      </c>
      <c r="L395" s="85"/>
      <c r="M395" s="85">
        <v>200</v>
      </c>
      <c r="N395" s="85"/>
      <c r="O395" s="84" t="s">
        <v>435</v>
      </c>
      <c r="P395" s="33" t="s">
        <v>387</v>
      </c>
      <c r="Q395" s="21" t="s">
        <v>436</v>
      </c>
    </row>
    <row r="396" spans="1:17" ht="15.75" customHeight="1" x14ac:dyDescent="0.3">
      <c r="A396" s="30">
        <v>46</v>
      </c>
      <c r="B396" s="1">
        <v>11</v>
      </c>
      <c r="C396" s="87">
        <v>45976</v>
      </c>
      <c r="D396" s="33" t="s">
        <v>320</v>
      </c>
      <c r="E396" s="33" t="s">
        <v>376</v>
      </c>
      <c r="F396" s="33" t="s">
        <v>437</v>
      </c>
      <c r="G396" s="33" t="s">
        <v>311</v>
      </c>
      <c r="H396" s="33" t="s">
        <v>17</v>
      </c>
      <c r="I396" s="33" t="s">
        <v>10</v>
      </c>
      <c r="J396" s="33" t="s">
        <v>18</v>
      </c>
      <c r="K396" s="84" t="s">
        <v>375</v>
      </c>
      <c r="L396" s="85"/>
      <c r="M396" s="85">
        <v>10</v>
      </c>
      <c r="N396" s="85"/>
      <c r="O396" s="84" t="s">
        <v>381</v>
      </c>
      <c r="P396" s="33" t="s">
        <v>340</v>
      </c>
      <c r="Q396" s="21"/>
    </row>
    <row r="397" spans="1:17" ht="15.75" customHeight="1" x14ac:dyDescent="0.3">
      <c r="A397" s="30">
        <v>46</v>
      </c>
      <c r="B397" s="1">
        <v>11</v>
      </c>
      <c r="C397" s="87">
        <v>45976</v>
      </c>
      <c r="D397" s="33" t="s">
        <v>320</v>
      </c>
      <c r="E397" s="33" t="s">
        <v>376</v>
      </c>
      <c r="F397" s="33" t="s">
        <v>438</v>
      </c>
      <c r="G397" s="33" t="s">
        <v>311</v>
      </c>
      <c r="H397" s="33" t="s">
        <v>17</v>
      </c>
      <c r="I397" s="33" t="s">
        <v>10</v>
      </c>
      <c r="J397" s="33" t="s">
        <v>18</v>
      </c>
      <c r="K397" s="84" t="s">
        <v>375</v>
      </c>
      <c r="L397" s="85"/>
      <c r="M397" s="85">
        <v>14</v>
      </c>
      <c r="N397" s="85"/>
      <c r="O397" s="84" t="s">
        <v>381</v>
      </c>
      <c r="P397" s="33" t="s">
        <v>340</v>
      </c>
      <c r="Q397" s="21"/>
    </row>
    <row r="398" spans="1:17" ht="15.75" customHeight="1" x14ac:dyDescent="0.3">
      <c r="A398" s="30">
        <v>46</v>
      </c>
      <c r="B398" s="1">
        <v>11</v>
      </c>
      <c r="C398" s="87">
        <v>45976</v>
      </c>
      <c r="D398" s="33" t="s">
        <v>320</v>
      </c>
      <c r="E398" s="33" t="s">
        <v>376</v>
      </c>
      <c r="F398" s="33" t="s">
        <v>439</v>
      </c>
      <c r="G398" s="33" t="s">
        <v>311</v>
      </c>
      <c r="H398" s="33" t="s">
        <v>17</v>
      </c>
      <c r="I398" s="33" t="s">
        <v>10</v>
      </c>
      <c r="J398" s="33" t="s">
        <v>18</v>
      </c>
      <c r="K398" s="84" t="s">
        <v>375</v>
      </c>
      <c r="L398" s="85"/>
      <c r="M398" s="85">
        <v>16</v>
      </c>
      <c r="N398" s="85"/>
      <c r="O398" s="84" t="s">
        <v>381</v>
      </c>
      <c r="P398" s="33" t="s">
        <v>340</v>
      </c>
      <c r="Q398" s="21"/>
    </row>
    <row r="399" spans="1:17" ht="15.75" customHeight="1" x14ac:dyDescent="0.3">
      <c r="A399" s="30">
        <v>46</v>
      </c>
      <c r="B399" s="1">
        <v>11</v>
      </c>
      <c r="C399" s="87">
        <v>45976</v>
      </c>
      <c r="D399" s="33" t="s">
        <v>320</v>
      </c>
      <c r="E399" s="3" t="s">
        <v>78</v>
      </c>
      <c r="F399" s="33" t="s">
        <v>98</v>
      </c>
      <c r="G399" s="33" t="s">
        <v>311</v>
      </c>
      <c r="H399" s="33" t="s">
        <v>17</v>
      </c>
      <c r="I399" s="33" t="s">
        <v>10</v>
      </c>
      <c r="J399" s="33" t="s">
        <v>18</v>
      </c>
      <c r="K399" s="84" t="s">
        <v>375</v>
      </c>
      <c r="L399" s="85"/>
      <c r="M399" s="85">
        <v>590</v>
      </c>
      <c r="N399" s="85"/>
      <c r="O399" s="84" t="s">
        <v>381</v>
      </c>
      <c r="P399" s="33" t="s">
        <v>340</v>
      </c>
      <c r="Q399" s="21"/>
    </row>
    <row r="400" spans="1:17" ht="15.75" customHeight="1" x14ac:dyDescent="0.3">
      <c r="A400" s="30">
        <v>46</v>
      </c>
      <c r="B400" s="1">
        <v>11</v>
      </c>
      <c r="C400" s="87">
        <v>45976</v>
      </c>
      <c r="D400" s="33" t="s">
        <v>320</v>
      </c>
      <c r="E400" s="33" t="s">
        <v>376</v>
      </c>
      <c r="F400" s="33" t="s">
        <v>440</v>
      </c>
      <c r="G400" s="33" t="s">
        <v>311</v>
      </c>
      <c r="H400" s="33" t="s">
        <v>17</v>
      </c>
      <c r="I400" s="33" t="s">
        <v>10</v>
      </c>
      <c r="J400" s="33" t="s">
        <v>18</v>
      </c>
      <c r="K400" s="84" t="s">
        <v>375</v>
      </c>
      <c r="L400" s="85"/>
      <c r="M400" s="85">
        <v>130</v>
      </c>
      <c r="N400" s="85"/>
      <c r="O400" s="84" t="s">
        <v>399</v>
      </c>
      <c r="P400" s="33" t="s">
        <v>340</v>
      </c>
      <c r="Q400" s="21"/>
    </row>
    <row r="401" spans="1:30" ht="15.75" customHeight="1" x14ac:dyDescent="0.3">
      <c r="A401" s="30">
        <v>46</v>
      </c>
      <c r="B401" s="1">
        <v>11</v>
      </c>
      <c r="C401" s="87">
        <v>45976</v>
      </c>
      <c r="D401" s="33" t="s">
        <v>320</v>
      </c>
      <c r="E401" s="33" t="s">
        <v>376</v>
      </c>
      <c r="F401" s="33" t="s">
        <v>193</v>
      </c>
      <c r="G401" s="33" t="s">
        <v>311</v>
      </c>
      <c r="H401" s="33" t="s">
        <v>17</v>
      </c>
      <c r="I401" s="33" t="s">
        <v>10</v>
      </c>
      <c r="J401" s="33" t="s">
        <v>18</v>
      </c>
      <c r="K401" s="84" t="s">
        <v>369</v>
      </c>
      <c r="L401" s="85"/>
      <c r="M401" s="85">
        <v>1500</v>
      </c>
      <c r="N401" s="85"/>
      <c r="O401" s="84" t="s">
        <v>441</v>
      </c>
      <c r="P401" s="33" t="s">
        <v>442</v>
      </c>
      <c r="Q401" s="21"/>
    </row>
    <row r="402" spans="1:30" ht="15.75" customHeight="1" x14ac:dyDescent="0.3">
      <c r="A402" s="30">
        <v>47</v>
      </c>
      <c r="B402" s="1">
        <v>11</v>
      </c>
      <c r="C402" s="87">
        <v>45979</v>
      </c>
      <c r="D402" s="33" t="s">
        <v>320</v>
      </c>
      <c r="E402" s="33" t="s">
        <v>376</v>
      </c>
      <c r="F402" s="33" t="s">
        <v>339</v>
      </c>
      <c r="G402" s="33" t="s">
        <v>311</v>
      </c>
      <c r="H402" s="30" t="s">
        <v>152</v>
      </c>
      <c r="I402" s="33" t="s">
        <v>10</v>
      </c>
      <c r="J402" s="33" t="s">
        <v>25</v>
      </c>
      <c r="K402" s="84" t="s">
        <v>358</v>
      </c>
      <c r="L402" s="85"/>
      <c r="M402" s="85">
        <v>580</v>
      </c>
      <c r="N402" s="85"/>
      <c r="O402" s="84" t="s">
        <v>381</v>
      </c>
      <c r="P402" s="33" t="s">
        <v>359</v>
      </c>
      <c r="Q402" s="21"/>
    </row>
    <row r="403" spans="1:30" ht="15.75" customHeight="1" x14ac:dyDescent="0.3">
      <c r="A403" s="30">
        <v>47</v>
      </c>
      <c r="B403" s="1">
        <v>11</v>
      </c>
      <c r="C403" s="87">
        <v>45979</v>
      </c>
      <c r="D403" s="33" t="s">
        <v>320</v>
      </c>
      <c r="E403" s="33" t="s">
        <v>376</v>
      </c>
      <c r="F403" s="33" t="s">
        <v>443</v>
      </c>
      <c r="G403" s="33" t="s">
        <v>311</v>
      </c>
      <c r="H403" s="30" t="s">
        <v>152</v>
      </c>
      <c r="I403" s="33" t="s">
        <v>10</v>
      </c>
      <c r="J403" s="33" t="s">
        <v>25</v>
      </c>
      <c r="K403" s="84" t="s">
        <v>358</v>
      </c>
      <c r="L403" s="85"/>
      <c r="M403" s="85">
        <v>490</v>
      </c>
      <c r="N403" s="85"/>
      <c r="O403" s="84" t="s">
        <v>381</v>
      </c>
      <c r="P403" s="33" t="s">
        <v>359</v>
      </c>
      <c r="Q403" s="21"/>
    </row>
    <row r="404" spans="1:30" ht="15.75" customHeight="1" x14ac:dyDescent="0.3">
      <c r="A404" s="30">
        <v>47</v>
      </c>
      <c r="B404" s="1">
        <v>11</v>
      </c>
      <c r="C404" s="87">
        <v>45979</v>
      </c>
      <c r="D404" s="33" t="s">
        <v>320</v>
      </c>
      <c r="E404" s="33" t="s">
        <v>376</v>
      </c>
      <c r="F404" s="33" t="s">
        <v>444</v>
      </c>
      <c r="G404" s="33" t="s">
        <v>445</v>
      </c>
      <c r="H404" s="16" t="s">
        <v>123</v>
      </c>
      <c r="I404" s="33" t="s">
        <v>10</v>
      </c>
      <c r="J404" s="33" t="s">
        <v>25</v>
      </c>
      <c r="K404" s="84" t="s">
        <v>358</v>
      </c>
      <c r="L404" s="85"/>
      <c r="M404" s="85">
        <v>140</v>
      </c>
      <c r="N404" s="85"/>
      <c r="O404" s="84" t="s">
        <v>381</v>
      </c>
      <c r="P404" s="33" t="s">
        <v>359</v>
      </c>
      <c r="Q404" s="21"/>
    </row>
    <row r="405" spans="1:30" ht="15.75" customHeight="1" x14ac:dyDescent="0.3">
      <c r="A405" s="30">
        <v>47</v>
      </c>
      <c r="B405" s="1">
        <v>11</v>
      </c>
      <c r="C405" s="87">
        <v>45979</v>
      </c>
      <c r="D405" s="33" t="s">
        <v>320</v>
      </c>
      <c r="E405" s="33" t="s">
        <v>446</v>
      </c>
      <c r="F405" s="33" t="s">
        <v>132</v>
      </c>
      <c r="G405" s="33" t="s">
        <v>406</v>
      </c>
      <c r="H405" s="16" t="s">
        <v>195</v>
      </c>
      <c r="I405" s="33" t="s">
        <v>10</v>
      </c>
      <c r="J405" s="33" t="s">
        <v>39</v>
      </c>
      <c r="K405" s="84" t="s">
        <v>364</v>
      </c>
      <c r="L405" s="85">
        <v>100</v>
      </c>
      <c r="M405" s="85">
        <v>100</v>
      </c>
      <c r="N405" s="85"/>
      <c r="O405" s="84" t="s">
        <v>132</v>
      </c>
      <c r="P405" s="33" t="s">
        <v>387</v>
      </c>
      <c r="Q405" s="21"/>
    </row>
    <row r="406" spans="1:30" ht="15.75" customHeight="1" x14ac:dyDescent="0.3">
      <c r="A406" s="30">
        <v>47</v>
      </c>
      <c r="B406" s="1">
        <v>11</v>
      </c>
      <c r="C406" s="87">
        <v>45979</v>
      </c>
      <c r="D406" s="33" t="s">
        <v>320</v>
      </c>
      <c r="E406" s="33" t="s">
        <v>356</v>
      </c>
      <c r="F406" s="33" t="s">
        <v>127</v>
      </c>
      <c r="G406" s="33" t="s">
        <v>447</v>
      </c>
      <c r="H406" s="3" t="s">
        <v>120</v>
      </c>
      <c r="I406" s="33" t="s">
        <v>10</v>
      </c>
      <c r="J406" s="33" t="s">
        <v>25</v>
      </c>
      <c r="K406" s="84" t="s">
        <v>380</v>
      </c>
      <c r="L406" s="85"/>
      <c r="M406" s="85">
        <v>100</v>
      </c>
      <c r="N406" s="85"/>
      <c r="O406" s="84" t="s">
        <v>448</v>
      </c>
      <c r="P406" s="33" t="s">
        <v>449</v>
      </c>
      <c r="Q406" s="21"/>
    </row>
    <row r="407" spans="1:30" ht="15.75" customHeight="1" x14ac:dyDescent="0.3">
      <c r="A407" s="30">
        <v>47</v>
      </c>
      <c r="B407" s="1">
        <v>11</v>
      </c>
      <c r="C407" s="87">
        <v>45980</v>
      </c>
      <c r="D407" s="33" t="s">
        <v>320</v>
      </c>
      <c r="E407" s="33" t="s">
        <v>376</v>
      </c>
      <c r="F407" s="33" t="s">
        <v>450</v>
      </c>
      <c r="G407" s="33" t="s">
        <v>451</v>
      </c>
      <c r="H407" s="33" t="s">
        <v>21</v>
      </c>
      <c r="I407" s="33" t="s">
        <v>10</v>
      </c>
      <c r="J407" s="33" t="s">
        <v>18</v>
      </c>
      <c r="K407" s="84" t="s">
        <v>375</v>
      </c>
      <c r="L407" s="85"/>
      <c r="M407" s="85">
        <v>1000</v>
      </c>
      <c r="N407" s="85"/>
      <c r="O407" s="84" t="s">
        <v>414</v>
      </c>
      <c r="P407" s="33" t="s">
        <v>340</v>
      </c>
      <c r="Q407" s="21"/>
    </row>
    <row r="408" spans="1:30" ht="15.75" customHeight="1" x14ac:dyDescent="0.3">
      <c r="A408" s="30">
        <v>47</v>
      </c>
      <c r="B408" s="1">
        <v>11</v>
      </c>
      <c r="C408" s="87">
        <v>45980</v>
      </c>
      <c r="D408" s="33" t="s">
        <v>320</v>
      </c>
      <c r="E408" s="33" t="s">
        <v>78</v>
      </c>
      <c r="F408" s="33" t="s">
        <v>88</v>
      </c>
      <c r="G408" s="33" t="s">
        <v>452</v>
      </c>
      <c r="H408" s="89" t="s">
        <v>183</v>
      </c>
      <c r="I408" s="33" t="s">
        <v>10</v>
      </c>
      <c r="J408" s="33" t="s">
        <v>25</v>
      </c>
      <c r="K408" s="84" t="s">
        <v>358</v>
      </c>
      <c r="L408" s="85"/>
      <c r="M408" s="85">
        <v>430</v>
      </c>
      <c r="N408" s="85"/>
      <c r="O408" s="84" t="s">
        <v>381</v>
      </c>
      <c r="P408" s="33" t="s">
        <v>359</v>
      </c>
      <c r="Q408" s="21" t="s">
        <v>453</v>
      </c>
    </row>
    <row r="409" spans="1:30" ht="15.75" customHeight="1" x14ac:dyDescent="0.3">
      <c r="A409" s="30">
        <v>47</v>
      </c>
      <c r="B409" s="1">
        <v>11</v>
      </c>
      <c r="C409" s="87">
        <v>45980</v>
      </c>
      <c r="D409" s="33" t="s">
        <v>320</v>
      </c>
      <c r="E409" s="33" t="s">
        <v>78</v>
      </c>
      <c r="F409" s="33" t="s">
        <v>95</v>
      </c>
      <c r="G409" s="33" t="s">
        <v>452</v>
      </c>
      <c r="H409" s="89" t="s">
        <v>183</v>
      </c>
      <c r="I409" s="33" t="s">
        <v>10</v>
      </c>
      <c r="J409" s="33" t="s">
        <v>25</v>
      </c>
      <c r="K409" s="84" t="s">
        <v>358</v>
      </c>
      <c r="L409" s="85"/>
      <c r="M409" s="85">
        <v>140</v>
      </c>
      <c r="N409" s="85"/>
      <c r="O409" s="84" t="s">
        <v>381</v>
      </c>
      <c r="P409" s="33" t="s">
        <v>359</v>
      </c>
      <c r="Q409" s="21" t="s">
        <v>453</v>
      </c>
    </row>
    <row r="410" spans="1:30" ht="15.75" customHeight="1" x14ac:dyDescent="0.3">
      <c r="A410" s="30">
        <v>47</v>
      </c>
      <c r="B410" s="1">
        <v>11</v>
      </c>
      <c r="C410" s="87">
        <v>45980</v>
      </c>
      <c r="D410" s="33" t="s">
        <v>320</v>
      </c>
      <c r="E410" s="33" t="s">
        <v>376</v>
      </c>
      <c r="F410" s="33" t="s">
        <v>292</v>
      </c>
      <c r="G410" s="33" t="s">
        <v>452</v>
      </c>
      <c r="H410" s="89" t="s">
        <v>183</v>
      </c>
      <c r="I410" s="33" t="s">
        <v>10</v>
      </c>
      <c r="J410" s="33" t="s">
        <v>25</v>
      </c>
      <c r="K410" s="84" t="s">
        <v>358</v>
      </c>
      <c r="L410" s="85"/>
      <c r="M410" s="85">
        <v>820</v>
      </c>
      <c r="N410" s="85"/>
      <c r="O410" s="84" t="s">
        <v>381</v>
      </c>
      <c r="P410" s="33" t="s">
        <v>359</v>
      </c>
      <c r="Q410" s="21" t="s">
        <v>453</v>
      </c>
    </row>
    <row r="411" spans="1:30" ht="15.75" customHeight="1" x14ac:dyDescent="0.3">
      <c r="A411" s="30">
        <v>47</v>
      </c>
      <c r="B411" s="1">
        <v>11</v>
      </c>
      <c r="C411" s="87">
        <v>45981</v>
      </c>
      <c r="D411" s="33" t="s">
        <v>320</v>
      </c>
      <c r="E411" s="33" t="s">
        <v>376</v>
      </c>
      <c r="F411" s="33" t="s">
        <v>349</v>
      </c>
      <c r="G411" s="33" t="s">
        <v>311</v>
      </c>
      <c r="H411" s="19" t="s">
        <v>120</v>
      </c>
      <c r="I411" s="33" t="s">
        <v>10</v>
      </c>
      <c r="J411" s="33" t="s">
        <v>25</v>
      </c>
      <c r="K411" s="84" t="s">
        <v>369</v>
      </c>
      <c r="L411" s="85"/>
      <c r="M411" s="9">
        <v>200</v>
      </c>
      <c r="N411" s="85"/>
      <c r="O411" s="84" t="s">
        <v>454</v>
      </c>
      <c r="P411" s="85" t="s">
        <v>455</v>
      </c>
      <c r="Q411" s="21" t="s">
        <v>453</v>
      </c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 x14ac:dyDescent="0.3">
      <c r="A412" s="1">
        <v>47</v>
      </c>
      <c r="B412" s="20">
        <v>11</v>
      </c>
      <c r="C412" s="23">
        <v>45981</v>
      </c>
      <c r="D412" s="16" t="s">
        <v>320</v>
      </c>
      <c r="E412" s="16" t="s">
        <v>376</v>
      </c>
      <c r="F412" s="16" t="s">
        <v>456</v>
      </c>
      <c r="G412" s="16" t="s">
        <v>457</v>
      </c>
      <c r="H412" s="16" t="s">
        <v>135</v>
      </c>
      <c r="I412" s="16" t="s">
        <v>10</v>
      </c>
      <c r="J412" s="16" t="s">
        <v>25</v>
      </c>
      <c r="K412" s="13" t="s">
        <v>358</v>
      </c>
      <c r="L412" s="16"/>
      <c r="M412" s="9">
        <f>25.86+4.14</f>
        <v>30</v>
      </c>
      <c r="N412" s="85"/>
      <c r="O412" s="84" t="s">
        <v>381</v>
      </c>
      <c r="P412" s="33" t="s">
        <v>359</v>
      </c>
      <c r="Q412" s="21" t="s">
        <v>453</v>
      </c>
      <c r="R412" s="22" t="s">
        <v>458</v>
      </c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 x14ac:dyDescent="0.3">
      <c r="A413" s="1">
        <v>47</v>
      </c>
      <c r="B413" s="20">
        <v>11</v>
      </c>
      <c r="C413" s="23">
        <v>45981</v>
      </c>
      <c r="D413" s="16" t="s">
        <v>320</v>
      </c>
      <c r="E413" s="16" t="s">
        <v>376</v>
      </c>
      <c r="F413" s="16" t="s">
        <v>459</v>
      </c>
      <c r="G413" s="16" t="s">
        <v>457</v>
      </c>
      <c r="H413" s="16" t="s">
        <v>135</v>
      </c>
      <c r="I413" s="16" t="s">
        <v>10</v>
      </c>
      <c r="J413" s="16" t="s">
        <v>25</v>
      </c>
      <c r="K413" s="13" t="s">
        <v>358</v>
      </c>
      <c r="L413" s="16"/>
      <c r="M413" s="9">
        <f>258.62+41.38</f>
        <v>300</v>
      </c>
      <c r="N413" s="85"/>
      <c r="O413" s="84" t="s">
        <v>381</v>
      </c>
      <c r="P413" s="33" t="s">
        <v>359</v>
      </c>
      <c r="Q413" s="21" t="s">
        <v>453</v>
      </c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 x14ac:dyDescent="0.3">
      <c r="A414" s="1">
        <v>47</v>
      </c>
      <c r="B414" s="20">
        <v>11</v>
      </c>
      <c r="C414" s="23">
        <v>45981</v>
      </c>
      <c r="D414" s="16" t="s">
        <v>320</v>
      </c>
      <c r="E414" s="16" t="s">
        <v>78</v>
      </c>
      <c r="F414" s="16" t="s">
        <v>92</v>
      </c>
      <c r="G414" s="16" t="s">
        <v>420</v>
      </c>
      <c r="H414" s="16" t="s">
        <v>334</v>
      </c>
      <c r="I414" s="16" t="s">
        <v>10</v>
      </c>
      <c r="J414" s="16" t="s">
        <v>25</v>
      </c>
      <c r="K414" s="13" t="s">
        <v>358</v>
      </c>
      <c r="L414" s="16"/>
      <c r="M414" s="9">
        <f>99.14+15.86</f>
        <v>115</v>
      </c>
      <c r="N414" s="85"/>
      <c r="O414" s="84" t="s">
        <v>381</v>
      </c>
      <c r="P414" s="33" t="s">
        <v>359</v>
      </c>
      <c r="Q414" s="21" t="s">
        <v>453</v>
      </c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 x14ac:dyDescent="0.3">
      <c r="A415" s="1">
        <v>47</v>
      </c>
      <c r="B415" s="20">
        <v>11</v>
      </c>
      <c r="C415" s="23">
        <v>45981</v>
      </c>
      <c r="D415" s="16" t="s">
        <v>320</v>
      </c>
      <c r="E415" s="16" t="s">
        <v>356</v>
      </c>
      <c r="F415" s="16" t="s">
        <v>127</v>
      </c>
      <c r="G415" s="16" t="s">
        <v>460</v>
      </c>
      <c r="H415" s="16" t="s">
        <v>360</v>
      </c>
      <c r="I415" s="16" t="s">
        <v>10</v>
      </c>
      <c r="J415" s="16" t="s">
        <v>25</v>
      </c>
      <c r="K415" s="13" t="s">
        <v>397</v>
      </c>
      <c r="L415" s="16"/>
      <c r="M415" s="9">
        <v>250</v>
      </c>
      <c r="N415" s="85"/>
      <c r="O415" s="84" t="s">
        <v>388</v>
      </c>
      <c r="P415" s="33" t="s">
        <v>397</v>
      </c>
      <c r="Q415" s="21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 x14ac:dyDescent="0.3">
      <c r="A416" s="1">
        <v>47</v>
      </c>
      <c r="B416" s="20">
        <v>11</v>
      </c>
      <c r="C416" s="23">
        <v>45981</v>
      </c>
      <c r="D416" s="16" t="s">
        <v>320</v>
      </c>
      <c r="E416" s="16" t="s">
        <v>356</v>
      </c>
      <c r="F416" s="16" t="s">
        <v>127</v>
      </c>
      <c r="G416" s="16" t="s">
        <v>244</v>
      </c>
      <c r="H416" s="16" t="s">
        <v>361</v>
      </c>
      <c r="I416" s="16" t="s">
        <v>10</v>
      </c>
      <c r="J416" s="16" t="s">
        <v>25</v>
      </c>
      <c r="K416" s="13" t="s">
        <v>397</v>
      </c>
      <c r="L416" s="16"/>
      <c r="M416" s="9">
        <v>250</v>
      </c>
      <c r="N416" s="85"/>
      <c r="O416" s="84" t="s">
        <v>389</v>
      </c>
      <c r="P416" s="33" t="s">
        <v>397</v>
      </c>
      <c r="Q416" s="21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18" ht="15.75" customHeight="1" x14ac:dyDescent="0.3">
      <c r="A417" s="1">
        <v>47</v>
      </c>
      <c r="B417" s="20">
        <v>11</v>
      </c>
      <c r="C417" s="23">
        <v>45981</v>
      </c>
      <c r="D417" s="16" t="s">
        <v>320</v>
      </c>
      <c r="E417" s="16" t="s">
        <v>356</v>
      </c>
      <c r="F417" s="16" t="s">
        <v>127</v>
      </c>
      <c r="G417" s="16" t="s">
        <v>460</v>
      </c>
      <c r="H417" s="89" t="s">
        <v>183</v>
      </c>
      <c r="I417" s="16" t="s">
        <v>10</v>
      </c>
      <c r="J417" s="16" t="s">
        <v>25</v>
      </c>
      <c r="K417" s="84" t="s">
        <v>358</v>
      </c>
      <c r="L417" s="85"/>
      <c r="M417" s="85">
        <v>105</v>
      </c>
      <c r="N417" s="85"/>
      <c r="O417" s="84" t="s">
        <v>388</v>
      </c>
      <c r="P417" s="85" t="s">
        <v>359</v>
      </c>
      <c r="Q417" s="21"/>
    </row>
    <row r="418" spans="1:18" ht="15.75" customHeight="1" x14ac:dyDescent="0.3">
      <c r="A418" s="1">
        <v>47</v>
      </c>
      <c r="B418" s="20">
        <v>11</v>
      </c>
      <c r="C418" s="23">
        <v>45981</v>
      </c>
      <c r="D418" s="16" t="s">
        <v>320</v>
      </c>
      <c r="E418" s="16" t="s">
        <v>422</v>
      </c>
      <c r="F418" s="16" t="s">
        <v>461</v>
      </c>
      <c r="G418" s="16" t="s">
        <v>460</v>
      </c>
      <c r="H418" s="89" t="s">
        <v>183</v>
      </c>
      <c r="I418" s="16" t="s">
        <v>10</v>
      </c>
      <c r="J418" s="16" t="s">
        <v>25</v>
      </c>
      <c r="K418" s="84" t="s">
        <v>358</v>
      </c>
      <c r="L418" s="85"/>
      <c r="M418" s="85">
        <v>104</v>
      </c>
      <c r="N418" s="85"/>
      <c r="O418" s="84"/>
      <c r="P418" s="85" t="s">
        <v>359</v>
      </c>
      <c r="Q418" s="21" t="s">
        <v>453</v>
      </c>
    </row>
    <row r="419" spans="1:18" ht="15.75" customHeight="1" x14ac:dyDescent="0.3">
      <c r="A419" s="1">
        <v>47</v>
      </c>
      <c r="B419" s="20">
        <v>11</v>
      </c>
      <c r="C419" s="23">
        <v>45982</v>
      </c>
      <c r="D419" s="16" t="s">
        <v>320</v>
      </c>
      <c r="E419" s="16" t="s">
        <v>356</v>
      </c>
      <c r="F419" s="16" t="s">
        <v>127</v>
      </c>
      <c r="G419" s="16" t="s">
        <v>462</v>
      </c>
      <c r="H419" s="16" t="s">
        <v>357</v>
      </c>
      <c r="I419" s="16" t="s">
        <v>10</v>
      </c>
      <c r="J419" s="16" t="s">
        <v>25</v>
      </c>
      <c r="K419" s="13" t="s">
        <v>397</v>
      </c>
      <c r="L419" s="85"/>
      <c r="M419" s="85">
        <v>250</v>
      </c>
      <c r="N419" s="85"/>
      <c r="O419" s="84" t="s">
        <v>389</v>
      </c>
      <c r="P419" s="33" t="s">
        <v>397</v>
      </c>
      <c r="Q419" s="21"/>
    </row>
    <row r="420" spans="1:18" ht="15.75" customHeight="1" x14ac:dyDescent="0.3">
      <c r="A420" s="1">
        <v>47</v>
      </c>
      <c r="B420" s="20">
        <v>11</v>
      </c>
      <c r="C420" s="23">
        <v>45982</v>
      </c>
      <c r="D420" s="16" t="s">
        <v>320</v>
      </c>
      <c r="E420" s="16" t="s">
        <v>356</v>
      </c>
      <c r="F420" s="16" t="s">
        <v>127</v>
      </c>
      <c r="G420" s="16" t="s">
        <v>460</v>
      </c>
      <c r="H420" s="30" t="s">
        <v>152</v>
      </c>
      <c r="I420" s="16" t="s">
        <v>10</v>
      </c>
      <c r="J420" s="16" t="s">
        <v>25</v>
      </c>
      <c r="K420" s="13" t="s">
        <v>358</v>
      </c>
      <c r="L420" s="85"/>
      <c r="M420" s="85">
        <v>100</v>
      </c>
      <c r="N420" s="85"/>
      <c r="O420" s="84" t="s">
        <v>389</v>
      </c>
      <c r="P420" s="85" t="s">
        <v>359</v>
      </c>
      <c r="Q420" s="21"/>
    </row>
    <row r="421" spans="1:18" ht="15.75" customHeight="1" x14ac:dyDescent="0.3">
      <c r="A421" s="1">
        <v>47</v>
      </c>
      <c r="B421" s="20">
        <v>11</v>
      </c>
      <c r="C421" s="23">
        <v>45982</v>
      </c>
      <c r="D421" s="16" t="s">
        <v>320</v>
      </c>
      <c r="E421" s="16" t="s">
        <v>463</v>
      </c>
      <c r="F421" s="16" t="s">
        <v>464</v>
      </c>
      <c r="G421" s="16" t="s">
        <v>244</v>
      </c>
      <c r="H421" s="30" t="s">
        <v>317</v>
      </c>
      <c r="I421" s="16" t="s">
        <v>10</v>
      </c>
      <c r="J421" s="16" t="s">
        <v>25</v>
      </c>
      <c r="K421" s="13" t="s">
        <v>364</v>
      </c>
      <c r="L421" s="85"/>
      <c r="M421" s="85">
        <v>120</v>
      </c>
      <c r="N421" s="85"/>
      <c r="O421" s="84" t="s">
        <v>20</v>
      </c>
      <c r="P421" s="25" t="s">
        <v>465</v>
      </c>
      <c r="Q421" s="21"/>
    </row>
    <row r="422" spans="1:18" ht="15.75" customHeight="1" x14ac:dyDescent="0.3">
      <c r="A422" s="1">
        <v>47</v>
      </c>
      <c r="B422" s="20">
        <v>11</v>
      </c>
      <c r="C422" s="23">
        <v>45983</v>
      </c>
      <c r="D422" s="16" t="s">
        <v>320</v>
      </c>
      <c r="E422" s="16" t="s">
        <v>390</v>
      </c>
      <c r="F422" s="16" t="s">
        <v>466</v>
      </c>
      <c r="G422" s="16" t="s">
        <v>311</v>
      </c>
      <c r="H422" s="90" t="s">
        <v>64</v>
      </c>
      <c r="I422" s="16" t="s">
        <v>10</v>
      </c>
      <c r="J422" s="16" t="s">
        <v>25</v>
      </c>
      <c r="K422" s="13" t="s">
        <v>364</v>
      </c>
      <c r="L422" s="85"/>
      <c r="M422" s="85">
        <v>430</v>
      </c>
      <c r="N422" s="85"/>
      <c r="O422" s="84" t="s">
        <v>20</v>
      </c>
      <c r="P422" s="33" t="s">
        <v>467</v>
      </c>
      <c r="Q422" s="21" t="s">
        <v>468</v>
      </c>
    </row>
    <row r="423" spans="1:18" ht="15.75" customHeight="1" x14ac:dyDescent="0.3">
      <c r="A423" s="1">
        <v>47</v>
      </c>
      <c r="B423" s="20">
        <v>11</v>
      </c>
      <c r="C423" s="23">
        <v>45983</v>
      </c>
      <c r="D423" s="16" t="s">
        <v>320</v>
      </c>
      <c r="E423" s="16" t="s">
        <v>390</v>
      </c>
      <c r="F423" s="16" t="s">
        <v>469</v>
      </c>
      <c r="G423" s="16" t="s">
        <v>311</v>
      </c>
      <c r="H423" s="90" t="s">
        <v>64</v>
      </c>
      <c r="I423" s="16" t="s">
        <v>10</v>
      </c>
      <c r="J423" s="16" t="s">
        <v>25</v>
      </c>
      <c r="K423" s="13" t="s">
        <v>364</v>
      </c>
      <c r="L423" s="85"/>
      <c r="M423" s="85">
        <v>80</v>
      </c>
      <c r="N423" s="85"/>
      <c r="O423" s="84" t="s">
        <v>20</v>
      </c>
      <c r="P423" s="33" t="s">
        <v>467</v>
      </c>
      <c r="Q423" s="21" t="s">
        <v>468</v>
      </c>
    </row>
    <row r="424" spans="1:18" ht="15.75" customHeight="1" x14ac:dyDescent="0.3">
      <c r="A424" s="1">
        <v>47</v>
      </c>
      <c r="B424" s="20">
        <v>11</v>
      </c>
      <c r="C424" s="23">
        <v>45983</v>
      </c>
      <c r="D424" s="16" t="s">
        <v>320</v>
      </c>
      <c r="E424" s="16" t="s">
        <v>390</v>
      </c>
      <c r="F424" s="16" t="s">
        <v>470</v>
      </c>
      <c r="G424" s="16" t="s">
        <v>311</v>
      </c>
      <c r="H424" s="90" t="s">
        <v>64</v>
      </c>
      <c r="I424" s="16" t="s">
        <v>10</v>
      </c>
      <c r="J424" s="16" t="s">
        <v>25</v>
      </c>
      <c r="K424" s="13" t="s">
        <v>364</v>
      </c>
      <c r="L424" s="85"/>
      <c r="M424" s="85">
        <v>350</v>
      </c>
      <c r="N424" s="85"/>
      <c r="O424" s="84" t="s">
        <v>20</v>
      </c>
      <c r="P424" s="33" t="s">
        <v>467</v>
      </c>
      <c r="Q424" s="21" t="s">
        <v>468</v>
      </c>
    </row>
    <row r="425" spans="1:18" ht="15.75" customHeight="1" x14ac:dyDescent="0.3">
      <c r="A425" s="1">
        <v>48</v>
      </c>
      <c r="B425" s="20">
        <v>11</v>
      </c>
      <c r="C425" s="23">
        <v>45985</v>
      </c>
      <c r="D425" s="16" t="s">
        <v>320</v>
      </c>
      <c r="E425" s="16" t="s">
        <v>376</v>
      </c>
      <c r="F425" s="16" t="s">
        <v>471</v>
      </c>
      <c r="G425" s="16" t="s">
        <v>311</v>
      </c>
      <c r="H425" s="30" t="s">
        <v>152</v>
      </c>
      <c r="I425" s="16" t="s">
        <v>10</v>
      </c>
      <c r="J425" s="16" t="s">
        <v>25</v>
      </c>
      <c r="K425" s="13" t="s">
        <v>369</v>
      </c>
      <c r="L425" s="85"/>
      <c r="M425" s="85">
        <v>764</v>
      </c>
      <c r="N425" s="85"/>
      <c r="O425" s="84" t="s">
        <v>20</v>
      </c>
      <c r="P425" s="25" t="s">
        <v>472</v>
      </c>
      <c r="Q425" s="21"/>
    </row>
    <row r="426" spans="1:18" ht="15.75" customHeight="1" x14ac:dyDescent="0.3">
      <c r="A426" s="1">
        <v>48</v>
      </c>
      <c r="B426" s="20">
        <v>11</v>
      </c>
      <c r="C426" s="23">
        <v>45985</v>
      </c>
      <c r="D426" s="16" t="s">
        <v>320</v>
      </c>
      <c r="E426" s="16" t="s">
        <v>376</v>
      </c>
      <c r="F426" s="16" t="s">
        <v>127</v>
      </c>
      <c r="G426" s="16" t="s">
        <v>311</v>
      </c>
      <c r="H426" s="30" t="s">
        <v>62</v>
      </c>
      <c r="I426" s="16" t="s">
        <v>10</v>
      </c>
      <c r="J426" s="16" t="s">
        <v>25</v>
      </c>
      <c r="K426" s="13"/>
      <c r="L426" s="85"/>
      <c r="M426" s="85">
        <v>150</v>
      </c>
      <c r="N426" s="85"/>
      <c r="O426" s="84" t="s">
        <v>20</v>
      </c>
      <c r="P426" s="25" t="s">
        <v>473</v>
      </c>
      <c r="Q426" s="21"/>
    </row>
    <row r="427" spans="1:18" ht="15.75" customHeight="1" x14ac:dyDescent="0.3">
      <c r="A427" s="1">
        <v>48</v>
      </c>
      <c r="B427" s="20">
        <v>11</v>
      </c>
      <c r="C427" s="23">
        <v>45986</v>
      </c>
      <c r="D427" s="16" t="s">
        <v>320</v>
      </c>
      <c r="E427" s="3" t="s">
        <v>78</v>
      </c>
      <c r="F427" s="16" t="s">
        <v>330</v>
      </c>
      <c r="G427" s="16" t="s">
        <v>445</v>
      </c>
      <c r="H427" s="16" t="s">
        <v>123</v>
      </c>
      <c r="I427" s="16" t="s">
        <v>10</v>
      </c>
      <c r="J427" s="16" t="s">
        <v>39</v>
      </c>
      <c r="K427" s="13" t="s">
        <v>364</v>
      </c>
      <c r="L427" s="85"/>
      <c r="M427" s="85">
        <v>675</v>
      </c>
      <c r="N427" s="85"/>
      <c r="O427" s="83" t="s">
        <v>474</v>
      </c>
      <c r="P427" s="33" t="s">
        <v>467</v>
      </c>
      <c r="Q427" s="21" t="s">
        <v>475</v>
      </c>
    </row>
    <row r="428" spans="1:18" ht="15.75" customHeight="1" x14ac:dyDescent="0.3">
      <c r="A428" s="1">
        <v>48</v>
      </c>
      <c r="B428" s="20">
        <v>11</v>
      </c>
      <c r="C428" s="23">
        <v>45986</v>
      </c>
      <c r="D428" s="16" t="s">
        <v>320</v>
      </c>
      <c r="E428" s="3" t="s">
        <v>78</v>
      </c>
      <c r="F428" s="16" t="s">
        <v>97</v>
      </c>
      <c r="G428" s="16" t="s">
        <v>371</v>
      </c>
      <c r="H428" s="30" t="s">
        <v>372</v>
      </c>
      <c r="I428" s="16" t="s">
        <v>10</v>
      </c>
      <c r="J428" s="16" t="s">
        <v>39</v>
      </c>
      <c r="K428" s="13" t="s">
        <v>364</v>
      </c>
      <c r="L428" s="85"/>
      <c r="M428" s="85">
        <v>225</v>
      </c>
      <c r="N428" s="85"/>
      <c r="O428" s="83" t="s">
        <v>474</v>
      </c>
      <c r="P428" s="33" t="s">
        <v>467</v>
      </c>
      <c r="Q428" s="21" t="s">
        <v>475</v>
      </c>
    </row>
    <row r="429" spans="1:18" ht="15.75" customHeight="1" x14ac:dyDescent="0.3">
      <c r="A429" s="1">
        <v>48</v>
      </c>
      <c r="B429" s="20">
        <v>11</v>
      </c>
      <c r="C429" s="23">
        <v>45986</v>
      </c>
      <c r="D429" s="16" t="s">
        <v>320</v>
      </c>
      <c r="E429" s="16" t="s">
        <v>317</v>
      </c>
      <c r="F429" s="16" t="s">
        <v>102</v>
      </c>
      <c r="G429" s="16" t="s">
        <v>311</v>
      </c>
      <c r="H429" s="30" t="s">
        <v>317</v>
      </c>
      <c r="I429" s="16" t="s">
        <v>10</v>
      </c>
      <c r="J429" s="16" t="s">
        <v>25</v>
      </c>
      <c r="K429" s="13" t="s">
        <v>369</v>
      </c>
      <c r="L429" s="85"/>
      <c r="M429" s="85">
        <v>1500</v>
      </c>
      <c r="N429" s="85"/>
      <c r="O429" s="84" t="s">
        <v>20</v>
      </c>
      <c r="P429" s="25" t="s">
        <v>472</v>
      </c>
      <c r="Q429" s="21"/>
    </row>
    <row r="430" spans="1:18" ht="15.75" customHeight="1" x14ac:dyDescent="0.3">
      <c r="A430" s="1">
        <v>48</v>
      </c>
      <c r="B430" s="20">
        <v>11</v>
      </c>
      <c r="C430" s="23">
        <v>45986</v>
      </c>
      <c r="D430" s="16" t="s">
        <v>320</v>
      </c>
      <c r="E430" s="33" t="s">
        <v>446</v>
      </c>
      <c r="F430" s="33" t="s">
        <v>132</v>
      </c>
      <c r="G430" s="33" t="s">
        <v>476</v>
      </c>
      <c r="H430" s="30" t="s">
        <v>152</v>
      </c>
      <c r="I430" s="90" t="s">
        <v>10</v>
      </c>
      <c r="J430" s="90" t="s">
        <v>25</v>
      </c>
      <c r="K430" s="84" t="s">
        <v>364</v>
      </c>
      <c r="L430" s="85"/>
      <c r="M430" s="85">
        <v>100</v>
      </c>
      <c r="N430" s="85"/>
      <c r="O430" s="84"/>
      <c r="P430" s="25" t="s">
        <v>465</v>
      </c>
      <c r="Q430" s="5"/>
    </row>
    <row r="431" spans="1:18" ht="15.75" customHeight="1" x14ac:dyDescent="0.3">
      <c r="A431" s="1">
        <v>48</v>
      </c>
      <c r="B431" s="20">
        <v>11</v>
      </c>
      <c r="C431" s="23">
        <v>45986</v>
      </c>
      <c r="D431" s="16" t="s">
        <v>320</v>
      </c>
      <c r="E431" s="33" t="s">
        <v>356</v>
      </c>
      <c r="F431" s="33" t="s">
        <v>127</v>
      </c>
      <c r="G431" s="33" t="s">
        <v>476</v>
      </c>
      <c r="H431" s="30" t="s">
        <v>152</v>
      </c>
      <c r="I431" s="90" t="s">
        <v>10</v>
      </c>
      <c r="J431" s="90" t="s">
        <v>25</v>
      </c>
      <c r="K431" s="84" t="s">
        <v>364</v>
      </c>
      <c r="L431" s="85"/>
      <c r="M431" s="85">
        <v>100</v>
      </c>
      <c r="N431" s="85"/>
      <c r="O431" s="84"/>
      <c r="P431" s="25" t="s">
        <v>465</v>
      </c>
      <c r="Q431" s="5"/>
    </row>
    <row r="432" spans="1:18" ht="15.75" customHeight="1" x14ac:dyDescent="0.3">
      <c r="A432" s="30">
        <v>48</v>
      </c>
      <c r="B432" s="30">
        <v>11</v>
      </c>
      <c r="C432" s="91">
        <v>45986</v>
      </c>
      <c r="D432" s="90" t="s">
        <v>320</v>
      </c>
      <c r="E432" s="33" t="s">
        <v>477</v>
      </c>
      <c r="F432" s="33" t="s">
        <v>478</v>
      </c>
      <c r="G432" s="33" t="s">
        <v>420</v>
      </c>
      <c r="H432" s="90" t="s">
        <v>334</v>
      </c>
      <c r="I432" s="90" t="s">
        <v>10</v>
      </c>
      <c r="J432" s="90" t="s">
        <v>25</v>
      </c>
      <c r="K432" s="84" t="s">
        <v>364</v>
      </c>
      <c r="L432" s="85"/>
      <c r="M432" s="85">
        <v>300</v>
      </c>
      <c r="N432" s="85"/>
      <c r="O432" s="84"/>
      <c r="P432" s="25" t="s">
        <v>465</v>
      </c>
      <c r="Q432" s="21"/>
      <c r="R432" s="24"/>
    </row>
    <row r="433" spans="1:18" ht="15.75" customHeight="1" x14ac:dyDescent="0.3">
      <c r="A433" s="30">
        <v>48</v>
      </c>
      <c r="B433" s="30">
        <v>11</v>
      </c>
      <c r="C433" s="91">
        <v>45986</v>
      </c>
      <c r="D433" s="90" t="s">
        <v>320</v>
      </c>
      <c r="E433" s="33" t="s">
        <v>390</v>
      </c>
      <c r="F433" s="33" t="s">
        <v>333</v>
      </c>
      <c r="G433" s="33" t="s">
        <v>311</v>
      </c>
      <c r="H433" s="90" t="s">
        <v>64</v>
      </c>
      <c r="I433" s="90" t="s">
        <v>10</v>
      </c>
      <c r="J433" s="90" t="s">
        <v>25</v>
      </c>
      <c r="K433" s="84" t="s">
        <v>358</v>
      </c>
      <c r="L433" s="85"/>
      <c r="M433" s="85">
        <v>2495</v>
      </c>
      <c r="N433" s="85"/>
      <c r="O433" s="84" t="s">
        <v>20</v>
      </c>
      <c r="P433" s="25" t="s">
        <v>359</v>
      </c>
      <c r="Q433" s="21"/>
      <c r="R433" s="24"/>
    </row>
    <row r="434" spans="1:18" ht="15.75" customHeight="1" x14ac:dyDescent="0.3">
      <c r="A434" s="30">
        <v>48</v>
      </c>
      <c r="B434" s="30">
        <v>11</v>
      </c>
      <c r="C434" s="91">
        <v>45986</v>
      </c>
      <c r="D434" s="90" t="s">
        <v>320</v>
      </c>
      <c r="E434" s="33" t="s">
        <v>390</v>
      </c>
      <c r="F434" s="16" t="s">
        <v>459</v>
      </c>
      <c r="G434" s="33" t="s">
        <v>311</v>
      </c>
      <c r="H434" s="90" t="s">
        <v>64</v>
      </c>
      <c r="I434" s="90" t="s">
        <v>10</v>
      </c>
      <c r="J434" s="90" t="s">
        <v>25</v>
      </c>
      <c r="K434" s="84" t="s">
        <v>358</v>
      </c>
      <c r="L434" s="85"/>
      <c r="M434" s="85">
        <v>201</v>
      </c>
      <c r="N434" s="85"/>
      <c r="O434" s="84" t="s">
        <v>20</v>
      </c>
      <c r="P434" s="25" t="s">
        <v>359</v>
      </c>
      <c r="Q434" s="21"/>
      <c r="R434" s="24"/>
    </row>
    <row r="435" spans="1:18" ht="15.75" customHeight="1" x14ac:dyDescent="0.3">
      <c r="A435" s="30">
        <v>48</v>
      </c>
      <c r="B435" s="30">
        <v>11</v>
      </c>
      <c r="C435" s="91">
        <v>45986</v>
      </c>
      <c r="D435" s="90" t="s">
        <v>320</v>
      </c>
      <c r="E435" s="33" t="s">
        <v>390</v>
      </c>
      <c r="F435" s="33" t="s">
        <v>479</v>
      </c>
      <c r="G435" s="33" t="s">
        <v>311</v>
      </c>
      <c r="H435" s="90" t="s">
        <v>64</v>
      </c>
      <c r="I435" s="90" t="s">
        <v>10</v>
      </c>
      <c r="J435" s="90" t="s">
        <v>25</v>
      </c>
      <c r="K435" s="84" t="s">
        <v>358</v>
      </c>
      <c r="L435" s="85"/>
      <c r="M435" s="85">
        <v>67</v>
      </c>
      <c r="N435" s="85"/>
      <c r="O435" s="84" t="s">
        <v>20</v>
      </c>
      <c r="P435" s="25" t="s">
        <v>359</v>
      </c>
      <c r="Q435" s="21"/>
      <c r="R435" s="24"/>
    </row>
    <row r="436" spans="1:18" ht="15.75" customHeight="1" x14ac:dyDescent="0.3">
      <c r="A436" s="30">
        <v>48</v>
      </c>
      <c r="B436" s="30">
        <v>11</v>
      </c>
      <c r="C436" s="91">
        <v>45986</v>
      </c>
      <c r="D436" s="90" t="s">
        <v>320</v>
      </c>
      <c r="E436" s="33" t="s">
        <v>356</v>
      </c>
      <c r="F436" s="33" t="s">
        <v>127</v>
      </c>
      <c r="G436" s="33" t="s">
        <v>244</v>
      </c>
      <c r="H436" s="16" t="s">
        <v>480</v>
      </c>
      <c r="I436" s="90" t="s">
        <v>10</v>
      </c>
      <c r="J436" s="90" t="s">
        <v>25</v>
      </c>
      <c r="K436" s="84" t="s">
        <v>364</v>
      </c>
      <c r="L436" s="85"/>
      <c r="M436" s="85">
        <v>100</v>
      </c>
      <c r="N436" s="85"/>
      <c r="O436" s="84" t="s">
        <v>388</v>
      </c>
      <c r="P436" s="25" t="s">
        <v>465</v>
      </c>
      <c r="Q436" s="21"/>
      <c r="R436" s="24"/>
    </row>
    <row r="437" spans="1:18" ht="15.75" customHeight="1" x14ac:dyDescent="0.3">
      <c r="A437" s="30">
        <v>48</v>
      </c>
      <c r="B437" s="30">
        <v>11</v>
      </c>
      <c r="C437" s="91">
        <v>45986</v>
      </c>
      <c r="D437" s="90" t="s">
        <v>320</v>
      </c>
      <c r="E437" s="3" t="s">
        <v>78</v>
      </c>
      <c r="F437" s="33" t="s">
        <v>98</v>
      </c>
      <c r="G437" s="33" t="s">
        <v>452</v>
      </c>
      <c r="H437" s="90" t="s">
        <v>183</v>
      </c>
      <c r="I437" s="90" t="s">
        <v>10</v>
      </c>
      <c r="J437" s="90" t="s">
        <v>25</v>
      </c>
      <c r="K437" s="84" t="s">
        <v>364</v>
      </c>
      <c r="L437" s="85"/>
      <c r="M437" s="85">
        <v>800</v>
      </c>
      <c r="N437" s="85"/>
      <c r="O437" s="84" t="s">
        <v>474</v>
      </c>
      <c r="P437" s="25" t="s">
        <v>467</v>
      </c>
      <c r="Q437" s="21"/>
      <c r="R437" s="24"/>
    </row>
    <row r="438" spans="1:18" ht="15.75" customHeight="1" x14ac:dyDescent="0.3">
      <c r="A438" s="30">
        <v>48</v>
      </c>
      <c r="B438" s="30">
        <v>11</v>
      </c>
      <c r="C438" s="91">
        <v>45986</v>
      </c>
      <c r="D438" s="90" t="s">
        <v>320</v>
      </c>
      <c r="E438" s="3" t="s">
        <v>78</v>
      </c>
      <c r="F438" s="33" t="s">
        <v>98</v>
      </c>
      <c r="G438" s="33" t="s">
        <v>311</v>
      </c>
      <c r="H438" s="90" t="s">
        <v>64</v>
      </c>
      <c r="I438" s="90" t="s">
        <v>10</v>
      </c>
      <c r="J438" s="90" t="s">
        <v>25</v>
      </c>
      <c r="K438" s="84" t="s">
        <v>364</v>
      </c>
      <c r="L438" s="85"/>
      <c r="M438" s="85">
        <v>225</v>
      </c>
      <c r="N438" s="85"/>
      <c r="O438" s="84" t="s">
        <v>474</v>
      </c>
      <c r="P438" s="25" t="s">
        <v>467</v>
      </c>
      <c r="Q438" s="21" t="s">
        <v>481</v>
      </c>
      <c r="R438" s="24"/>
    </row>
    <row r="439" spans="1:18" ht="15.75" customHeight="1" x14ac:dyDescent="0.3">
      <c r="A439" s="30">
        <v>48</v>
      </c>
      <c r="B439" s="30">
        <v>11</v>
      </c>
      <c r="C439" s="91">
        <v>45987</v>
      </c>
      <c r="D439" s="90" t="s">
        <v>320</v>
      </c>
      <c r="E439" s="33" t="s">
        <v>356</v>
      </c>
      <c r="F439" s="33" t="s">
        <v>127</v>
      </c>
      <c r="G439" s="33" t="s">
        <v>244</v>
      </c>
      <c r="H439" s="33" t="s">
        <v>426</v>
      </c>
      <c r="I439" s="90" t="s">
        <v>10</v>
      </c>
      <c r="J439" s="90" t="s">
        <v>25</v>
      </c>
      <c r="K439" s="84" t="s">
        <v>397</v>
      </c>
      <c r="L439" s="85"/>
      <c r="M439" s="85">
        <v>250</v>
      </c>
      <c r="N439" s="85"/>
      <c r="O439" s="84" t="s">
        <v>389</v>
      </c>
      <c r="P439" s="25" t="s">
        <v>397</v>
      </c>
      <c r="Q439" s="21"/>
      <c r="R439" s="24"/>
    </row>
    <row r="440" spans="1:18" ht="15.75" customHeight="1" x14ac:dyDescent="0.3">
      <c r="A440" s="30">
        <v>48</v>
      </c>
      <c r="B440" s="30">
        <v>11</v>
      </c>
      <c r="C440" s="91">
        <v>45987</v>
      </c>
      <c r="D440" s="90" t="s">
        <v>320</v>
      </c>
      <c r="E440" s="33" t="s">
        <v>390</v>
      </c>
      <c r="F440" s="92" t="s">
        <v>479</v>
      </c>
      <c r="G440" s="33" t="s">
        <v>311</v>
      </c>
      <c r="H440" s="90" t="s">
        <v>64</v>
      </c>
      <c r="I440" s="90" t="s">
        <v>10</v>
      </c>
      <c r="J440" s="90" t="s">
        <v>25</v>
      </c>
      <c r="K440" s="84" t="s">
        <v>358</v>
      </c>
      <c r="L440" s="85"/>
      <c r="M440" s="85">
        <v>125</v>
      </c>
      <c r="N440" s="85"/>
      <c r="O440" s="84" t="s">
        <v>482</v>
      </c>
      <c r="P440" s="25" t="s">
        <v>359</v>
      </c>
      <c r="Q440" s="21"/>
      <c r="R440" s="24"/>
    </row>
    <row r="441" spans="1:18" ht="15.75" customHeight="1" x14ac:dyDescent="0.3">
      <c r="A441" s="30">
        <v>48</v>
      </c>
      <c r="B441" s="30">
        <v>11</v>
      </c>
      <c r="C441" s="91">
        <v>45987</v>
      </c>
      <c r="D441" s="90" t="s">
        <v>320</v>
      </c>
      <c r="E441" s="33" t="s">
        <v>78</v>
      </c>
      <c r="F441" s="33" t="s">
        <v>483</v>
      </c>
      <c r="G441" s="33" t="s">
        <v>484</v>
      </c>
      <c r="H441" s="16" t="s">
        <v>85</v>
      </c>
      <c r="I441" s="90" t="s">
        <v>10</v>
      </c>
      <c r="J441" s="90" t="s">
        <v>25</v>
      </c>
      <c r="K441" s="84" t="s">
        <v>358</v>
      </c>
      <c r="L441" s="85"/>
      <c r="M441" s="85">
        <v>640</v>
      </c>
      <c r="N441" s="85"/>
      <c r="O441" s="84" t="s">
        <v>381</v>
      </c>
      <c r="P441" s="25" t="s">
        <v>359</v>
      </c>
      <c r="Q441" s="21"/>
      <c r="R441" s="24"/>
    </row>
    <row r="442" spans="1:18" ht="15.75" customHeight="1" x14ac:dyDescent="0.3">
      <c r="A442" s="30">
        <v>48</v>
      </c>
      <c r="B442" s="30">
        <v>11</v>
      </c>
      <c r="C442" s="91">
        <v>45987</v>
      </c>
      <c r="D442" s="90" t="s">
        <v>320</v>
      </c>
      <c r="E442" s="33" t="s">
        <v>78</v>
      </c>
      <c r="F442" s="33" t="s">
        <v>92</v>
      </c>
      <c r="G442" s="33" t="s">
        <v>484</v>
      </c>
      <c r="H442" s="16" t="s">
        <v>85</v>
      </c>
      <c r="I442" s="90" t="s">
        <v>10</v>
      </c>
      <c r="J442" s="90" t="s">
        <v>25</v>
      </c>
      <c r="K442" s="84" t="s">
        <v>358</v>
      </c>
      <c r="L442" s="85"/>
      <c r="M442" s="85">
        <v>115</v>
      </c>
      <c r="N442" s="85"/>
      <c r="O442" s="84" t="s">
        <v>381</v>
      </c>
      <c r="P442" s="25" t="s">
        <v>359</v>
      </c>
      <c r="Q442" s="21"/>
      <c r="R442" s="24"/>
    </row>
    <row r="443" spans="1:18" ht="15.75" customHeight="1" x14ac:dyDescent="0.3">
      <c r="A443" s="30">
        <v>48</v>
      </c>
      <c r="B443" s="30">
        <v>11</v>
      </c>
      <c r="C443" s="91">
        <v>45987</v>
      </c>
      <c r="D443" s="90" t="s">
        <v>320</v>
      </c>
      <c r="E443" s="33" t="s">
        <v>78</v>
      </c>
      <c r="F443" s="33" t="s">
        <v>95</v>
      </c>
      <c r="G443" s="33" t="s">
        <v>484</v>
      </c>
      <c r="H443" s="16" t="s">
        <v>85</v>
      </c>
      <c r="I443" s="90" t="s">
        <v>10</v>
      </c>
      <c r="J443" s="90" t="s">
        <v>25</v>
      </c>
      <c r="K443" s="84" t="s">
        <v>358</v>
      </c>
      <c r="L443" s="85"/>
      <c r="M443" s="85">
        <v>55</v>
      </c>
      <c r="N443" s="85"/>
      <c r="O443" s="84" t="s">
        <v>381</v>
      </c>
      <c r="P443" s="25" t="s">
        <v>359</v>
      </c>
      <c r="Q443" s="21"/>
      <c r="R443" s="24"/>
    </row>
    <row r="444" spans="1:18" ht="15.75" customHeight="1" x14ac:dyDescent="0.3">
      <c r="A444" s="30">
        <v>48</v>
      </c>
      <c r="B444" s="30">
        <v>11</v>
      </c>
      <c r="C444" s="91">
        <v>45987</v>
      </c>
      <c r="D444" s="90" t="s">
        <v>320</v>
      </c>
      <c r="E444" s="33" t="s">
        <v>78</v>
      </c>
      <c r="F444" s="33" t="s">
        <v>485</v>
      </c>
      <c r="G444" s="33" t="s">
        <v>484</v>
      </c>
      <c r="H444" s="16" t="s">
        <v>85</v>
      </c>
      <c r="I444" s="90" t="s">
        <v>10</v>
      </c>
      <c r="J444" s="90" t="s">
        <v>25</v>
      </c>
      <c r="K444" s="84" t="s">
        <v>358</v>
      </c>
      <c r="L444" s="85"/>
      <c r="M444" s="85">
        <v>340</v>
      </c>
      <c r="N444" s="85"/>
      <c r="O444" s="84" t="s">
        <v>381</v>
      </c>
      <c r="P444" s="25" t="s">
        <v>359</v>
      </c>
      <c r="Q444" s="21"/>
      <c r="R444" s="24"/>
    </row>
    <row r="445" spans="1:18" ht="15.75" customHeight="1" x14ac:dyDescent="0.3">
      <c r="A445" s="30">
        <v>48</v>
      </c>
      <c r="B445" s="30">
        <v>11</v>
      </c>
      <c r="C445" s="91">
        <v>45987</v>
      </c>
      <c r="D445" s="90" t="s">
        <v>320</v>
      </c>
      <c r="E445" s="33" t="s">
        <v>78</v>
      </c>
      <c r="F445" s="33" t="s">
        <v>483</v>
      </c>
      <c r="G445" s="33" t="s">
        <v>311</v>
      </c>
      <c r="H445" s="3" t="s">
        <v>55</v>
      </c>
      <c r="I445" s="90" t="s">
        <v>10</v>
      </c>
      <c r="J445" s="90" t="s">
        <v>25</v>
      </c>
      <c r="K445" s="84" t="s">
        <v>358</v>
      </c>
      <c r="L445" s="85"/>
      <c r="M445" s="85">
        <v>640</v>
      </c>
      <c r="N445" s="85"/>
      <c r="O445" s="84" t="s">
        <v>381</v>
      </c>
      <c r="P445" s="25" t="s">
        <v>359</v>
      </c>
      <c r="Q445" s="21"/>
      <c r="R445" s="24"/>
    </row>
    <row r="446" spans="1:18" ht="15.75" customHeight="1" x14ac:dyDescent="0.3">
      <c r="A446" s="30">
        <v>48</v>
      </c>
      <c r="B446" s="30">
        <v>11</v>
      </c>
      <c r="C446" s="91">
        <v>45987</v>
      </c>
      <c r="D446" s="90" t="s">
        <v>320</v>
      </c>
      <c r="E446" s="33" t="s">
        <v>78</v>
      </c>
      <c r="F446" s="33" t="s">
        <v>92</v>
      </c>
      <c r="G446" s="33" t="s">
        <v>311</v>
      </c>
      <c r="H446" s="3" t="s">
        <v>55</v>
      </c>
      <c r="I446" s="90" t="s">
        <v>10</v>
      </c>
      <c r="J446" s="90" t="s">
        <v>25</v>
      </c>
      <c r="K446" s="84" t="s">
        <v>358</v>
      </c>
      <c r="L446" s="85"/>
      <c r="M446" s="85">
        <v>115</v>
      </c>
      <c r="N446" s="85"/>
      <c r="O446" s="84" t="s">
        <v>381</v>
      </c>
      <c r="P446" s="25" t="s">
        <v>359</v>
      </c>
      <c r="Q446" s="21"/>
      <c r="R446" s="24"/>
    </row>
    <row r="447" spans="1:18" ht="15.75" customHeight="1" x14ac:dyDescent="0.3">
      <c r="A447" s="30">
        <v>48</v>
      </c>
      <c r="B447" s="30">
        <v>11</v>
      </c>
      <c r="C447" s="91">
        <v>45987</v>
      </c>
      <c r="D447" s="90" t="s">
        <v>320</v>
      </c>
      <c r="E447" s="33" t="s">
        <v>78</v>
      </c>
      <c r="F447" s="33" t="s">
        <v>95</v>
      </c>
      <c r="G447" s="33" t="s">
        <v>311</v>
      </c>
      <c r="H447" s="3" t="s">
        <v>55</v>
      </c>
      <c r="I447" s="90" t="s">
        <v>10</v>
      </c>
      <c r="J447" s="90" t="s">
        <v>25</v>
      </c>
      <c r="K447" s="84" t="s">
        <v>358</v>
      </c>
      <c r="L447" s="85"/>
      <c r="M447" s="85">
        <v>55</v>
      </c>
      <c r="N447" s="85"/>
      <c r="O447" s="84" t="s">
        <v>381</v>
      </c>
      <c r="P447" s="25" t="s">
        <v>359</v>
      </c>
      <c r="Q447" s="21"/>
      <c r="R447" s="24"/>
    </row>
    <row r="448" spans="1:18" ht="15.75" customHeight="1" x14ac:dyDescent="0.3">
      <c r="A448" s="30">
        <v>48</v>
      </c>
      <c r="B448" s="30">
        <v>11</v>
      </c>
      <c r="C448" s="91">
        <v>45987</v>
      </c>
      <c r="D448" s="90" t="s">
        <v>320</v>
      </c>
      <c r="E448" s="33" t="s">
        <v>78</v>
      </c>
      <c r="F448" s="33" t="s">
        <v>485</v>
      </c>
      <c r="G448" s="33" t="s">
        <v>311</v>
      </c>
      <c r="H448" s="3" t="s">
        <v>55</v>
      </c>
      <c r="I448" s="90" t="s">
        <v>10</v>
      </c>
      <c r="J448" s="90" t="s">
        <v>25</v>
      </c>
      <c r="K448" s="84" t="s">
        <v>358</v>
      </c>
      <c r="L448" s="85"/>
      <c r="M448" s="85">
        <v>340</v>
      </c>
      <c r="N448" s="85"/>
      <c r="O448" s="84" t="s">
        <v>381</v>
      </c>
      <c r="P448" s="25" t="s">
        <v>359</v>
      </c>
      <c r="Q448" s="21"/>
      <c r="R448" s="24"/>
    </row>
    <row r="449" spans="1:18" ht="15.75" customHeight="1" x14ac:dyDescent="0.3">
      <c r="A449" s="30">
        <v>48</v>
      </c>
      <c r="B449" s="30">
        <v>11</v>
      </c>
      <c r="C449" s="91">
        <v>45987</v>
      </c>
      <c r="D449" s="90" t="s">
        <v>320</v>
      </c>
      <c r="E449" s="33" t="s">
        <v>356</v>
      </c>
      <c r="F449" s="33" t="s">
        <v>127</v>
      </c>
      <c r="G449" s="33" t="s">
        <v>486</v>
      </c>
      <c r="H449" s="3" t="s">
        <v>118</v>
      </c>
      <c r="I449" s="90" t="s">
        <v>10</v>
      </c>
      <c r="J449" s="90" t="s">
        <v>25</v>
      </c>
      <c r="K449" s="84" t="s">
        <v>358</v>
      </c>
      <c r="L449" s="85"/>
      <c r="M449" s="85">
        <v>100</v>
      </c>
      <c r="N449" s="85"/>
      <c r="O449" s="84" t="s">
        <v>388</v>
      </c>
      <c r="P449" s="25" t="s">
        <v>359</v>
      </c>
      <c r="Q449" s="21" t="s">
        <v>487</v>
      </c>
      <c r="R449" s="24"/>
    </row>
    <row r="450" spans="1:18" ht="15.75" customHeight="1" x14ac:dyDescent="0.3">
      <c r="A450" s="30">
        <v>48</v>
      </c>
      <c r="B450" s="30">
        <v>11</v>
      </c>
      <c r="C450" s="91">
        <v>45988</v>
      </c>
      <c r="D450" s="90" t="s">
        <v>320</v>
      </c>
      <c r="E450" s="33" t="s">
        <v>356</v>
      </c>
      <c r="F450" s="33" t="s">
        <v>127</v>
      </c>
      <c r="G450" s="33" t="s">
        <v>488</v>
      </c>
      <c r="H450" s="16" t="s">
        <v>480</v>
      </c>
      <c r="I450" s="90" t="s">
        <v>10</v>
      </c>
      <c r="J450" s="90" t="s">
        <v>25</v>
      </c>
      <c r="K450" s="84" t="s">
        <v>397</v>
      </c>
      <c r="L450" s="85"/>
      <c r="M450" s="85">
        <v>350</v>
      </c>
      <c r="N450" s="85"/>
      <c r="O450" s="84" t="s">
        <v>389</v>
      </c>
      <c r="P450" s="25" t="s">
        <v>397</v>
      </c>
      <c r="Q450" s="21" t="s">
        <v>489</v>
      </c>
      <c r="R450" s="24"/>
    </row>
    <row r="451" spans="1:18" ht="15.75" customHeight="1" x14ac:dyDescent="0.3">
      <c r="A451" s="30">
        <v>48</v>
      </c>
      <c r="B451" s="30">
        <v>11</v>
      </c>
      <c r="C451" s="91">
        <v>45988</v>
      </c>
      <c r="D451" s="90" t="s">
        <v>320</v>
      </c>
      <c r="E451" s="33" t="s">
        <v>490</v>
      </c>
      <c r="F451" s="33" t="s">
        <v>219</v>
      </c>
      <c r="G451" s="33" t="s">
        <v>311</v>
      </c>
      <c r="H451" s="16" t="s">
        <v>123</v>
      </c>
      <c r="I451" s="90" t="s">
        <v>10</v>
      </c>
      <c r="J451" s="90" t="s">
        <v>25</v>
      </c>
      <c r="K451" s="84" t="s">
        <v>358</v>
      </c>
      <c r="L451" s="85"/>
      <c r="M451" s="85">
        <v>400</v>
      </c>
      <c r="N451" s="85"/>
      <c r="O451" s="84" t="s">
        <v>381</v>
      </c>
      <c r="P451" s="25" t="s">
        <v>359</v>
      </c>
      <c r="Q451" s="21" t="s">
        <v>453</v>
      </c>
      <c r="R451" s="24"/>
    </row>
    <row r="452" spans="1:18" ht="15.75" customHeight="1" x14ac:dyDescent="0.3">
      <c r="A452" s="30">
        <v>48</v>
      </c>
      <c r="B452" s="30">
        <v>11</v>
      </c>
      <c r="C452" s="91">
        <v>45988</v>
      </c>
      <c r="D452" s="90" t="s">
        <v>320</v>
      </c>
      <c r="E452" s="33" t="s">
        <v>490</v>
      </c>
      <c r="F452" s="33" t="s">
        <v>491</v>
      </c>
      <c r="G452" s="33" t="s">
        <v>379</v>
      </c>
      <c r="H452" s="30" t="s">
        <v>104</v>
      </c>
      <c r="I452" s="90" t="s">
        <v>10</v>
      </c>
      <c r="J452" s="90" t="s">
        <v>25</v>
      </c>
      <c r="K452" s="84" t="s">
        <v>358</v>
      </c>
      <c r="L452" s="85"/>
      <c r="M452" s="85">
        <v>790</v>
      </c>
      <c r="N452" s="85"/>
      <c r="O452" s="84" t="s">
        <v>381</v>
      </c>
      <c r="P452" s="25" t="s">
        <v>359</v>
      </c>
      <c r="Q452" s="21" t="s">
        <v>453</v>
      </c>
      <c r="R452" s="24"/>
    </row>
    <row r="453" spans="1:18" ht="15.75" customHeight="1" x14ac:dyDescent="0.3">
      <c r="A453" s="30">
        <v>48</v>
      </c>
      <c r="B453" s="30">
        <v>11</v>
      </c>
      <c r="C453" s="91">
        <v>45988</v>
      </c>
      <c r="D453" s="90" t="s">
        <v>320</v>
      </c>
      <c r="E453" s="33" t="s">
        <v>490</v>
      </c>
      <c r="F453" s="33" t="s">
        <v>492</v>
      </c>
      <c r="G453" s="33" t="s">
        <v>379</v>
      </c>
      <c r="H453" s="30" t="s">
        <v>104</v>
      </c>
      <c r="I453" s="90" t="s">
        <v>10</v>
      </c>
      <c r="J453" s="90" t="s">
        <v>25</v>
      </c>
      <c r="K453" s="84" t="s">
        <v>358</v>
      </c>
      <c r="L453" s="85"/>
      <c r="M453" s="85">
        <v>920</v>
      </c>
      <c r="N453" s="85"/>
      <c r="O453" s="84" t="s">
        <v>381</v>
      </c>
      <c r="P453" s="25" t="s">
        <v>359</v>
      </c>
      <c r="Q453" s="21" t="s">
        <v>453</v>
      </c>
      <c r="R453" s="24"/>
    </row>
    <row r="454" spans="1:18" ht="15.75" customHeight="1" x14ac:dyDescent="0.3">
      <c r="A454" s="30">
        <v>48</v>
      </c>
      <c r="B454" s="30">
        <v>11</v>
      </c>
      <c r="C454" s="91">
        <v>45988</v>
      </c>
      <c r="D454" s="90" t="s">
        <v>320</v>
      </c>
      <c r="E454" s="33" t="s">
        <v>490</v>
      </c>
      <c r="F454" s="33" t="s">
        <v>439</v>
      </c>
      <c r="G454" s="33" t="s">
        <v>379</v>
      </c>
      <c r="H454" s="30" t="s">
        <v>104</v>
      </c>
      <c r="I454" s="90" t="s">
        <v>10</v>
      </c>
      <c r="J454" s="90" t="s">
        <v>25</v>
      </c>
      <c r="K454" s="84" t="s">
        <v>358</v>
      </c>
      <c r="L454" s="85"/>
      <c r="M454" s="85">
        <v>92</v>
      </c>
      <c r="N454" s="85"/>
      <c r="O454" s="84" t="s">
        <v>381</v>
      </c>
      <c r="P454" s="25" t="s">
        <v>359</v>
      </c>
      <c r="Q454" s="21" t="s">
        <v>453</v>
      </c>
      <c r="R454" s="24"/>
    </row>
    <row r="455" spans="1:18" ht="15.75" customHeight="1" x14ac:dyDescent="0.3">
      <c r="A455" s="30">
        <v>48</v>
      </c>
      <c r="B455" s="30">
        <v>11</v>
      </c>
      <c r="C455" s="91">
        <v>45988</v>
      </c>
      <c r="D455" s="90" t="s">
        <v>320</v>
      </c>
      <c r="E455" s="33" t="s">
        <v>356</v>
      </c>
      <c r="F455" s="33" t="s">
        <v>127</v>
      </c>
      <c r="G455" s="33" t="s">
        <v>493</v>
      </c>
      <c r="H455" s="30" t="s">
        <v>152</v>
      </c>
      <c r="I455" s="90" t="s">
        <v>10</v>
      </c>
      <c r="J455" s="90" t="s">
        <v>25</v>
      </c>
      <c r="K455" s="84" t="s">
        <v>364</v>
      </c>
      <c r="L455" s="85"/>
      <c r="M455" s="85">
        <v>100</v>
      </c>
      <c r="N455" s="85"/>
      <c r="O455" s="84" t="s">
        <v>388</v>
      </c>
      <c r="P455" s="25" t="s">
        <v>364</v>
      </c>
      <c r="Q455" s="25" t="s">
        <v>494</v>
      </c>
      <c r="R455" s="24"/>
    </row>
    <row r="456" spans="1:18" ht="15.75" customHeight="1" x14ac:dyDescent="0.3">
      <c r="A456" s="30">
        <v>48</v>
      </c>
      <c r="B456" s="30">
        <v>11</v>
      </c>
      <c r="C456" s="91">
        <v>45988</v>
      </c>
      <c r="D456" s="90" t="s">
        <v>320</v>
      </c>
      <c r="E456" s="3" t="s">
        <v>78</v>
      </c>
      <c r="F456" s="33" t="s">
        <v>98</v>
      </c>
      <c r="G456" s="33" t="s">
        <v>371</v>
      </c>
      <c r="H456" s="16" t="s">
        <v>372</v>
      </c>
      <c r="I456" s="90" t="s">
        <v>10</v>
      </c>
      <c r="J456" s="90" t="s">
        <v>25</v>
      </c>
      <c r="K456" s="84" t="s">
        <v>364</v>
      </c>
      <c r="L456" s="85"/>
      <c r="M456" s="85">
        <v>450</v>
      </c>
      <c r="N456" s="85"/>
      <c r="O456" s="84" t="s">
        <v>474</v>
      </c>
      <c r="P456" s="25" t="s">
        <v>467</v>
      </c>
      <c r="Q456" s="25" t="s">
        <v>495</v>
      </c>
      <c r="R456" s="24"/>
    </row>
    <row r="457" spans="1:18" ht="15.75" customHeight="1" x14ac:dyDescent="0.3">
      <c r="A457" s="30">
        <v>48</v>
      </c>
      <c r="B457" s="30">
        <v>11</v>
      </c>
      <c r="C457" s="91">
        <v>45989</v>
      </c>
      <c r="D457" s="90" t="s">
        <v>320</v>
      </c>
      <c r="E457" s="33" t="s">
        <v>376</v>
      </c>
      <c r="F457" s="33" t="s">
        <v>496</v>
      </c>
      <c r="G457" s="33" t="s">
        <v>497</v>
      </c>
      <c r="H457" s="16" t="s">
        <v>150</v>
      </c>
      <c r="I457" s="90" t="s">
        <v>10</v>
      </c>
      <c r="J457" s="90" t="s">
        <v>25</v>
      </c>
      <c r="K457" s="84" t="s">
        <v>397</v>
      </c>
      <c r="L457" s="85"/>
      <c r="M457" s="85">
        <v>380</v>
      </c>
      <c r="N457" s="85"/>
      <c r="O457" s="84" t="s">
        <v>381</v>
      </c>
      <c r="P457" s="25" t="s">
        <v>397</v>
      </c>
      <c r="Q457" s="21" t="s">
        <v>453</v>
      </c>
      <c r="R457" s="24"/>
    </row>
    <row r="458" spans="1:18" ht="15.75" customHeight="1" x14ac:dyDescent="0.3">
      <c r="A458" s="30">
        <v>48</v>
      </c>
      <c r="B458" s="30">
        <v>11</v>
      </c>
      <c r="C458" s="91">
        <v>45989</v>
      </c>
      <c r="D458" s="90" t="s">
        <v>320</v>
      </c>
      <c r="E458" s="33" t="s">
        <v>376</v>
      </c>
      <c r="F458" s="33" t="s">
        <v>498</v>
      </c>
      <c r="G458" s="33" t="s">
        <v>497</v>
      </c>
      <c r="H458" s="16" t="s">
        <v>150</v>
      </c>
      <c r="I458" s="90" t="s">
        <v>10</v>
      </c>
      <c r="J458" s="90" t="s">
        <v>25</v>
      </c>
      <c r="K458" s="84" t="s">
        <v>358</v>
      </c>
      <c r="L458" s="85"/>
      <c r="M458" s="85">
        <v>1440</v>
      </c>
      <c r="N458" s="85"/>
      <c r="O458" s="84" t="s">
        <v>381</v>
      </c>
      <c r="P458" s="25" t="s">
        <v>359</v>
      </c>
      <c r="Q458" s="21" t="s">
        <v>453</v>
      </c>
      <c r="R458" s="24"/>
    </row>
    <row r="459" spans="1:18" ht="15.75" customHeight="1" x14ac:dyDescent="0.3">
      <c r="A459" s="30">
        <v>48</v>
      </c>
      <c r="B459" s="30">
        <v>11</v>
      </c>
      <c r="C459" s="91">
        <v>45989</v>
      </c>
      <c r="D459" s="90" t="s">
        <v>320</v>
      </c>
      <c r="E459" s="33" t="s">
        <v>376</v>
      </c>
      <c r="F459" s="33" t="s">
        <v>499</v>
      </c>
      <c r="G459" s="33" t="s">
        <v>497</v>
      </c>
      <c r="H459" s="16" t="s">
        <v>150</v>
      </c>
      <c r="I459" s="90" t="s">
        <v>10</v>
      </c>
      <c r="J459" s="90" t="s">
        <v>25</v>
      </c>
      <c r="K459" s="84" t="s">
        <v>358</v>
      </c>
      <c r="L459" s="85"/>
      <c r="M459" s="85">
        <v>100</v>
      </c>
      <c r="N459" s="85"/>
      <c r="O459" s="84" t="s">
        <v>381</v>
      </c>
      <c r="P459" s="25" t="s">
        <v>359</v>
      </c>
      <c r="Q459" s="21" t="s">
        <v>453</v>
      </c>
      <c r="R459" s="24"/>
    </row>
    <row r="460" spans="1:18" ht="15.75" customHeight="1" x14ac:dyDescent="0.3">
      <c r="A460" s="30">
        <v>48</v>
      </c>
      <c r="B460" s="30">
        <v>11</v>
      </c>
      <c r="C460" s="91">
        <v>45989</v>
      </c>
      <c r="D460" s="90" t="s">
        <v>320</v>
      </c>
      <c r="E460" s="33" t="s">
        <v>376</v>
      </c>
      <c r="F460" s="33" t="s">
        <v>500</v>
      </c>
      <c r="G460" s="33" t="s">
        <v>497</v>
      </c>
      <c r="H460" s="16" t="s">
        <v>150</v>
      </c>
      <c r="I460" s="90" t="s">
        <v>10</v>
      </c>
      <c r="J460" s="90" t="s">
        <v>25</v>
      </c>
      <c r="K460" s="84" t="s">
        <v>358</v>
      </c>
      <c r="L460" s="85"/>
      <c r="M460" s="85">
        <v>630</v>
      </c>
      <c r="N460" s="85"/>
      <c r="O460" s="84" t="s">
        <v>381</v>
      </c>
      <c r="P460" s="25" t="s">
        <v>359</v>
      </c>
      <c r="Q460" s="21" t="s">
        <v>453</v>
      </c>
      <c r="R460" s="24"/>
    </row>
    <row r="461" spans="1:18" ht="15.75" customHeight="1" x14ac:dyDescent="0.3">
      <c r="A461" s="30">
        <v>48</v>
      </c>
      <c r="B461" s="30">
        <v>11</v>
      </c>
      <c r="C461" s="91">
        <v>45989</v>
      </c>
      <c r="D461" s="90" t="s">
        <v>320</v>
      </c>
      <c r="E461" s="33" t="s">
        <v>78</v>
      </c>
      <c r="F461" s="33" t="s">
        <v>501</v>
      </c>
      <c r="G461" s="33" t="s">
        <v>497</v>
      </c>
      <c r="H461" s="16" t="s">
        <v>150</v>
      </c>
      <c r="I461" s="90" t="s">
        <v>10</v>
      </c>
      <c r="J461" s="90" t="s">
        <v>25</v>
      </c>
      <c r="K461" s="84" t="s">
        <v>358</v>
      </c>
      <c r="L461" s="85"/>
      <c r="M461" s="85">
        <v>1350</v>
      </c>
      <c r="N461" s="85"/>
      <c r="O461" s="84" t="s">
        <v>381</v>
      </c>
      <c r="P461" s="25" t="s">
        <v>359</v>
      </c>
      <c r="Q461" s="21" t="s">
        <v>453</v>
      </c>
      <c r="R461" s="24"/>
    </row>
    <row r="462" spans="1:18" ht="15.75" customHeight="1" x14ac:dyDescent="0.3">
      <c r="A462" s="30">
        <v>48</v>
      </c>
      <c r="B462" s="30">
        <v>11</v>
      </c>
      <c r="C462" s="91">
        <v>45989</v>
      </c>
      <c r="D462" s="90" t="s">
        <v>320</v>
      </c>
      <c r="E462" s="33" t="s">
        <v>356</v>
      </c>
      <c r="F462" s="33" t="s">
        <v>127</v>
      </c>
      <c r="G462" s="33" t="s">
        <v>244</v>
      </c>
      <c r="H462" s="30" t="s">
        <v>152</v>
      </c>
      <c r="I462" s="90" t="s">
        <v>10</v>
      </c>
      <c r="J462" s="90" t="s">
        <v>25</v>
      </c>
      <c r="K462" s="84" t="s">
        <v>397</v>
      </c>
      <c r="L462" s="85"/>
      <c r="M462" s="85">
        <v>300</v>
      </c>
      <c r="N462" s="85"/>
      <c r="O462" s="84" t="s">
        <v>388</v>
      </c>
      <c r="P462" s="25" t="s">
        <v>397</v>
      </c>
      <c r="Q462" s="21" t="s">
        <v>453</v>
      </c>
      <c r="R462" s="24"/>
    </row>
    <row r="463" spans="1:18" ht="15.75" customHeight="1" x14ac:dyDescent="0.3">
      <c r="A463" s="30">
        <v>48</v>
      </c>
      <c r="B463" s="30">
        <v>11</v>
      </c>
      <c r="C463" s="91">
        <v>45989</v>
      </c>
      <c r="D463" s="90" t="s">
        <v>320</v>
      </c>
      <c r="E463" s="33" t="s">
        <v>376</v>
      </c>
      <c r="F463" s="33" t="s">
        <v>113</v>
      </c>
      <c r="G463" s="33" t="s">
        <v>502</v>
      </c>
      <c r="H463" s="16" t="s">
        <v>46</v>
      </c>
      <c r="I463" s="90" t="s">
        <v>10</v>
      </c>
      <c r="J463" s="90" t="s">
        <v>25</v>
      </c>
      <c r="K463" s="84" t="s">
        <v>364</v>
      </c>
      <c r="L463" s="85"/>
      <c r="M463" s="85">
        <v>464</v>
      </c>
      <c r="N463" s="85"/>
      <c r="O463" s="84" t="s">
        <v>503</v>
      </c>
      <c r="P463" s="25" t="s">
        <v>467</v>
      </c>
      <c r="Q463" s="21" t="s">
        <v>453</v>
      </c>
      <c r="R463" s="24"/>
    </row>
    <row r="464" spans="1:18" ht="15.75" customHeight="1" x14ac:dyDescent="0.3">
      <c r="A464" s="30">
        <v>48</v>
      </c>
      <c r="B464" s="30">
        <v>11</v>
      </c>
      <c r="C464" s="91">
        <v>45989</v>
      </c>
      <c r="D464" s="90" t="s">
        <v>320</v>
      </c>
      <c r="E464" s="33" t="s">
        <v>376</v>
      </c>
      <c r="F464" s="33" t="s">
        <v>133</v>
      </c>
      <c r="G464" s="33" t="s">
        <v>504</v>
      </c>
      <c r="H464" s="16" t="s">
        <v>53</v>
      </c>
      <c r="I464" s="90" t="s">
        <v>10</v>
      </c>
      <c r="J464" s="90" t="s">
        <v>25</v>
      </c>
      <c r="K464" s="84" t="s">
        <v>364</v>
      </c>
      <c r="L464" s="85"/>
      <c r="M464" s="85">
        <v>650</v>
      </c>
      <c r="N464" s="85"/>
      <c r="O464" s="84" t="s">
        <v>20</v>
      </c>
      <c r="P464" s="25" t="s">
        <v>467</v>
      </c>
      <c r="Q464" s="21" t="s">
        <v>468</v>
      </c>
      <c r="R464" s="24"/>
    </row>
    <row r="465" spans="1:18" ht="15.75" customHeight="1" x14ac:dyDescent="0.3">
      <c r="A465" s="30">
        <v>48</v>
      </c>
      <c r="B465" s="30">
        <v>11</v>
      </c>
      <c r="C465" s="91">
        <v>45990</v>
      </c>
      <c r="D465" s="90" t="s">
        <v>320</v>
      </c>
      <c r="E465" s="33" t="s">
        <v>376</v>
      </c>
      <c r="F465" s="33" t="s">
        <v>505</v>
      </c>
      <c r="G465" s="33" t="s">
        <v>244</v>
      </c>
      <c r="H465" s="33" t="s">
        <v>51</v>
      </c>
      <c r="I465" s="90" t="s">
        <v>10</v>
      </c>
      <c r="J465" s="90" t="s">
        <v>25</v>
      </c>
      <c r="K465" s="84" t="s">
        <v>369</v>
      </c>
      <c r="L465" s="85"/>
      <c r="M465" s="85">
        <v>4500</v>
      </c>
      <c r="N465" s="85"/>
      <c r="O465" s="84" t="s">
        <v>20</v>
      </c>
      <c r="P465" s="25" t="s">
        <v>506</v>
      </c>
      <c r="Q465" s="21" t="s">
        <v>453</v>
      </c>
      <c r="R465" s="24"/>
    </row>
    <row r="466" spans="1:18" ht="15.75" customHeight="1" x14ac:dyDescent="0.3">
      <c r="A466" s="30">
        <v>48</v>
      </c>
      <c r="B466" s="30">
        <v>11</v>
      </c>
      <c r="C466" s="91">
        <v>45990</v>
      </c>
      <c r="D466" s="90" t="s">
        <v>320</v>
      </c>
      <c r="E466" s="33" t="s">
        <v>376</v>
      </c>
      <c r="F466" s="33" t="s">
        <v>507</v>
      </c>
      <c r="G466" s="33" t="s">
        <v>244</v>
      </c>
      <c r="H466" s="30" t="s">
        <v>62</v>
      </c>
      <c r="I466" s="90" t="s">
        <v>10</v>
      </c>
      <c r="J466" s="90" t="s">
        <v>25</v>
      </c>
      <c r="K466" s="84" t="s">
        <v>397</v>
      </c>
      <c r="L466" s="85"/>
      <c r="M466" s="85">
        <v>470</v>
      </c>
      <c r="N466" s="85"/>
      <c r="O466" s="84" t="s">
        <v>508</v>
      </c>
      <c r="P466" s="25" t="s">
        <v>397</v>
      </c>
      <c r="Q466" s="21"/>
      <c r="R466" s="24"/>
    </row>
    <row r="467" spans="1:18" ht="15.75" customHeight="1" x14ac:dyDescent="0.3">
      <c r="A467" s="30">
        <v>48</v>
      </c>
      <c r="B467" s="30">
        <v>11</v>
      </c>
      <c r="C467" s="91">
        <v>45990</v>
      </c>
      <c r="D467" s="90" t="s">
        <v>320</v>
      </c>
      <c r="E467" s="33" t="s">
        <v>446</v>
      </c>
      <c r="F467" s="33" t="s">
        <v>132</v>
      </c>
      <c r="G467" s="33" t="s">
        <v>244</v>
      </c>
      <c r="H467" s="90" t="s">
        <v>64</v>
      </c>
      <c r="I467" s="90" t="s">
        <v>10</v>
      </c>
      <c r="J467" s="90" t="s">
        <v>25</v>
      </c>
      <c r="K467" s="84" t="s">
        <v>364</v>
      </c>
      <c r="L467" s="85"/>
      <c r="M467" s="85">
        <v>100</v>
      </c>
      <c r="N467" s="85"/>
      <c r="O467" s="84" t="s">
        <v>509</v>
      </c>
      <c r="P467" s="3" t="s">
        <v>510</v>
      </c>
      <c r="Q467" s="21"/>
      <c r="R467" s="24"/>
    </row>
    <row r="468" spans="1:18" ht="15.75" customHeight="1" x14ac:dyDescent="0.3">
      <c r="A468" s="30">
        <v>49</v>
      </c>
      <c r="B468" s="30">
        <v>12</v>
      </c>
      <c r="C468" s="91">
        <v>45992</v>
      </c>
      <c r="D468" s="90" t="s">
        <v>320</v>
      </c>
      <c r="E468" s="33" t="s">
        <v>376</v>
      </c>
      <c r="F468" s="33" t="s">
        <v>511</v>
      </c>
      <c r="G468" s="33" t="s">
        <v>311</v>
      </c>
      <c r="H468" s="90" t="s">
        <v>62</v>
      </c>
      <c r="I468" s="90" t="s">
        <v>10</v>
      </c>
      <c r="J468" s="90" t="s">
        <v>25</v>
      </c>
      <c r="K468" s="84" t="s">
        <v>358</v>
      </c>
      <c r="L468" s="85"/>
      <c r="M468" s="85">
        <v>375</v>
      </c>
      <c r="N468" s="85"/>
      <c r="O468" s="84" t="s">
        <v>381</v>
      </c>
      <c r="P468" s="93" t="s">
        <v>512</v>
      </c>
      <c r="Q468" s="26" t="s">
        <v>513</v>
      </c>
      <c r="R468" s="24"/>
    </row>
    <row r="469" spans="1:18" ht="15.75" customHeight="1" x14ac:dyDescent="0.3">
      <c r="A469" s="30">
        <v>49</v>
      </c>
      <c r="B469" s="30">
        <v>12</v>
      </c>
      <c r="C469" s="91">
        <v>45992</v>
      </c>
      <c r="D469" s="90" t="s">
        <v>320</v>
      </c>
      <c r="E469" s="33" t="s">
        <v>376</v>
      </c>
      <c r="F469" s="33" t="s">
        <v>514</v>
      </c>
      <c r="G469" s="83" t="s">
        <v>515</v>
      </c>
      <c r="H469" s="94" t="s">
        <v>347</v>
      </c>
      <c r="I469" s="90" t="s">
        <v>10</v>
      </c>
      <c r="J469" s="90" t="s">
        <v>25</v>
      </c>
      <c r="K469" s="84" t="s">
        <v>364</v>
      </c>
      <c r="L469" s="85"/>
      <c r="M469" s="85">
        <v>1750</v>
      </c>
      <c r="N469" s="85"/>
      <c r="O469" s="84" t="s">
        <v>474</v>
      </c>
      <c r="P469" s="93" t="s">
        <v>467</v>
      </c>
      <c r="Q469" s="28"/>
      <c r="R469" s="24"/>
    </row>
    <row r="470" spans="1:18" ht="15.75" customHeight="1" x14ac:dyDescent="0.3">
      <c r="A470" s="30">
        <v>49</v>
      </c>
      <c r="B470" s="30">
        <v>12</v>
      </c>
      <c r="C470" s="91">
        <v>45992</v>
      </c>
      <c r="D470" s="90" t="s">
        <v>320</v>
      </c>
      <c r="E470" s="90" t="s">
        <v>118</v>
      </c>
      <c r="F470" s="33" t="s">
        <v>516</v>
      </c>
      <c r="G470" s="33" t="s">
        <v>311</v>
      </c>
      <c r="H470" s="94" t="s">
        <v>118</v>
      </c>
      <c r="I470" s="90" t="s">
        <v>10</v>
      </c>
      <c r="J470" s="90" t="s">
        <v>25</v>
      </c>
      <c r="K470" s="84" t="s">
        <v>364</v>
      </c>
      <c r="L470" s="85"/>
      <c r="M470" s="85">
        <v>40</v>
      </c>
      <c r="N470" s="85"/>
      <c r="O470" s="84" t="s">
        <v>517</v>
      </c>
      <c r="P470" s="95" t="s">
        <v>467</v>
      </c>
      <c r="Q470" s="29"/>
      <c r="R470" s="24"/>
    </row>
    <row r="471" spans="1:18" ht="15.75" customHeight="1" x14ac:dyDescent="0.3">
      <c r="A471" s="30">
        <v>49</v>
      </c>
      <c r="B471" s="30">
        <v>12</v>
      </c>
      <c r="C471" s="91">
        <v>45992</v>
      </c>
      <c r="D471" s="90" t="s">
        <v>320</v>
      </c>
      <c r="E471" s="90" t="s">
        <v>118</v>
      </c>
      <c r="F471" s="33" t="s">
        <v>518</v>
      </c>
      <c r="G471" s="33" t="s">
        <v>311</v>
      </c>
      <c r="H471" s="94" t="s">
        <v>118</v>
      </c>
      <c r="I471" s="90" t="s">
        <v>10</v>
      </c>
      <c r="J471" s="90" t="s">
        <v>25</v>
      </c>
      <c r="K471" s="84" t="s">
        <v>364</v>
      </c>
      <c r="L471" s="85"/>
      <c r="M471" s="85">
        <v>8</v>
      </c>
      <c r="N471" s="85"/>
      <c r="O471" s="84" t="s">
        <v>517</v>
      </c>
      <c r="P471" s="95" t="s">
        <v>467</v>
      </c>
      <c r="Q471" s="28"/>
      <c r="R471" s="24"/>
    </row>
    <row r="472" spans="1:18" ht="15.75" customHeight="1" x14ac:dyDescent="0.3">
      <c r="A472" s="30">
        <v>49</v>
      </c>
      <c r="B472" s="30">
        <v>12</v>
      </c>
      <c r="C472" s="91">
        <v>45992</v>
      </c>
      <c r="D472" s="90" t="s">
        <v>320</v>
      </c>
      <c r="E472" s="90" t="s">
        <v>118</v>
      </c>
      <c r="F472" s="33" t="s">
        <v>519</v>
      </c>
      <c r="G472" s="33" t="s">
        <v>311</v>
      </c>
      <c r="H472" s="94" t="s">
        <v>118</v>
      </c>
      <c r="I472" s="90" t="s">
        <v>10</v>
      </c>
      <c r="J472" s="90" t="s">
        <v>25</v>
      </c>
      <c r="K472" s="84" t="s">
        <v>364</v>
      </c>
      <c r="L472" s="85"/>
      <c r="M472" s="85">
        <v>30</v>
      </c>
      <c r="N472" s="85"/>
      <c r="O472" s="84" t="s">
        <v>517</v>
      </c>
      <c r="P472" s="33" t="s">
        <v>467</v>
      </c>
      <c r="Q472" s="28"/>
      <c r="R472" s="24"/>
    </row>
    <row r="473" spans="1:18" ht="15.75" customHeight="1" x14ac:dyDescent="0.3">
      <c r="A473" s="30">
        <v>49</v>
      </c>
      <c r="B473" s="30">
        <v>12</v>
      </c>
      <c r="C473" s="91">
        <v>45992</v>
      </c>
      <c r="D473" s="90" t="s">
        <v>320</v>
      </c>
      <c r="E473" s="3" t="s">
        <v>78</v>
      </c>
      <c r="F473" s="33" t="s">
        <v>520</v>
      </c>
      <c r="G473" s="33" t="s">
        <v>497</v>
      </c>
      <c r="H473" s="16" t="s">
        <v>150</v>
      </c>
      <c r="I473" s="90" t="s">
        <v>10</v>
      </c>
      <c r="J473" s="90" t="s">
        <v>39</v>
      </c>
      <c r="K473" s="84" t="s">
        <v>358</v>
      </c>
      <c r="L473" s="85"/>
      <c r="M473" s="85">
        <v>877</v>
      </c>
      <c r="N473" s="85"/>
      <c r="O473" s="84" t="s">
        <v>381</v>
      </c>
      <c r="P473" s="85" t="s">
        <v>512</v>
      </c>
      <c r="Q473" s="26" t="s">
        <v>513</v>
      </c>
      <c r="R473" s="24"/>
    </row>
    <row r="474" spans="1:18" ht="15.75" customHeight="1" x14ac:dyDescent="0.3">
      <c r="A474" s="30">
        <v>49</v>
      </c>
      <c r="B474" s="30">
        <v>12</v>
      </c>
      <c r="C474" s="91">
        <v>45992</v>
      </c>
      <c r="D474" s="90" t="s">
        <v>320</v>
      </c>
      <c r="E474" s="33" t="s">
        <v>376</v>
      </c>
      <c r="F474" s="33" t="s">
        <v>521</v>
      </c>
      <c r="G474" s="33" t="s">
        <v>457</v>
      </c>
      <c r="H474" s="16" t="s">
        <v>135</v>
      </c>
      <c r="I474" s="90" t="s">
        <v>10</v>
      </c>
      <c r="J474" s="90" t="s">
        <v>25</v>
      </c>
      <c r="K474" s="84" t="s">
        <v>364</v>
      </c>
      <c r="L474" s="85"/>
      <c r="M474" s="85">
        <v>950</v>
      </c>
      <c r="N474" s="85"/>
      <c r="O474" s="84"/>
      <c r="P474" s="25" t="s">
        <v>465</v>
      </c>
      <c r="Q474" s="21"/>
      <c r="R474" s="24"/>
    </row>
    <row r="475" spans="1:18" ht="15.75" customHeight="1" x14ac:dyDescent="0.3">
      <c r="A475" s="30">
        <v>49</v>
      </c>
      <c r="B475" s="30">
        <v>12</v>
      </c>
      <c r="C475" s="91">
        <v>45992</v>
      </c>
      <c r="D475" s="90" t="s">
        <v>320</v>
      </c>
      <c r="E475" s="33" t="s">
        <v>376</v>
      </c>
      <c r="F475" s="33" t="s">
        <v>401</v>
      </c>
      <c r="G475" s="33" t="s">
        <v>522</v>
      </c>
      <c r="H475" s="90" t="s">
        <v>213</v>
      </c>
      <c r="I475" s="90" t="s">
        <v>10</v>
      </c>
      <c r="J475" s="90" t="s">
        <v>39</v>
      </c>
      <c r="K475" s="84" t="s">
        <v>358</v>
      </c>
      <c r="L475" s="85"/>
      <c r="M475" s="85">
        <v>380</v>
      </c>
      <c r="N475" s="85"/>
      <c r="O475" s="84" t="s">
        <v>381</v>
      </c>
      <c r="P475" s="3"/>
      <c r="Q475" s="21"/>
      <c r="R475" s="24"/>
    </row>
    <row r="476" spans="1:18" ht="15.75" customHeight="1" x14ac:dyDescent="0.3">
      <c r="A476" s="30">
        <v>49</v>
      </c>
      <c r="B476" s="30">
        <v>12</v>
      </c>
      <c r="C476" s="91">
        <v>45992</v>
      </c>
      <c r="D476" s="90" t="s">
        <v>320</v>
      </c>
      <c r="E476" s="33" t="s">
        <v>376</v>
      </c>
      <c r="F476" s="33" t="s">
        <v>523</v>
      </c>
      <c r="G476" s="33" t="s">
        <v>524</v>
      </c>
      <c r="H476" s="13" t="s">
        <v>169</v>
      </c>
      <c r="I476" s="90" t="s">
        <v>10</v>
      </c>
      <c r="J476" s="90" t="s">
        <v>39</v>
      </c>
      <c r="K476" s="84" t="s">
        <v>358</v>
      </c>
      <c r="L476" s="85"/>
      <c r="M476" s="85">
        <v>275</v>
      </c>
      <c r="N476" s="85"/>
      <c r="O476" s="84" t="s">
        <v>482</v>
      </c>
      <c r="P476" s="3" t="s">
        <v>359</v>
      </c>
      <c r="Q476" s="21"/>
      <c r="R476" s="24"/>
    </row>
    <row r="477" spans="1:18" ht="15.75" customHeight="1" x14ac:dyDescent="0.3">
      <c r="A477" s="30">
        <v>49</v>
      </c>
      <c r="B477" s="30">
        <v>12</v>
      </c>
      <c r="C477" s="91">
        <v>45992</v>
      </c>
      <c r="D477" s="90" t="s">
        <v>320</v>
      </c>
      <c r="E477" s="33" t="s">
        <v>376</v>
      </c>
      <c r="F477" s="33" t="s">
        <v>329</v>
      </c>
      <c r="G477" s="33" t="s">
        <v>311</v>
      </c>
      <c r="H477" s="3" t="s">
        <v>36</v>
      </c>
      <c r="I477" s="90" t="s">
        <v>10</v>
      </c>
      <c r="J477" s="90" t="s">
        <v>25</v>
      </c>
      <c r="K477" s="84" t="s">
        <v>358</v>
      </c>
      <c r="L477" s="85"/>
      <c r="M477" s="85">
        <v>550</v>
      </c>
      <c r="N477" s="85"/>
      <c r="O477" s="84" t="s">
        <v>381</v>
      </c>
      <c r="P477" s="3" t="s">
        <v>359</v>
      </c>
      <c r="Q477" s="21"/>
      <c r="R477" s="24"/>
    </row>
    <row r="478" spans="1:18" ht="15.75" customHeight="1" x14ac:dyDescent="0.3">
      <c r="A478" s="30">
        <v>49</v>
      </c>
      <c r="B478" s="30">
        <v>12</v>
      </c>
      <c r="C478" s="91">
        <v>45992</v>
      </c>
      <c r="D478" s="90" t="s">
        <v>320</v>
      </c>
      <c r="E478" s="33" t="s">
        <v>78</v>
      </c>
      <c r="F478" s="33" t="s">
        <v>79</v>
      </c>
      <c r="G478" s="33" t="s">
        <v>311</v>
      </c>
      <c r="H478" s="90" t="s">
        <v>62</v>
      </c>
      <c r="I478" s="90" t="s">
        <v>10</v>
      </c>
      <c r="J478" s="90" t="s">
        <v>25</v>
      </c>
      <c r="K478" s="84" t="s">
        <v>358</v>
      </c>
      <c r="L478" s="85"/>
      <c r="M478" s="85">
        <v>45</v>
      </c>
      <c r="N478" s="85"/>
      <c r="O478" s="84" t="s">
        <v>381</v>
      </c>
      <c r="P478" s="3" t="s">
        <v>359</v>
      </c>
      <c r="Q478" s="21"/>
      <c r="R478" s="24"/>
    </row>
    <row r="479" spans="1:18" ht="15.75" customHeight="1" x14ac:dyDescent="0.3">
      <c r="A479" s="30">
        <v>49</v>
      </c>
      <c r="B479" s="30">
        <v>12</v>
      </c>
      <c r="C479" s="91">
        <v>45992</v>
      </c>
      <c r="D479" s="90" t="s">
        <v>320</v>
      </c>
      <c r="E479" s="33" t="s">
        <v>376</v>
      </c>
      <c r="F479" s="33" t="s">
        <v>525</v>
      </c>
      <c r="G479" s="33" t="s">
        <v>311</v>
      </c>
      <c r="H479" s="90" t="s">
        <v>62</v>
      </c>
      <c r="I479" s="90" t="s">
        <v>10</v>
      </c>
      <c r="J479" s="90" t="s">
        <v>25</v>
      </c>
      <c r="K479" s="84" t="s">
        <v>358</v>
      </c>
      <c r="L479" s="85"/>
      <c r="M479" s="85">
        <v>490</v>
      </c>
      <c r="N479" s="85"/>
      <c r="O479" s="84" t="s">
        <v>381</v>
      </c>
      <c r="P479" s="3" t="s">
        <v>359</v>
      </c>
      <c r="Q479" s="21"/>
      <c r="R479" s="24"/>
    </row>
    <row r="480" spans="1:18" ht="15.75" customHeight="1" x14ac:dyDescent="0.3">
      <c r="A480" s="30">
        <v>49</v>
      </c>
      <c r="B480" s="30">
        <v>12</v>
      </c>
      <c r="C480" s="91">
        <v>45993</v>
      </c>
      <c r="D480" s="90" t="s">
        <v>320</v>
      </c>
      <c r="E480" s="33" t="s">
        <v>356</v>
      </c>
      <c r="F480" s="33" t="s">
        <v>127</v>
      </c>
      <c r="G480" s="33" t="s">
        <v>488</v>
      </c>
      <c r="H480" s="13" t="s">
        <v>169</v>
      </c>
      <c r="I480" s="90" t="s">
        <v>10</v>
      </c>
      <c r="J480" s="90" t="s">
        <v>39</v>
      </c>
      <c r="K480" s="84" t="s">
        <v>358</v>
      </c>
      <c r="L480" s="85"/>
      <c r="M480" s="85">
        <v>300</v>
      </c>
      <c r="N480" s="85"/>
      <c r="O480" s="84" t="s">
        <v>526</v>
      </c>
      <c r="P480" s="3" t="s">
        <v>359</v>
      </c>
      <c r="Q480" s="21" t="s">
        <v>527</v>
      </c>
      <c r="R480" s="24"/>
    </row>
    <row r="481" spans="1:18" ht="15.75" customHeight="1" x14ac:dyDescent="0.3">
      <c r="A481" s="30">
        <v>49</v>
      </c>
      <c r="B481" s="30">
        <v>12</v>
      </c>
      <c r="C481" s="91">
        <v>45993</v>
      </c>
      <c r="D481" s="90" t="s">
        <v>320</v>
      </c>
      <c r="E481" s="33" t="s">
        <v>356</v>
      </c>
      <c r="F481" s="33" t="s">
        <v>127</v>
      </c>
      <c r="G481" s="33" t="s">
        <v>242</v>
      </c>
      <c r="H481" s="30" t="s">
        <v>152</v>
      </c>
      <c r="I481" s="90" t="s">
        <v>10</v>
      </c>
      <c r="J481" s="90" t="s">
        <v>25</v>
      </c>
      <c r="K481" s="84" t="s">
        <v>364</v>
      </c>
      <c r="L481" s="85"/>
      <c r="M481" s="85">
        <v>200</v>
      </c>
      <c r="N481" s="85"/>
      <c r="O481" s="84" t="s">
        <v>388</v>
      </c>
      <c r="P481" s="25" t="s">
        <v>528</v>
      </c>
      <c r="Q481" s="21" t="s">
        <v>529</v>
      </c>
      <c r="R481" s="24"/>
    </row>
    <row r="482" spans="1:18" ht="15.75" customHeight="1" x14ac:dyDescent="0.3">
      <c r="A482" s="30">
        <v>49</v>
      </c>
      <c r="B482" s="30">
        <v>12</v>
      </c>
      <c r="C482" s="91">
        <v>45993</v>
      </c>
      <c r="D482" s="90" t="s">
        <v>320</v>
      </c>
      <c r="E482" s="33" t="s">
        <v>446</v>
      </c>
      <c r="F482" s="33" t="s">
        <v>132</v>
      </c>
      <c r="G482" s="33" t="s">
        <v>242</v>
      </c>
      <c r="H482" s="30" t="s">
        <v>152</v>
      </c>
      <c r="I482" s="90" t="s">
        <v>10</v>
      </c>
      <c r="J482" s="90" t="s">
        <v>25</v>
      </c>
      <c r="K482" s="84" t="s">
        <v>364</v>
      </c>
      <c r="L482" s="85"/>
      <c r="M482" s="85">
        <v>80</v>
      </c>
      <c r="N482" s="85"/>
      <c r="O482" s="84" t="s">
        <v>20</v>
      </c>
      <c r="P482" s="25" t="s">
        <v>528</v>
      </c>
      <c r="Q482" s="21"/>
    </row>
    <row r="483" spans="1:18" ht="15.75" customHeight="1" x14ac:dyDescent="0.3">
      <c r="A483" s="30">
        <v>49</v>
      </c>
      <c r="B483" s="30">
        <v>12</v>
      </c>
      <c r="C483" s="91">
        <v>45993</v>
      </c>
      <c r="D483" s="90" t="s">
        <v>320</v>
      </c>
      <c r="E483" s="33" t="s">
        <v>376</v>
      </c>
      <c r="F483" s="33" t="s">
        <v>111</v>
      </c>
      <c r="G483" s="33" t="s">
        <v>242</v>
      </c>
      <c r="H483" s="30" t="s">
        <v>152</v>
      </c>
      <c r="I483" s="90" t="s">
        <v>10</v>
      </c>
      <c r="J483" s="90" t="s">
        <v>25</v>
      </c>
      <c r="K483" s="84" t="s">
        <v>364</v>
      </c>
      <c r="L483" s="85"/>
      <c r="M483" s="85">
        <v>80</v>
      </c>
      <c r="N483" s="85"/>
      <c r="O483" s="84" t="s">
        <v>20</v>
      </c>
      <c r="P483" s="25" t="s">
        <v>528</v>
      </c>
      <c r="Q483" s="21"/>
    </row>
    <row r="484" spans="1:18" ht="15.75" customHeight="1" x14ac:dyDescent="0.3">
      <c r="A484" s="30">
        <v>49</v>
      </c>
      <c r="B484" s="30">
        <v>12</v>
      </c>
      <c r="C484" s="91">
        <v>45994</v>
      </c>
      <c r="D484" s="90" t="s">
        <v>320</v>
      </c>
      <c r="E484" s="33" t="s">
        <v>317</v>
      </c>
      <c r="F484" s="33" t="s">
        <v>102</v>
      </c>
      <c r="G484" s="33" t="s">
        <v>311</v>
      </c>
      <c r="H484" s="30" t="s">
        <v>317</v>
      </c>
      <c r="I484" s="90" t="s">
        <v>10</v>
      </c>
      <c r="J484" s="90" t="s">
        <v>25</v>
      </c>
      <c r="K484" s="84" t="s">
        <v>369</v>
      </c>
      <c r="L484" s="85"/>
      <c r="M484" s="85">
        <v>1500</v>
      </c>
      <c r="N484" s="85"/>
      <c r="O484" s="84" t="s">
        <v>86</v>
      </c>
      <c r="P484" s="25" t="s">
        <v>530</v>
      </c>
      <c r="Q484" s="21"/>
    </row>
    <row r="485" spans="1:18" ht="15.75" customHeight="1" x14ac:dyDescent="0.3">
      <c r="A485" s="30">
        <v>49</v>
      </c>
      <c r="B485" s="30">
        <v>12</v>
      </c>
      <c r="C485" s="91">
        <v>45994</v>
      </c>
      <c r="D485" s="90" t="s">
        <v>320</v>
      </c>
      <c r="E485" s="33" t="s">
        <v>356</v>
      </c>
      <c r="F485" s="33" t="s">
        <v>127</v>
      </c>
      <c r="G485" s="33" t="s">
        <v>242</v>
      </c>
      <c r="H485" s="13" t="s">
        <v>169</v>
      </c>
      <c r="I485" s="33" t="s">
        <v>10</v>
      </c>
      <c r="J485" s="33" t="s">
        <v>39</v>
      </c>
      <c r="K485" s="83" t="s">
        <v>397</v>
      </c>
      <c r="L485" s="33"/>
      <c r="M485" s="33">
        <v>200</v>
      </c>
      <c r="N485" s="33"/>
      <c r="O485" s="33"/>
      <c r="P485" s="25" t="s">
        <v>531</v>
      </c>
      <c r="Q485" s="21"/>
    </row>
    <row r="486" spans="1:18" ht="15.75" customHeight="1" x14ac:dyDescent="0.3">
      <c r="A486" s="30">
        <v>49</v>
      </c>
      <c r="B486" s="30">
        <v>12</v>
      </c>
      <c r="C486" s="91">
        <v>45994</v>
      </c>
      <c r="D486" s="90" t="s">
        <v>320</v>
      </c>
      <c r="E486" s="33" t="s">
        <v>367</v>
      </c>
      <c r="F486" s="33" t="s">
        <v>27</v>
      </c>
      <c r="G486" s="33" t="s">
        <v>311</v>
      </c>
      <c r="H486" s="86" t="s">
        <v>317</v>
      </c>
      <c r="I486" s="33" t="s">
        <v>10</v>
      </c>
      <c r="J486" s="33" t="s">
        <v>25</v>
      </c>
      <c r="K486" s="83" t="s">
        <v>364</v>
      </c>
      <c r="L486" s="33"/>
      <c r="M486" s="33">
        <v>100</v>
      </c>
      <c r="N486" s="33"/>
      <c r="O486" s="84" t="s">
        <v>20</v>
      </c>
      <c r="P486" s="33" t="s">
        <v>467</v>
      </c>
      <c r="Q486" s="21"/>
    </row>
    <row r="487" spans="1:18" ht="15.75" customHeight="1" x14ac:dyDescent="0.3">
      <c r="A487" s="30">
        <v>49</v>
      </c>
      <c r="B487" s="1">
        <v>12</v>
      </c>
      <c r="C487" s="96">
        <v>45995</v>
      </c>
      <c r="D487" s="90" t="s">
        <v>320</v>
      </c>
      <c r="E487" s="33" t="s">
        <v>376</v>
      </c>
      <c r="F487" s="33" t="s">
        <v>411</v>
      </c>
      <c r="G487" s="33" t="s">
        <v>406</v>
      </c>
      <c r="H487" s="86" t="s">
        <v>195</v>
      </c>
      <c r="I487" s="33" t="s">
        <v>10</v>
      </c>
      <c r="J487" s="33" t="s">
        <v>25</v>
      </c>
      <c r="K487" s="83" t="s">
        <v>364</v>
      </c>
      <c r="L487" s="33"/>
      <c r="M487" s="33">
        <v>100</v>
      </c>
      <c r="N487" s="33"/>
      <c r="O487" s="33" t="s">
        <v>532</v>
      </c>
      <c r="P487" s="33" t="s">
        <v>467</v>
      </c>
      <c r="Q487" s="5"/>
    </row>
    <row r="488" spans="1:18" ht="15.75" customHeight="1" x14ac:dyDescent="0.3">
      <c r="A488" s="30">
        <v>49</v>
      </c>
      <c r="B488" s="1">
        <v>12</v>
      </c>
      <c r="C488" s="96">
        <v>45995</v>
      </c>
      <c r="D488" s="90" t="s">
        <v>320</v>
      </c>
      <c r="E488" s="33" t="s">
        <v>356</v>
      </c>
      <c r="F488" s="33" t="s">
        <v>127</v>
      </c>
      <c r="G488" s="33" t="s">
        <v>244</v>
      </c>
      <c r="H488" s="33" t="s">
        <v>17</v>
      </c>
      <c r="I488" s="33" t="s">
        <v>10</v>
      </c>
      <c r="J488" s="33" t="s">
        <v>18</v>
      </c>
      <c r="K488" s="83" t="s">
        <v>533</v>
      </c>
      <c r="L488" s="33"/>
      <c r="M488" s="33">
        <v>300</v>
      </c>
      <c r="N488" s="33"/>
      <c r="O488" s="33" t="s">
        <v>389</v>
      </c>
      <c r="P488" s="33" t="s">
        <v>340</v>
      </c>
      <c r="Q488" s="5"/>
    </row>
    <row r="489" spans="1:18" ht="15.75" customHeight="1" x14ac:dyDescent="0.3">
      <c r="A489" s="30">
        <v>49</v>
      </c>
      <c r="B489" s="1">
        <v>12</v>
      </c>
      <c r="C489" s="96">
        <v>45996</v>
      </c>
      <c r="D489" s="90" t="s">
        <v>320</v>
      </c>
      <c r="E489" s="33" t="s">
        <v>367</v>
      </c>
      <c r="F489" s="97" t="s">
        <v>534</v>
      </c>
      <c r="G489" s="33" t="s">
        <v>535</v>
      </c>
      <c r="H489" s="33" t="s">
        <v>317</v>
      </c>
      <c r="I489" s="33" t="s">
        <v>10</v>
      </c>
      <c r="J489" s="33" t="s">
        <v>25</v>
      </c>
      <c r="K489" s="83" t="s">
        <v>358</v>
      </c>
      <c r="L489" s="33"/>
      <c r="M489" s="33">
        <v>900</v>
      </c>
      <c r="N489" s="33"/>
      <c r="O489" s="33"/>
      <c r="P489" s="3" t="s">
        <v>359</v>
      </c>
      <c r="Q489" s="5"/>
    </row>
    <row r="490" spans="1:18" ht="15.75" customHeight="1" x14ac:dyDescent="0.3">
      <c r="A490" s="30">
        <v>49</v>
      </c>
      <c r="B490" s="1">
        <v>12</v>
      </c>
      <c r="C490" s="96">
        <v>45996</v>
      </c>
      <c r="D490" s="90" t="s">
        <v>320</v>
      </c>
      <c r="E490" s="33" t="s">
        <v>367</v>
      </c>
      <c r="F490" s="97" t="s">
        <v>536</v>
      </c>
      <c r="G490" s="33" t="s">
        <v>535</v>
      </c>
      <c r="H490" s="33" t="s">
        <v>317</v>
      </c>
      <c r="I490" s="33" t="s">
        <v>10</v>
      </c>
      <c r="J490" s="33" t="s">
        <v>25</v>
      </c>
      <c r="K490" s="83" t="s">
        <v>358</v>
      </c>
      <c r="L490" s="33"/>
      <c r="M490" s="33">
        <v>100</v>
      </c>
      <c r="N490" s="33"/>
      <c r="O490" s="33"/>
      <c r="P490" s="3" t="s">
        <v>359</v>
      </c>
      <c r="Q490" s="5"/>
    </row>
    <row r="491" spans="1:18" ht="15.75" customHeight="1" x14ac:dyDescent="0.3">
      <c r="A491" s="30">
        <v>49</v>
      </c>
      <c r="B491" s="1">
        <v>12</v>
      </c>
      <c r="C491" s="96">
        <v>45996</v>
      </c>
      <c r="D491" s="90" t="s">
        <v>320</v>
      </c>
      <c r="E491" s="33" t="s">
        <v>367</v>
      </c>
      <c r="F491" s="97" t="s">
        <v>537</v>
      </c>
      <c r="G491" s="33" t="s">
        <v>535</v>
      </c>
      <c r="H491" s="33" t="s">
        <v>317</v>
      </c>
      <c r="I491" s="33" t="s">
        <v>10</v>
      </c>
      <c r="J491" s="33" t="s">
        <v>25</v>
      </c>
      <c r="K491" s="83" t="s">
        <v>358</v>
      </c>
      <c r="L491" s="33"/>
      <c r="M491" s="33">
        <v>25</v>
      </c>
      <c r="N491" s="33"/>
      <c r="O491" s="33"/>
      <c r="P491" s="3" t="s">
        <v>359</v>
      </c>
      <c r="Q491" s="5"/>
    </row>
    <row r="492" spans="1:18" ht="15.75" customHeight="1" x14ac:dyDescent="0.3">
      <c r="A492" s="30">
        <v>49</v>
      </c>
      <c r="B492" s="1">
        <v>12</v>
      </c>
      <c r="C492" s="96">
        <v>45996</v>
      </c>
      <c r="D492" s="90" t="s">
        <v>320</v>
      </c>
      <c r="E492" s="33" t="s">
        <v>78</v>
      </c>
      <c r="F492" s="33" t="s">
        <v>92</v>
      </c>
      <c r="G492" s="33" t="s">
        <v>538</v>
      </c>
      <c r="H492" s="33" t="s">
        <v>80</v>
      </c>
      <c r="I492" s="33" t="s">
        <v>10</v>
      </c>
      <c r="J492" s="33" t="s">
        <v>18</v>
      </c>
      <c r="K492" s="83" t="s">
        <v>533</v>
      </c>
      <c r="L492" s="33"/>
      <c r="M492" s="33">
        <v>130</v>
      </c>
      <c r="N492" s="33"/>
      <c r="O492" s="33" t="s">
        <v>381</v>
      </c>
      <c r="P492" s="33" t="s">
        <v>340</v>
      </c>
      <c r="Q492" s="5"/>
    </row>
    <row r="493" spans="1:18" ht="15.75" customHeight="1" x14ac:dyDescent="0.3">
      <c r="A493" s="30">
        <v>49</v>
      </c>
      <c r="B493" s="1">
        <v>12</v>
      </c>
      <c r="C493" s="96">
        <v>45996</v>
      </c>
      <c r="D493" s="90" t="s">
        <v>320</v>
      </c>
      <c r="E493" s="33" t="s">
        <v>78</v>
      </c>
      <c r="F493" s="33" t="s">
        <v>95</v>
      </c>
      <c r="G493" s="33" t="s">
        <v>538</v>
      </c>
      <c r="H493" s="33" t="s">
        <v>80</v>
      </c>
      <c r="I493" s="33" t="s">
        <v>10</v>
      </c>
      <c r="J493" s="33" t="s">
        <v>18</v>
      </c>
      <c r="K493" s="83" t="s">
        <v>533</v>
      </c>
      <c r="L493" s="33"/>
      <c r="M493" s="33">
        <v>70</v>
      </c>
      <c r="N493" s="33"/>
      <c r="O493" s="33" t="s">
        <v>381</v>
      </c>
      <c r="P493" s="33" t="s">
        <v>340</v>
      </c>
      <c r="Q493" s="5"/>
    </row>
    <row r="494" spans="1:18" ht="15.75" customHeight="1" x14ac:dyDescent="0.3">
      <c r="A494" s="30">
        <v>49</v>
      </c>
      <c r="B494" s="1">
        <v>12</v>
      </c>
      <c r="C494" s="96">
        <v>45996</v>
      </c>
      <c r="D494" s="90" t="s">
        <v>320</v>
      </c>
      <c r="E494" s="33" t="s">
        <v>78</v>
      </c>
      <c r="F494" s="33" t="s">
        <v>485</v>
      </c>
      <c r="G494" s="33" t="s">
        <v>538</v>
      </c>
      <c r="H494" s="33" t="s">
        <v>80</v>
      </c>
      <c r="I494" s="33" t="s">
        <v>10</v>
      </c>
      <c r="J494" s="33" t="s">
        <v>18</v>
      </c>
      <c r="K494" s="83" t="s">
        <v>533</v>
      </c>
      <c r="L494" s="33"/>
      <c r="M494" s="33">
        <v>360</v>
      </c>
      <c r="N494" s="33"/>
      <c r="O494" s="33" t="s">
        <v>381</v>
      </c>
      <c r="P494" s="33" t="s">
        <v>340</v>
      </c>
      <c r="Q494" s="5"/>
    </row>
    <row r="495" spans="1:18" ht="15.75" customHeight="1" x14ac:dyDescent="0.3">
      <c r="A495" s="30">
        <v>49</v>
      </c>
      <c r="B495" s="1">
        <v>12</v>
      </c>
      <c r="C495" s="96">
        <v>45996</v>
      </c>
      <c r="D495" s="90" t="s">
        <v>320</v>
      </c>
      <c r="E495" s="33" t="s">
        <v>78</v>
      </c>
      <c r="F495" s="33" t="s">
        <v>88</v>
      </c>
      <c r="G495" s="33" t="s">
        <v>538</v>
      </c>
      <c r="H495" s="33" t="s">
        <v>80</v>
      </c>
      <c r="I495" s="33" t="s">
        <v>10</v>
      </c>
      <c r="J495" s="33" t="s">
        <v>18</v>
      </c>
      <c r="K495" s="83" t="s">
        <v>533</v>
      </c>
      <c r="L495" s="33"/>
      <c r="M495" s="33">
        <v>500</v>
      </c>
      <c r="N495" s="33"/>
      <c r="O495" s="33" t="s">
        <v>381</v>
      </c>
      <c r="P495" s="33" t="s">
        <v>340</v>
      </c>
      <c r="Q495" s="5"/>
    </row>
    <row r="496" spans="1:18" ht="15.75" customHeight="1" x14ac:dyDescent="0.3">
      <c r="A496" s="30">
        <v>49</v>
      </c>
      <c r="B496" s="1">
        <v>12</v>
      </c>
      <c r="C496" s="96">
        <v>45996</v>
      </c>
      <c r="D496" s="90" t="s">
        <v>320</v>
      </c>
      <c r="E496" s="33" t="s">
        <v>376</v>
      </c>
      <c r="F496" s="33" t="s">
        <v>539</v>
      </c>
      <c r="G496" s="33" t="s">
        <v>311</v>
      </c>
      <c r="H496" s="33" t="s">
        <v>17</v>
      </c>
      <c r="I496" s="33" t="s">
        <v>10</v>
      </c>
      <c r="J496" s="33" t="s">
        <v>18</v>
      </c>
      <c r="K496" s="83" t="s">
        <v>533</v>
      </c>
      <c r="L496" s="33"/>
      <c r="M496" s="33">
        <v>360</v>
      </c>
      <c r="N496" s="33"/>
      <c r="O496" s="33" t="s">
        <v>540</v>
      </c>
      <c r="P496" s="33" t="s">
        <v>340</v>
      </c>
      <c r="Q496" s="5"/>
    </row>
    <row r="497" spans="1:17" ht="15.75" customHeight="1" x14ac:dyDescent="0.3">
      <c r="A497" s="30">
        <v>49</v>
      </c>
      <c r="B497" s="1">
        <v>12</v>
      </c>
      <c r="C497" s="96">
        <v>45996</v>
      </c>
      <c r="D497" s="90" t="s">
        <v>320</v>
      </c>
      <c r="E497" s="33" t="s">
        <v>376</v>
      </c>
      <c r="F497" s="33" t="s">
        <v>541</v>
      </c>
      <c r="G497" s="33" t="s">
        <v>311</v>
      </c>
      <c r="H497" s="33" t="s">
        <v>17</v>
      </c>
      <c r="I497" s="33" t="s">
        <v>10</v>
      </c>
      <c r="J497" s="33" t="s">
        <v>18</v>
      </c>
      <c r="K497" s="83" t="s">
        <v>533</v>
      </c>
      <c r="L497" s="33"/>
      <c r="M497" s="33">
        <v>360</v>
      </c>
      <c r="N497" s="33"/>
      <c r="O497" s="33" t="s">
        <v>540</v>
      </c>
      <c r="P497" s="33" t="s">
        <v>340</v>
      </c>
      <c r="Q497" s="5"/>
    </row>
    <row r="498" spans="1:17" ht="15.75" customHeight="1" x14ac:dyDescent="0.3">
      <c r="A498" s="30">
        <v>49</v>
      </c>
      <c r="B498" s="1">
        <v>12</v>
      </c>
      <c r="C498" s="96">
        <v>45996</v>
      </c>
      <c r="D498" s="90" t="s">
        <v>320</v>
      </c>
      <c r="E498" s="33" t="s">
        <v>376</v>
      </c>
      <c r="F498" s="33" t="s">
        <v>542</v>
      </c>
      <c r="G498" s="33" t="s">
        <v>311</v>
      </c>
      <c r="H498" s="33" t="s">
        <v>17</v>
      </c>
      <c r="I498" s="33" t="s">
        <v>10</v>
      </c>
      <c r="J498" s="33" t="s">
        <v>18</v>
      </c>
      <c r="K498" s="83" t="s">
        <v>533</v>
      </c>
      <c r="L498" s="33"/>
      <c r="M498" s="33">
        <v>1964</v>
      </c>
      <c r="N498" s="33"/>
      <c r="O498" s="33" t="s">
        <v>540</v>
      </c>
      <c r="P498" s="33" t="s">
        <v>340</v>
      </c>
      <c r="Q498" s="5"/>
    </row>
    <row r="499" spans="1:17" ht="15.75" customHeight="1" x14ac:dyDescent="0.3">
      <c r="A499" s="30">
        <v>49</v>
      </c>
      <c r="B499" s="1">
        <v>12</v>
      </c>
      <c r="C499" s="96">
        <v>45996</v>
      </c>
      <c r="D499" s="90" t="s">
        <v>320</v>
      </c>
      <c r="E499" s="33" t="s">
        <v>356</v>
      </c>
      <c r="F499" s="33" t="s">
        <v>127</v>
      </c>
      <c r="G499" s="33" t="s">
        <v>488</v>
      </c>
      <c r="H499" s="33" t="s">
        <v>118</v>
      </c>
      <c r="I499" s="33" t="s">
        <v>10</v>
      </c>
      <c r="J499" s="33" t="s">
        <v>18</v>
      </c>
      <c r="K499" s="83" t="s">
        <v>533</v>
      </c>
      <c r="L499" s="33"/>
      <c r="M499" s="33">
        <v>150</v>
      </c>
      <c r="N499" s="33"/>
      <c r="O499" s="33" t="s">
        <v>543</v>
      </c>
      <c r="P499" s="33" t="s">
        <v>340</v>
      </c>
      <c r="Q499" s="5" t="s">
        <v>544</v>
      </c>
    </row>
    <row r="500" spans="1:17" ht="15.75" customHeight="1" x14ac:dyDescent="0.3">
      <c r="A500" s="30">
        <v>49</v>
      </c>
      <c r="B500" s="1">
        <v>12</v>
      </c>
      <c r="C500" s="96">
        <v>45997</v>
      </c>
      <c r="D500" s="90" t="s">
        <v>320</v>
      </c>
      <c r="E500" s="33" t="s">
        <v>376</v>
      </c>
      <c r="F500" s="33" t="s">
        <v>545</v>
      </c>
      <c r="G500" s="33"/>
      <c r="H500" s="27" t="s">
        <v>150</v>
      </c>
      <c r="I500" s="33" t="s">
        <v>10</v>
      </c>
      <c r="J500" s="33" t="s">
        <v>25</v>
      </c>
      <c r="K500" s="83" t="s">
        <v>364</v>
      </c>
      <c r="L500" s="33"/>
      <c r="M500" s="33">
        <v>700</v>
      </c>
      <c r="N500" s="33"/>
      <c r="O500" s="84" t="s">
        <v>20</v>
      </c>
      <c r="P500" s="33" t="s">
        <v>467</v>
      </c>
      <c r="Q500" s="5" t="s">
        <v>468</v>
      </c>
    </row>
    <row r="501" spans="1:17" ht="15.75" customHeight="1" x14ac:dyDescent="0.3">
      <c r="A501" s="30">
        <v>49</v>
      </c>
      <c r="B501" s="1">
        <v>12</v>
      </c>
      <c r="C501" s="96">
        <v>45997</v>
      </c>
      <c r="D501" s="90" t="s">
        <v>320</v>
      </c>
      <c r="E501" s="33" t="s">
        <v>376</v>
      </c>
      <c r="F501" s="33" t="s">
        <v>546</v>
      </c>
      <c r="G501" s="33" t="s">
        <v>311</v>
      </c>
      <c r="H501" s="33" t="s">
        <v>17</v>
      </c>
      <c r="I501" s="33" t="s">
        <v>10</v>
      </c>
      <c r="J501" s="33" t="s">
        <v>18</v>
      </c>
      <c r="K501" s="83" t="s">
        <v>533</v>
      </c>
      <c r="L501" s="33"/>
      <c r="M501" s="33">
        <v>430</v>
      </c>
      <c r="N501" s="33"/>
      <c r="O501" s="33" t="s">
        <v>547</v>
      </c>
      <c r="P501" s="33" t="s">
        <v>340</v>
      </c>
      <c r="Q501" s="5"/>
    </row>
    <row r="502" spans="1:17" ht="15.75" customHeight="1" x14ac:dyDescent="0.3">
      <c r="A502" s="30">
        <v>49</v>
      </c>
      <c r="B502" s="1">
        <v>12</v>
      </c>
      <c r="C502" s="96">
        <v>45997</v>
      </c>
      <c r="D502" s="90" t="s">
        <v>320</v>
      </c>
      <c r="E502" s="33" t="s">
        <v>367</v>
      </c>
      <c r="F502" s="33" t="s">
        <v>548</v>
      </c>
      <c r="G502" s="33" t="s">
        <v>311</v>
      </c>
      <c r="H502" s="86" t="s">
        <v>317</v>
      </c>
      <c r="I502" s="33" t="s">
        <v>10</v>
      </c>
      <c r="J502" s="33" t="s">
        <v>25</v>
      </c>
      <c r="K502" s="83" t="s">
        <v>364</v>
      </c>
      <c r="L502" s="33"/>
      <c r="M502" s="33">
        <v>1020</v>
      </c>
      <c r="N502" s="33"/>
      <c r="O502" s="33" t="s">
        <v>549</v>
      </c>
      <c r="P502" s="33" t="s">
        <v>467</v>
      </c>
      <c r="Q502" s="5"/>
    </row>
    <row r="503" spans="1:17" ht="15.75" customHeight="1" x14ac:dyDescent="0.3">
      <c r="A503" s="30">
        <v>49</v>
      </c>
      <c r="B503" s="1">
        <v>12</v>
      </c>
      <c r="C503" s="96">
        <v>45997</v>
      </c>
      <c r="D503" s="90" t="s">
        <v>320</v>
      </c>
      <c r="E503" s="33" t="s">
        <v>367</v>
      </c>
      <c r="F503" s="33" t="s">
        <v>550</v>
      </c>
      <c r="G503" s="33" t="s">
        <v>311</v>
      </c>
      <c r="H503" s="86" t="s">
        <v>317</v>
      </c>
      <c r="I503" s="33" t="s">
        <v>10</v>
      </c>
      <c r="J503" s="33" t="s">
        <v>25</v>
      </c>
      <c r="K503" s="83" t="s">
        <v>364</v>
      </c>
      <c r="L503" s="33"/>
      <c r="M503" s="33">
        <v>50</v>
      </c>
      <c r="N503" s="33"/>
      <c r="O503" s="33" t="s">
        <v>549</v>
      </c>
      <c r="P503" s="33" t="s">
        <v>467</v>
      </c>
      <c r="Q503" s="5"/>
    </row>
    <row r="504" spans="1:17" ht="15.75" customHeight="1" x14ac:dyDescent="0.3">
      <c r="A504" s="30">
        <v>50</v>
      </c>
      <c r="B504" s="1">
        <v>12</v>
      </c>
      <c r="C504" s="96">
        <v>45999</v>
      </c>
      <c r="D504" s="90" t="s">
        <v>320</v>
      </c>
      <c r="E504" s="33" t="s">
        <v>376</v>
      </c>
      <c r="F504" s="33" t="s">
        <v>83</v>
      </c>
      <c r="G504" s="33" t="s">
        <v>311</v>
      </c>
      <c r="H504" s="33" t="s">
        <v>17</v>
      </c>
      <c r="I504" s="33" t="s">
        <v>10</v>
      </c>
      <c r="J504" s="33" t="s">
        <v>18</v>
      </c>
      <c r="K504" s="83" t="s">
        <v>533</v>
      </c>
      <c r="L504" s="33"/>
      <c r="M504" s="33">
        <v>877</v>
      </c>
      <c r="N504" s="33"/>
      <c r="O504" s="33" t="s">
        <v>540</v>
      </c>
      <c r="P504" s="33" t="s">
        <v>340</v>
      </c>
      <c r="Q504" s="5"/>
    </row>
    <row r="505" spans="1:17" ht="15.75" customHeight="1" x14ac:dyDescent="0.3">
      <c r="A505" s="30">
        <v>50</v>
      </c>
      <c r="B505" s="1">
        <v>12</v>
      </c>
      <c r="C505" s="96">
        <v>45999</v>
      </c>
      <c r="D505" s="90" t="s">
        <v>320</v>
      </c>
      <c r="E505" s="33" t="s">
        <v>376</v>
      </c>
      <c r="F505" s="33" t="s">
        <v>551</v>
      </c>
      <c r="G505" s="33" t="s">
        <v>311</v>
      </c>
      <c r="H505" s="83" t="s">
        <v>17</v>
      </c>
      <c r="I505" s="33" t="s">
        <v>10</v>
      </c>
      <c r="J505" s="33" t="s">
        <v>18</v>
      </c>
      <c r="K505" s="83" t="s">
        <v>533</v>
      </c>
      <c r="L505" s="33"/>
      <c r="M505" s="33">
        <v>872</v>
      </c>
      <c r="N505" s="33"/>
      <c r="O505" s="33" t="s">
        <v>540</v>
      </c>
      <c r="P505" s="33" t="s">
        <v>340</v>
      </c>
      <c r="Q505" s="5"/>
    </row>
    <row r="506" spans="1:17" ht="15.75" customHeight="1" x14ac:dyDescent="0.3">
      <c r="A506" s="30">
        <v>50</v>
      </c>
      <c r="B506" s="1">
        <v>12</v>
      </c>
      <c r="C506" s="96">
        <v>45999</v>
      </c>
      <c r="D506" s="90" t="s">
        <v>320</v>
      </c>
      <c r="E506" s="33" t="s">
        <v>376</v>
      </c>
      <c r="F506" s="33" t="s">
        <v>552</v>
      </c>
      <c r="G506" s="33" t="s">
        <v>311</v>
      </c>
      <c r="H506" s="83" t="s">
        <v>17</v>
      </c>
      <c r="I506" s="33" t="s">
        <v>10</v>
      </c>
      <c r="J506" s="33" t="s">
        <v>18</v>
      </c>
      <c r="K506" s="83" t="s">
        <v>533</v>
      </c>
      <c r="L506" s="33"/>
      <c r="M506" s="33">
        <v>574</v>
      </c>
      <c r="N506" s="33"/>
      <c r="O506" s="33" t="s">
        <v>540</v>
      </c>
      <c r="P506" s="33" t="s">
        <v>340</v>
      </c>
      <c r="Q506" s="5"/>
    </row>
    <row r="507" spans="1:17" ht="15.75" customHeight="1" x14ac:dyDescent="0.3">
      <c r="A507" s="30">
        <v>50</v>
      </c>
      <c r="B507" s="1">
        <v>12</v>
      </c>
      <c r="C507" s="96">
        <v>45999</v>
      </c>
      <c r="D507" s="90" t="s">
        <v>320</v>
      </c>
      <c r="E507" s="33" t="s">
        <v>376</v>
      </c>
      <c r="F507" s="33" t="s">
        <v>553</v>
      </c>
      <c r="G507" s="33" t="s">
        <v>311</v>
      </c>
      <c r="H507" s="83" t="s">
        <v>17</v>
      </c>
      <c r="I507" s="33" t="s">
        <v>10</v>
      </c>
      <c r="J507" s="33" t="s">
        <v>18</v>
      </c>
      <c r="K507" s="83" t="s">
        <v>533</v>
      </c>
      <c r="L507" s="33"/>
      <c r="M507" s="33">
        <v>60</v>
      </c>
      <c r="N507" s="33"/>
      <c r="O507" s="33" t="s">
        <v>540</v>
      </c>
      <c r="P507" s="33" t="s">
        <v>340</v>
      </c>
      <c r="Q507" s="5"/>
    </row>
    <row r="508" spans="1:17" ht="15.75" customHeight="1" x14ac:dyDescent="0.3">
      <c r="A508" s="30">
        <v>50</v>
      </c>
      <c r="B508" s="1">
        <v>12</v>
      </c>
      <c r="C508" s="96">
        <v>45999</v>
      </c>
      <c r="D508" s="90" t="s">
        <v>320</v>
      </c>
      <c r="E508" s="33" t="s">
        <v>356</v>
      </c>
      <c r="F508" s="33" t="s">
        <v>127</v>
      </c>
      <c r="G508" s="33" t="s">
        <v>311</v>
      </c>
      <c r="H508" s="83" t="s">
        <v>17</v>
      </c>
      <c r="I508" s="33" t="s">
        <v>10</v>
      </c>
      <c r="J508" s="33" t="s">
        <v>18</v>
      </c>
      <c r="K508" s="83" t="s">
        <v>533</v>
      </c>
      <c r="L508" s="33"/>
      <c r="M508" s="33">
        <v>150</v>
      </c>
      <c r="N508" s="33"/>
      <c r="O508" s="33" t="s">
        <v>389</v>
      </c>
      <c r="P508" s="33" t="s">
        <v>340</v>
      </c>
      <c r="Q508" s="5" t="s">
        <v>554</v>
      </c>
    </row>
    <row r="509" spans="1:17" ht="15.75" customHeight="1" x14ac:dyDescent="0.3">
      <c r="A509" s="30">
        <v>50</v>
      </c>
      <c r="B509" s="1">
        <v>12</v>
      </c>
      <c r="C509" s="96">
        <v>45999</v>
      </c>
      <c r="D509" s="90" t="s">
        <v>320</v>
      </c>
      <c r="E509" s="33" t="s">
        <v>376</v>
      </c>
      <c r="F509" s="33" t="s">
        <v>333</v>
      </c>
      <c r="G509" s="83" t="s">
        <v>515</v>
      </c>
      <c r="H509" s="94" t="s">
        <v>347</v>
      </c>
      <c r="I509" s="33" t="s">
        <v>10</v>
      </c>
      <c r="J509" s="33" t="s">
        <v>25</v>
      </c>
      <c r="K509" s="83" t="s">
        <v>364</v>
      </c>
      <c r="L509" s="33"/>
      <c r="M509" s="33">
        <v>1500</v>
      </c>
      <c r="N509" s="33"/>
      <c r="O509" s="33"/>
      <c r="P509" s="33" t="s">
        <v>467</v>
      </c>
      <c r="Q509" s="5"/>
    </row>
    <row r="510" spans="1:17" ht="15.75" customHeight="1" x14ac:dyDescent="0.3">
      <c r="A510" s="30">
        <v>50</v>
      </c>
      <c r="B510" s="1">
        <v>12</v>
      </c>
      <c r="C510" s="96">
        <v>46000</v>
      </c>
      <c r="D510" s="90" t="s">
        <v>320</v>
      </c>
      <c r="E510" s="33" t="s">
        <v>376</v>
      </c>
      <c r="F510" s="33" t="s">
        <v>555</v>
      </c>
      <c r="G510" s="33" t="s">
        <v>379</v>
      </c>
      <c r="H510" s="83" t="s">
        <v>104</v>
      </c>
      <c r="I510" s="33" t="s">
        <v>10</v>
      </c>
      <c r="J510" s="33" t="s">
        <v>25</v>
      </c>
      <c r="K510" s="83" t="s">
        <v>358</v>
      </c>
      <c r="L510" s="33"/>
      <c r="M510" s="33">
        <v>2920</v>
      </c>
      <c r="N510" s="33"/>
      <c r="O510" s="33" t="s">
        <v>547</v>
      </c>
      <c r="P510" s="33" t="s">
        <v>359</v>
      </c>
      <c r="Q510" s="5"/>
    </row>
    <row r="511" spans="1:17" ht="15.75" customHeight="1" x14ac:dyDescent="0.3">
      <c r="A511" s="30">
        <v>50</v>
      </c>
      <c r="B511" s="1">
        <v>12</v>
      </c>
      <c r="C511" s="96">
        <v>46000</v>
      </c>
      <c r="D511" s="90" t="s">
        <v>320</v>
      </c>
      <c r="E511" s="33" t="s">
        <v>78</v>
      </c>
      <c r="F511" s="33" t="s">
        <v>485</v>
      </c>
      <c r="G511" s="33" t="s">
        <v>379</v>
      </c>
      <c r="H511" s="83" t="s">
        <v>104</v>
      </c>
      <c r="I511" s="33" t="s">
        <v>10</v>
      </c>
      <c r="J511" s="33" t="s">
        <v>25</v>
      </c>
      <c r="K511" s="83" t="s">
        <v>358</v>
      </c>
      <c r="L511" s="33"/>
      <c r="M511" s="33">
        <v>220</v>
      </c>
      <c r="N511" s="33"/>
      <c r="O511" s="33" t="s">
        <v>547</v>
      </c>
      <c r="P511" s="33" t="s">
        <v>359</v>
      </c>
      <c r="Q511" s="5"/>
    </row>
    <row r="512" spans="1:17" ht="15.75" customHeight="1" x14ac:dyDescent="0.3">
      <c r="A512" s="30">
        <v>50</v>
      </c>
      <c r="B512" s="1">
        <v>12</v>
      </c>
      <c r="C512" s="96">
        <v>46000</v>
      </c>
      <c r="D512" s="90" t="s">
        <v>320</v>
      </c>
      <c r="E512" s="33" t="s">
        <v>376</v>
      </c>
      <c r="F512" s="33" t="s">
        <v>556</v>
      </c>
      <c r="G512" s="33" t="s">
        <v>557</v>
      </c>
      <c r="H512" s="27" t="s">
        <v>46</v>
      </c>
      <c r="I512" s="33" t="s">
        <v>10</v>
      </c>
      <c r="J512" s="33" t="s">
        <v>25</v>
      </c>
      <c r="K512" s="83" t="s">
        <v>364</v>
      </c>
      <c r="L512" s="33"/>
      <c r="M512" s="33">
        <v>940</v>
      </c>
      <c r="N512" s="33"/>
      <c r="O512" s="33" t="s">
        <v>558</v>
      </c>
      <c r="P512" s="33" t="s">
        <v>467</v>
      </c>
      <c r="Q512" s="5"/>
    </row>
    <row r="513" spans="1:17" ht="15.75" customHeight="1" x14ac:dyDescent="0.3">
      <c r="A513" s="30">
        <v>50</v>
      </c>
      <c r="B513" s="1">
        <v>12</v>
      </c>
      <c r="C513" s="96">
        <v>46001</v>
      </c>
      <c r="D513" s="90" t="s">
        <v>320</v>
      </c>
      <c r="E513" s="33" t="s">
        <v>367</v>
      </c>
      <c r="F513" s="33" t="s">
        <v>27</v>
      </c>
      <c r="G513" s="33" t="s">
        <v>311</v>
      </c>
      <c r="H513" s="27" t="s">
        <v>116</v>
      </c>
      <c r="I513" s="33" t="s">
        <v>10</v>
      </c>
      <c r="J513" s="33" t="s">
        <v>25</v>
      </c>
      <c r="K513" s="83" t="s">
        <v>364</v>
      </c>
      <c r="L513" s="33"/>
      <c r="M513" s="33">
        <v>200</v>
      </c>
      <c r="N513" s="33"/>
      <c r="O513" s="84" t="s">
        <v>20</v>
      </c>
      <c r="P513" s="33" t="s">
        <v>467</v>
      </c>
      <c r="Q513" s="5"/>
    </row>
    <row r="514" spans="1:17" ht="15.75" customHeight="1" x14ac:dyDescent="0.3">
      <c r="A514" s="30">
        <v>50</v>
      </c>
      <c r="B514" s="1">
        <v>12</v>
      </c>
      <c r="C514" s="96">
        <v>46001</v>
      </c>
      <c r="D514" s="90" t="s">
        <v>320</v>
      </c>
      <c r="E514" s="33" t="s">
        <v>477</v>
      </c>
      <c r="F514" s="33" t="s">
        <v>559</v>
      </c>
      <c r="G514" s="86" t="s">
        <v>408</v>
      </c>
      <c r="H514" s="13" t="s">
        <v>409</v>
      </c>
      <c r="I514" s="33" t="s">
        <v>10</v>
      </c>
      <c r="J514" s="33" t="s">
        <v>25</v>
      </c>
      <c r="K514" s="83" t="s">
        <v>369</v>
      </c>
      <c r="L514" s="33"/>
      <c r="M514" s="33">
        <v>720</v>
      </c>
      <c r="N514" s="33"/>
      <c r="O514" s="33" t="s">
        <v>560</v>
      </c>
      <c r="P514" s="33" t="s">
        <v>530</v>
      </c>
      <c r="Q514" s="5"/>
    </row>
    <row r="515" spans="1:17" ht="15.75" customHeight="1" x14ac:dyDescent="0.3">
      <c r="A515" s="30">
        <v>50</v>
      </c>
      <c r="B515" s="1">
        <v>12</v>
      </c>
      <c r="C515" s="96">
        <v>46001</v>
      </c>
      <c r="D515" s="90" t="s">
        <v>320</v>
      </c>
      <c r="E515" s="33" t="s">
        <v>356</v>
      </c>
      <c r="F515" s="33" t="s">
        <v>127</v>
      </c>
      <c r="G515" s="33" t="s">
        <v>408</v>
      </c>
      <c r="H515" s="13" t="s">
        <v>409</v>
      </c>
      <c r="I515" s="33" t="s">
        <v>10</v>
      </c>
      <c r="J515" s="33" t="s">
        <v>25</v>
      </c>
      <c r="K515" s="83" t="s">
        <v>397</v>
      </c>
      <c r="L515" s="33"/>
      <c r="M515" s="33">
        <v>200</v>
      </c>
      <c r="N515" s="33"/>
      <c r="O515" s="30" t="s">
        <v>526</v>
      </c>
      <c r="P515" s="33" t="s">
        <v>530</v>
      </c>
      <c r="Q515" s="5"/>
    </row>
    <row r="516" spans="1:17" ht="15.75" customHeight="1" x14ac:dyDescent="0.3">
      <c r="A516" s="30">
        <v>50</v>
      </c>
      <c r="B516" s="1">
        <v>12</v>
      </c>
      <c r="C516" s="96">
        <v>46001</v>
      </c>
      <c r="D516" s="90" t="s">
        <v>320</v>
      </c>
      <c r="E516" s="33" t="s">
        <v>356</v>
      </c>
      <c r="F516" s="33" t="s">
        <v>127</v>
      </c>
      <c r="G516" s="33" t="s">
        <v>457</v>
      </c>
      <c r="H516" s="13" t="s">
        <v>561</v>
      </c>
      <c r="I516" s="33" t="s">
        <v>10</v>
      </c>
      <c r="J516" s="33" t="s">
        <v>25</v>
      </c>
      <c r="K516" s="83" t="s">
        <v>369</v>
      </c>
      <c r="L516" s="33"/>
      <c r="M516" s="33">
        <v>1000</v>
      </c>
      <c r="N516" s="33"/>
      <c r="O516" s="30" t="s">
        <v>526</v>
      </c>
      <c r="P516" s="33" t="s">
        <v>530</v>
      </c>
      <c r="Q516" s="5"/>
    </row>
    <row r="517" spans="1:17" ht="15.75" customHeight="1" x14ac:dyDescent="0.3">
      <c r="A517" s="30">
        <v>50</v>
      </c>
      <c r="B517" s="1">
        <v>12</v>
      </c>
      <c r="C517" s="96">
        <v>46001</v>
      </c>
      <c r="D517" s="90" t="s">
        <v>320</v>
      </c>
      <c r="E517" s="33" t="s">
        <v>356</v>
      </c>
      <c r="F517" s="33" t="s">
        <v>127</v>
      </c>
      <c r="G517" s="33" t="s">
        <v>562</v>
      </c>
      <c r="H517" s="13" t="s">
        <v>563</v>
      </c>
      <c r="I517" s="33" t="s">
        <v>10</v>
      </c>
      <c r="J517" s="33" t="s">
        <v>25</v>
      </c>
      <c r="K517" s="83" t="s">
        <v>369</v>
      </c>
      <c r="L517" s="33"/>
      <c r="M517" s="33">
        <v>200</v>
      </c>
      <c r="N517" s="33"/>
      <c r="O517" s="30" t="s">
        <v>526</v>
      </c>
      <c r="P517" s="30" t="s">
        <v>397</v>
      </c>
      <c r="Q517" s="5"/>
    </row>
    <row r="518" spans="1:17" ht="15.75" customHeight="1" x14ac:dyDescent="0.3">
      <c r="A518" s="30">
        <v>50</v>
      </c>
      <c r="B518" s="1">
        <v>12</v>
      </c>
      <c r="C518" s="96">
        <v>46001</v>
      </c>
      <c r="D518" s="90" t="s">
        <v>320</v>
      </c>
      <c r="E518" s="33" t="s">
        <v>356</v>
      </c>
      <c r="F518" s="33" t="s">
        <v>127</v>
      </c>
      <c r="G518" s="33" t="s">
        <v>562</v>
      </c>
      <c r="H518" s="13" t="s">
        <v>563</v>
      </c>
      <c r="I518" s="33" t="s">
        <v>10</v>
      </c>
      <c r="J518" s="33" t="s">
        <v>25</v>
      </c>
      <c r="K518" s="83" t="s">
        <v>358</v>
      </c>
      <c r="L518" s="33"/>
      <c r="M518" s="33">
        <v>600</v>
      </c>
      <c r="N518" s="33"/>
      <c r="O518" s="33"/>
      <c r="P518" s="33" t="s">
        <v>359</v>
      </c>
      <c r="Q518" s="5"/>
    </row>
    <row r="519" spans="1:17" ht="15.75" customHeight="1" x14ac:dyDescent="0.3">
      <c r="A519" s="30">
        <v>50</v>
      </c>
      <c r="B519" s="1">
        <v>12</v>
      </c>
      <c r="C519" s="96">
        <v>46001</v>
      </c>
      <c r="D519" s="90" t="s">
        <v>320</v>
      </c>
      <c r="E519" s="33" t="s">
        <v>376</v>
      </c>
      <c r="F519" s="33" t="s">
        <v>450</v>
      </c>
      <c r="G519" s="33" t="s">
        <v>557</v>
      </c>
      <c r="H519" s="13" t="s">
        <v>46</v>
      </c>
      <c r="I519" s="33" t="s">
        <v>10</v>
      </c>
      <c r="J519" s="33" t="s">
        <v>25</v>
      </c>
      <c r="K519" s="83" t="s">
        <v>358</v>
      </c>
      <c r="L519" s="33"/>
      <c r="M519" s="33">
        <v>1000</v>
      </c>
      <c r="N519" s="33"/>
      <c r="O519" s="33" t="s">
        <v>414</v>
      </c>
      <c r="P519" s="33" t="s">
        <v>359</v>
      </c>
      <c r="Q519" s="5"/>
    </row>
    <row r="520" spans="1:17" ht="15.75" customHeight="1" x14ac:dyDescent="0.3">
      <c r="A520" s="30">
        <v>50</v>
      </c>
      <c r="B520" s="1">
        <v>12</v>
      </c>
      <c r="C520" s="96">
        <v>46001</v>
      </c>
      <c r="D520" s="90" t="s">
        <v>320</v>
      </c>
      <c r="E520" s="33" t="s">
        <v>78</v>
      </c>
      <c r="F520" s="33" t="s">
        <v>479</v>
      </c>
      <c r="G520" s="33" t="s">
        <v>408</v>
      </c>
      <c r="H520" s="13" t="s">
        <v>409</v>
      </c>
      <c r="I520" s="33" t="s">
        <v>10</v>
      </c>
      <c r="J520" s="33" t="s">
        <v>25</v>
      </c>
      <c r="K520" s="83" t="s">
        <v>358</v>
      </c>
      <c r="L520" s="33"/>
      <c r="M520" s="33">
        <v>550</v>
      </c>
      <c r="N520" s="33"/>
      <c r="O520" s="33" t="s">
        <v>540</v>
      </c>
      <c r="P520" s="33" t="s">
        <v>359</v>
      </c>
      <c r="Q520" s="5"/>
    </row>
    <row r="521" spans="1:17" ht="15.75" customHeight="1" x14ac:dyDescent="0.3">
      <c r="A521" s="30">
        <v>50</v>
      </c>
      <c r="B521" s="1">
        <v>12</v>
      </c>
      <c r="C521" s="96">
        <v>46001</v>
      </c>
      <c r="D521" s="90" t="s">
        <v>320</v>
      </c>
      <c r="E521" s="33" t="s">
        <v>78</v>
      </c>
      <c r="F521" s="33" t="s">
        <v>95</v>
      </c>
      <c r="G521" s="33" t="s">
        <v>408</v>
      </c>
      <c r="H521" s="13" t="s">
        <v>409</v>
      </c>
      <c r="I521" s="33" t="s">
        <v>10</v>
      </c>
      <c r="J521" s="33" t="s">
        <v>25</v>
      </c>
      <c r="K521" s="83" t="s">
        <v>358</v>
      </c>
      <c r="L521" s="33"/>
      <c r="M521" s="33">
        <v>134</v>
      </c>
      <c r="N521" s="33"/>
      <c r="O521" s="33" t="s">
        <v>540</v>
      </c>
      <c r="P521" s="33" t="s">
        <v>359</v>
      </c>
      <c r="Q521" s="5"/>
    </row>
    <row r="522" spans="1:17" ht="15.75" customHeight="1" x14ac:dyDescent="0.3">
      <c r="A522" s="30">
        <v>50</v>
      </c>
      <c r="B522" s="1">
        <v>12</v>
      </c>
      <c r="C522" s="96">
        <v>46001</v>
      </c>
      <c r="D522" s="90" t="s">
        <v>320</v>
      </c>
      <c r="E522" s="33" t="s">
        <v>78</v>
      </c>
      <c r="F522" s="33" t="s">
        <v>92</v>
      </c>
      <c r="G522" s="33" t="s">
        <v>408</v>
      </c>
      <c r="H522" s="13" t="s">
        <v>409</v>
      </c>
      <c r="I522" s="33" t="s">
        <v>10</v>
      </c>
      <c r="J522" s="33" t="s">
        <v>25</v>
      </c>
      <c r="K522" s="83" t="s">
        <v>358</v>
      </c>
      <c r="L522" s="33"/>
      <c r="M522" s="33">
        <v>44</v>
      </c>
      <c r="N522" s="33"/>
      <c r="O522" s="33" t="s">
        <v>540</v>
      </c>
      <c r="P522" s="33" t="s">
        <v>359</v>
      </c>
      <c r="Q522" s="5"/>
    </row>
    <row r="523" spans="1:17" ht="15.75" customHeight="1" x14ac:dyDescent="0.3">
      <c r="A523" s="30">
        <v>50</v>
      </c>
      <c r="B523" s="1">
        <v>12</v>
      </c>
      <c r="C523" s="96">
        <v>46001</v>
      </c>
      <c r="D523" s="90" t="s">
        <v>320</v>
      </c>
      <c r="E523" s="33" t="s">
        <v>317</v>
      </c>
      <c r="F523" s="33" t="s">
        <v>102</v>
      </c>
      <c r="G523" s="33" t="s">
        <v>311</v>
      </c>
      <c r="H523" s="13" t="s">
        <v>317</v>
      </c>
      <c r="I523" s="33" t="s">
        <v>10</v>
      </c>
      <c r="J523" s="33" t="s">
        <v>25</v>
      </c>
      <c r="K523" s="83" t="s">
        <v>369</v>
      </c>
      <c r="L523" s="33"/>
      <c r="M523" s="33">
        <v>1500</v>
      </c>
      <c r="N523" s="33"/>
      <c r="O523" s="33" t="s">
        <v>86</v>
      </c>
      <c r="P523" s="33" t="s">
        <v>530</v>
      </c>
      <c r="Q523" s="5"/>
    </row>
    <row r="524" spans="1:17" ht="15.75" customHeight="1" x14ac:dyDescent="0.3">
      <c r="A524" s="30">
        <v>50</v>
      </c>
      <c r="B524" s="1">
        <v>12</v>
      </c>
      <c r="C524" s="96">
        <v>46001</v>
      </c>
      <c r="D524" s="90" t="s">
        <v>320</v>
      </c>
      <c r="E524" s="33" t="s">
        <v>317</v>
      </c>
      <c r="F524" s="33" t="s">
        <v>564</v>
      </c>
      <c r="G524" s="86" t="s">
        <v>311</v>
      </c>
      <c r="H524" s="13" t="s">
        <v>317</v>
      </c>
      <c r="I524" s="33" t="s">
        <v>10</v>
      </c>
      <c r="J524" s="33" t="s">
        <v>25</v>
      </c>
      <c r="K524" s="83" t="s">
        <v>565</v>
      </c>
      <c r="L524" s="33"/>
      <c r="M524" s="33">
        <v>5030</v>
      </c>
      <c r="N524" s="33"/>
      <c r="O524" s="33" t="s">
        <v>566</v>
      </c>
      <c r="P524" s="33" t="s">
        <v>567</v>
      </c>
      <c r="Q524" s="5"/>
    </row>
    <row r="525" spans="1:17" ht="15.75" customHeight="1" x14ac:dyDescent="0.3">
      <c r="A525" s="30">
        <v>50</v>
      </c>
      <c r="B525" s="1">
        <v>12</v>
      </c>
      <c r="C525" s="96">
        <v>46002</v>
      </c>
      <c r="D525" s="90" t="s">
        <v>320</v>
      </c>
      <c r="E525" s="33" t="s">
        <v>78</v>
      </c>
      <c r="F525" s="33" t="s">
        <v>568</v>
      </c>
      <c r="G525" s="83" t="s">
        <v>569</v>
      </c>
      <c r="H525" s="83" t="s">
        <v>68</v>
      </c>
      <c r="I525" s="33" t="s">
        <v>10</v>
      </c>
      <c r="J525" s="33" t="s">
        <v>25</v>
      </c>
      <c r="K525" s="83" t="s">
        <v>397</v>
      </c>
      <c r="L525" s="33"/>
      <c r="M525" s="33">
        <v>550</v>
      </c>
      <c r="N525" s="33"/>
      <c r="O525" s="33" t="s">
        <v>540</v>
      </c>
      <c r="P525" s="30" t="s">
        <v>397</v>
      </c>
      <c r="Q525" s="5"/>
    </row>
    <row r="526" spans="1:17" ht="15.75" customHeight="1" x14ac:dyDescent="0.3">
      <c r="A526" s="30">
        <v>50</v>
      </c>
      <c r="B526" s="1">
        <v>12</v>
      </c>
      <c r="C526" s="96">
        <v>46002</v>
      </c>
      <c r="D526" s="90" t="s">
        <v>320</v>
      </c>
      <c r="E526" s="33" t="s">
        <v>78</v>
      </c>
      <c r="F526" s="33" t="s">
        <v>568</v>
      </c>
      <c r="G526" s="83" t="s">
        <v>570</v>
      </c>
      <c r="H526" s="83" t="s">
        <v>571</v>
      </c>
      <c r="I526" s="33" t="s">
        <v>10</v>
      </c>
      <c r="J526" s="33" t="s">
        <v>25</v>
      </c>
      <c r="K526" s="83" t="s">
        <v>397</v>
      </c>
      <c r="L526" s="33"/>
      <c r="M526" s="33">
        <v>550</v>
      </c>
      <c r="N526" s="33"/>
      <c r="O526" s="33" t="s">
        <v>540</v>
      </c>
      <c r="P526" s="30" t="s">
        <v>397</v>
      </c>
      <c r="Q526" s="5"/>
    </row>
    <row r="527" spans="1:17" ht="15.75" customHeight="1" x14ac:dyDescent="0.3">
      <c r="A527" s="30">
        <v>50</v>
      </c>
      <c r="B527" s="1">
        <v>12</v>
      </c>
      <c r="C527" s="96">
        <v>46002</v>
      </c>
      <c r="D527" s="90" t="s">
        <v>320</v>
      </c>
      <c r="E527" s="33" t="s">
        <v>78</v>
      </c>
      <c r="F527" s="33" t="s">
        <v>92</v>
      </c>
      <c r="G527" s="83" t="s">
        <v>569</v>
      </c>
      <c r="H527" s="83" t="s">
        <v>68</v>
      </c>
      <c r="I527" s="33" t="s">
        <v>10</v>
      </c>
      <c r="J527" s="33" t="s">
        <v>25</v>
      </c>
      <c r="K527" s="83" t="s">
        <v>397</v>
      </c>
      <c r="L527" s="33"/>
      <c r="M527" s="33">
        <v>114</v>
      </c>
      <c r="N527" s="33"/>
      <c r="O527" s="33" t="s">
        <v>540</v>
      </c>
      <c r="P527" s="30" t="s">
        <v>397</v>
      </c>
      <c r="Q527" s="5"/>
    </row>
    <row r="528" spans="1:17" ht="15.75" customHeight="1" x14ac:dyDescent="0.3">
      <c r="A528" s="30">
        <v>50</v>
      </c>
      <c r="B528" s="1">
        <v>12</v>
      </c>
      <c r="C528" s="96">
        <v>46002</v>
      </c>
      <c r="D528" s="90" t="s">
        <v>320</v>
      </c>
      <c r="E528" s="33" t="s">
        <v>78</v>
      </c>
      <c r="F528" s="33" t="s">
        <v>92</v>
      </c>
      <c r="G528" s="83" t="s">
        <v>570</v>
      </c>
      <c r="H528" s="83" t="s">
        <v>571</v>
      </c>
      <c r="I528" s="33" t="s">
        <v>10</v>
      </c>
      <c r="J528" s="33" t="s">
        <v>25</v>
      </c>
      <c r="K528" s="83" t="s">
        <v>397</v>
      </c>
      <c r="L528" s="33"/>
      <c r="M528" s="33">
        <v>35</v>
      </c>
      <c r="N528" s="33"/>
      <c r="O528" s="33" t="s">
        <v>540</v>
      </c>
      <c r="P528" s="30" t="s">
        <v>397</v>
      </c>
      <c r="Q528" s="5"/>
    </row>
    <row r="529" spans="1:17" ht="15.75" customHeight="1" x14ac:dyDescent="0.3">
      <c r="A529" s="30">
        <v>50</v>
      </c>
      <c r="B529" s="1">
        <v>12</v>
      </c>
      <c r="C529" s="96">
        <v>46002</v>
      </c>
      <c r="D529" s="90" t="s">
        <v>320</v>
      </c>
      <c r="E529" s="33" t="s">
        <v>78</v>
      </c>
      <c r="F529" s="33" t="s">
        <v>95</v>
      </c>
      <c r="G529" s="83" t="s">
        <v>570</v>
      </c>
      <c r="H529" s="83" t="s">
        <v>571</v>
      </c>
      <c r="I529" s="33" t="s">
        <v>10</v>
      </c>
      <c r="J529" s="33" t="s">
        <v>25</v>
      </c>
      <c r="K529" s="83" t="s">
        <v>397</v>
      </c>
      <c r="L529" s="33"/>
      <c r="M529" s="33">
        <v>63</v>
      </c>
      <c r="N529" s="33"/>
      <c r="O529" s="33" t="s">
        <v>540</v>
      </c>
      <c r="P529" s="30" t="s">
        <v>397</v>
      </c>
      <c r="Q529" s="5"/>
    </row>
    <row r="530" spans="1:17" ht="15.75" customHeight="1" x14ac:dyDescent="0.3">
      <c r="A530" s="30">
        <v>50</v>
      </c>
      <c r="B530" s="1">
        <v>12</v>
      </c>
      <c r="C530" s="96">
        <v>46002</v>
      </c>
      <c r="D530" s="90" t="s">
        <v>320</v>
      </c>
      <c r="E530" s="33" t="s">
        <v>78</v>
      </c>
      <c r="F530" s="33" t="s">
        <v>95</v>
      </c>
      <c r="G530" s="83" t="s">
        <v>569</v>
      </c>
      <c r="H530" s="83" t="s">
        <v>68</v>
      </c>
      <c r="I530" s="33" t="s">
        <v>10</v>
      </c>
      <c r="J530" s="33" t="s">
        <v>25</v>
      </c>
      <c r="K530" s="83" t="s">
        <v>397</v>
      </c>
      <c r="L530" s="33"/>
      <c r="M530" s="33">
        <v>67</v>
      </c>
      <c r="N530" s="33"/>
      <c r="O530" s="33" t="s">
        <v>540</v>
      </c>
      <c r="P530" s="30" t="s">
        <v>397</v>
      </c>
      <c r="Q530" s="5"/>
    </row>
    <row r="531" spans="1:17" ht="15.75" customHeight="1" x14ac:dyDescent="0.3">
      <c r="A531" s="30">
        <v>50</v>
      </c>
      <c r="B531" s="1">
        <v>12</v>
      </c>
      <c r="C531" s="96">
        <v>46002</v>
      </c>
      <c r="D531" s="90" t="s">
        <v>320</v>
      </c>
      <c r="E531" s="33" t="s">
        <v>78</v>
      </c>
      <c r="F531" s="33" t="s">
        <v>485</v>
      </c>
      <c r="G531" s="83" t="s">
        <v>569</v>
      </c>
      <c r="H531" s="83" t="s">
        <v>68</v>
      </c>
      <c r="I531" s="33" t="s">
        <v>10</v>
      </c>
      <c r="J531" s="33" t="s">
        <v>25</v>
      </c>
      <c r="K531" s="83" t="s">
        <v>397</v>
      </c>
      <c r="L531" s="33"/>
      <c r="M531" s="33">
        <v>1012</v>
      </c>
      <c r="N531" s="33"/>
      <c r="O531" s="33" t="s">
        <v>540</v>
      </c>
      <c r="P531" s="30" t="s">
        <v>397</v>
      </c>
      <c r="Q531" s="5"/>
    </row>
    <row r="532" spans="1:17" ht="15.75" customHeight="1" x14ac:dyDescent="0.3">
      <c r="A532" s="30">
        <v>50</v>
      </c>
      <c r="B532" s="1">
        <v>12</v>
      </c>
      <c r="C532" s="96">
        <v>46002</v>
      </c>
      <c r="D532" s="90" t="s">
        <v>320</v>
      </c>
      <c r="E532" s="33" t="s">
        <v>78</v>
      </c>
      <c r="F532" s="33" t="s">
        <v>485</v>
      </c>
      <c r="G532" s="83" t="s">
        <v>570</v>
      </c>
      <c r="H532" s="83" t="s">
        <v>571</v>
      </c>
      <c r="I532" s="33" t="s">
        <v>10</v>
      </c>
      <c r="J532" s="33" t="s">
        <v>25</v>
      </c>
      <c r="K532" s="83" t="s">
        <v>397</v>
      </c>
      <c r="L532" s="33"/>
      <c r="M532" s="33">
        <v>140</v>
      </c>
      <c r="N532" s="33"/>
      <c r="O532" s="33" t="s">
        <v>540</v>
      </c>
      <c r="P532" s="30" t="s">
        <v>397</v>
      </c>
      <c r="Q532" s="5"/>
    </row>
    <row r="533" spans="1:17" ht="15.75" customHeight="1" x14ac:dyDescent="0.3">
      <c r="A533" s="30">
        <v>50</v>
      </c>
      <c r="B533" s="1">
        <v>12</v>
      </c>
      <c r="C533" s="96">
        <v>46002</v>
      </c>
      <c r="D533" s="90" t="s">
        <v>320</v>
      </c>
      <c r="E533" s="33" t="s">
        <v>376</v>
      </c>
      <c r="F533" s="33" t="s">
        <v>572</v>
      </c>
      <c r="G533" s="83" t="s">
        <v>457</v>
      </c>
      <c r="H533" s="13" t="s">
        <v>573</v>
      </c>
      <c r="I533" s="33" t="s">
        <v>10</v>
      </c>
      <c r="J533" s="33" t="s">
        <v>25</v>
      </c>
      <c r="K533" s="83" t="s">
        <v>397</v>
      </c>
      <c r="L533" s="33"/>
      <c r="M533" s="33">
        <v>858</v>
      </c>
      <c r="N533" s="33"/>
      <c r="O533" s="33" t="s">
        <v>574</v>
      </c>
      <c r="P533" s="30" t="s">
        <v>397</v>
      </c>
      <c r="Q533" s="5"/>
    </row>
    <row r="534" spans="1:17" ht="15.75" customHeight="1" x14ac:dyDescent="0.3">
      <c r="A534" s="30">
        <v>50</v>
      </c>
      <c r="B534" s="1">
        <v>12</v>
      </c>
      <c r="C534" s="96">
        <v>46002</v>
      </c>
      <c r="D534" s="90" t="s">
        <v>320</v>
      </c>
      <c r="E534" s="33" t="s">
        <v>376</v>
      </c>
      <c r="F534" s="33" t="s">
        <v>199</v>
      </c>
      <c r="G534" s="83" t="s">
        <v>379</v>
      </c>
      <c r="H534" s="83" t="s">
        <v>104</v>
      </c>
      <c r="I534" s="33" t="s">
        <v>10</v>
      </c>
      <c r="J534" s="33" t="s">
        <v>25</v>
      </c>
      <c r="K534" s="83" t="s">
        <v>397</v>
      </c>
      <c r="L534" s="33"/>
      <c r="M534" s="33">
        <v>320</v>
      </c>
      <c r="N534" s="33"/>
      <c r="O534" s="33" t="s">
        <v>575</v>
      </c>
      <c r="P534" s="30" t="s">
        <v>397</v>
      </c>
      <c r="Q534" s="5"/>
    </row>
    <row r="535" spans="1:17" ht="15.75" customHeight="1" x14ac:dyDescent="0.3">
      <c r="A535" s="30">
        <v>50</v>
      </c>
      <c r="B535" s="1">
        <v>12</v>
      </c>
      <c r="C535" s="96">
        <v>46002</v>
      </c>
      <c r="D535" s="90" t="s">
        <v>320</v>
      </c>
      <c r="E535" s="33" t="s">
        <v>376</v>
      </c>
      <c r="F535" s="33" t="s">
        <v>576</v>
      </c>
      <c r="G535" s="83" t="s">
        <v>379</v>
      </c>
      <c r="H535" s="83" t="s">
        <v>104</v>
      </c>
      <c r="I535" s="33" t="s">
        <v>10</v>
      </c>
      <c r="J535" s="33" t="s">
        <v>25</v>
      </c>
      <c r="K535" s="83" t="s">
        <v>364</v>
      </c>
      <c r="L535" s="33"/>
      <c r="M535" s="33">
        <v>70</v>
      </c>
      <c r="N535" s="33"/>
      <c r="O535" s="33" t="s">
        <v>577</v>
      </c>
      <c r="P535" s="30" t="s">
        <v>578</v>
      </c>
      <c r="Q535" s="5" t="s">
        <v>374</v>
      </c>
    </row>
    <row r="536" spans="1:17" ht="15.75" customHeight="1" x14ac:dyDescent="0.3">
      <c r="A536" s="30">
        <v>50</v>
      </c>
      <c r="B536" s="1">
        <v>12</v>
      </c>
      <c r="C536" s="96">
        <v>46002</v>
      </c>
      <c r="D536" s="90" t="s">
        <v>320</v>
      </c>
      <c r="E536" s="33" t="s">
        <v>376</v>
      </c>
      <c r="F536" s="33" t="s">
        <v>579</v>
      </c>
      <c r="G536" s="83" t="s">
        <v>379</v>
      </c>
      <c r="H536" s="83" t="s">
        <v>104</v>
      </c>
      <c r="I536" s="33" t="s">
        <v>10</v>
      </c>
      <c r="J536" s="33" t="s">
        <v>25</v>
      </c>
      <c r="K536" s="83" t="s">
        <v>397</v>
      </c>
      <c r="L536" s="33"/>
      <c r="M536" s="33">
        <v>80</v>
      </c>
      <c r="N536" s="33"/>
      <c r="O536" s="33" t="s">
        <v>580</v>
      </c>
      <c r="P536" s="30" t="s">
        <v>397</v>
      </c>
      <c r="Q536" s="5"/>
    </row>
    <row r="537" spans="1:17" ht="15.75" customHeight="1" x14ac:dyDescent="0.3">
      <c r="A537" s="30">
        <v>50</v>
      </c>
      <c r="B537" s="1">
        <v>12</v>
      </c>
      <c r="C537" s="96">
        <v>46002</v>
      </c>
      <c r="D537" s="90" t="s">
        <v>320</v>
      </c>
      <c r="E537" s="33" t="s">
        <v>376</v>
      </c>
      <c r="F537" s="33" t="s">
        <v>226</v>
      </c>
      <c r="G537" s="83" t="s">
        <v>457</v>
      </c>
      <c r="H537" s="13" t="s">
        <v>135</v>
      </c>
      <c r="I537" s="33" t="s">
        <v>10</v>
      </c>
      <c r="J537" s="33" t="s">
        <v>25</v>
      </c>
      <c r="K537" s="83" t="s">
        <v>364</v>
      </c>
      <c r="L537" s="33"/>
      <c r="M537" s="33">
        <v>200</v>
      </c>
      <c r="N537" s="33"/>
      <c r="O537" s="84" t="s">
        <v>20</v>
      </c>
      <c r="P537" s="30" t="s">
        <v>581</v>
      </c>
      <c r="Q537" s="30" t="s">
        <v>581</v>
      </c>
    </row>
    <row r="538" spans="1:17" ht="15.75" customHeight="1" x14ac:dyDescent="0.3">
      <c r="A538" s="30">
        <v>50</v>
      </c>
      <c r="B538" s="1">
        <v>12</v>
      </c>
      <c r="C538" s="96">
        <v>46002</v>
      </c>
      <c r="D538" s="90" t="s">
        <v>320</v>
      </c>
      <c r="E538" s="33" t="s">
        <v>422</v>
      </c>
      <c r="F538" s="33" t="s">
        <v>582</v>
      </c>
      <c r="G538" s="83" t="s">
        <v>311</v>
      </c>
      <c r="H538" s="13" t="s">
        <v>62</v>
      </c>
      <c r="I538" s="33" t="s">
        <v>10</v>
      </c>
      <c r="J538" s="33" t="s">
        <v>25</v>
      </c>
      <c r="K538" s="83" t="s">
        <v>369</v>
      </c>
      <c r="L538" s="33"/>
      <c r="M538" s="33">
        <v>18700</v>
      </c>
      <c r="N538" s="33"/>
      <c r="O538" s="84" t="s">
        <v>583</v>
      </c>
      <c r="P538" s="30" t="s">
        <v>584</v>
      </c>
      <c r="Q538" s="30"/>
    </row>
    <row r="539" spans="1:17" ht="15.75" customHeight="1" x14ac:dyDescent="0.3">
      <c r="A539" s="30">
        <v>50</v>
      </c>
      <c r="B539" s="1">
        <v>12</v>
      </c>
      <c r="C539" s="96">
        <v>46003</v>
      </c>
      <c r="D539" s="90" t="s">
        <v>320</v>
      </c>
      <c r="E539" s="33" t="s">
        <v>376</v>
      </c>
      <c r="F539" s="33" t="s">
        <v>413</v>
      </c>
      <c r="G539" s="83" t="s">
        <v>585</v>
      </c>
      <c r="H539" s="13" t="s">
        <v>42</v>
      </c>
      <c r="I539" s="33" t="s">
        <v>10</v>
      </c>
      <c r="J539" s="33" t="s">
        <v>25</v>
      </c>
      <c r="K539" s="83" t="s">
        <v>369</v>
      </c>
      <c r="L539" s="33"/>
      <c r="M539" s="83" t="s">
        <v>473</v>
      </c>
      <c r="N539" s="33"/>
      <c r="O539" s="84" t="s">
        <v>20</v>
      </c>
      <c r="P539" s="30" t="s">
        <v>530</v>
      </c>
      <c r="Q539" s="5"/>
    </row>
    <row r="540" spans="1:17" ht="15.75" customHeight="1" x14ac:dyDescent="0.3">
      <c r="A540" s="30">
        <v>50</v>
      </c>
      <c r="B540" s="1">
        <v>12</v>
      </c>
      <c r="C540" s="96">
        <v>46003</v>
      </c>
      <c r="D540" s="90" t="s">
        <v>320</v>
      </c>
      <c r="E540" s="33" t="s">
        <v>376</v>
      </c>
      <c r="F540" s="33" t="s">
        <v>413</v>
      </c>
      <c r="G540" s="83" t="s">
        <v>569</v>
      </c>
      <c r="H540" s="83" t="s">
        <v>68</v>
      </c>
      <c r="I540" s="33" t="s">
        <v>10</v>
      </c>
      <c r="J540" s="33" t="s">
        <v>25</v>
      </c>
      <c r="K540" s="83" t="s">
        <v>369</v>
      </c>
      <c r="L540" s="33"/>
      <c r="M540" s="83" t="s">
        <v>473</v>
      </c>
      <c r="N540" s="33"/>
      <c r="O540" s="84" t="s">
        <v>20</v>
      </c>
      <c r="P540" s="30" t="s">
        <v>530</v>
      </c>
      <c r="Q540" s="5"/>
    </row>
    <row r="541" spans="1:17" ht="15.75" customHeight="1" x14ac:dyDescent="0.3">
      <c r="A541" s="30">
        <v>50</v>
      </c>
      <c r="B541" s="1">
        <v>12</v>
      </c>
      <c r="C541" s="96">
        <v>46003</v>
      </c>
      <c r="D541" s="90" t="s">
        <v>320</v>
      </c>
      <c r="E541" s="33" t="s">
        <v>477</v>
      </c>
      <c r="F541" s="33" t="s">
        <v>559</v>
      </c>
      <c r="G541" s="86" t="s">
        <v>371</v>
      </c>
      <c r="H541" s="13" t="s">
        <v>372</v>
      </c>
      <c r="I541" s="33" t="s">
        <v>10</v>
      </c>
      <c r="J541" s="33" t="s">
        <v>39</v>
      </c>
      <c r="K541" s="83" t="s">
        <v>369</v>
      </c>
      <c r="L541" s="33"/>
      <c r="M541" s="33">
        <v>740</v>
      </c>
      <c r="N541" s="33"/>
      <c r="O541" s="33" t="s">
        <v>586</v>
      </c>
      <c r="P541" s="30" t="s">
        <v>587</v>
      </c>
      <c r="Q541" s="5"/>
    </row>
    <row r="542" spans="1:17" ht="15.75" customHeight="1" x14ac:dyDescent="0.3">
      <c r="A542" s="30">
        <v>50</v>
      </c>
      <c r="B542" s="1">
        <v>12</v>
      </c>
      <c r="C542" s="96">
        <v>46003</v>
      </c>
      <c r="D542" s="90" t="s">
        <v>320</v>
      </c>
      <c r="E542" s="33" t="s">
        <v>477</v>
      </c>
      <c r="F542" s="33" t="s">
        <v>559</v>
      </c>
      <c r="G542" s="86" t="s">
        <v>569</v>
      </c>
      <c r="H542" s="83" t="s">
        <v>68</v>
      </c>
      <c r="I542" s="33" t="s">
        <v>10</v>
      </c>
      <c r="J542" s="33" t="s">
        <v>25</v>
      </c>
      <c r="K542" s="83" t="s">
        <v>369</v>
      </c>
      <c r="L542" s="33"/>
      <c r="M542" s="33">
        <v>740</v>
      </c>
      <c r="N542" s="33"/>
      <c r="O542" s="33" t="s">
        <v>560</v>
      </c>
      <c r="P542" s="30" t="s">
        <v>530</v>
      </c>
      <c r="Q542" s="5"/>
    </row>
    <row r="543" spans="1:17" ht="15.75" customHeight="1" x14ac:dyDescent="0.3">
      <c r="A543" s="30">
        <v>50</v>
      </c>
      <c r="B543" s="1">
        <v>12</v>
      </c>
      <c r="C543" s="96">
        <v>46003</v>
      </c>
      <c r="D543" s="90" t="s">
        <v>320</v>
      </c>
      <c r="E543" s="33" t="s">
        <v>446</v>
      </c>
      <c r="F543" s="33" t="s">
        <v>588</v>
      </c>
      <c r="G543" s="83" t="s">
        <v>311</v>
      </c>
      <c r="H543" s="13" t="s">
        <v>62</v>
      </c>
      <c r="I543" s="33" t="s">
        <v>10</v>
      </c>
      <c r="J543" s="33" t="s">
        <v>25</v>
      </c>
      <c r="K543" s="83" t="s">
        <v>369</v>
      </c>
      <c r="L543" s="33"/>
      <c r="M543" s="33">
        <v>220</v>
      </c>
      <c r="N543" s="33"/>
      <c r="O543" s="33" t="s">
        <v>589</v>
      </c>
      <c r="P543" s="30" t="s">
        <v>530</v>
      </c>
      <c r="Q543" s="5"/>
    </row>
    <row r="544" spans="1:17" ht="15.75" customHeight="1" x14ac:dyDescent="0.3">
      <c r="A544" s="30">
        <v>50</v>
      </c>
      <c r="B544" s="1">
        <v>12</v>
      </c>
      <c r="C544" s="96">
        <v>46003</v>
      </c>
      <c r="D544" s="90" t="s">
        <v>320</v>
      </c>
      <c r="E544" s="33" t="s">
        <v>446</v>
      </c>
      <c r="F544" s="33" t="s">
        <v>590</v>
      </c>
      <c r="G544" s="83" t="s">
        <v>311</v>
      </c>
      <c r="H544" s="13" t="s">
        <v>62</v>
      </c>
      <c r="I544" s="33" t="s">
        <v>10</v>
      </c>
      <c r="J544" s="33" t="s">
        <v>25</v>
      </c>
      <c r="K544" s="83" t="s">
        <v>369</v>
      </c>
      <c r="L544" s="33"/>
      <c r="M544" s="33">
        <v>315</v>
      </c>
      <c r="N544" s="33"/>
      <c r="O544" s="33" t="s">
        <v>589</v>
      </c>
      <c r="P544" s="30" t="s">
        <v>530</v>
      </c>
      <c r="Q544" s="5"/>
    </row>
    <row r="545" spans="1:17" ht="15.75" customHeight="1" x14ac:dyDescent="0.3">
      <c r="A545" s="30">
        <v>50</v>
      </c>
      <c r="B545" s="1">
        <v>12</v>
      </c>
      <c r="C545" s="96">
        <v>46003</v>
      </c>
      <c r="D545" s="90" t="s">
        <v>320</v>
      </c>
      <c r="E545" s="33" t="s">
        <v>446</v>
      </c>
      <c r="F545" s="33" t="s">
        <v>591</v>
      </c>
      <c r="G545" s="83" t="s">
        <v>311</v>
      </c>
      <c r="H545" s="13" t="s">
        <v>62</v>
      </c>
      <c r="I545" s="33" t="s">
        <v>10</v>
      </c>
      <c r="J545" s="33" t="s">
        <v>25</v>
      </c>
      <c r="K545" s="83" t="s">
        <v>369</v>
      </c>
      <c r="L545" s="33"/>
      <c r="M545" s="33">
        <v>735</v>
      </c>
      <c r="N545" s="33"/>
      <c r="O545" s="33" t="s">
        <v>589</v>
      </c>
      <c r="P545" s="30" t="s">
        <v>530</v>
      </c>
      <c r="Q545" s="5"/>
    </row>
    <row r="546" spans="1:17" ht="15.75" customHeight="1" x14ac:dyDescent="0.3">
      <c r="A546" s="30">
        <v>50</v>
      </c>
      <c r="B546" s="1">
        <v>12</v>
      </c>
      <c r="C546" s="96">
        <v>46003</v>
      </c>
      <c r="D546" s="90" t="s">
        <v>320</v>
      </c>
      <c r="E546" s="33" t="s">
        <v>446</v>
      </c>
      <c r="F546" s="33" t="s">
        <v>592</v>
      </c>
      <c r="G546" s="83" t="s">
        <v>457</v>
      </c>
      <c r="H546" s="13" t="s">
        <v>561</v>
      </c>
      <c r="I546" s="33" t="s">
        <v>10</v>
      </c>
      <c r="J546" s="33" t="s">
        <v>25</v>
      </c>
      <c r="K546" s="83" t="s">
        <v>369</v>
      </c>
      <c r="L546" s="33"/>
      <c r="M546" s="33">
        <v>129</v>
      </c>
      <c r="N546" s="33"/>
      <c r="O546" s="33" t="s">
        <v>589</v>
      </c>
      <c r="P546" s="30" t="s">
        <v>530</v>
      </c>
      <c r="Q546" s="5"/>
    </row>
    <row r="547" spans="1:17" ht="15.75" customHeight="1" x14ac:dyDescent="0.3">
      <c r="A547" s="30">
        <v>50</v>
      </c>
      <c r="B547" s="1">
        <v>12</v>
      </c>
      <c r="C547" s="96">
        <v>46003</v>
      </c>
      <c r="D547" s="90" t="s">
        <v>320</v>
      </c>
      <c r="E547" s="33" t="s">
        <v>356</v>
      </c>
      <c r="F547" s="33" t="s">
        <v>127</v>
      </c>
      <c r="G547" s="83" t="s">
        <v>311</v>
      </c>
      <c r="H547" s="83" t="s">
        <v>17</v>
      </c>
      <c r="I547" s="33" t="s">
        <v>10</v>
      </c>
      <c r="J547" s="33" t="s">
        <v>25</v>
      </c>
      <c r="K547" s="83" t="s">
        <v>358</v>
      </c>
      <c r="L547" s="33"/>
      <c r="M547" s="33">
        <v>260</v>
      </c>
      <c r="N547" s="33"/>
      <c r="O547" s="33" t="s">
        <v>593</v>
      </c>
      <c r="P547" s="30" t="s">
        <v>359</v>
      </c>
      <c r="Q547" s="5"/>
    </row>
    <row r="548" spans="1:17" ht="15.75" customHeight="1" x14ac:dyDescent="0.3">
      <c r="A548" s="30">
        <v>50</v>
      </c>
      <c r="B548" s="1">
        <v>12</v>
      </c>
      <c r="C548" s="96">
        <v>46003</v>
      </c>
      <c r="D548" s="90" t="s">
        <v>320</v>
      </c>
      <c r="E548" s="33" t="s">
        <v>356</v>
      </c>
      <c r="F548" s="33" t="s">
        <v>127</v>
      </c>
      <c r="G548" s="83" t="s">
        <v>594</v>
      </c>
      <c r="H548" s="83" t="s">
        <v>152</v>
      </c>
      <c r="I548" s="33" t="s">
        <v>10</v>
      </c>
      <c r="J548" s="33" t="s">
        <v>25</v>
      </c>
      <c r="K548" s="83" t="s">
        <v>397</v>
      </c>
      <c r="L548" s="33"/>
      <c r="M548" s="33">
        <v>250</v>
      </c>
      <c r="N548" s="33"/>
      <c r="O548" s="33" t="s">
        <v>593</v>
      </c>
      <c r="P548" s="30" t="s">
        <v>397</v>
      </c>
      <c r="Q548" s="5"/>
    </row>
    <row r="549" spans="1:17" ht="15.75" customHeight="1" x14ac:dyDescent="0.3">
      <c r="A549" s="30">
        <v>50</v>
      </c>
      <c r="B549" s="1">
        <v>12</v>
      </c>
      <c r="C549" s="96">
        <v>46003</v>
      </c>
      <c r="D549" s="90" t="s">
        <v>320</v>
      </c>
      <c r="E549" s="33" t="s">
        <v>356</v>
      </c>
      <c r="F549" s="33" t="s">
        <v>127</v>
      </c>
      <c r="G549" s="83" t="s">
        <v>379</v>
      </c>
      <c r="H549" s="83" t="s">
        <v>104</v>
      </c>
      <c r="I549" s="33" t="s">
        <v>10</v>
      </c>
      <c r="J549" s="33" t="s">
        <v>25</v>
      </c>
      <c r="K549" s="83" t="s">
        <v>397</v>
      </c>
      <c r="L549" s="33"/>
      <c r="M549" s="33">
        <v>250</v>
      </c>
      <c r="N549" s="33"/>
      <c r="O549" s="33" t="s">
        <v>593</v>
      </c>
      <c r="P549" s="30" t="s">
        <v>397</v>
      </c>
      <c r="Q549" s="5"/>
    </row>
    <row r="550" spans="1:17" ht="15.75" customHeight="1" x14ac:dyDescent="0.3">
      <c r="A550" s="30">
        <v>50</v>
      </c>
      <c r="B550" s="1">
        <v>12</v>
      </c>
      <c r="C550" s="96">
        <v>46004</v>
      </c>
      <c r="D550" s="90" t="s">
        <v>320</v>
      </c>
      <c r="E550" s="33" t="s">
        <v>356</v>
      </c>
      <c r="F550" s="33" t="s">
        <v>127</v>
      </c>
      <c r="G550" s="83" t="s">
        <v>595</v>
      </c>
      <c r="H550" s="83" t="s">
        <v>596</v>
      </c>
      <c r="I550" s="33" t="s">
        <v>10</v>
      </c>
      <c r="J550" s="33" t="s">
        <v>25</v>
      </c>
      <c r="K550" s="83" t="s">
        <v>397</v>
      </c>
      <c r="L550" s="33"/>
      <c r="M550" s="33">
        <v>746</v>
      </c>
      <c r="N550" s="33"/>
      <c r="O550" s="33" t="s">
        <v>593</v>
      </c>
      <c r="P550" s="30" t="s">
        <v>397</v>
      </c>
      <c r="Q550" s="5"/>
    </row>
    <row r="551" spans="1:17" ht="15.75" customHeight="1" x14ac:dyDescent="0.3">
      <c r="A551" s="30">
        <v>50</v>
      </c>
      <c r="B551" s="1">
        <v>12</v>
      </c>
      <c r="C551" s="96">
        <v>46004</v>
      </c>
      <c r="D551" s="90" t="s">
        <v>320</v>
      </c>
      <c r="E551" s="33" t="s">
        <v>376</v>
      </c>
      <c r="F551" s="33" t="s">
        <v>556</v>
      </c>
      <c r="G551" s="83" t="s">
        <v>569</v>
      </c>
      <c r="H551" s="17" t="s">
        <v>68</v>
      </c>
      <c r="I551" s="33" t="s">
        <v>10</v>
      </c>
      <c r="J551" s="33" t="s">
        <v>25</v>
      </c>
      <c r="K551" s="83" t="s">
        <v>397</v>
      </c>
      <c r="L551" s="33"/>
      <c r="M551" s="33">
        <v>2907</v>
      </c>
      <c r="N551" s="33"/>
      <c r="O551" s="33" t="s">
        <v>574</v>
      </c>
      <c r="P551" s="30" t="s">
        <v>597</v>
      </c>
      <c r="Q551" s="5"/>
    </row>
    <row r="552" spans="1:17" ht="15.75" customHeight="1" x14ac:dyDescent="0.3">
      <c r="A552" s="30">
        <v>50</v>
      </c>
      <c r="B552" s="1">
        <v>12</v>
      </c>
      <c r="C552" s="96">
        <v>46004</v>
      </c>
      <c r="D552" s="90" t="s">
        <v>320</v>
      </c>
      <c r="E552" s="33" t="s">
        <v>376</v>
      </c>
      <c r="F552" s="33" t="s">
        <v>598</v>
      </c>
      <c r="G552" s="83" t="s">
        <v>569</v>
      </c>
      <c r="H552" s="17" t="s">
        <v>68</v>
      </c>
      <c r="I552" s="33" t="s">
        <v>10</v>
      </c>
      <c r="J552" s="33" t="s">
        <v>25</v>
      </c>
      <c r="K552" s="83" t="s">
        <v>397</v>
      </c>
      <c r="L552" s="33"/>
      <c r="M552" s="33">
        <v>284</v>
      </c>
      <c r="N552" s="33"/>
      <c r="O552" s="33" t="s">
        <v>381</v>
      </c>
      <c r="P552" s="30"/>
      <c r="Q552" s="5"/>
    </row>
    <row r="553" spans="1:17" ht="15.75" customHeight="1" x14ac:dyDescent="0.3">
      <c r="A553" s="30">
        <v>50</v>
      </c>
      <c r="B553" s="1">
        <v>12</v>
      </c>
      <c r="C553" s="96">
        <v>46004</v>
      </c>
      <c r="D553" s="90" t="s">
        <v>320</v>
      </c>
      <c r="E553" s="33" t="s">
        <v>356</v>
      </c>
      <c r="F553" s="33" t="s">
        <v>127</v>
      </c>
      <c r="G553" s="83" t="s">
        <v>557</v>
      </c>
      <c r="H553" s="17" t="s">
        <v>110</v>
      </c>
      <c r="I553" s="33" t="s">
        <v>10</v>
      </c>
      <c r="J553" s="83" t="s">
        <v>599</v>
      </c>
      <c r="K553" s="83" t="s">
        <v>533</v>
      </c>
      <c r="L553" s="33"/>
      <c r="M553" s="33">
        <v>220</v>
      </c>
      <c r="N553" s="33"/>
      <c r="O553" s="33" t="s">
        <v>593</v>
      </c>
      <c r="P553" s="30" t="s">
        <v>533</v>
      </c>
      <c r="Q553" s="5"/>
    </row>
    <row r="554" spans="1:17" ht="15.75" customHeight="1" x14ac:dyDescent="0.3">
      <c r="A554" s="30">
        <v>50</v>
      </c>
      <c r="B554" s="1">
        <v>12</v>
      </c>
      <c r="C554" s="96">
        <v>46004</v>
      </c>
      <c r="D554" s="90" t="s">
        <v>320</v>
      </c>
      <c r="E554" s="33" t="s">
        <v>376</v>
      </c>
      <c r="F554" s="33" t="s">
        <v>600</v>
      </c>
      <c r="G554" s="83" t="s">
        <v>569</v>
      </c>
      <c r="H554" s="17" t="s">
        <v>68</v>
      </c>
      <c r="I554" s="33" t="s">
        <v>10</v>
      </c>
      <c r="J554" s="33" t="s">
        <v>25</v>
      </c>
      <c r="K554" s="83" t="s">
        <v>364</v>
      </c>
      <c r="L554" s="33"/>
      <c r="M554" s="33">
        <v>24</v>
      </c>
      <c r="N554" s="33"/>
      <c r="O554" s="33" t="s">
        <v>601</v>
      </c>
      <c r="P554" s="30" t="s">
        <v>602</v>
      </c>
      <c r="Q554" s="5"/>
    </row>
    <row r="555" spans="1:17" ht="15.75" customHeight="1" x14ac:dyDescent="0.3">
      <c r="A555" s="30">
        <v>50</v>
      </c>
      <c r="B555" s="1">
        <v>12</v>
      </c>
      <c r="C555" s="96">
        <v>46004</v>
      </c>
      <c r="D555" s="90" t="s">
        <v>320</v>
      </c>
      <c r="E555" s="33" t="s">
        <v>78</v>
      </c>
      <c r="F555" s="33" t="s">
        <v>79</v>
      </c>
      <c r="G555" s="83" t="s">
        <v>311</v>
      </c>
      <c r="H555" s="17" t="s">
        <v>62</v>
      </c>
      <c r="I555" s="33" t="s">
        <v>10</v>
      </c>
      <c r="J555" s="33" t="s">
        <v>25</v>
      </c>
      <c r="K555" s="83" t="s">
        <v>364</v>
      </c>
      <c r="L555" s="33"/>
      <c r="M555" s="33">
        <v>131</v>
      </c>
      <c r="N555" s="33"/>
      <c r="O555" s="33" t="s">
        <v>381</v>
      </c>
      <c r="P555" s="30" t="s">
        <v>602</v>
      </c>
      <c r="Q555" s="5"/>
    </row>
    <row r="556" spans="1:17" ht="15.75" customHeight="1" x14ac:dyDescent="0.3">
      <c r="A556" s="30">
        <v>50</v>
      </c>
      <c r="B556" s="1">
        <v>12</v>
      </c>
      <c r="C556" s="96">
        <v>46004</v>
      </c>
      <c r="D556" s="90" t="s">
        <v>320</v>
      </c>
      <c r="E556" s="33" t="s">
        <v>376</v>
      </c>
      <c r="F556" s="33" t="s">
        <v>415</v>
      </c>
      <c r="G556" s="83" t="s">
        <v>311</v>
      </c>
      <c r="H556" s="17" t="s">
        <v>62</v>
      </c>
      <c r="I556" s="33" t="s">
        <v>10</v>
      </c>
      <c r="J556" s="33" t="s">
        <v>25</v>
      </c>
      <c r="K556" s="83" t="s">
        <v>364</v>
      </c>
      <c r="L556" s="33"/>
      <c r="M556" s="33">
        <v>76</v>
      </c>
      <c r="N556" s="33"/>
      <c r="O556" s="33" t="s">
        <v>381</v>
      </c>
      <c r="P556" s="30" t="s">
        <v>602</v>
      </c>
      <c r="Q556" s="5"/>
    </row>
    <row r="557" spans="1:17" ht="15.75" customHeight="1" x14ac:dyDescent="0.3">
      <c r="A557" s="30">
        <v>50</v>
      </c>
      <c r="B557" s="1">
        <v>12</v>
      </c>
      <c r="C557" s="96">
        <v>46004</v>
      </c>
      <c r="D557" s="90" t="s">
        <v>320</v>
      </c>
      <c r="E557" s="33" t="s">
        <v>376</v>
      </c>
      <c r="F557" s="33" t="s">
        <v>349</v>
      </c>
      <c r="G557" s="83" t="s">
        <v>311</v>
      </c>
      <c r="H557" s="83" t="s">
        <v>17</v>
      </c>
      <c r="I557" s="33" t="s">
        <v>10</v>
      </c>
      <c r="J557" s="33" t="s">
        <v>599</v>
      </c>
      <c r="K557" s="83" t="s">
        <v>369</v>
      </c>
      <c r="L557" s="33"/>
      <c r="M557" s="33">
        <v>200</v>
      </c>
      <c r="N557" s="33"/>
      <c r="O557" s="84" t="s">
        <v>20</v>
      </c>
      <c r="P557" s="30" t="s">
        <v>530</v>
      </c>
      <c r="Q557" s="5"/>
    </row>
    <row r="558" spans="1:17" ht="15.75" customHeight="1" x14ac:dyDescent="0.3">
      <c r="A558" s="30">
        <v>50</v>
      </c>
      <c r="B558" s="1">
        <v>12</v>
      </c>
      <c r="C558" s="96">
        <v>46004</v>
      </c>
      <c r="D558" s="90" t="s">
        <v>320</v>
      </c>
      <c r="E558" s="33" t="s">
        <v>390</v>
      </c>
      <c r="F558" s="33" t="s">
        <v>603</v>
      </c>
      <c r="G558" s="83" t="s">
        <v>604</v>
      </c>
      <c r="H558" s="17" t="s">
        <v>605</v>
      </c>
      <c r="I558" s="33" t="s">
        <v>10</v>
      </c>
      <c r="J558" s="33" t="s">
        <v>25</v>
      </c>
      <c r="K558" s="83" t="s">
        <v>369</v>
      </c>
      <c r="L558" s="33"/>
      <c r="M558" s="33">
        <v>2000</v>
      </c>
      <c r="N558" s="33"/>
      <c r="O558" s="33" t="s">
        <v>86</v>
      </c>
      <c r="P558" s="30" t="s">
        <v>587</v>
      </c>
      <c r="Q558" s="5"/>
    </row>
    <row r="559" spans="1:17" ht="14.4" x14ac:dyDescent="0.3">
      <c r="A559" s="98">
        <v>50</v>
      </c>
      <c r="B559" s="31">
        <v>12</v>
      </c>
      <c r="C559" s="99">
        <v>46004</v>
      </c>
      <c r="D559" s="90" t="s">
        <v>320</v>
      </c>
      <c r="E559" s="98" t="s">
        <v>376</v>
      </c>
      <c r="F559" s="98" t="s">
        <v>349</v>
      </c>
      <c r="G559" s="86" t="s">
        <v>311</v>
      </c>
      <c r="H559" s="12" t="s">
        <v>68</v>
      </c>
      <c r="I559" s="33" t="s">
        <v>10</v>
      </c>
      <c r="J559" s="33" t="s">
        <v>25</v>
      </c>
      <c r="K559" s="86" t="s">
        <v>369</v>
      </c>
      <c r="L559" s="33"/>
      <c r="M559" s="33">
        <v>700</v>
      </c>
      <c r="N559" s="33"/>
      <c r="O559" s="84" t="s">
        <v>20</v>
      </c>
      <c r="P559" s="30" t="s">
        <v>530</v>
      </c>
      <c r="Q559" s="5" t="s">
        <v>606</v>
      </c>
    </row>
    <row r="560" spans="1:17" ht="14.4" x14ac:dyDescent="0.3">
      <c r="A560" s="98">
        <v>51</v>
      </c>
      <c r="B560" s="31">
        <v>12</v>
      </c>
      <c r="C560" s="99">
        <v>46006</v>
      </c>
      <c r="D560" s="90" t="s">
        <v>320</v>
      </c>
      <c r="E560" s="98" t="s">
        <v>317</v>
      </c>
      <c r="F560" s="98" t="s">
        <v>607</v>
      </c>
      <c r="G560" s="86" t="s">
        <v>311</v>
      </c>
      <c r="H560" s="12" t="s">
        <v>608</v>
      </c>
      <c r="I560" s="33" t="s">
        <v>10</v>
      </c>
      <c r="J560" s="33" t="s">
        <v>25</v>
      </c>
      <c r="K560" s="83" t="s">
        <v>565</v>
      </c>
      <c r="L560" s="33"/>
      <c r="M560" s="33">
        <v>143380</v>
      </c>
      <c r="N560" s="33"/>
      <c r="O560" s="33" t="s">
        <v>566</v>
      </c>
      <c r="P560" s="30" t="s">
        <v>567</v>
      </c>
      <c r="Q560" s="5"/>
    </row>
    <row r="561" spans="1:17" ht="14.4" x14ac:dyDescent="0.3">
      <c r="A561" s="98">
        <v>51</v>
      </c>
      <c r="B561" s="31">
        <v>12</v>
      </c>
      <c r="C561" s="99">
        <v>46006</v>
      </c>
      <c r="D561" s="90" t="s">
        <v>320</v>
      </c>
      <c r="E561" s="98" t="s">
        <v>376</v>
      </c>
      <c r="F561" s="98" t="s">
        <v>539</v>
      </c>
      <c r="G561" s="86" t="s">
        <v>585</v>
      </c>
      <c r="H561" s="83" t="s">
        <v>42</v>
      </c>
      <c r="I561" s="33" t="s">
        <v>10</v>
      </c>
      <c r="J561" s="33" t="s">
        <v>25</v>
      </c>
      <c r="K561" s="86" t="s">
        <v>397</v>
      </c>
      <c r="L561" s="33"/>
      <c r="M561" s="33">
        <v>1845</v>
      </c>
      <c r="N561" s="33"/>
      <c r="O561" s="33" t="s">
        <v>609</v>
      </c>
      <c r="P561" s="30" t="s">
        <v>567</v>
      </c>
      <c r="Q561" s="5"/>
    </row>
    <row r="562" spans="1:17" ht="14.4" x14ac:dyDescent="0.3">
      <c r="A562" s="98">
        <v>51</v>
      </c>
      <c r="B562" s="31">
        <v>12</v>
      </c>
      <c r="C562" s="99">
        <v>46006</v>
      </c>
      <c r="D562" s="90" t="s">
        <v>320</v>
      </c>
      <c r="E562" s="98" t="s">
        <v>356</v>
      </c>
      <c r="F562" s="98" t="s">
        <v>127</v>
      </c>
      <c r="G562" s="86" t="s">
        <v>311</v>
      </c>
      <c r="H562" s="27" t="s">
        <v>46</v>
      </c>
      <c r="I562" s="33" t="s">
        <v>10</v>
      </c>
      <c r="J562" s="33" t="s">
        <v>25</v>
      </c>
      <c r="K562" s="86" t="s">
        <v>380</v>
      </c>
      <c r="L562" s="33"/>
      <c r="M562" s="33">
        <v>100</v>
      </c>
      <c r="N562" s="33"/>
      <c r="O562" s="33" t="s">
        <v>389</v>
      </c>
      <c r="P562" s="30" t="s">
        <v>578</v>
      </c>
      <c r="Q562" s="5"/>
    </row>
    <row r="563" spans="1:17" ht="14.4" x14ac:dyDescent="0.3">
      <c r="A563" s="98">
        <v>51</v>
      </c>
      <c r="B563" s="31">
        <v>12</v>
      </c>
      <c r="C563" s="99">
        <v>46006</v>
      </c>
      <c r="D563" s="90" t="s">
        <v>320</v>
      </c>
      <c r="E563" s="98" t="s">
        <v>376</v>
      </c>
      <c r="F563" s="98" t="s">
        <v>450</v>
      </c>
      <c r="G563" s="86" t="s">
        <v>311</v>
      </c>
      <c r="H563" s="27" t="s">
        <v>46</v>
      </c>
      <c r="I563" s="33" t="s">
        <v>10</v>
      </c>
      <c r="J563" s="33" t="s">
        <v>25</v>
      </c>
      <c r="K563" s="86" t="s">
        <v>358</v>
      </c>
      <c r="L563" s="33"/>
      <c r="M563" s="33">
        <v>1280</v>
      </c>
      <c r="N563" s="33"/>
      <c r="O563" s="33" t="s">
        <v>414</v>
      </c>
      <c r="P563" s="30" t="s">
        <v>567</v>
      </c>
      <c r="Q563" s="5"/>
    </row>
    <row r="564" spans="1:17" ht="14.4" x14ac:dyDescent="0.3">
      <c r="A564" s="98">
        <v>51</v>
      </c>
      <c r="B564" s="31">
        <v>12</v>
      </c>
      <c r="C564" s="99">
        <v>46007</v>
      </c>
      <c r="D564" s="90" t="s">
        <v>320</v>
      </c>
      <c r="E564" s="98" t="s">
        <v>317</v>
      </c>
      <c r="F564" s="98" t="s">
        <v>127</v>
      </c>
      <c r="G564" s="27" t="s">
        <v>118</v>
      </c>
      <c r="H564" s="17" t="s">
        <v>610</v>
      </c>
      <c r="I564" s="33" t="s">
        <v>10</v>
      </c>
      <c r="J564" s="33" t="s">
        <v>25</v>
      </c>
      <c r="K564" s="86" t="s">
        <v>358</v>
      </c>
      <c r="L564" s="33"/>
      <c r="M564" s="33">
        <v>378</v>
      </c>
      <c r="N564" s="33"/>
      <c r="O564" s="33" t="s">
        <v>389</v>
      </c>
      <c r="P564" s="30" t="s">
        <v>567</v>
      </c>
      <c r="Q564" s="5"/>
    </row>
    <row r="565" spans="1:17" ht="14.4" x14ac:dyDescent="0.3">
      <c r="A565" s="98">
        <v>51</v>
      </c>
      <c r="B565" s="31">
        <v>12</v>
      </c>
      <c r="C565" s="99">
        <v>46007</v>
      </c>
      <c r="D565" s="90" t="s">
        <v>320</v>
      </c>
      <c r="E565" s="98" t="s">
        <v>376</v>
      </c>
      <c r="F565" s="98" t="s">
        <v>611</v>
      </c>
      <c r="G565" s="86" t="s">
        <v>612</v>
      </c>
      <c r="H565" s="12" t="s">
        <v>36</v>
      </c>
      <c r="I565" s="33" t="s">
        <v>10</v>
      </c>
      <c r="J565" s="33" t="s">
        <v>25</v>
      </c>
      <c r="K565" s="86" t="s">
        <v>397</v>
      </c>
      <c r="L565" s="33"/>
      <c r="M565" s="33">
        <v>130</v>
      </c>
      <c r="N565" s="33"/>
      <c r="O565" s="33" t="s">
        <v>613</v>
      </c>
      <c r="P565" s="30" t="s">
        <v>567</v>
      </c>
      <c r="Q565" s="5"/>
    </row>
    <row r="566" spans="1:17" ht="14.4" x14ac:dyDescent="0.3">
      <c r="A566" s="98">
        <v>51</v>
      </c>
      <c r="B566" s="31">
        <v>12</v>
      </c>
      <c r="C566" s="99">
        <v>46007</v>
      </c>
      <c r="D566" s="90" t="s">
        <v>320</v>
      </c>
      <c r="E566" s="98" t="s">
        <v>376</v>
      </c>
      <c r="F566" s="98" t="s">
        <v>219</v>
      </c>
      <c r="G566" s="86" t="s">
        <v>612</v>
      </c>
      <c r="H566" s="12" t="s">
        <v>36</v>
      </c>
      <c r="I566" s="33" t="s">
        <v>10</v>
      </c>
      <c r="J566" s="33" t="s">
        <v>25</v>
      </c>
      <c r="K566" s="86" t="s">
        <v>397</v>
      </c>
      <c r="L566" s="33"/>
      <c r="M566" s="33">
        <v>745</v>
      </c>
      <c r="N566" s="33"/>
      <c r="O566" s="33" t="s">
        <v>613</v>
      </c>
      <c r="P566" s="30" t="s">
        <v>567</v>
      </c>
      <c r="Q566" s="5"/>
    </row>
    <row r="567" spans="1:17" ht="14.4" x14ac:dyDescent="0.3">
      <c r="A567" s="98">
        <v>51</v>
      </c>
      <c r="B567" s="31">
        <v>12</v>
      </c>
      <c r="C567" s="99">
        <v>46007</v>
      </c>
      <c r="D567" s="90" t="s">
        <v>320</v>
      </c>
      <c r="E567" s="98" t="s">
        <v>376</v>
      </c>
      <c r="F567" s="98" t="s">
        <v>614</v>
      </c>
      <c r="G567" s="86" t="s">
        <v>612</v>
      </c>
      <c r="H567" s="12" t="s">
        <v>36</v>
      </c>
      <c r="I567" s="33" t="s">
        <v>10</v>
      </c>
      <c r="J567" s="33" t="s">
        <v>25</v>
      </c>
      <c r="K567" s="86" t="s">
        <v>397</v>
      </c>
      <c r="L567" s="33"/>
      <c r="M567" s="33">
        <v>120</v>
      </c>
      <c r="N567" s="33"/>
      <c r="O567" s="33" t="s">
        <v>615</v>
      </c>
      <c r="P567" s="30" t="s">
        <v>567</v>
      </c>
      <c r="Q567" s="5"/>
    </row>
    <row r="568" spans="1:17" ht="14.4" x14ac:dyDescent="0.3">
      <c r="A568" s="98">
        <v>51</v>
      </c>
      <c r="B568" s="31">
        <v>12</v>
      </c>
      <c r="C568" s="99">
        <v>46007</v>
      </c>
      <c r="D568" s="90" t="s">
        <v>320</v>
      </c>
      <c r="E568" s="98" t="s">
        <v>376</v>
      </c>
      <c r="F568" s="98" t="s">
        <v>616</v>
      </c>
      <c r="G568" s="86" t="s">
        <v>612</v>
      </c>
      <c r="H568" s="12" t="s">
        <v>36</v>
      </c>
      <c r="I568" s="33" t="s">
        <v>10</v>
      </c>
      <c r="J568" s="33" t="s">
        <v>25</v>
      </c>
      <c r="K568" s="86" t="s">
        <v>397</v>
      </c>
      <c r="L568" s="33"/>
      <c r="M568" s="33">
        <v>20</v>
      </c>
      <c r="N568" s="33"/>
      <c r="O568" s="33" t="s">
        <v>615</v>
      </c>
      <c r="P568" s="30" t="s">
        <v>567</v>
      </c>
      <c r="Q568" s="5"/>
    </row>
    <row r="569" spans="1:17" ht="15.75" customHeight="1" x14ac:dyDescent="0.3">
      <c r="A569" s="98">
        <v>51</v>
      </c>
      <c r="B569" s="31">
        <v>12</v>
      </c>
      <c r="C569" s="99">
        <v>46007</v>
      </c>
      <c r="D569" s="90" t="s">
        <v>320</v>
      </c>
      <c r="E569" s="98" t="s">
        <v>376</v>
      </c>
      <c r="F569" s="33" t="s">
        <v>617</v>
      </c>
      <c r="G569" s="86" t="s">
        <v>612</v>
      </c>
      <c r="H569" s="12" t="s">
        <v>36</v>
      </c>
      <c r="I569" s="33" t="s">
        <v>10</v>
      </c>
      <c r="J569" s="33" t="s">
        <v>25</v>
      </c>
      <c r="K569" s="86" t="s">
        <v>397</v>
      </c>
      <c r="L569" s="33"/>
      <c r="M569" s="33">
        <v>85</v>
      </c>
      <c r="N569" s="33"/>
      <c r="O569" s="33" t="s">
        <v>615</v>
      </c>
      <c r="P569" s="30" t="s">
        <v>567</v>
      </c>
      <c r="Q569" s="5"/>
    </row>
    <row r="570" spans="1:17" ht="14.4" x14ac:dyDescent="0.3">
      <c r="A570" s="98">
        <v>51</v>
      </c>
      <c r="B570" s="31">
        <v>12</v>
      </c>
      <c r="C570" s="99">
        <v>46007</v>
      </c>
      <c r="D570" s="90" t="s">
        <v>320</v>
      </c>
      <c r="E570" s="98" t="s">
        <v>376</v>
      </c>
      <c r="F570" s="98" t="s">
        <v>611</v>
      </c>
      <c r="G570" s="86" t="s">
        <v>612</v>
      </c>
      <c r="H570" s="12" t="s">
        <v>36</v>
      </c>
      <c r="I570" s="33" t="s">
        <v>10</v>
      </c>
      <c r="J570" s="33" t="s">
        <v>25</v>
      </c>
      <c r="K570" s="86" t="s">
        <v>397</v>
      </c>
      <c r="L570" s="33"/>
      <c r="M570" s="33">
        <v>185</v>
      </c>
      <c r="N570" s="33"/>
      <c r="O570" s="33" t="s">
        <v>618</v>
      </c>
      <c r="P570" s="30" t="s">
        <v>567</v>
      </c>
      <c r="Q570" s="5"/>
    </row>
    <row r="571" spans="1:17" ht="14.4" x14ac:dyDescent="0.3">
      <c r="A571" s="98">
        <v>51</v>
      </c>
      <c r="B571" s="31">
        <v>12</v>
      </c>
      <c r="C571" s="99">
        <v>46007</v>
      </c>
      <c r="D571" s="90" t="s">
        <v>320</v>
      </c>
      <c r="E571" s="98" t="s">
        <v>376</v>
      </c>
      <c r="F571" s="98" t="s">
        <v>619</v>
      </c>
      <c r="G571" s="86" t="s">
        <v>612</v>
      </c>
      <c r="H571" s="12" t="s">
        <v>36</v>
      </c>
      <c r="I571" s="33" t="s">
        <v>10</v>
      </c>
      <c r="J571" s="33" t="s">
        <v>25</v>
      </c>
      <c r="K571" s="86" t="s">
        <v>397</v>
      </c>
      <c r="L571" s="33"/>
      <c r="M571" s="33">
        <v>130</v>
      </c>
      <c r="N571" s="33"/>
      <c r="O571" s="33" t="s">
        <v>618</v>
      </c>
      <c r="P571" s="30" t="s">
        <v>567</v>
      </c>
      <c r="Q571" s="5"/>
    </row>
    <row r="572" spans="1:17" ht="14.4" x14ac:dyDescent="0.3">
      <c r="A572" s="98">
        <v>51</v>
      </c>
      <c r="B572" s="31">
        <v>12</v>
      </c>
      <c r="C572" s="99">
        <v>46004</v>
      </c>
      <c r="D572" s="90" t="s">
        <v>320</v>
      </c>
      <c r="E572" s="98" t="s">
        <v>477</v>
      </c>
      <c r="F572" s="33" t="s">
        <v>559</v>
      </c>
      <c r="G572" s="86" t="s">
        <v>620</v>
      </c>
      <c r="H572" s="83" t="s">
        <v>571</v>
      </c>
      <c r="I572" s="33" t="s">
        <v>10</v>
      </c>
      <c r="J572" s="33" t="s">
        <v>25</v>
      </c>
      <c r="K572" s="86" t="s">
        <v>364</v>
      </c>
      <c r="L572" s="33"/>
      <c r="M572" s="33">
        <v>716</v>
      </c>
      <c r="N572" s="33"/>
      <c r="O572" s="33" t="s">
        <v>560</v>
      </c>
      <c r="P572" s="30" t="s">
        <v>621</v>
      </c>
      <c r="Q572" s="5" t="s">
        <v>1926</v>
      </c>
    </row>
    <row r="573" spans="1:17" ht="14.4" x14ac:dyDescent="0.3">
      <c r="A573" s="98">
        <v>51</v>
      </c>
      <c r="B573" s="31">
        <v>12</v>
      </c>
      <c r="C573" s="99">
        <v>46006</v>
      </c>
      <c r="D573" s="90" t="s">
        <v>320</v>
      </c>
      <c r="E573" s="98" t="s">
        <v>477</v>
      </c>
      <c r="F573" s="33" t="s">
        <v>559</v>
      </c>
      <c r="G573" s="86" t="s">
        <v>622</v>
      </c>
      <c r="H573" s="83" t="s">
        <v>80</v>
      </c>
      <c r="I573" s="33" t="s">
        <v>10</v>
      </c>
      <c r="J573" s="33" t="s">
        <v>18</v>
      </c>
      <c r="K573" s="86" t="s">
        <v>369</v>
      </c>
      <c r="L573" s="33"/>
      <c r="M573" s="33">
        <v>740</v>
      </c>
      <c r="N573" s="33"/>
      <c r="O573" s="33" t="s">
        <v>560</v>
      </c>
      <c r="P573" s="30" t="s">
        <v>623</v>
      </c>
      <c r="Q573" s="5"/>
    </row>
    <row r="574" spans="1:17" ht="14.4" x14ac:dyDescent="0.3">
      <c r="A574" s="98">
        <v>51</v>
      </c>
      <c r="B574" s="31">
        <v>12</v>
      </c>
      <c r="C574" s="99">
        <v>46007</v>
      </c>
      <c r="D574" s="90" t="s">
        <v>320</v>
      </c>
      <c r="E574" s="98" t="s">
        <v>477</v>
      </c>
      <c r="F574" s="33" t="s">
        <v>559</v>
      </c>
      <c r="G574" s="86" t="s">
        <v>624</v>
      </c>
      <c r="H574" s="27" t="s">
        <v>46</v>
      </c>
      <c r="I574" s="33" t="s">
        <v>10</v>
      </c>
      <c r="J574" s="33" t="s">
        <v>25</v>
      </c>
      <c r="K574" s="86" t="s">
        <v>358</v>
      </c>
      <c r="L574" s="33"/>
      <c r="M574" s="33">
        <v>740</v>
      </c>
      <c r="N574" s="33"/>
      <c r="O574" s="33" t="s">
        <v>625</v>
      </c>
      <c r="P574" s="30" t="s">
        <v>567</v>
      </c>
      <c r="Q574" s="5"/>
    </row>
    <row r="575" spans="1:17" ht="14.4" x14ac:dyDescent="0.3">
      <c r="A575" s="98">
        <v>51</v>
      </c>
      <c r="B575" s="31">
        <v>12</v>
      </c>
      <c r="C575" s="99">
        <v>46007</v>
      </c>
      <c r="D575" s="90" t="s">
        <v>320</v>
      </c>
      <c r="E575" s="98" t="s">
        <v>376</v>
      </c>
      <c r="F575" s="98" t="s">
        <v>111</v>
      </c>
      <c r="G575" s="86" t="s">
        <v>585</v>
      </c>
      <c r="H575" s="83" t="s">
        <v>42</v>
      </c>
      <c r="I575" s="33" t="s">
        <v>10</v>
      </c>
      <c r="J575" s="33" t="s">
        <v>25</v>
      </c>
      <c r="K575" s="86" t="s">
        <v>364</v>
      </c>
      <c r="L575" s="33"/>
      <c r="M575" s="33">
        <v>130</v>
      </c>
      <c r="N575" s="33"/>
      <c r="O575" s="33" t="s">
        <v>626</v>
      </c>
      <c r="P575" s="30" t="s">
        <v>567</v>
      </c>
      <c r="Q575" s="5"/>
    </row>
    <row r="576" spans="1:17" ht="14.4" x14ac:dyDescent="0.3">
      <c r="A576" s="98">
        <v>51</v>
      </c>
      <c r="B576" s="31">
        <v>12</v>
      </c>
      <c r="C576" s="99">
        <v>46007</v>
      </c>
      <c r="D576" s="90" t="s">
        <v>320</v>
      </c>
      <c r="E576" s="98" t="s">
        <v>376</v>
      </c>
      <c r="F576" s="98" t="s">
        <v>627</v>
      </c>
      <c r="G576" s="86" t="s">
        <v>585</v>
      </c>
      <c r="H576" s="83" t="s">
        <v>42</v>
      </c>
      <c r="I576" s="33" t="s">
        <v>10</v>
      </c>
      <c r="J576" s="33" t="s">
        <v>25</v>
      </c>
      <c r="K576" s="86" t="s">
        <v>358</v>
      </c>
      <c r="L576" s="33"/>
      <c r="M576" s="33">
        <v>100</v>
      </c>
      <c r="N576" s="33"/>
      <c r="O576" s="33" t="s">
        <v>454</v>
      </c>
      <c r="P576" s="30" t="s">
        <v>567</v>
      </c>
      <c r="Q576" s="5" t="s">
        <v>628</v>
      </c>
    </row>
    <row r="577" spans="1:17" ht="15.75" customHeight="1" x14ac:dyDescent="0.3">
      <c r="A577" s="30">
        <v>51</v>
      </c>
      <c r="B577" s="1">
        <v>12</v>
      </c>
      <c r="C577" s="96">
        <v>46008</v>
      </c>
      <c r="D577" s="90" t="s">
        <v>320</v>
      </c>
      <c r="E577" s="33" t="s">
        <v>356</v>
      </c>
      <c r="F577" s="33" t="s">
        <v>127</v>
      </c>
      <c r="G577" s="83" t="s">
        <v>118</v>
      </c>
      <c r="H577" s="17" t="s">
        <v>629</v>
      </c>
      <c r="I577" s="33" t="s">
        <v>10</v>
      </c>
      <c r="J577" s="33" t="s">
        <v>25</v>
      </c>
      <c r="K577" s="83" t="s">
        <v>397</v>
      </c>
      <c r="L577" s="33"/>
      <c r="M577" s="33">
        <v>357.52</v>
      </c>
      <c r="N577" s="33"/>
      <c r="O577" s="33" t="s">
        <v>389</v>
      </c>
      <c r="P577" s="30" t="s">
        <v>397</v>
      </c>
      <c r="Q577" s="5"/>
    </row>
    <row r="578" spans="1:17" ht="15.75" customHeight="1" x14ac:dyDescent="0.3">
      <c r="A578" s="30">
        <v>51</v>
      </c>
      <c r="B578" s="1">
        <v>12</v>
      </c>
      <c r="C578" s="96">
        <v>46008</v>
      </c>
      <c r="D578" s="90" t="s">
        <v>320</v>
      </c>
      <c r="E578" s="33" t="s">
        <v>376</v>
      </c>
      <c r="F578" s="33" t="s">
        <v>630</v>
      </c>
      <c r="G578" s="83" t="s">
        <v>118</v>
      </c>
      <c r="H578" s="83" t="s">
        <v>42</v>
      </c>
      <c r="I578" s="33" t="s">
        <v>10</v>
      </c>
      <c r="J578" s="33" t="s">
        <v>25</v>
      </c>
      <c r="K578" s="83" t="s">
        <v>397</v>
      </c>
      <c r="L578" s="33"/>
      <c r="M578" s="33">
        <v>2881.44</v>
      </c>
      <c r="N578" s="33"/>
      <c r="O578" s="33" t="s">
        <v>631</v>
      </c>
      <c r="P578" s="30" t="s">
        <v>397</v>
      </c>
      <c r="Q578" s="5"/>
    </row>
    <row r="579" spans="1:17" ht="15.75" customHeight="1" x14ac:dyDescent="0.3">
      <c r="A579" s="30">
        <v>51</v>
      </c>
      <c r="B579" s="1">
        <v>12</v>
      </c>
      <c r="C579" s="96">
        <v>46008</v>
      </c>
      <c r="D579" s="90" t="s">
        <v>320</v>
      </c>
      <c r="E579" s="33" t="s">
        <v>376</v>
      </c>
      <c r="F579" s="33" t="s">
        <v>328</v>
      </c>
      <c r="G579" s="83" t="s">
        <v>118</v>
      </c>
      <c r="H579" s="83" t="s">
        <v>42</v>
      </c>
      <c r="I579" s="33" t="s">
        <v>10</v>
      </c>
      <c r="J579" s="33" t="s">
        <v>25</v>
      </c>
      <c r="K579" s="83" t="s">
        <v>397</v>
      </c>
      <c r="L579" s="33"/>
      <c r="M579" s="33">
        <v>320.16000000000003</v>
      </c>
      <c r="N579" s="33"/>
      <c r="O579" s="33" t="s">
        <v>631</v>
      </c>
      <c r="P579" s="30" t="s">
        <v>397</v>
      </c>
      <c r="Q579" s="5"/>
    </row>
    <row r="580" spans="1:17" ht="15.75" customHeight="1" x14ac:dyDescent="0.3">
      <c r="A580" s="30">
        <v>51</v>
      </c>
      <c r="B580" s="1">
        <v>12</v>
      </c>
      <c r="C580" s="96">
        <v>46008</v>
      </c>
      <c r="D580" s="90" t="s">
        <v>320</v>
      </c>
      <c r="E580" s="33" t="s">
        <v>446</v>
      </c>
      <c r="F580" s="33" t="s">
        <v>27</v>
      </c>
      <c r="G580" s="83" t="s">
        <v>632</v>
      </c>
      <c r="H580" s="17" t="s">
        <v>317</v>
      </c>
      <c r="I580" s="33" t="s">
        <v>10</v>
      </c>
      <c r="J580" s="33" t="s">
        <v>25</v>
      </c>
      <c r="K580" s="83" t="s">
        <v>364</v>
      </c>
      <c r="L580" s="33"/>
      <c r="M580" s="33">
        <v>100</v>
      </c>
      <c r="N580" s="33"/>
      <c r="O580" s="84" t="s">
        <v>20</v>
      </c>
      <c r="P580" s="30" t="s">
        <v>364</v>
      </c>
      <c r="Q580" s="5"/>
    </row>
    <row r="581" spans="1:17" ht="15.75" customHeight="1" x14ac:dyDescent="0.3">
      <c r="A581" s="30">
        <v>51</v>
      </c>
      <c r="B581" s="1">
        <v>12</v>
      </c>
      <c r="C581" s="96">
        <v>46008</v>
      </c>
      <c r="D581" s="90" t="s">
        <v>320</v>
      </c>
      <c r="E581" s="33" t="s">
        <v>376</v>
      </c>
      <c r="F581" s="33" t="s">
        <v>633</v>
      </c>
      <c r="G581" s="83" t="s">
        <v>118</v>
      </c>
      <c r="H581" s="17" t="s">
        <v>629</v>
      </c>
      <c r="I581" s="33" t="s">
        <v>10</v>
      </c>
      <c r="J581" s="33" t="s">
        <v>25</v>
      </c>
      <c r="K581" s="83" t="s">
        <v>364</v>
      </c>
      <c r="L581" s="33"/>
      <c r="M581" s="33">
        <v>10.02</v>
      </c>
      <c r="N581" s="33"/>
      <c r="O581" s="33" t="s">
        <v>577</v>
      </c>
      <c r="P581" s="30" t="s">
        <v>364</v>
      </c>
      <c r="Q581" s="30" t="s">
        <v>634</v>
      </c>
    </row>
    <row r="582" spans="1:17" ht="15.75" customHeight="1" x14ac:dyDescent="0.3">
      <c r="A582" s="30">
        <v>51</v>
      </c>
      <c r="B582" s="1">
        <v>12</v>
      </c>
      <c r="C582" s="96">
        <v>46008</v>
      </c>
      <c r="D582" s="90" t="s">
        <v>320</v>
      </c>
      <c r="E582" s="33" t="s">
        <v>376</v>
      </c>
      <c r="F582" s="33" t="s">
        <v>635</v>
      </c>
      <c r="G582" s="83" t="s">
        <v>118</v>
      </c>
      <c r="H582" s="17" t="s">
        <v>629</v>
      </c>
      <c r="I582" s="33" t="s">
        <v>10</v>
      </c>
      <c r="J582" s="33" t="s">
        <v>25</v>
      </c>
      <c r="K582" s="83" t="s">
        <v>364</v>
      </c>
      <c r="L582" s="33"/>
      <c r="M582" s="33">
        <v>3.71</v>
      </c>
      <c r="N582" s="33"/>
      <c r="O582" s="33" t="s">
        <v>577</v>
      </c>
      <c r="P582" s="30" t="s">
        <v>364</v>
      </c>
      <c r="Q582" s="30" t="s">
        <v>634</v>
      </c>
    </row>
    <row r="583" spans="1:17" ht="15.75" customHeight="1" x14ac:dyDescent="0.3">
      <c r="A583" s="30">
        <v>51</v>
      </c>
      <c r="B583" s="1">
        <v>12</v>
      </c>
      <c r="C583" s="96">
        <v>46008</v>
      </c>
      <c r="D583" s="90" t="s">
        <v>320</v>
      </c>
      <c r="E583" s="33" t="s">
        <v>376</v>
      </c>
      <c r="F583" s="33" t="s">
        <v>636</v>
      </c>
      <c r="G583" s="83" t="s">
        <v>585</v>
      </c>
      <c r="H583" s="83" t="s">
        <v>42</v>
      </c>
      <c r="I583" s="33" t="s">
        <v>10</v>
      </c>
      <c r="J583" s="33" t="s">
        <v>25</v>
      </c>
      <c r="K583" s="83" t="s">
        <v>364</v>
      </c>
      <c r="L583" s="33"/>
      <c r="M583" s="33">
        <v>97</v>
      </c>
      <c r="N583" s="33"/>
      <c r="O583" s="33" t="s">
        <v>601</v>
      </c>
      <c r="P583" s="30" t="s">
        <v>364</v>
      </c>
      <c r="Q583" s="30" t="s">
        <v>634</v>
      </c>
    </row>
    <row r="584" spans="1:17" ht="15.75" customHeight="1" x14ac:dyDescent="0.3">
      <c r="A584" s="30">
        <v>51</v>
      </c>
      <c r="B584" s="1">
        <v>12</v>
      </c>
      <c r="C584" s="96">
        <v>46008</v>
      </c>
      <c r="D584" s="90" t="s">
        <v>320</v>
      </c>
      <c r="E584" s="33" t="s">
        <v>376</v>
      </c>
      <c r="F584" s="33" t="s">
        <v>637</v>
      </c>
      <c r="G584" s="83" t="s">
        <v>585</v>
      </c>
      <c r="H584" s="83" t="s">
        <v>42</v>
      </c>
      <c r="I584" s="33" t="s">
        <v>10</v>
      </c>
      <c r="J584" s="33" t="s">
        <v>25</v>
      </c>
      <c r="K584" s="83" t="s">
        <v>364</v>
      </c>
      <c r="L584" s="33"/>
      <c r="M584" s="33">
        <v>20</v>
      </c>
      <c r="N584" s="33"/>
      <c r="O584" s="33" t="s">
        <v>601</v>
      </c>
      <c r="P584" s="30" t="s">
        <v>364</v>
      </c>
      <c r="Q584" s="30" t="s">
        <v>634</v>
      </c>
    </row>
    <row r="585" spans="1:17" ht="28.8" x14ac:dyDescent="0.3">
      <c r="A585" s="98">
        <v>51</v>
      </c>
      <c r="B585" s="31">
        <v>12</v>
      </c>
      <c r="C585" s="99">
        <v>46008</v>
      </c>
      <c r="D585" s="100" t="s">
        <v>320</v>
      </c>
      <c r="E585" s="101" t="s">
        <v>376</v>
      </c>
      <c r="F585" s="101" t="s">
        <v>638</v>
      </c>
      <c r="G585" s="86" t="s">
        <v>585</v>
      </c>
      <c r="H585" s="86" t="s">
        <v>42</v>
      </c>
      <c r="I585" s="101" t="s">
        <v>10</v>
      </c>
      <c r="J585" s="101" t="s">
        <v>25</v>
      </c>
      <c r="K585" s="86" t="s">
        <v>364</v>
      </c>
      <c r="L585" s="101"/>
      <c r="M585" s="101">
        <v>200</v>
      </c>
      <c r="N585" s="101"/>
      <c r="O585" s="101" t="s">
        <v>639</v>
      </c>
      <c r="P585" s="98" t="s">
        <v>364</v>
      </c>
      <c r="Q585" s="32" t="s">
        <v>640</v>
      </c>
    </row>
    <row r="586" spans="1:17" ht="28.8" x14ac:dyDescent="0.3">
      <c r="A586" s="98">
        <v>51</v>
      </c>
      <c r="B586" s="31">
        <v>12</v>
      </c>
      <c r="C586" s="99">
        <v>46008</v>
      </c>
      <c r="D586" s="100" t="s">
        <v>320</v>
      </c>
      <c r="E586" s="101" t="s">
        <v>376</v>
      </c>
      <c r="F586" s="101" t="s">
        <v>641</v>
      </c>
      <c r="G586" s="86" t="s">
        <v>311</v>
      </c>
      <c r="H586" s="13" t="s">
        <v>169</v>
      </c>
      <c r="I586" s="101" t="s">
        <v>10</v>
      </c>
      <c r="J586" s="101" t="s">
        <v>25</v>
      </c>
      <c r="K586" s="86" t="s">
        <v>397</v>
      </c>
      <c r="L586" s="101"/>
      <c r="M586" s="101">
        <v>380.48</v>
      </c>
      <c r="N586" s="101"/>
      <c r="O586" s="101" t="s">
        <v>631</v>
      </c>
      <c r="P586" s="98" t="s">
        <v>397</v>
      </c>
      <c r="Q586" s="32" t="s">
        <v>642</v>
      </c>
    </row>
    <row r="587" spans="1:17" ht="14.4" x14ac:dyDescent="0.3">
      <c r="A587" s="98">
        <v>51</v>
      </c>
      <c r="B587" s="31">
        <v>12</v>
      </c>
      <c r="C587" s="99">
        <v>46008</v>
      </c>
      <c r="D587" s="100" t="s">
        <v>320</v>
      </c>
      <c r="E587" s="98" t="s">
        <v>317</v>
      </c>
      <c r="F587" s="98" t="s">
        <v>607</v>
      </c>
      <c r="G587" s="86" t="s">
        <v>311</v>
      </c>
      <c r="H587" s="13" t="s">
        <v>643</v>
      </c>
      <c r="I587" s="101" t="s">
        <v>10</v>
      </c>
      <c r="J587" s="101" t="s">
        <v>25</v>
      </c>
      <c r="K587" s="86" t="s">
        <v>644</v>
      </c>
      <c r="L587" s="101"/>
      <c r="M587" s="101">
        <v>85030</v>
      </c>
      <c r="N587" s="101"/>
      <c r="O587" s="101" t="s">
        <v>566</v>
      </c>
      <c r="P587" s="98" t="s">
        <v>644</v>
      </c>
      <c r="Q587" s="32"/>
    </row>
    <row r="588" spans="1:17" ht="14.4" x14ac:dyDescent="0.3">
      <c r="A588" s="98">
        <v>51</v>
      </c>
      <c r="B588" s="31">
        <v>12</v>
      </c>
      <c r="C588" s="99">
        <v>46008</v>
      </c>
      <c r="D588" s="100" t="s">
        <v>320</v>
      </c>
      <c r="E588" s="98" t="s">
        <v>317</v>
      </c>
      <c r="F588" s="98" t="s">
        <v>607</v>
      </c>
      <c r="G588" s="86" t="s">
        <v>311</v>
      </c>
      <c r="H588" s="83" t="s">
        <v>645</v>
      </c>
      <c r="I588" s="101" t="s">
        <v>10</v>
      </c>
      <c r="J588" s="101" t="s">
        <v>25</v>
      </c>
      <c r="K588" s="83" t="s">
        <v>565</v>
      </c>
      <c r="L588" s="101"/>
      <c r="M588" s="102">
        <v>218530</v>
      </c>
      <c r="N588" s="101"/>
      <c r="O588" s="101" t="s">
        <v>566</v>
      </c>
      <c r="P588" s="98" t="s">
        <v>565</v>
      </c>
      <c r="Q588" s="32"/>
    </row>
    <row r="589" spans="1:17" ht="14.4" x14ac:dyDescent="0.3">
      <c r="A589" s="98">
        <v>51</v>
      </c>
      <c r="B589" s="31">
        <v>12</v>
      </c>
      <c r="C589" s="99">
        <v>46008</v>
      </c>
      <c r="D589" s="100" t="s">
        <v>320</v>
      </c>
      <c r="E589" s="98" t="s">
        <v>317</v>
      </c>
      <c r="F589" s="98" t="s">
        <v>607</v>
      </c>
      <c r="G589" s="86" t="s">
        <v>311</v>
      </c>
      <c r="H589" s="13" t="s">
        <v>646</v>
      </c>
      <c r="I589" s="101" t="s">
        <v>10</v>
      </c>
      <c r="J589" s="101" t="s">
        <v>25</v>
      </c>
      <c r="K589" s="83" t="s">
        <v>565</v>
      </c>
      <c r="L589" s="101"/>
      <c r="M589" s="103"/>
      <c r="N589" s="101"/>
      <c r="O589" s="101" t="s">
        <v>566</v>
      </c>
      <c r="P589" s="98" t="s">
        <v>565</v>
      </c>
      <c r="Q589" s="32"/>
    </row>
    <row r="590" spans="1:17" ht="15.75" customHeight="1" x14ac:dyDescent="0.3">
      <c r="A590" s="30">
        <v>51</v>
      </c>
      <c r="B590" s="1">
        <v>12</v>
      </c>
      <c r="C590" s="96">
        <v>46009</v>
      </c>
      <c r="D590" s="90" t="s">
        <v>320</v>
      </c>
      <c r="E590" s="33" t="s">
        <v>356</v>
      </c>
      <c r="F590" s="33" t="s">
        <v>127</v>
      </c>
      <c r="G590" s="83" t="s">
        <v>585</v>
      </c>
      <c r="H590" s="83" t="s">
        <v>104</v>
      </c>
      <c r="I590" s="33" t="s">
        <v>10</v>
      </c>
      <c r="J590" s="33" t="s">
        <v>25</v>
      </c>
      <c r="K590" s="83" t="s">
        <v>358</v>
      </c>
      <c r="L590" s="33"/>
      <c r="M590" s="33">
        <v>200</v>
      </c>
      <c r="N590" s="33"/>
      <c r="O590" s="33" t="s">
        <v>647</v>
      </c>
      <c r="P590" s="30" t="s">
        <v>359</v>
      </c>
      <c r="Q590" s="5"/>
    </row>
    <row r="591" spans="1:17" ht="15.75" customHeight="1" x14ac:dyDescent="0.3">
      <c r="A591" s="30">
        <v>51</v>
      </c>
      <c r="B591" s="1">
        <v>12</v>
      </c>
      <c r="C591" s="96">
        <v>46009</v>
      </c>
      <c r="D591" s="90" t="s">
        <v>320</v>
      </c>
      <c r="E591" s="33" t="s">
        <v>376</v>
      </c>
      <c r="F591" s="33" t="s">
        <v>648</v>
      </c>
      <c r="G591" s="83" t="s">
        <v>585</v>
      </c>
      <c r="H591" s="83" t="s">
        <v>42</v>
      </c>
      <c r="I591" s="33" t="s">
        <v>10</v>
      </c>
      <c r="J591" s="33" t="s">
        <v>25</v>
      </c>
      <c r="K591" s="83" t="s">
        <v>364</v>
      </c>
      <c r="L591" s="33"/>
      <c r="M591" s="33">
        <v>100</v>
      </c>
      <c r="N591" s="33"/>
      <c r="O591" s="33" t="s">
        <v>454</v>
      </c>
      <c r="P591" s="30" t="s">
        <v>530</v>
      </c>
      <c r="Q591" s="5"/>
    </row>
    <row r="592" spans="1:17" ht="15.75" customHeight="1" x14ac:dyDescent="0.3">
      <c r="A592" s="30">
        <v>51</v>
      </c>
      <c r="B592" s="1">
        <v>12</v>
      </c>
      <c r="C592" s="96">
        <v>46009</v>
      </c>
      <c r="D592" s="90" t="s">
        <v>320</v>
      </c>
      <c r="E592" s="33" t="s">
        <v>376</v>
      </c>
      <c r="F592" s="33" t="s">
        <v>648</v>
      </c>
      <c r="G592" s="83" t="s">
        <v>585</v>
      </c>
      <c r="H592" s="83" t="s">
        <v>42</v>
      </c>
      <c r="I592" s="33" t="s">
        <v>10</v>
      </c>
      <c r="J592" s="33" t="s">
        <v>25</v>
      </c>
      <c r="K592" s="83" t="s">
        <v>364</v>
      </c>
      <c r="L592" s="33"/>
      <c r="M592" s="33">
        <v>100</v>
      </c>
      <c r="N592" s="33"/>
      <c r="O592" s="33" t="s">
        <v>454</v>
      </c>
      <c r="P592" s="30" t="s">
        <v>530</v>
      </c>
      <c r="Q592" s="5"/>
    </row>
    <row r="593" spans="1:17" ht="15.75" customHeight="1" x14ac:dyDescent="0.3">
      <c r="A593" s="30">
        <v>51</v>
      </c>
      <c r="B593" s="1">
        <v>12</v>
      </c>
      <c r="C593" s="96">
        <v>46009</v>
      </c>
      <c r="D593" s="90" t="s">
        <v>320</v>
      </c>
      <c r="E593" s="33" t="s">
        <v>376</v>
      </c>
      <c r="F593" s="33" t="s">
        <v>649</v>
      </c>
      <c r="G593" s="83" t="s">
        <v>585</v>
      </c>
      <c r="H593" s="83" t="s">
        <v>42</v>
      </c>
      <c r="I593" s="33" t="s">
        <v>10</v>
      </c>
      <c r="J593" s="33" t="s">
        <v>25</v>
      </c>
      <c r="K593" s="83" t="s">
        <v>358</v>
      </c>
      <c r="L593" s="33"/>
      <c r="M593" s="33">
        <v>302.7</v>
      </c>
      <c r="N593" s="33"/>
      <c r="O593" s="33" t="s">
        <v>650</v>
      </c>
      <c r="P593" s="30" t="s">
        <v>359</v>
      </c>
      <c r="Q593" s="5"/>
    </row>
    <row r="594" spans="1:17" ht="15.75" customHeight="1" x14ac:dyDescent="0.3">
      <c r="A594" s="30">
        <v>51</v>
      </c>
      <c r="B594" s="1">
        <v>12</v>
      </c>
      <c r="C594" s="96">
        <v>46009</v>
      </c>
      <c r="D594" s="90" t="s">
        <v>320</v>
      </c>
      <c r="E594" s="33" t="s">
        <v>376</v>
      </c>
      <c r="F594" s="33" t="s">
        <v>651</v>
      </c>
      <c r="G594" s="83" t="s">
        <v>585</v>
      </c>
      <c r="H594" s="83" t="s">
        <v>42</v>
      </c>
      <c r="I594" s="33" t="s">
        <v>10</v>
      </c>
      <c r="J594" s="33" t="s">
        <v>25</v>
      </c>
      <c r="K594" s="83" t="s">
        <v>358</v>
      </c>
      <c r="L594" s="33"/>
      <c r="M594" s="33">
        <v>316.51</v>
      </c>
      <c r="N594" s="33"/>
      <c r="O594" s="33" t="s">
        <v>650</v>
      </c>
      <c r="P594" s="30" t="s">
        <v>359</v>
      </c>
      <c r="Q594" s="5"/>
    </row>
    <row r="595" spans="1:17" ht="15.75" customHeight="1" x14ac:dyDescent="0.3">
      <c r="A595" s="30">
        <v>51</v>
      </c>
      <c r="B595" s="1">
        <v>12</v>
      </c>
      <c r="C595" s="96">
        <v>46009</v>
      </c>
      <c r="D595" s="90" t="s">
        <v>320</v>
      </c>
      <c r="E595" s="33" t="s">
        <v>376</v>
      </c>
      <c r="F595" s="33" t="s">
        <v>652</v>
      </c>
      <c r="G595" s="83" t="s">
        <v>585</v>
      </c>
      <c r="H595" s="83" t="s">
        <v>42</v>
      </c>
      <c r="I595" s="33" t="s">
        <v>10</v>
      </c>
      <c r="J595" s="33" t="s">
        <v>25</v>
      </c>
      <c r="K595" s="83" t="s">
        <v>358</v>
      </c>
      <c r="L595" s="33"/>
      <c r="M595" s="33">
        <v>316.51</v>
      </c>
      <c r="N595" s="33"/>
      <c r="O595" s="33" t="s">
        <v>650</v>
      </c>
      <c r="P595" s="30" t="s">
        <v>359</v>
      </c>
      <c r="Q595" s="5"/>
    </row>
    <row r="596" spans="1:17" ht="15.75" customHeight="1" x14ac:dyDescent="0.3">
      <c r="A596" s="30">
        <v>51</v>
      </c>
      <c r="B596" s="1">
        <v>12</v>
      </c>
      <c r="C596" s="96">
        <v>46009</v>
      </c>
      <c r="D596" s="90" t="s">
        <v>320</v>
      </c>
      <c r="E596" s="33" t="s">
        <v>376</v>
      </c>
      <c r="F596" s="33" t="s">
        <v>653</v>
      </c>
      <c r="G596" s="83" t="s">
        <v>585</v>
      </c>
      <c r="H596" s="83" t="s">
        <v>42</v>
      </c>
      <c r="I596" s="33" t="s">
        <v>10</v>
      </c>
      <c r="J596" s="33" t="s">
        <v>25</v>
      </c>
      <c r="K596" s="83" t="s">
        <v>358</v>
      </c>
      <c r="L596" s="33"/>
      <c r="M596" s="33">
        <v>532.44000000000005</v>
      </c>
      <c r="N596" s="33"/>
      <c r="O596" s="33" t="s">
        <v>650</v>
      </c>
      <c r="P596" s="30" t="s">
        <v>359</v>
      </c>
      <c r="Q596" s="5"/>
    </row>
    <row r="597" spans="1:17" ht="15.75" customHeight="1" x14ac:dyDescent="0.3">
      <c r="A597" s="30">
        <v>51</v>
      </c>
      <c r="B597" s="1">
        <v>12</v>
      </c>
      <c r="C597" s="96">
        <v>46009</v>
      </c>
      <c r="D597" s="90" t="s">
        <v>320</v>
      </c>
      <c r="E597" s="33" t="s">
        <v>376</v>
      </c>
      <c r="F597" s="33" t="s">
        <v>654</v>
      </c>
      <c r="G597" s="83" t="s">
        <v>585</v>
      </c>
      <c r="H597" s="83" t="s">
        <v>42</v>
      </c>
      <c r="I597" s="33" t="s">
        <v>10</v>
      </c>
      <c r="J597" s="33" t="s">
        <v>25</v>
      </c>
      <c r="K597" s="83" t="s">
        <v>358</v>
      </c>
      <c r="L597" s="33"/>
      <c r="M597" s="33">
        <v>583.72</v>
      </c>
      <c r="N597" s="33"/>
      <c r="O597" s="33" t="s">
        <v>650</v>
      </c>
      <c r="P597" s="30" t="s">
        <v>359</v>
      </c>
      <c r="Q597" s="5"/>
    </row>
    <row r="598" spans="1:17" ht="15.75" customHeight="1" x14ac:dyDescent="0.3">
      <c r="A598" s="30">
        <v>51</v>
      </c>
      <c r="B598" s="1">
        <v>12</v>
      </c>
      <c r="C598" s="96">
        <v>46009</v>
      </c>
      <c r="D598" s="90" t="s">
        <v>320</v>
      </c>
      <c r="E598" s="33" t="s">
        <v>376</v>
      </c>
      <c r="F598" s="33" t="s">
        <v>655</v>
      </c>
      <c r="G598" s="83" t="s">
        <v>585</v>
      </c>
      <c r="H598" s="83" t="s">
        <v>42</v>
      </c>
      <c r="I598" s="33" t="s">
        <v>10</v>
      </c>
      <c r="J598" s="33" t="s">
        <v>25</v>
      </c>
      <c r="K598" s="83" t="s">
        <v>358</v>
      </c>
      <c r="L598" s="33"/>
      <c r="M598" s="33">
        <v>154.80000000000001</v>
      </c>
      <c r="N598" s="33"/>
      <c r="O598" s="33" t="s">
        <v>650</v>
      </c>
      <c r="P598" s="30" t="s">
        <v>359</v>
      </c>
      <c r="Q598" s="5"/>
    </row>
    <row r="599" spans="1:17" ht="15.75" customHeight="1" x14ac:dyDescent="0.3">
      <c r="A599" s="30">
        <v>51</v>
      </c>
      <c r="B599" s="1">
        <v>12</v>
      </c>
      <c r="C599" s="96">
        <v>46009</v>
      </c>
      <c r="D599" s="90" t="s">
        <v>320</v>
      </c>
      <c r="E599" s="33" t="s">
        <v>376</v>
      </c>
      <c r="F599" s="33" t="s">
        <v>656</v>
      </c>
      <c r="G599" s="83" t="s">
        <v>585</v>
      </c>
      <c r="H599" s="83" t="s">
        <v>42</v>
      </c>
      <c r="I599" s="33" t="s">
        <v>10</v>
      </c>
      <c r="J599" s="33" t="s">
        <v>25</v>
      </c>
      <c r="K599" s="83" t="s">
        <v>358</v>
      </c>
      <c r="L599" s="33"/>
      <c r="M599" s="33">
        <v>1277.8599999999999</v>
      </c>
      <c r="N599" s="33"/>
      <c r="O599" s="33" t="s">
        <v>650</v>
      </c>
      <c r="P599" s="30" t="s">
        <v>359</v>
      </c>
      <c r="Q599" s="5"/>
    </row>
    <row r="600" spans="1:17" ht="15.75" customHeight="1" x14ac:dyDescent="0.3">
      <c r="A600" s="30">
        <v>51</v>
      </c>
      <c r="B600" s="1">
        <v>12</v>
      </c>
      <c r="C600" s="96">
        <v>46009</v>
      </c>
      <c r="D600" s="90" t="s">
        <v>320</v>
      </c>
      <c r="E600" s="33" t="s">
        <v>376</v>
      </c>
      <c r="F600" s="33" t="s">
        <v>657</v>
      </c>
      <c r="G600" s="83" t="s">
        <v>585</v>
      </c>
      <c r="H600" s="83" t="s">
        <v>42</v>
      </c>
      <c r="I600" s="33" t="s">
        <v>10</v>
      </c>
      <c r="J600" s="33" t="s">
        <v>25</v>
      </c>
      <c r="K600" s="83" t="s">
        <v>358</v>
      </c>
      <c r="L600" s="33"/>
      <c r="M600" s="33">
        <v>1277.8499999999999</v>
      </c>
      <c r="N600" s="33"/>
      <c r="O600" s="33" t="s">
        <v>650</v>
      </c>
      <c r="P600" s="30" t="s">
        <v>359</v>
      </c>
      <c r="Q600" s="5"/>
    </row>
    <row r="601" spans="1:17" ht="15.75" customHeight="1" x14ac:dyDescent="0.3">
      <c r="A601" s="30">
        <v>51</v>
      </c>
      <c r="B601" s="1">
        <v>12</v>
      </c>
      <c r="C601" s="96">
        <v>46009</v>
      </c>
      <c r="D601" s="90" t="s">
        <v>320</v>
      </c>
      <c r="E601" s="33" t="s">
        <v>376</v>
      </c>
      <c r="F601" s="33" t="s">
        <v>658</v>
      </c>
      <c r="G601" s="83" t="s">
        <v>585</v>
      </c>
      <c r="H601" s="83" t="s">
        <v>42</v>
      </c>
      <c r="I601" s="33" t="s">
        <v>10</v>
      </c>
      <c r="J601" s="33" t="s">
        <v>25</v>
      </c>
      <c r="K601" s="83" t="s">
        <v>358</v>
      </c>
      <c r="L601" s="33"/>
      <c r="M601" s="33">
        <v>127.19</v>
      </c>
      <c r="N601" s="33"/>
      <c r="O601" s="33" t="s">
        <v>650</v>
      </c>
      <c r="P601" s="30" t="s">
        <v>359</v>
      </c>
      <c r="Q601" s="5"/>
    </row>
    <row r="602" spans="1:17" ht="15.75" customHeight="1" x14ac:dyDescent="0.3">
      <c r="A602" s="30">
        <v>51</v>
      </c>
      <c r="B602" s="1">
        <v>12</v>
      </c>
      <c r="C602" s="96">
        <v>46009</v>
      </c>
      <c r="D602" s="90" t="s">
        <v>320</v>
      </c>
      <c r="E602" s="33" t="s">
        <v>376</v>
      </c>
      <c r="F602" s="33" t="s">
        <v>659</v>
      </c>
      <c r="G602" s="83" t="s">
        <v>311</v>
      </c>
      <c r="H602" s="13" t="s">
        <v>169</v>
      </c>
      <c r="I602" s="33" t="s">
        <v>10</v>
      </c>
      <c r="J602" s="33" t="s">
        <v>25</v>
      </c>
      <c r="K602" s="83" t="s">
        <v>358</v>
      </c>
      <c r="L602" s="33"/>
      <c r="M602" s="33">
        <v>1092.49</v>
      </c>
      <c r="N602" s="33"/>
      <c r="O602" s="33" t="s">
        <v>650</v>
      </c>
      <c r="P602" s="30" t="s">
        <v>359</v>
      </c>
      <c r="Q602" s="5"/>
    </row>
    <row r="603" spans="1:17" ht="15.75" customHeight="1" x14ac:dyDescent="0.3">
      <c r="A603" s="30">
        <v>51</v>
      </c>
      <c r="B603" s="1">
        <v>12</v>
      </c>
      <c r="C603" s="96">
        <v>46009</v>
      </c>
      <c r="D603" s="90" t="s">
        <v>320</v>
      </c>
      <c r="E603" s="33" t="s">
        <v>376</v>
      </c>
      <c r="F603" s="33" t="s">
        <v>660</v>
      </c>
      <c r="G603" s="83" t="s">
        <v>311</v>
      </c>
      <c r="H603" s="13" t="s">
        <v>169</v>
      </c>
      <c r="I603" s="33" t="s">
        <v>10</v>
      </c>
      <c r="J603" s="33" t="s">
        <v>25</v>
      </c>
      <c r="K603" s="83" t="s">
        <v>358</v>
      </c>
      <c r="L603" s="33"/>
      <c r="M603" s="33">
        <v>461.45</v>
      </c>
      <c r="N603" s="33"/>
      <c r="O603" s="33" t="s">
        <v>650</v>
      </c>
      <c r="P603" s="30" t="s">
        <v>359</v>
      </c>
      <c r="Q603" s="5"/>
    </row>
    <row r="604" spans="1:17" ht="15.75" customHeight="1" x14ac:dyDescent="0.3">
      <c r="A604" s="30">
        <v>51</v>
      </c>
      <c r="B604" s="1">
        <v>12</v>
      </c>
      <c r="C604" s="96">
        <v>46009</v>
      </c>
      <c r="D604" s="90" t="s">
        <v>320</v>
      </c>
      <c r="E604" s="33" t="s">
        <v>376</v>
      </c>
      <c r="F604" s="33" t="s">
        <v>661</v>
      </c>
      <c r="G604" s="83" t="s">
        <v>311</v>
      </c>
      <c r="H604" s="13" t="s">
        <v>169</v>
      </c>
      <c r="I604" s="33" t="s">
        <v>10</v>
      </c>
      <c r="J604" s="33" t="s">
        <v>25</v>
      </c>
      <c r="K604" s="83" t="s">
        <v>358</v>
      </c>
      <c r="L604" s="33"/>
      <c r="M604" s="33">
        <v>1236.44</v>
      </c>
      <c r="N604" s="33"/>
      <c r="O604" s="33" t="s">
        <v>650</v>
      </c>
      <c r="P604" s="30" t="s">
        <v>359</v>
      </c>
      <c r="Q604" s="5"/>
    </row>
    <row r="605" spans="1:17" ht="15.75" customHeight="1" x14ac:dyDescent="0.3">
      <c r="A605" s="30">
        <v>51</v>
      </c>
      <c r="B605" s="1">
        <v>12</v>
      </c>
      <c r="C605" s="96">
        <v>46009</v>
      </c>
      <c r="D605" s="90" t="s">
        <v>320</v>
      </c>
      <c r="E605" s="33" t="s">
        <v>376</v>
      </c>
      <c r="F605" s="33" t="s">
        <v>662</v>
      </c>
      <c r="G605" s="83" t="s">
        <v>311</v>
      </c>
      <c r="H605" s="13" t="s">
        <v>169</v>
      </c>
      <c r="I605" s="33" t="s">
        <v>10</v>
      </c>
      <c r="J605" s="33" t="s">
        <v>25</v>
      </c>
      <c r="K605" s="83" t="s">
        <v>358</v>
      </c>
      <c r="L605" s="33"/>
      <c r="M605" s="33">
        <v>1236.44</v>
      </c>
      <c r="N605" s="33"/>
      <c r="O605" s="33" t="s">
        <v>650</v>
      </c>
      <c r="P605" s="30" t="s">
        <v>359</v>
      </c>
      <c r="Q605" s="5"/>
    </row>
    <row r="606" spans="1:17" ht="15.75" customHeight="1" x14ac:dyDescent="0.3">
      <c r="A606" s="30">
        <v>51</v>
      </c>
      <c r="B606" s="1">
        <v>12</v>
      </c>
      <c r="C606" s="96">
        <v>46009</v>
      </c>
      <c r="D606" s="90" t="s">
        <v>320</v>
      </c>
      <c r="E606" s="33" t="s">
        <v>477</v>
      </c>
      <c r="F606" s="33" t="s">
        <v>663</v>
      </c>
      <c r="G606" s="83" t="s">
        <v>311</v>
      </c>
      <c r="H606" s="13" t="s">
        <v>664</v>
      </c>
      <c r="I606" s="33" t="s">
        <v>10</v>
      </c>
      <c r="J606" s="33" t="s">
        <v>39</v>
      </c>
      <c r="K606" s="83" t="s">
        <v>369</v>
      </c>
      <c r="L606" s="33"/>
      <c r="M606" s="33">
        <v>2187</v>
      </c>
      <c r="N606" s="33"/>
      <c r="O606" s="33" t="s">
        <v>560</v>
      </c>
      <c r="P606" s="30" t="s">
        <v>665</v>
      </c>
      <c r="Q606" s="5"/>
    </row>
    <row r="607" spans="1:17" ht="15.75" customHeight="1" x14ac:dyDescent="0.3">
      <c r="A607" s="30">
        <v>51</v>
      </c>
      <c r="B607" s="1">
        <v>12</v>
      </c>
      <c r="C607" s="96">
        <v>46009</v>
      </c>
      <c r="D607" s="90" t="s">
        <v>320</v>
      </c>
      <c r="E607" s="33" t="s">
        <v>477</v>
      </c>
      <c r="F607" s="33" t="s">
        <v>663</v>
      </c>
      <c r="G607" s="83" t="s">
        <v>311</v>
      </c>
      <c r="H607" s="13" t="s">
        <v>666</v>
      </c>
      <c r="I607" s="33" t="s">
        <v>10</v>
      </c>
      <c r="J607" s="33" t="s">
        <v>25</v>
      </c>
      <c r="K607" s="83" t="s">
        <v>369</v>
      </c>
      <c r="L607" s="33"/>
      <c r="M607" s="33">
        <v>2353</v>
      </c>
      <c r="N607" s="33"/>
      <c r="O607" s="33" t="s">
        <v>560</v>
      </c>
      <c r="P607" s="30" t="s">
        <v>665</v>
      </c>
      <c r="Q607" s="5"/>
    </row>
    <row r="608" spans="1:17" ht="15.75" customHeight="1" x14ac:dyDescent="0.3">
      <c r="A608" s="30">
        <v>51</v>
      </c>
      <c r="B608" s="1">
        <v>12</v>
      </c>
      <c r="C608" s="96">
        <v>46009</v>
      </c>
      <c r="D608" s="90" t="s">
        <v>320</v>
      </c>
      <c r="E608" s="33" t="s">
        <v>477</v>
      </c>
      <c r="F608" s="33" t="s">
        <v>663</v>
      </c>
      <c r="G608" s="83" t="s">
        <v>311</v>
      </c>
      <c r="H608" s="13" t="s">
        <v>667</v>
      </c>
      <c r="I608" s="33" t="s">
        <v>10</v>
      </c>
      <c r="J608" s="33" t="s">
        <v>25</v>
      </c>
      <c r="K608" s="83" t="s">
        <v>369</v>
      </c>
      <c r="L608" s="33"/>
      <c r="M608" s="33">
        <v>1997</v>
      </c>
      <c r="N608" s="33"/>
      <c r="O608" s="33" t="s">
        <v>560</v>
      </c>
      <c r="P608" s="30" t="s">
        <v>665</v>
      </c>
      <c r="Q608" s="5"/>
    </row>
    <row r="609" spans="1:17" ht="15.75" customHeight="1" x14ac:dyDescent="0.3">
      <c r="A609" s="30">
        <v>51</v>
      </c>
      <c r="B609" s="1">
        <v>12</v>
      </c>
      <c r="C609" s="96">
        <v>46009</v>
      </c>
      <c r="D609" s="90" t="s">
        <v>320</v>
      </c>
      <c r="E609" s="33" t="s">
        <v>477</v>
      </c>
      <c r="F609" s="33" t="s">
        <v>663</v>
      </c>
      <c r="G609" s="83" t="s">
        <v>311</v>
      </c>
      <c r="H609" s="13" t="s">
        <v>667</v>
      </c>
      <c r="I609" s="33" t="s">
        <v>10</v>
      </c>
      <c r="J609" s="33" t="s">
        <v>25</v>
      </c>
      <c r="K609" s="83" t="s">
        <v>369</v>
      </c>
      <c r="L609" s="33"/>
      <c r="M609" s="33">
        <v>1997</v>
      </c>
      <c r="N609" s="33"/>
      <c r="O609" s="33" t="s">
        <v>560</v>
      </c>
      <c r="P609" s="30" t="s">
        <v>665</v>
      </c>
      <c r="Q609" s="5"/>
    </row>
    <row r="610" spans="1:17" ht="15.75" customHeight="1" x14ac:dyDescent="0.3">
      <c r="A610" s="30">
        <v>51</v>
      </c>
      <c r="B610" s="1">
        <v>12</v>
      </c>
      <c r="C610" s="96">
        <v>46009</v>
      </c>
      <c r="D610" s="90" t="s">
        <v>320</v>
      </c>
      <c r="E610" s="33" t="s">
        <v>477</v>
      </c>
      <c r="F610" s="33" t="s">
        <v>663</v>
      </c>
      <c r="G610" s="83" t="s">
        <v>311</v>
      </c>
      <c r="H610" s="13" t="s">
        <v>667</v>
      </c>
      <c r="I610" s="33" t="s">
        <v>10</v>
      </c>
      <c r="J610" s="33" t="s">
        <v>25</v>
      </c>
      <c r="K610" s="83" t="s">
        <v>369</v>
      </c>
      <c r="L610" s="33"/>
      <c r="M610" s="33">
        <v>1997</v>
      </c>
      <c r="N610" s="33"/>
      <c r="O610" s="33" t="s">
        <v>560</v>
      </c>
      <c r="P610" s="30" t="s">
        <v>665</v>
      </c>
      <c r="Q610" s="5"/>
    </row>
    <row r="611" spans="1:17" ht="15.75" customHeight="1" x14ac:dyDescent="0.3">
      <c r="A611" s="30">
        <v>51</v>
      </c>
      <c r="B611" s="1">
        <v>12</v>
      </c>
      <c r="C611" s="96">
        <v>46009</v>
      </c>
      <c r="D611" s="90" t="s">
        <v>320</v>
      </c>
      <c r="E611" s="33" t="s">
        <v>668</v>
      </c>
      <c r="F611" s="33" t="s">
        <v>669</v>
      </c>
      <c r="G611" s="83" t="s">
        <v>311</v>
      </c>
      <c r="H611" s="13" t="s">
        <v>670</v>
      </c>
      <c r="I611" s="33" t="s">
        <v>10</v>
      </c>
      <c r="J611" s="33" t="s">
        <v>25</v>
      </c>
      <c r="K611" s="83" t="s">
        <v>369</v>
      </c>
      <c r="L611" s="33"/>
      <c r="M611" s="33">
        <v>14341.08</v>
      </c>
      <c r="N611" s="33"/>
      <c r="O611" s="33" t="s">
        <v>669</v>
      </c>
      <c r="P611" s="30" t="s">
        <v>671</v>
      </c>
      <c r="Q611" s="5"/>
    </row>
    <row r="612" spans="1:17" ht="15.75" customHeight="1" x14ac:dyDescent="0.3">
      <c r="A612" s="30">
        <v>51</v>
      </c>
      <c r="B612" s="1">
        <v>12</v>
      </c>
      <c r="C612" s="96">
        <v>46009</v>
      </c>
      <c r="D612" s="90" t="s">
        <v>320</v>
      </c>
      <c r="E612" s="33" t="s">
        <v>668</v>
      </c>
      <c r="F612" s="33" t="s">
        <v>669</v>
      </c>
      <c r="G612" s="83" t="s">
        <v>311</v>
      </c>
      <c r="H612" s="13" t="s">
        <v>563</v>
      </c>
      <c r="I612" s="33" t="s">
        <v>10</v>
      </c>
      <c r="J612" s="33" t="s">
        <v>25</v>
      </c>
      <c r="K612" s="83" t="s">
        <v>369</v>
      </c>
      <c r="L612" s="33"/>
      <c r="M612" s="33">
        <v>12590.13</v>
      </c>
      <c r="N612" s="33"/>
      <c r="O612" s="33" t="s">
        <v>669</v>
      </c>
      <c r="P612" s="30" t="s">
        <v>671</v>
      </c>
      <c r="Q612" s="5"/>
    </row>
    <row r="613" spans="1:17" ht="15.75" customHeight="1" x14ac:dyDescent="0.3">
      <c r="A613" s="30">
        <v>51</v>
      </c>
      <c r="B613" s="1">
        <v>12</v>
      </c>
      <c r="C613" s="96">
        <v>46009</v>
      </c>
      <c r="D613" s="90" t="s">
        <v>320</v>
      </c>
      <c r="E613" s="33" t="s">
        <v>668</v>
      </c>
      <c r="F613" s="33" t="s">
        <v>669</v>
      </c>
      <c r="G613" s="83" t="s">
        <v>311</v>
      </c>
      <c r="H613" s="13" t="s">
        <v>426</v>
      </c>
      <c r="I613" s="33" t="s">
        <v>10</v>
      </c>
      <c r="J613" s="33" t="s">
        <v>25</v>
      </c>
      <c r="K613" s="83" t="s">
        <v>369</v>
      </c>
      <c r="L613" s="33"/>
      <c r="M613" s="33">
        <v>12064.28</v>
      </c>
      <c r="N613" s="33"/>
      <c r="O613" s="33" t="s">
        <v>669</v>
      </c>
      <c r="P613" s="30" t="s">
        <v>671</v>
      </c>
      <c r="Q613" s="5"/>
    </row>
    <row r="614" spans="1:17" ht="15.75" customHeight="1" x14ac:dyDescent="0.3">
      <c r="A614" s="30">
        <v>51</v>
      </c>
      <c r="B614" s="1">
        <v>12</v>
      </c>
      <c r="C614" s="96">
        <v>46009</v>
      </c>
      <c r="D614" s="90" t="s">
        <v>320</v>
      </c>
      <c r="E614" s="33" t="s">
        <v>668</v>
      </c>
      <c r="F614" s="33" t="s">
        <v>669</v>
      </c>
      <c r="G614" s="83" t="s">
        <v>311</v>
      </c>
      <c r="H614" s="13" t="s">
        <v>672</v>
      </c>
      <c r="I614" s="33" t="s">
        <v>10</v>
      </c>
      <c r="J614" s="33" t="s">
        <v>25</v>
      </c>
      <c r="K614" s="83" t="s">
        <v>369</v>
      </c>
      <c r="L614" s="33"/>
      <c r="M614" s="33">
        <v>12649.38</v>
      </c>
      <c r="N614" s="33"/>
      <c r="O614" s="33" t="s">
        <v>669</v>
      </c>
      <c r="P614" s="30" t="s">
        <v>671</v>
      </c>
      <c r="Q614" s="5"/>
    </row>
    <row r="615" spans="1:17" ht="15.75" customHeight="1" x14ac:dyDescent="0.3">
      <c r="A615" s="30">
        <v>51</v>
      </c>
      <c r="B615" s="1">
        <v>12</v>
      </c>
      <c r="C615" s="96">
        <v>46009</v>
      </c>
      <c r="D615" s="90" t="s">
        <v>320</v>
      </c>
      <c r="E615" s="33" t="s">
        <v>317</v>
      </c>
      <c r="F615" s="33" t="s">
        <v>102</v>
      </c>
      <c r="G615" s="83" t="s">
        <v>311</v>
      </c>
      <c r="H615" s="13" t="s">
        <v>317</v>
      </c>
      <c r="I615" s="33" t="s">
        <v>10</v>
      </c>
      <c r="J615" s="33" t="s">
        <v>25</v>
      </c>
      <c r="K615" s="83" t="s">
        <v>369</v>
      </c>
      <c r="L615" s="33"/>
      <c r="M615" s="33">
        <v>1500</v>
      </c>
      <c r="N615" s="33"/>
      <c r="O615" s="33" t="s">
        <v>86</v>
      </c>
      <c r="P615" s="30" t="s">
        <v>671</v>
      </c>
      <c r="Q615" s="5"/>
    </row>
    <row r="616" spans="1:17" ht="15.75" customHeight="1" x14ac:dyDescent="0.3">
      <c r="A616" s="30">
        <v>51</v>
      </c>
      <c r="B616" s="1">
        <v>12</v>
      </c>
      <c r="C616" s="96">
        <v>46010</v>
      </c>
      <c r="D616" s="90" t="s">
        <v>320</v>
      </c>
      <c r="E616" s="33" t="s">
        <v>376</v>
      </c>
      <c r="F616" s="33" t="s">
        <v>333</v>
      </c>
      <c r="G616" s="83" t="s">
        <v>118</v>
      </c>
      <c r="H616" s="83" t="s">
        <v>104</v>
      </c>
      <c r="I616" s="33" t="s">
        <v>10</v>
      </c>
      <c r="J616" s="33" t="s">
        <v>25</v>
      </c>
      <c r="K616" s="83" t="s">
        <v>673</v>
      </c>
      <c r="L616" s="33"/>
      <c r="M616" s="33">
        <v>3810</v>
      </c>
      <c r="N616" s="33"/>
      <c r="O616" s="33" t="s">
        <v>381</v>
      </c>
      <c r="P616" s="30"/>
      <c r="Q616" s="5"/>
    </row>
    <row r="617" spans="1:17" ht="15.75" customHeight="1" x14ac:dyDescent="0.3">
      <c r="A617" s="30">
        <v>51</v>
      </c>
      <c r="B617" s="1">
        <v>12</v>
      </c>
      <c r="C617" s="96">
        <v>46010</v>
      </c>
      <c r="D617" s="90" t="s">
        <v>320</v>
      </c>
      <c r="E617" s="33" t="s">
        <v>62</v>
      </c>
      <c r="F617" s="33" t="s">
        <v>674</v>
      </c>
      <c r="G617" s="83" t="s">
        <v>118</v>
      </c>
      <c r="H617" s="83" t="s">
        <v>62</v>
      </c>
      <c r="I617" s="33" t="s">
        <v>10</v>
      </c>
      <c r="J617" s="33" t="s">
        <v>25</v>
      </c>
      <c r="K617" s="83" t="s">
        <v>673</v>
      </c>
      <c r="L617" s="33"/>
      <c r="M617" s="33">
        <v>76</v>
      </c>
      <c r="N617" s="33"/>
      <c r="O617" s="33" t="s">
        <v>381</v>
      </c>
      <c r="P617" s="30"/>
      <c r="Q617" s="5"/>
    </row>
    <row r="618" spans="1:17" ht="15.75" customHeight="1" x14ac:dyDescent="0.3">
      <c r="A618" s="30">
        <v>51</v>
      </c>
      <c r="B618" s="1">
        <v>12</v>
      </c>
      <c r="C618" s="96">
        <v>46010</v>
      </c>
      <c r="D618" s="90" t="s">
        <v>320</v>
      </c>
      <c r="E618" s="33" t="s">
        <v>62</v>
      </c>
      <c r="F618" s="33" t="s">
        <v>675</v>
      </c>
      <c r="G618" s="83" t="s">
        <v>118</v>
      </c>
      <c r="H618" s="83" t="s">
        <v>62</v>
      </c>
      <c r="I618" s="33" t="s">
        <v>10</v>
      </c>
      <c r="J618" s="33" t="s">
        <v>25</v>
      </c>
      <c r="K618" s="83" t="s">
        <v>673</v>
      </c>
      <c r="L618" s="33"/>
      <c r="M618" s="33">
        <v>60</v>
      </c>
      <c r="N618" s="33"/>
      <c r="O618" s="33" t="s">
        <v>381</v>
      </c>
      <c r="P618" s="30"/>
      <c r="Q618" s="5"/>
    </row>
    <row r="619" spans="1:17" ht="15.75" customHeight="1" x14ac:dyDescent="0.3">
      <c r="A619" s="30">
        <v>51</v>
      </c>
      <c r="B619" s="1">
        <v>12</v>
      </c>
      <c r="C619" s="96">
        <v>46010</v>
      </c>
      <c r="D619" s="90" t="s">
        <v>320</v>
      </c>
      <c r="E619" s="33" t="s">
        <v>376</v>
      </c>
      <c r="F619" s="33" t="s">
        <v>676</v>
      </c>
      <c r="G619" s="83" t="s">
        <v>118</v>
      </c>
      <c r="H619" s="83" t="s">
        <v>104</v>
      </c>
      <c r="I619" s="33" t="s">
        <v>10</v>
      </c>
      <c r="J619" s="33" t="s">
        <v>25</v>
      </c>
      <c r="K619" s="83" t="s">
        <v>364</v>
      </c>
      <c r="L619" s="33"/>
      <c r="M619" s="33">
        <v>200</v>
      </c>
      <c r="N619" s="33"/>
      <c r="O619" s="33" t="s">
        <v>677</v>
      </c>
      <c r="P619" s="30" t="s">
        <v>678</v>
      </c>
      <c r="Q619" s="5" t="s">
        <v>374</v>
      </c>
    </row>
    <row r="620" spans="1:17" ht="15.75" customHeight="1" x14ac:dyDescent="0.3">
      <c r="A620" s="30">
        <v>51</v>
      </c>
      <c r="B620" s="1">
        <v>12</v>
      </c>
      <c r="C620" s="96">
        <v>46010</v>
      </c>
      <c r="D620" s="90" t="s">
        <v>320</v>
      </c>
      <c r="E620" s="33" t="s">
        <v>376</v>
      </c>
      <c r="F620" s="33" t="s">
        <v>679</v>
      </c>
      <c r="G620" s="83" t="s">
        <v>118</v>
      </c>
      <c r="H620" s="83" t="s">
        <v>104</v>
      </c>
      <c r="I620" s="33" t="s">
        <v>10</v>
      </c>
      <c r="J620" s="33" t="s">
        <v>25</v>
      </c>
      <c r="K620" s="83" t="s">
        <v>673</v>
      </c>
      <c r="L620" s="33"/>
      <c r="M620" s="33">
        <v>200</v>
      </c>
      <c r="N620" s="33"/>
      <c r="O620" s="33" t="s">
        <v>680</v>
      </c>
      <c r="P620" s="30"/>
      <c r="Q620" s="5"/>
    </row>
    <row r="621" spans="1:17" ht="15.75" customHeight="1" x14ac:dyDescent="0.3">
      <c r="A621" s="30">
        <v>51</v>
      </c>
      <c r="B621" s="1">
        <v>12</v>
      </c>
      <c r="C621" s="96">
        <v>46010</v>
      </c>
      <c r="D621" s="90" t="s">
        <v>320</v>
      </c>
      <c r="E621" s="33" t="s">
        <v>376</v>
      </c>
      <c r="F621" s="33" t="s">
        <v>681</v>
      </c>
      <c r="G621" s="83" t="s">
        <v>118</v>
      </c>
      <c r="H621" s="83" t="s">
        <v>104</v>
      </c>
      <c r="I621" s="33" t="s">
        <v>10</v>
      </c>
      <c r="J621" s="33" t="s">
        <v>25</v>
      </c>
      <c r="K621" s="83" t="s">
        <v>673</v>
      </c>
      <c r="L621" s="33"/>
      <c r="M621" s="33">
        <v>450</v>
      </c>
      <c r="N621" s="33"/>
      <c r="O621" s="33" t="s">
        <v>682</v>
      </c>
      <c r="P621" s="30"/>
      <c r="Q621" s="5"/>
    </row>
    <row r="622" spans="1:17" ht="15.75" customHeight="1" x14ac:dyDescent="0.3">
      <c r="A622" s="30">
        <v>51</v>
      </c>
      <c r="B622" s="1">
        <v>12</v>
      </c>
      <c r="C622" s="96">
        <v>46010</v>
      </c>
      <c r="D622" s="90" t="s">
        <v>320</v>
      </c>
      <c r="E622" s="33" t="s">
        <v>376</v>
      </c>
      <c r="F622" s="33" t="s">
        <v>683</v>
      </c>
      <c r="G622" s="83" t="s">
        <v>118</v>
      </c>
      <c r="H622" s="83" t="s">
        <v>42</v>
      </c>
      <c r="I622" s="33" t="s">
        <v>10</v>
      </c>
      <c r="J622" s="33" t="s">
        <v>25</v>
      </c>
      <c r="K622" s="83" t="s">
        <v>358</v>
      </c>
      <c r="L622" s="33"/>
      <c r="M622" s="33">
        <v>500</v>
      </c>
      <c r="N622" s="33"/>
      <c r="O622" s="33" t="s">
        <v>454</v>
      </c>
      <c r="P622" s="30" t="s">
        <v>359</v>
      </c>
      <c r="Q622" s="5" t="s">
        <v>684</v>
      </c>
    </row>
    <row r="623" spans="1:17" ht="15.75" customHeight="1" x14ac:dyDescent="0.3">
      <c r="A623" s="30">
        <v>51</v>
      </c>
      <c r="B623" s="1">
        <v>12</v>
      </c>
      <c r="C623" s="96">
        <v>46010</v>
      </c>
      <c r="D623" s="90" t="s">
        <v>320</v>
      </c>
      <c r="E623" s="33" t="s">
        <v>376</v>
      </c>
      <c r="F623" s="33" t="s">
        <v>683</v>
      </c>
      <c r="G623" s="83" t="s">
        <v>118</v>
      </c>
      <c r="H623" s="13" t="s">
        <v>169</v>
      </c>
      <c r="I623" s="33" t="s">
        <v>10</v>
      </c>
      <c r="J623" s="33" t="s">
        <v>25</v>
      </c>
      <c r="K623" s="83" t="s">
        <v>358</v>
      </c>
      <c r="L623" s="33"/>
      <c r="M623" s="33">
        <v>800</v>
      </c>
      <c r="N623" s="33"/>
      <c r="O623" s="33" t="s">
        <v>454</v>
      </c>
      <c r="P623" s="30" t="s">
        <v>359</v>
      </c>
      <c r="Q623" s="5" t="s">
        <v>685</v>
      </c>
    </row>
    <row r="624" spans="1:17" ht="15.75" customHeight="1" x14ac:dyDescent="0.3">
      <c r="A624" s="30">
        <v>51</v>
      </c>
      <c r="B624" s="1">
        <v>12</v>
      </c>
      <c r="C624" s="96">
        <v>46010</v>
      </c>
      <c r="D624" s="90" t="s">
        <v>320</v>
      </c>
      <c r="E624" s="33" t="s">
        <v>477</v>
      </c>
      <c r="F624" s="33" t="s">
        <v>663</v>
      </c>
      <c r="G624" s="83" t="s">
        <v>311</v>
      </c>
      <c r="H624" s="83" t="s">
        <v>646</v>
      </c>
      <c r="I624" s="33" t="s">
        <v>10</v>
      </c>
      <c r="J624" s="33" t="s">
        <v>25</v>
      </c>
      <c r="K624" s="83" t="s">
        <v>364</v>
      </c>
      <c r="L624" s="33"/>
      <c r="M624" s="33">
        <v>2279</v>
      </c>
      <c r="N624" s="33"/>
      <c r="O624" s="33" t="s">
        <v>560</v>
      </c>
      <c r="P624" s="30" t="s">
        <v>686</v>
      </c>
      <c r="Q624" s="5"/>
    </row>
    <row r="625" spans="1:17" ht="15.75" customHeight="1" x14ac:dyDescent="0.3">
      <c r="A625" s="30">
        <v>51</v>
      </c>
      <c r="B625" s="1">
        <v>12</v>
      </c>
      <c r="C625" s="96">
        <v>46010</v>
      </c>
      <c r="D625" s="90" t="s">
        <v>320</v>
      </c>
      <c r="E625" s="33" t="s">
        <v>477</v>
      </c>
      <c r="F625" s="33" t="s">
        <v>663</v>
      </c>
      <c r="G625" s="83" t="s">
        <v>311</v>
      </c>
      <c r="H625" s="83" t="s">
        <v>645</v>
      </c>
      <c r="I625" s="33" t="s">
        <v>10</v>
      </c>
      <c r="J625" s="33" t="s">
        <v>25</v>
      </c>
      <c r="K625" s="83" t="s">
        <v>364</v>
      </c>
      <c r="L625" s="33"/>
      <c r="M625" s="33">
        <v>2484</v>
      </c>
      <c r="N625" s="33"/>
      <c r="O625" s="33" t="s">
        <v>560</v>
      </c>
      <c r="P625" s="30" t="s">
        <v>686</v>
      </c>
      <c r="Q625" s="5"/>
    </row>
    <row r="626" spans="1:17" ht="15.75" customHeight="1" x14ac:dyDescent="0.3">
      <c r="A626" s="30">
        <v>51</v>
      </c>
      <c r="B626" s="1">
        <v>12</v>
      </c>
      <c r="C626" s="96">
        <v>46010</v>
      </c>
      <c r="D626" s="90" t="s">
        <v>320</v>
      </c>
      <c r="E626" s="33" t="s">
        <v>477</v>
      </c>
      <c r="F626" s="33" t="s">
        <v>342</v>
      </c>
      <c r="G626" s="83" t="s">
        <v>118</v>
      </c>
      <c r="H626" s="83" t="s">
        <v>629</v>
      </c>
      <c r="I626" s="33" t="s">
        <v>10</v>
      </c>
      <c r="J626" s="33" t="s">
        <v>25</v>
      </c>
      <c r="K626" s="83" t="s">
        <v>369</v>
      </c>
      <c r="L626" s="33"/>
      <c r="M626" s="33">
        <v>160</v>
      </c>
      <c r="N626" s="33"/>
      <c r="O626" s="33" t="s">
        <v>86</v>
      </c>
      <c r="P626" s="30" t="s">
        <v>687</v>
      </c>
      <c r="Q626" s="5" t="s">
        <v>688</v>
      </c>
    </row>
    <row r="627" spans="1:17" ht="15.75" customHeight="1" x14ac:dyDescent="0.3">
      <c r="A627" s="30">
        <v>51</v>
      </c>
      <c r="B627" s="1">
        <v>12</v>
      </c>
      <c r="C627" s="96">
        <v>46010</v>
      </c>
      <c r="D627" s="90" t="s">
        <v>320</v>
      </c>
      <c r="E627" s="33" t="s">
        <v>477</v>
      </c>
      <c r="F627" s="33" t="s">
        <v>689</v>
      </c>
      <c r="G627" s="83" t="s">
        <v>118</v>
      </c>
      <c r="H627" s="83" t="s">
        <v>629</v>
      </c>
      <c r="I627" s="33" t="s">
        <v>10</v>
      </c>
      <c r="J627" s="33" t="s">
        <v>25</v>
      </c>
      <c r="K627" s="83" t="s">
        <v>369</v>
      </c>
      <c r="L627" s="33"/>
      <c r="M627" s="33">
        <v>80</v>
      </c>
      <c r="N627" s="33"/>
      <c r="O627" s="33" t="s">
        <v>86</v>
      </c>
      <c r="P627" s="30" t="s">
        <v>687</v>
      </c>
      <c r="Q627" s="5" t="s">
        <v>688</v>
      </c>
    </row>
    <row r="628" spans="1:17" ht="15.75" customHeight="1" x14ac:dyDescent="0.3">
      <c r="A628" s="30">
        <v>51</v>
      </c>
      <c r="B628" s="1">
        <v>12</v>
      </c>
      <c r="C628" s="96">
        <v>46010</v>
      </c>
      <c r="D628" s="90" t="s">
        <v>320</v>
      </c>
      <c r="E628" s="33" t="s">
        <v>376</v>
      </c>
      <c r="F628" s="33" t="s">
        <v>690</v>
      </c>
      <c r="G628" s="83" t="s">
        <v>515</v>
      </c>
      <c r="H628" s="3" t="s">
        <v>347</v>
      </c>
      <c r="I628" s="33" t="s">
        <v>10</v>
      </c>
      <c r="J628" s="33" t="s">
        <v>25</v>
      </c>
      <c r="K628" s="83" t="s">
        <v>397</v>
      </c>
      <c r="L628" s="33"/>
      <c r="M628" s="33">
        <v>1960</v>
      </c>
      <c r="N628" s="33"/>
      <c r="O628" s="33" t="s">
        <v>691</v>
      </c>
      <c r="P628" s="30" t="s">
        <v>397</v>
      </c>
      <c r="Q628" s="5"/>
    </row>
    <row r="629" spans="1:17" ht="15.75" customHeight="1" x14ac:dyDescent="0.3">
      <c r="A629" s="30">
        <v>51</v>
      </c>
      <c r="B629" s="1">
        <v>12</v>
      </c>
      <c r="C629" s="96">
        <v>46010</v>
      </c>
      <c r="D629" s="90" t="s">
        <v>320</v>
      </c>
      <c r="E629" s="33" t="s">
        <v>376</v>
      </c>
      <c r="F629" s="33" t="s">
        <v>692</v>
      </c>
      <c r="G629" s="83" t="s">
        <v>515</v>
      </c>
      <c r="H629" s="3" t="s">
        <v>347</v>
      </c>
      <c r="I629" s="33" t="s">
        <v>10</v>
      </c>
      <c r="J629" s="33" t="s">
        <v>25</v>
      </c>
      <c r="K629" s="83" t="s">
        <v>397</v>
      </c>
      <c r="L629" s="33"/>
      <c r="M629" s="33">
        <v>1380</v>
      </c>
      <c r="N629" s="33"/>
      <c r="O629" s="33" t="s">
        <v>691</v>
      </c>
      <c r="P629" s="30" t="s">
        <v>397</v>
      </c>
      <c r="Q629" s="5"/>
    </row>
    <row r="630" spans="1:17" ht="15.75" customHeight="1" x14ac:dyDescent="0.3">
      <c r="A630" s="30">
        <v>51</v>
      </c>
      <c r="B630" s="1">
        <v>12</v>
      </c>
      <c r="C630" s="96">
        <v>46010</v>
      </c>
      <c r="D630" s="90" t="s">
        <v>320</v>
      </c>
      <c r="E630" s="33" t="s">
        <v>78</v>
      </c>
      <c r="F630" s="33" t="s">
        <v>79</v>
      </c>
      <c r="G630" s="83" t="s">
        <v>515</v>
      </c>
      <c r="H630" s="3" t="s">
        <v>347</v>
      </c>
      <c r="I630" s="33" t="s">
        <v>10</v>
      </c>
      <c r="J630" s="33" t="s">
        <v>25</v>
      </c>
      <c r="K630" s="83" t="s">
        <v>397</v>
      </c>
      <c r="L630" s="33"/>
      <c r="M630" s="33">
        <v>110</v>
      </c>
      <c r="N630" s="33"/>
      <c r="O630" s="33" t="s">
        <v>693</v>
      </c>
      <c r="P630" s="30" t="s">
        <v>397</v>
      </c>
      <c r="Q630" s="5"/>
    </row>
    <row r="631" spans="1:17" ht="15.75" customHeight="1" x14ac:dyDescent="0.3">
      <c r="A631" s="30">
        <v>51</v>
      </c>
      <c r="B631" s="1">
        <v>12</v>
      </c>
      <c r="C631" s="96">
        <v>46010</v>
      </c>
      <c r="D631" s="90" t="s">
        <v>320</v>
      </c>
      <c r="E631" s="33" t="s">
        <v>317</v>
      </c>
      <c r="F631" s="33" t="s">
        <v>694</v>
      </c>
      <c r="G631" s="83" t="s">
        <v>311</v>
      </c>
      <c r="H631" s="12" t="s">
        <v>317</v>
      </c>
      <c r="I631" s="33" t="s">
        <v>10</v>
      </c>
      <c r="J631" s="33" t="s">
        <v>25</v>
      </c>
      <c r="K631" s="83" t="s">
        <v>380</v>
      </c>
      <c r="L631" s="33"/>
      <c r="M631" s="33">
        <f>171.55+27.55</f>
        <v>199.10000000000002</v>
      </c>
      <c r="N631" s="33"/>
      <c r="O631" s="33" t="s">
        <v>695</v>
      </c>
      <c r="P631" s="30" t="s">
        <v>696</v>
      </c>
      <c r="Q631" s="5"/>
    </row>
    <row r="632" spans="1:17" ht="15.75" customHeight="1" x14ac:dyDescent="0.3">
      <c r="A632" s="30">
        <v>51</v>
      </c>
      <c r="B632" s="1">
        <v>12</v>
      </c>
      <c r="C632" s="96">
        <v>46010</v>
      </c>
      <c r="D632" s="90" t="s">
        <v>320</v>
      </c>
      <c r="E632" s="33" t="s">
        <v>317</v>
      </c>
      <c r="F632" s="33" t="s">
        <v>694</v>
      </c>
      <c r="G632" s="83" t="s">
        <v>311</v>
      </c>
      <c r="H632" s="12" t="s">
        <v>317</v>
      </c>
      <c r="I632" s="33" t="s">
        <v>10</v>
      </c>
      <c r="J632" s="33" t="s">
        <v>25</v>
      </c>
      <c r="K632" s="83" t="s">
        <v>380</v>
      </c>
      <c r="L632" s="33"/>
      <c r="M632" s="33">
        <f>128.45+20.55</f>
        <v>149</v>
      </c>
      <c r="N632" s="33"/>
      <c r="O632" s="33" t="s">
        <v>695</v>
      </c>
      <c r="P632" s="30" t="s">
        <v>696</v>
      </c>
      <c r="Q632" s="5"/>
    </row>
    <row r="633" spans="1:17" ht="15.75" customHeight="1" x14ac:dyDescent="0.3">
      <c r="A633" s="30">
        <v>51</v>
      </c>
      <c r="B633" s="1">
        <v>12</v>
      </c>
      <c r="C633" s="96">
        <v>46010</v>
      </c>
      <c r="D633" s="90" t="s">
        <v>320</v>
      </c>
      <c r="E633" s="33" t="s">
        <v>317</v>
      </c>
      <c r="F633" s="33" t="s">
        <v>697</v>
      </c>
      <c r="G633" s="83" t="s">
        <v>311</v>
      </c>
      <c r="H633" s="12" t="s">
        <v>317</v>
      </c>
      <c r="I633" s="33" t="s">
        <v>10</v>
      </c>
      <c r="J633" s="33" t="s">
        <v>25</v>
      </c>
      <c r="K633" s="83" t="s">
        <v>380</v>
      </c>
      <c r="L633" s="33"/>
      <c r="M633" s="33">
        <f>86+13.76</f>
        <v>99.76</v>
      </c>
      <c r="N633" s="33"/>
      <c r="O633" s="33" t="s">
        <v>695</v>
      </c>
      <c r="P633" s="30" t="s">
        <v>696</v>
      </c>
      <c r="Q633" s="5"/>
    </row>
    <row r="634" spans="1:17" ht="15.75" customHeight="1" x14ac:dyDescent="0.3">
      <c r="A634" s="30">
        <v>51</v>
      </c>
      <c r="B634" s="1">
        <v>12</v>
      </c>
      <c r="C634" s="96">
        <v>46010</v>
      </c>
      <c r="D634" s="90" t="s">
        <v>320</v>
      </c>
      <c r="E634" s="33" t="s">
        <v>376</v>
      </c>
      <c r="F634" s="33" t="s">
        <v>133</v>
      </c>
      <c r="G634" s="83" t="s">
        <v>585</v>
      </c>
      <c r="H634" s="83" t="s">
        <v>42</v>
      </c>
      <c r="I634" s="33"/>
      <c r="J634" s="33"/>
      <c r="K634" s="83" t="s">
        <v>369</v>
      </c>
      <c r="L634" s="33"/>
      <c r="M634" s="104">
        <v>1100</v>
      </c>
      <c r="N634" s="33"/>
      <c r="O634" s="33" t="s">
        <v>698</v>
      </c>
      <c r="P634" s="30" t="s">
        <v>530</v>
      </c>
      <c r="Q634" s="5"/>
    </row>
    <row r="635" spans="1:17" ht="15.75" customHeight="1" x14ac:dyDescent="0.3">
      <c r="A635" s="30">
        <v>51</v>
      </c>
      <c r="B635" s="1">
        <v>12</v>
      </c>
      <c r="C635" s="96">
        <v>46010</v>
      </c>
      <c r="D635" s="90" t="s">
        <v>320</v>
      </c>
      <c r="E635" s="33" t="s">
        <v>376</v>
      </c>
      <c r="F635" s="33" t="s">
        <v>133</v>
      </c>
      <c r="G635" s="83" t="s">
        <v>515</v>
      </c>
      <c r="H635" s="3" t="s">
        <v>347</v>
      </c>
      <c r="I635" s="33" t="s">
        <v>10</v>
      </c>
      <c r="J635" s="33" t="s">
        <v>25</v>
      </c>
      <c r="K635" s="83" t="s">
        <v>369</v>
      </c>
      <c r="L635" s="33"/>
      <c r="M635" s="104"/>
      <c r="N635" s="33"/>
      <c r="O635" s="33" t="s">
        <v>698</v>
      </c>
      <c r="P635" s="30" t="s">
        <v>530</v>
      </c>
      <c r="Q635" s="5"/>
    </row>
    <row r="636" spans="1:17" ht="15.75" customHeight="1" x14ac:dyDescent="0.3">
      <c r="A636" s="30">
        <v>51</v>
      </c>
      <c r="B636" s="1">
        <v>12</v>
      </c>
      <c r="C636" s="96">
        <v>46010</v>
      </c>
      <c r="D636" s="90" t="s">
        <v>320</v>
      </c>
      <c r="E636" s="33" t="s">
        <v>376</v>
      </c>
      <c r="F636" s="33" t="s">
        <v>193</v>
      </c>
      <c r="G636" s="83" t="s">
        <v>371</v>
      </c>
      <c r="H636" s="13" t="s">
        <v>372</v>
      </c>
      <c r="I636" s="33" t="s">
        <v>10</v>
      </c>
      <c r="J636" s="33" t="s">
        <v>39</v>
      </c>
      <c r="K636" s="83" t="s">
        <v>369</v>
      </c>
      <c r="L636" s="33"/>
      <c r="M636" s="33">
        <v>4900</v>
      </c>
      <c r="N636" s="33"/>
      <c r="O636" s="33" t="s">
        <v>86</v>
      </c>
      <c r="P636" s="30" t="s">
        <v>699</v>
      </c>
      <c r="Q636" s="5"/>
    </row>
    <row r="637" spans="1:17" ht="15.75" customHeight="1" x14ac:dyDescent="0.3">
      <c r="A637" s="30">
        <v>51</v>
      </c>
      <c r="B637" s="1">
        <v>12</v>
      </c>
      <c r="C637" s="96">
        <v>46010</v>
      </c>
      <c r="D637" s="90" t="s">
        <v>320</v>
      </c>
      <c r="E637" s="33" t="s">
        <v>376</v>
      </c>
      <c r="F637" s="33" t="s">
        <v>700</v>
      </c>
      <c r="G637" s="83" t="s">
        <v>311</v>
      </c>
      <c r="H637" s="13" t="s">
        <v>135</v>
      </c>
      <c r="I637" s="33" t="s">
        <v>10</v>
      </c>
      <c r="J637" s="33" t="s">
        <v>25</v>
      </c>
      <c r="K637" s="83" t="s">
        <v>369</v>
      </c>
      <c r="L637" s="33"/>
      <c r="M637" s="33">
        <v>10000</v>
      </c>
      <c r="N637" s="33"/>
      <c r="O637" s="33" t="s">
        <v>701</v>
      </c>
      <c r="P637" s="30" t="s">
        <v>567</v>
      </c>
      <c r="Q637" s="5" t="s">
        <v>702</v>
      </c>
    </row>
    <row r="638" spans="1:17" ht="15.75" customHeight="1" x14ac:dyDescent="0.3">
      <c r="A638" s="30">
        <v>51</v>
      </c>
      <c r="B638" s="1">
        <v>12</v>
      </c>
      <c r="C638" s="96">
        <v>46011</v>
      </c>
      <c r="D638" s="90" t="s">
        <v>320</v>
      </c>
      <c r="E638" s="33" t="s">
        <v>78</v>
      </c>
      <c r="F638" s="33" t="s">
        <v>703</v>
      </c>
      <c r="G638" s="83" t="s">
        <v>704</v>
      </c>
      <c r="H638" s="83" t="s">
        <v>21</v>
      </c>
      <c r="I638" s="33" t="s">
        <v>10</v>
      </c>
      <c r="J638" s="33" t="s">
        <v>18</v>
      </c>
      <c r="K638" s="83" t="s">
        <v>705</v>
      </c>
      <c r="L638" s="33"/>
      <c r="M638" s="33">
        <v>868</v>
      </c>
      <c r="N638" s="33"/>
      <c r="O638" s="33" t="s">
        <v>613</v>
      </c>
      <c r="P638" s="30" t="s">
        <v>706</v>
      </c>
      <c r="Q638" s="5"/>
    </row>
    <row r="639" spans="1:17" ht="15.75" customHeight="1" x14ac:dyDescent="0.3">
      <c r="A639" s="30">
        <v>51</v>
      </c>
      <c r="B639" s="1">
        <v>12</v>
      </c>
      <c r="C639" s="96">
        <v>46011</v>
      </c>
      <c r="D639" s="90" t="s">
        <v>320</v>
      </c>
      <c r="E639" s="33" t="s">
        <v>78</v>
      </c>
      <c r="F639" s="33" t="s">
        <v>95</v>
      </c>
      <c r="G639" s="83" t="s">
        <v>704</v>
      </c>
      <c r="H639" s="83" t="s">
        <v>21</v>
      </c>
      <c r="I639" s="33" t="s">
        <v>10</v>
      </c>
      <c r="J639" s="33" t="s">
        <v>18</v>
      </c>
      <c r="K639" s="83" t="s">
        <v>705</v>
      </c>
      <c r="L639" s="33"/>
      <c r="M639" s="33">
        <v>211</v>
      </c>
      <c r="N639" s="33"/>
      <c r="O639" s="33" t="s">
        <v>613</v>
      </c>
      <c r="P639" s="30" t="s">
        <v>706</v>
      </c>
      <c r="Q639" s="5"/>
    </row>
    <row r="640" spans="1:17" ht="15.75" customHeight="1" x14ac:dyDescent="0.3">
      <c r="A640" s="30">
        <v>51</v>
      </c>
      <c r="B640" s="1">
        <v>12</v>
      </c>
      <c r="C640" s="96">
        <v>46011</v>
      </c>
      <c r="D640" s="90" t="s">
        <v>320</v>
      </c>
      <c r="E640" s="3" t="s">
        <v>78</v>
      </c>
      <c r="F640" s="33" t="s">
        <v>97</v>
      </c>
      <c r="G640" s="83" t="s">
        <v>704</v>
      </c>
      <c r="H640" s="83" t="s">
        <v>21</v>
      </c>
      <c r="I640" s="33" t="s">
        <v>10</v>
      </c>
      <c r="J640" s="33" t="s">
        <v>18</v>
      </c>
      <c r="K640" s="83" t="s">
        <v>705</v>
      </c>
      <c r="L640" s="33"/>
      <c r="M640" s="33">
        <v>332.35</v>
      </c>
      <c r="N640" s="33"/>
      <c r="O640" s="33" t="s">
        <v>613</v>
      </c>
      <c r="P640" s="30" t="s">
        <v>706</v>
      </c>
      <c r="Q640" s="5"/>
    </row>
    <row r="641" spans="1:17" ht="15.75" customHeight="1" x14ac:dyDescent="0.3">
      <c r="A641" s="30">
        <v>51</v>
      </c>
      <c r="B641" s="1">
        <v>12</v>
      </c>
      <c r="C641" s="96">
        <v>46011</v>
      </c>
      <c r="D641" s="90" t="s">
        <v>320</v>
      </c>
      <c r="E641" s="3" t="s">
        <v>78</v>
      </c>
      <c r="F641" s="33" t="s">
        <v>98</v>
      </c>
      <c r="G641" s="83" t="s">
        <v>704</v>
      </c>
      <c r="H641" s="83" t="s">
        <v>21</v>
      </c>
      <c r="I641" s="33" t="s">
        <v>10</v>
      </c>
      <c r="J641" s="33" t="s">
        <v>18</v>
      </c>
      <c r="K641" s="83" t="s">
        <v>705</v>
      </c>
      <c r="L641" s="33"/>
      <c r="M641" s="33">
        <v>445</v>
      </c>
      <c r="N641" s="33"/>
      <c r="O641" s="33" t="s">
        <v>613</v>
      </c>
      <c r="P641" s="30" t="s">
        <v>706</v>
      </c>
      <c r="Q641" s="5"/>
    </row>
    <row r="642" spans="1:17" ht="15.75" customHeight="1" x14ac:dyDescent="0.3">
      <c r="A642" s="30">
        <v>51</v>
      </c>
      <c r="B642" s="1">
        <v>12</v>
      </c>
      <c r="C642" s="96">
        <v>46011</v>
      </c>
      <c r="D642" s="90" t="s">
        <v>320</v>
      </c>
      <c r="E642" s="33" t="s">
        <v>78</v>
      </c>
      <c r="F642" s="33" t="s">
        <v>90</v>
      </c>
      <c r="G642" s="83" t="s">
        <v>704</v>
      </c>
      <c r="H642" s="83" t="s">
        <v>21</v>
      </c>
      <c r="I642" s="33" t="s">
        <v>10</v>
      </c>
      <c r="J642" s="33" t="s">
        <v>18</v>
      </c>
      <c r="K642" s="83" t="s">
        <v>705</v>
      </c>
      <c r="L642" s="33"/>
      <c r="M642" s="33">
        <v>204.02</v>
      </c>
      <c r="N642" s="33"/>
      <c r="O642" s="33" t="s">
        <v>613</v>
      </c>
      <c r="P642" s="30" t="s">
        <v>706</v>
      </c>
      <c r="Q642" s="5"/>
    </row>
    <row r="643" spans="1:17" ht="15.75" customHeight="1" x14ac:dyDescent="0.3">
      <c r="A643" s="30">
        <v>51</v>
      </c>
      <c r="B643" s="1">
        <v>12</v>
      </c>
      <c r="C643" s="96">
        <v>46011</v>
      </c>
      <c r="D643" s="90" t="s">
        <v>320</v>
      </c>
      <c r="E643" s="33" t="s">
        <v>78</v>
      </c>
      <c r="F643" s="33" t="s">
        <v>79</v>
      </c>
      <c r="G643" s="83" t="s">
        <v>704</v>
      </c>
      <c r="H643" s="83" t="s">
        <v>21</v>
      </c>
      <c r="I643" s="33" t="s">
        <v>10</v>
      </c>
      <c r="J643" s="33" t="s">
        <v>18</v>
      </c>
      <c r="K643" s="83" t="s">
        <v>705</v>
      </c>
      <c r="L643" s="33"/>
      <c r="M643" s="33">
        <v>131</v>
      </c>
      <c r="N643" s="33"/>
      <c r="O643" s="33" t="s">
        <v>613</v>
      </c>
      <c r="P643" s="30" t="s">
        <v>706</v>
      </c>
      <c r="Q643" s="5"/>
    </row>
    <row r="644" spans="1:17" ht="15.75" customHeight="1" x14ac:dyDescent="0.3">
      <c r="A644" s="30">
        <v>51</v>
      </c>
      <c r="B644" s="1">
        <v>12</v>
      </c>
      <c r="C644" s="96">
        <v>46011</v>
      </c>
      <c r="D644" s="90" t="s">
        <v>320</v>
      </c>
      <c r="E644" s="33" t="s">
        <v>78</v>
      </c>
      <c r="F644" s="33" t="s">
        <v>216</v>
      </c>
      <c r="G644" s="83" t="s">
        <v>704</v>
      </c>
      <c r="H644" s="83" t="s">
        <v>21</v>
      </c>
      <c r="I644" s="33" t="s">
        <v>10</v>
      </c>
      <c r="J644" s="33" t="s">
        <v>18</v>
      </c>
      <c r="K644" s="83" t="s">
        <v>705</v>
      </c>
      <c r="L644" s="33"/>
      <c r="M644" s="33">
        <v>73</v>
      </c>
      <c r="N644" s="33"/>
      <c r="O644" s="33" t="s">
        <v>613</v>
      </c>
      <c r="P644" s="30" t="s">
        <v>706</v>
      </c>
      <c r="Q644" s="5"/>
    </row>
    <row r="645" spans="1:17" ht="15.75" customHeight="1" x14ac:dyDescent="0.3">
      <c r="A645" s="30">
        <v>51</v>
      </c>
      <c r="B645" s="1">
        <v>12</v>
      </c>
      <c r="C645" s="96">
        <v>46011</v>
      </c>
      <c r="D645" s="90" t="s">
        <v>320</v>
      </c>
      <c r="E645" s="33" t="s">
        <v>78</v>
      </c>
      <c r="F645" s="33" t="s">
        <v>707</v>
      </c>
      <c r="G645" s="83" t="s">
        <v>704</v>
      </c>
      <c r="H645" s="83" t="s">
        <v>21</v>
      </c>
      <c r="I645" s="33" t="s">
        <v>10</v>
      </c>
      <c r="J645" s="33" t="s">
        <v>18</v>
      </c>
      <c r="K645" s="83" t="s">
        <v>705</v>
      </c>
      <c r="L645" s="33"/>
      <c r="M645" s="33">
        <v>122</v>
      </c>
      <c r="N645" s="33"/>
      <c r="O645" s="33" t="s">
        <v>613</v>
      </c>
      <c r="P645" s="30" t="s">
        <v>706</v>
      </c>
      <c r="Q645" s="5"/>
    </row>
    <row r="646" spans="1:17" ht="15.75" customHeight="1" x14ac:dyDescent="0.3">
      <c r="A646" s="30">
        <v>51</v>
      </c>
      <c r="B646" s="1">
        <v>12</v>
      </c>
      <c r="C646" s="96">
        <v>46011</v>
      </c>
      <c r="D646" s="90" t="s">
        <v>320</v>
      </c>
      <c r="E646" s="33" t="s">
        <v>356</v>
      </c>
      <c r="F646" s="33" t="s">
        <v>708</v>
      </c>
      <c r="G646" s="83" t="s">
        <v>311</v>
      </c>
      <c r="H646" s="83" t="s">
        <v>645</v>
      </c>
      <c r="I646" s="33" t="s">
        <v>10</v>
      </c>
      <c r="J646" s="33" t="s">
        <v>25</v>
      </c>
      <c r="K646" s="83" t="s">
        <v>369</v>
      </c>
      <c r="L646" s="33"/>
      <c r="M646" s="33">
        <v>10000</v>
      </c>
      <c r="N646" s="33"/>
      <c r="O646" s="33" t="s">
        <v>709</v>
      </c>
      <c r="P646" s="30" t="s">
        <v>567</v>
      </c>
      <c r="Q646" s="5"/>
    </row>
    <row r="647" spans="1:17" ht="15.75" customHeight="1" x14ac:dyDescent="0.3">
      <c r="A647" s="30">
        <v>51</v>
      </c>
      <c r="B647" s="1">
        <v>12</v>
      </c>
      <c r="C647" s="96">
        <v>46011</v>
      </c>
      <c r="D647" s="90" t="s">
        <v>320</v>
      </c>
      <c r="E647" s="33" t="s">
        <v>376</v>
      </c>
      <c r="F647" s="33" t="s">
        <v>313</v>
      </c>
      <c r="G647" s="83" t="s">
        <v>710</v>
      </c>
      <c r="H647" s="17" t="s">
        <v>711</v>
      </c>
      <c r="I647" s="33" t="s">
        <v>10</v>
      </c>
      <c r="J647" s="33" t="s">
        <v>25</v>
      </c>
      <c r="K647" s="83" t="s">
        <v>358</v>
      </c>
      <c r="L647" s="33"/>
      <c r="M647" s="33">
        <v>818</v>
      </c>
      <c r="N647" s="33"/>
      <c r="O647" s="33" t="s">
        <v>712</v>
      </c>
      <c r="P647" s="30" t="s">
        <v>567</v>
      </c>
      <c r="Q647" s="5"/>
    </row>
    <row r="648" spans="1:17" ht="15.75" customHeight="1" x14ac:dyDescent="0.3">
      <c r="A648" s="30">
        <v>51</v>
      </c>
      <c r="B648" s="1">
        <v>12</v>
      </c>
      <c r="C648" s="96">
        <v>46011</v>
      </c>
      <c r="D648" s="90" t="s">
        <v>320</v>
      </c>
      <c r="E648" s="33" t="s">
        <v>376</v>
      </c>
      <c r="F648" s="33" t="s">
        <v>283</v>
      </c>
      <c r="G648" s="83" t="s">
        <v>515</v>
      </c>
      <c r="H648" s="17" t="s">
        <v>347</v>
      </c>
      <c r="I648" s="33" t="s">
        <v>10</v>
      </c>
      <c r="J648" s="33" t="s">
        <v>25</v>
      </c>
      <c r="K648" s="83" t="s">
        <v>358</v>
      </c>
      <c r="L648" s="33"/>
      <c r="M648" s="33">
        <v>1331</v>
      </c>
      <c r="N648" s="33"/>
      <c r="O648" s="33" t="s">
        <v>712</v>
      </c>
      <c r="P648" s="30" t="s">
        <v>567</v>
      </c>
      <c r="Q648" s="5"/>
    </row>
    <row r="649" spans="1:17" ht="15.75" customHeight="1" x14ac:dyDescent="0.3">
      <c r="A649" s="30">
        <v>51</v>
      </c>
      <c r="B649" s="1">
        <v>12</v>
      </c>
      <c r="C649" s="96">
        <v>46011</v>
      </c>
      <c r="D649" s="90" t="s">
        <v>320</v>
      </c>
      <c r="E649" s="33" t="s">
        <v>376</v>
      </c>
      <c r="F649" s="33" t="s">
        <v>713</v>
      </c>
      <c r="G649" s="83" t="s">
        <v>515</v>
      </c>
      <c r="H649" s="17" t="s">
        <v>347</v>
      </c>
      <c r="I649" s="33" t="s">
        <v>10</v>
      </c>
      <c r="J649" s="33" t="s">
        <v>25</v>
      </c>
      <c r="K649" s="83" t="s">
        <v>358</v>
      </c>
      <c r="L649" s="33"/>
      <c r="M649" s="33">
        <v>1331</v>
      </c>
      <c r="N649" s="33"/>
      <c r="O649" s="33" t="s">
        <v>712</v>
      </c>
      <c r="P649" s="30" t="s">
        <v>567</v>
      </c>
      <c r="Q649" s="5"/>
    </row>
    <row r="650" spans="1:17" ht="15.75" customHeight="1" x14ac:dyDescent="0.3">
      <c r="A650" s="30">
        <v>51</v>
      </c>
      <c r="B650" s="1">
        <v>12</v>
      </c>
      <c r="C650" s="96">
        <v>46011</v>
      </c>
      <c r="D650" s="90" t="s">
        <v>320</v>
      </c>
      <c r="E650" s="33" t="s">
        <v>376</v>
      </c>
      <c r="F650" s="33" t="s">
        <v>714</v>
      </c>
      <c r="G650" s="83" t="s">
        <v>311</v>
      </c>
      <c r="H650" s="83" t="s">
        <v>104</v>
      </c>
      <c r="I650" s="33" t="s">
        <v>10</v>
      </c>
      <c r="J650" s="33" t="s">
        <v>25</v>
      </c>
      <c r="K650" s="83" t="s">
        <v>358</v>
      </c>
      <c r="L650" s="33"/>
      <c r="M650" s="33">
        <v>920</v>
      </c>
      <c r="N650" s="33"/>
      <c r="O650" s="33" t="s">
        <v>712</v>
      </c>
      <c r="P650" s="30" t="s">
        <v>567</v>
      </c>
      <c r="Q650" s="5"/>
    </row>
    <row r="651" spans="1:17" ht="15.75" customHeight="1" x14ac:dyDescent="0.3">
      <c r="A651" s="30">
        <v>51</v>
      </c>
      <c r="B651" s="1">
        <v>12</v>
      </c>
      <c r="C651" s="96">
        <v>46011</v>
      </c>
      <c r="D651" s="90" t="s">
        <v>320</v>
      </c>
      <c r="E651" s="33" t="s">
        <v>376</v>
      </c>
      <c r="F651" s="33" t="s">
        <v>715</v>
      </c>
      <c r="G651" s="83" t="s">
        <v>311</v>
      </c>
      <c r="H651" s="83" t="s">
        <v>104</v>
      </c>
      <c r="I651" s="33" t="s">
        <v>10</v>
      </c>
      <c r="J651" s="33" t="s">
        <v>25</v>
      </c>
      <c r="K651" s="83" t="s">
        <v>358</v>
      </c>
      <c r="L651" s="33"/>
      <c r="M651" s="33">
        <v>556</v>
      </c>
      <c r="N651" s="33"/>
      <c r="O651" s="33" t="s">
        <v>712</v>
      </c>
      <c r="P651" s="30" t="s">
        <v>567</v>
      </c>
      <c r="Q651" s="5"/>
    </row>
    <row r="652" spans="1:17" ht="15.75" customHeight="1" x14ac:dyDescent="0.3">
      <c r="A652" s="30">
        <v>51</v>
      </c>
      <c r="B652" s="1">
        <v>12</v>
      </c>
      <c r="C652" s="96">
        <v>46011</v>
      </c>
      <c r="D652" s="90" t="s">
        <v>320</v>
      </c>
      <c r="E652" s="33" t="s">
        <v>376</v>
      </c>
      <c r="F652" s="33" t="s">
        <v>716</v>
      </c>
      <c r="G652" s="83" t="s">
        <v>311</v>
      </c>
      <c r="H652" s="83" t="s">
        <v>104</v>
      </c>
      <c r="I652" s="33" t="s">
        <v>10</v>
      </c>
      <c r="J652" s="33" t="s">
        <v>25</v>
      </c>
      <c r="K652" s="83" t="s">
        <v>358</v>
      </c>
      <c r="L652" s="33"/>
      <c r="M652" s="33">
        <v>556</v>
      </c>
      <c r="N652" s="33"/>
      <c r="O652" s="33" t="s">
        <v>712</v>
      </c>
      <c r="P652" s="30" t="s">
        <v>567</v>
      </c>
      <c r="Q652" s="5"/>
    </row>
    <row r="653" spans="1:17" ht="15.75" customHeight="1" x14ac:dyDescent="0.3">
      <c r="A653" s="30">
        <v>51</v>
      </c>
      <c r="B653" s="1">
        <v>12</v>
      </c>
      <c r="C653" s="96">
        <v>46011</v>
      </c>
      <c r="D653" s="90" t="s">
        <v>320</v>
      </c>
      <c r="E653" s="33" t="s">
        <v>376</v>
      </c>
      <c r="F653" s="33" t="s">
        <v>717</v>
      </c>
      <c r="G653" s="83" t="s">
        <v>311</v>
      </c>
      <c r="H653" s="83" t="s">
        <v>104</v>
      </c>
      <c r="I653" s="33" t="s">
        <v>10</v>
      </c>
      <c r="J653" s="33" t="s">
        <v>25</v>
      </c>
      <c r="K653" s="83" t="s">
        <v>358</v>
      </c>
      <c r="L653" s="33"/>
      <c r="M653" s="33">
        <v>736</v>
      </c>
      <c r="N653" s="33"/>
      <c r="O653" s="33" t="s">
        <v>712</v>
      </c>
      <c r="P653" s="30" t="s">
        <v>567</v>
      </c>
      <c r="Q653" s="5"/>
    </row>
    <row r="654" spans="1:17" ht="15.75" customHeight="1" x14ac:dyDescent="0.3">
      <c r="A654" s="30">
        <v>51</v>
      </c>
      <c r="B654" s="1">
        <v>12</v>
      </c>
      <c r="C654" s="96">
        <v>46011</v>
      </c>
      <c r="D654" s="90" t="s">
        <v>320</v>
      </c>
      <c r="E654" s="33" t="s">
        <v>376</v>
      </c>
      <c r="F654" s="33" t="s">
        <v>718</v>
      </c>
      <c r="G654" s="83" t="s">
        <v>311</v>
      </c>
      <c r="H654" s="83" t="s">
        <v>104</v>
      </c>
      <c r="I654" s="33" t="s">
        <v>10</v>
      </c>
      <c r="J654" s="33" t="s">
        <v>25</v>
      </c>
      <c r="K654" s="83" t="s">
        <v>358</v>
      </c>
      <c r="L654" s="33"/>
      <c r="M654" s="33">
        <v>205</v>
      </c>
      <c r="N654" s="33"/>
      <c r="O654" s="33" t="s">
        <v>712</v>
      </c>
      <c r="P654" s="30" t="s">
        <v>567</v>
      </c>
      <c r="Q654" s="5"/>
    </row>
    <row r="655" spans="1:17" ht="15.75" customHeight="1" x14ac:dyDescent="0.3">
      <c r="A655" s="30">
        <v>51</v>
      </c>
      <c r="B655" s="1">
        <v>12</v>
      </c>
      <c r="C655" s="96">
        <v>46011</v>
      </c>
      <c r="D655" s="90" t="s">
        <v>320</v>
      </c>
      <c r="E655" s="33" t="s">
        <v>376</v>
      </c>
      <c r="F655" s="33" t="s">
        <v>719</v>
      </c>
      <c r="G655" s="83" t="s">
        <v>311</v>
      </c>
      <c r="H655" s="83" t="s">
        <v>104</v>
      </c>
      <c r="I655" s="33" t="s">
        <v>10</v>
      </c>
      <c r="J655" s="33" t="s">
        <v>25</v>
      </c>
      <c r="K655" s="83" t="s">
        <v>358</v>
      </c>
      <c r="L655" s="33"/>
      <c r="M655" s="33">
        <v>192</v>
      </c>
      <c r="N655" s="33"/>
      <c r="O655" s="33" t="s">
        <v>712</v>
      </c>
      <c r="P655" s="30" t="s">
        <v>567</v>
      </c>
      <c r="Q655" s="5"/>
    </row>
    <row r="656" spans="1:17" ht="15.75" customHeight="1" x14ac:dyDescent="0.3">
      <c r="A656" s="30">
        <v>51</v>
      </c>
      <c r="B656" s="1">
        <v>12</v>
      </c>
      <c r="C656" s="96">
        <v>46011</v>
      </c>
      <c r="D656" s="90" t="s">
        <v>320</v>
      </c>
      <c r="E656" s="33" t="s">
        <v>376</v>
      </c>
      <c r="F656" s="33" t="s">
        <v>720</v>
      </c>
      <c r="G656" s="83" t="s">
        <v>311</v>
      </c>
      <c r="H656" s="83" t="s">
        <v>104</v>
      </c>
      <c r="I656" s="33" t="s">
        <v>10</v>
      </c>
      <c r="J656" s="33" t="s">
        <v>25</v>
      </c>
      <c r="K656" s="83" t="s">
        <v>358</v>
      </c>
      <c r="L656" s="33"/>
      <c r="M656" s="33">
        <v>756</v>
      </c>
      <c r="N656" s="33"/>
      <c r="O656" s="33" t="s">
        <v>712</v>
      </c>
      <c r="P656" s="30" t="s">
        <v>567</v>
      </c>
      <c r="Q656" s="5"/>
    </row>
    <row r="657" spans="1:17" ht="15.75" customHeight="1" x14ac:dyDescent="0.3">
      <c r="A657" s="30">
        <v>52</v>
      </c>
      <c r="B657" s="1">
        <v>12</v>
      </c>
      <c r="C657" s="96">
        <v>46013</v>
      </c>
      <c r="D657" s="90" t="s">
        <v>320</v>
      </c>
      <c r="E657" s="33" t="s">
        <v>317</v>
      </c>
      <c r="F657" s="33" t="s">
        <v>721</v>
      </c>
      <c r="G657" s="83" t="s">
        <v>311</v>
      </c>
      <c r="H657" s="83" t="s">
        <v>317</v>
      </c>
      <c r="I657" s="33" t="s">
        <v>10</v>
      </c>
      <c r="J657" s="33" t="s">
        <v>25</v>
      </c>
      <c r="K657" s="83" t="s">
        <v>358</v>
      </c>
      <c r="L657" s="33"/>
      <c r="M657" s="33">
        <v>39.450000000000003</v>
      </c>
      <c r="N657" s="33"/>
      <c r="O657" s="33" t="s">
        <v>722</v>
      </c>
      <c r="P657" s="30" t="s">
        <v>567</v>
      </c>
      <c r="Q657" s="5"/>
    </row>
    <row r="658" spans="1:17" ht="15.75" customHeight="1" x14ac:dyDescent="0.3">
      <c r="A658" s="30">
        <v>52</v>
      </c>
      <c r="B658" s="1">
        <v>12</v>
      </c>
      <c r="C658" s="96">
        <v>46013</v>
      </c>
      <c r="D658" s="90" t="s">
        <v>320</v>
      </c>
      <c r="E658" s="33" t="s">
        <v>376</v>
      </c>
      <c r="F658" s="33" t="s">
        <v>723</v>
      </c>
      <c r="G658" s="83" t="s">
        <v>311</v>
      </c>
      <c r="H658" s="83" t="s">
        <v>104</v>
      </c>
      <c r="I658" s="33" t="s">
        <v>10</v>
      </c>
      <c r="J658" s="33" t="s">
        <v>25</v>
      </c>
      <c r="K658" s="83" t="s">
        <v>364</v>
      </c>
      <c r="L658" s="33"/>
      <c r="M658" s="33">
        <v>7.19</v>
      </c>
      <c r="N658" s="33"/>
      <c r="O658" s="33" t="s">
        <v>724</v>
      </c>
      <c r="P658" s="30" t="s">
        <v>725</v>
      </c>
      <c r="Q658" s="5" t="s">
        <v>726</v>
      </c>
    </row>
    <row r="659" spans="1:17" ht="15.75" customHeight="1" x14ac:dyDescent="0.3">
      <c r="A659" s="30">
        <v>52</v>
      </c>
      <c r="B659" s="1">
        <v>12</v>
      </c>
      <c r="C659" s="96">
        <v>46013</v>
      </c>
      <c r="D659" s="90" t="s">
        <v>320</v>
      </c>
      <c r="E659" s="33" t="s">
        <v>78</v>
      </c>
      <c r="F659" s="33" t="s">
        <v>703</v>
      </c>
      <c r="G659" s="83" t="s">
        <v>311</v>
      </c>
      <c r="H659" s="83" t="s">
        <v>645</v>
      </c>
      <c r="I659" s="33" t="s">
        <v>10</v>
      </c>
      <c r="J659" s="33" t="s">
        <v>25</v>
      </c>
      <c r="K659" s="83" t="s">
        <v>358</v>
      </c>
      <c r="L659" s="33"/>
      <c r="M659" s="33">
        <v>861</v>
      </c>
      <c r="N659" s="33"/>
      <c r="O659" s="33" t="s">
        <v>613</v>
      </c>
      <c r="P659" s="30" t="s">
        <v>567</v>
      </c>
      <c r="Q659" s="5"/>
    </row>
    <row r="660" spans="1:17" ht="15.75" customHeight="1" x14ac:dyDescent="0.3">
      <c r="A660" s="30">
        <v>52</v>
      </c>
      <c r="B660" s="1">
        <v>12</v>
      </c>
      <c r="C660" s="96">
        <v>46013</v>
      </c>
      <c r="D660" s="90" t="s">
        <v>320</v>
      </c>
      <c r="E660" s="33" t="s">
        <v>78</v>
      </c>
      <c r="F660" s="33" t="s">
        <v>95</v>
      </c>
      <c r="G660" s="83" t="s">
        <v>311</v>
      </c>
      <c r="H660" s="83" t="s">
        <v>645</v>
      </c>
      <c r="I660" s="33" t="s">
        <v>10</v>
      </c>
      <c r="J660" s="33" t="s">
        <v>25</v>
      </c>
      <c r="K660" s="83" t="s">
        <v>358</v>
      </c>
      <c r="L660" s="33"/>
      <c r="M660" s="33">
        <v>76</v>
      </c>
      <c r="N660" s="33"/>
      <c r="O660" s="33" t="s">
        <v>613</v>
      </c>
      <c r="P660" s="30" t="s">
        <v>567</v>
      </c>
      <c r="Q660" s="5"/>
    </row>
    <row r="661" spans="1:17" ht="15.75" customHeight="1" x14ac:dyDescent="0.3">
      <c r="A661" s="30">
        <v>52</v>
      </c>
      <c r="B661" s="1">
        <v>12</v>
      </c>
      <c r="C661" s="96">
        <v>46013</v>
      </c>
      <c r="D661" s="90" t="s">
        <v>320</v>
      </c>
      <c r="E661" s="33" t="s">
        <v>78</v>
      </c>
      <c r="F661" s="33" t="s">
        <v>92</v>
      </c>
      <c r="G661" s="83" t="s">
        <v>311</v>
      </c>
      <c r="H661" s="83" t="s">
        <v>645</v>
      </c>
      <c r="I661" s="33" t="s">
        <v>10</v>
      </c>
      <c r="J661" s="33" t="s">
        <v>25</v>
      </c>
      <c r="K661" s="83" t="s">
        <v>358</v>
      </c>
      <c r="L661" s="33"/>
      <c r="M661" s="33">
        <v>96</v>
      </c>
      <c r="N661" s="33"/>
      <c r="O661" s="33" t="s">
        <v>613</v>
      </c>
      <c r="P661" s="30" t="s">
        <v>567</v>
      </c>
      <c r="Q661" s="5"/>
    </row>
    <row r="662" spans="1:17" ht="15.75" customHeight="1" x14ac:dyDescent="0.3">
      <c r="A662" s="30">
        <v>52</v>
      </c>
      <c r="B662" s="1">
        <v>12</v>
      </c>
      <c r="C662" s="96">
        <v>46013</v>
      </c>
      <c r="D662" s="90" t="s">
        <v>320</v>
      </c>
      <c r="E662" s="33" t="s">
        <v>78</v>
      </c>
      <c r="F662" s="33" t="s">
        <v>485</v>
      </c>
      <c r="G662" s="83" t="s">
        <v>311</v>
      </c>
      <c r="H662" s="83" t="s">
        <v>645</v>
      </c>
      <c r="I662" s="33" t="s">
        <v>10</v>
      </c>
      <c r="J662" s="33" t="s">
        <v>25</v>
      </c>
      <c r="K662" s="83" t="s">
        <v>358</v>
      </c>
      <c r="L662" s="33"/>
      <c r="M662" s="33">
        <v>556</v>
      </c>
      <c r="N662" s="33"/>
      <c r="O662" s="33" t="s">
        <v>613</v>
      </c>
      <c r="P662" s="30" t="s">
        <v>567</v>
      </c>
      <c r="Q662" s="5"/>
    </row>
    <row r="663" spans="1:17" ht="15.75" customHeight="1" x14ac:dyDescent="0.3">
      <c r="A663" s="30">
        <v>52</v>
      </c>
      <c r="B663" s="1">
        <v>12</v>
      </c>
      <c r="C663" s="96">
        <v>46013</v>
      </c>
      <c r="D663" s="90" t="s">
        <v>320</v>
      </c>
      <c r="E663" s="33" t="s">
        <v>78</v>
      </c>
      <c r="F663" s="33" t="s">
        <v>79</v>
      </c>
      <c r="G663" s="83" t="s">
        <v>311</v>
      </c>
      <c r="H663" s="83" t="s">
        <v>645</v>
      </c>
      <c r="I663" s="33" t="s">
        <v>10</v>
      </c>
      <c r="J663" s="33" t="s">
        <v>25</v>
      </c>
      <c r="K663" s="83" t="s">
        <v>358</v>
      </c>
      <c r="L663" s="33"/>
      <c r="M663" s="33">
        <v>131</v>
      </c>
      <c r="N663" s="33"/>
      <c r="O663" s="33" t="s">
        <v>613</v>
      </c>
      <c r="P663" s="30" t="s">
        <v>567</v>
      </c>
      <c r="Q663" s="5"/>
    </row>
    <row r="664" spans="1:17" ht="15.75" customHeight="1" x14ac:dyDescent="0.3">
      <c r="A664" s="30">
        <v>52</v>
      </c>
      <c r="B664" s="1">
        <v>12</v>
      </c>
      <c r="C664" s="96">
        <v>46013</v>
      </c>
      <c r="D664" s="90" t="s">
        <v>320</v>
      </c>
      <c r="E664" s="3" t="s">
        <v>78</v>
      </c>
      <c r="F664" s="33" t="s">
        <v>97</v>
      </c>
      <c r="G664" s="83" t="s">
        <v>311</v>
      </c>
      <c r="H664" s="83" t="s">
        <v>645</v>
      </c>
      <c r="I664" s="33" t="s">
        <v>10</v>
      </c>
      <c r="J664" s="33" t="s">
        <v>25</v>
      </c>
      <c r="K664" s="83" t="s">
        <v>358</v>
      </c>
      <c r="L664" s="33"/>
      <c r="M664" s="33">
        <v>297.5</v>
      </c>
      <c r="N664" s="33"/>
      <c r="O664" s="33" t="s">
        <v>613</v>
      </c>
      <c r="P664" s="30" t="s">
        <v>567</v>
      </c>
      <c r="Q664" s="5"/>
    </row>
    <row r="665" spans="1:17" ht="15.75" customHeight="1" x14ac:dyDescent="0.3">
      <c r="A665" s="30">
        <v>52</v>
      </c>
      <c r="B665" s="1">
        <v>12</v>
      </c>
      <c r="C665" s="96">
        <v>46013</v>
      </c>
      <c r="D665" s="90" t="s">
        <v>320</v>
      </c>
      <c r="E665" s="3" t="s">
        <v>78</v>
      </c>
      <c r="F665" s="33" t="s">
        <v>98</v>
      </c>
      <c r="G665" s="83" t="s">
        <v>311</v>
      </c>
      <c r="H665" s="83" t="s">
        <v>645</v>
      </c>
      <c r="I665" s="33" t="s">
        <v>10</v>
      </c>
      <c r="J665" s="33" t="s">
        <v>25</v>
      </c>
      <c r="K665" s="83" t="s">
        <v>358</v>
      </c>
      <c r="L665" s="33"/>
      <c r="M665" s="33">
        <v>435</v>
      </c>
      <c r="N665" s="33"/>
      <c r="O665" s="33" t="s">
        <v>613</v>
      </c>
      <c r="P665" s="30" t="s">
        <v>567</v>
      </c>
      <c r="Q665" s="5"/>
    </row>
    <row r="666" spans="1:17" ht="15.75" customHeight="1" x14ac:dyDescent="0.3">
      <c r="A666" s="30">
        <v>52</v>
      </c>
      <c r="B666" s="1">
        <v>12</v>
      </c>
      <c r="C666" s="96">
        <v>46013</v>
      </c>
      <c r="D666" s="90" t="s">
        <v>320</v>
      </c>
      <c r="E666" s="33" t="s">
        <v>376</v>
      </c>
      <c r="F666" s="33" t="s">
        <v>727</v>
      </c>
      <c r="G666" s="83" t="s">
        <v>311</v>
      </c>
      <c r="H666" s="83" t="s">
        <v>62</v>
      </c>
      <c r="I666" s="33" t="s">
        <v>10</v>
      </c>
      <c r="J666" s="33" t="s">
        <v>25</v>
      </c>
      <c r="K666" s="83" t="s">
        <v>364</v>
      </c>
      <c r="L666" s="33"/>
      <c r="M666" s="33">
        <v>18</v>
      </c>
      <c r="N666" s="33"/>
      <c r="O666" s="33" t="s">
        <v>601</v>
      </c>
      <c r="P666" s="30" t="s">
        <v>728</v>
      </c>
      <c r="Q666" s="5" t="s">
        <v>729</v>
      </c>
    </row>
    <row r="667" spans="1:17" ht="15.75" customHeight="1" x14ac:dyDescent="0.3">
      <c r="A667" s="30">
        <v>52</v>
      </c>
      <c r="B667" s="1">
        <v>12</v>
      </c>
      <c r="C667" s="96">
        <v>46013</v>
      </c>
      <c r="D667" s="90" t="s">
        <v>320</v>
      </c>
      <c r="E667" s="33" t="s">
        <v>376</v>
      </c>
      <c r="F667" s="33" t="s">
        <v>730</v>
      </c>
      <c r="G667" s="83" t="s">
        <v>311</v>
      </c>
      <c r="H667" s="83" t="s">
        <v>62</v>
      </c>
      <c r="I667" s="33" t="s">
        <v>10</v>
      </c>
      <c r="J667" s="33" t="s">
        <v>25</v>
      </c>
      <c r="K667" s="83" t="s">
        <v>364</v>
      </c>
      <c r="L667" s="33"/>
      <c r="M667" s="33">
        <v>40</v>
      </c>
      <c r="N667" s="33"/>
      <c r="O667" s="33" t="s">
        <v>601</v>
      </c>
      <c r="P667" s="30" t="s">
        <v>728</v>
      </c>
      <c r="Q667" s="5" t="s">
        <v>729</v>
      </c>
    </row>
    <row r="668" spans="1:17" ht="15.75" customHeight="1" x14ac:dyDescent="0.3">
      <c r="A668" s="30">
        <v>52</v>
      </c>
      <c r="B668" s="1">
        <v>12</v>
      </c>
      <c r="C668" s="96">
        <v>46013</v>
      </c>
      <c r="D668" s="90" t="s">
        <v>320</v>
      </c>
      <c r="E668" s="33" t="s">
        <v>376</v>
      </c>
      <c r="F668" s="33" t="s">
        <v>731</v>
      </c>
      <c r="G668" s="83" t="s">
        <v>311</v>
      </c>
      <c r="H668" s="83" t="s">
        <v>62</v>
      </c>
      <c r="I668" s="33" t="s">
        <v>10</v>
      </c>
      <c r="J668" s="33" t="s">
        <v>25</v>
      </c>
      <c r="K668" s="83" t="s">
        <v>364</v>
      </c>
      <c r="L668" s="33"/>
      <c r="M668" s="33">
        <v>100</v>
      </c>
      <c r="N668" s="33"/>
      <c r="O668" s="33" t="s">
        <v>732</v>
      </c>
      <c r="P668" s="30" t="s">
        <v>728</v>
      </c>
      <c r="Q668" s="5" t="s">
        <v>729</v>
      </c>
    </row>
    <row r="669" spans="1:17" ht="15.75" customHeight="1" x14ac:dyDescent="0.3">
      <c r="A669" s="30">
        <v>52</v>
      </c>
      <c r="B669" s="1">
        <v>12</v>
      </c>
      <c r="C669" s="96">
        <v>46013</v>
      </c>
      <c r="D669" s="90" t="s">
        <v>320</v>
      </c>
      <c r="E669" s="33" t="s">
        <v>356</v>
      </c>
      <c r="F669" s="33" t="s">
        <v>127</v>
      </c>
      <c r="G669" s="83" t="s">
        <v>311</v>
      </c>
      <c r="H669" s="83" t="s">
        <v>608</v>
      </c>
      <c r="I669" s="33" t="s">
        <v>10</v>
      </c>
      <c r="J669" s="33" t="s">
        <v>25</v>
      </c>
      <c r="K669" s="83" t="s">
        <v>364</v>
      </c>
      <c r="L669" s="33"/>
      <c r="M669" s="33">
        <v>200</v>
      </c>
      <c r="N669" s="33"/>
      <c r="O669" s="33" t="s">
        <v>733</v>
      </c>
      <c r="P669" s="30" t="s">
        <v>734</v>
      </c>
      <c r="Q669" s="5" t="s">
        <v>735</v>
      </c>
    </row>
    <row r="670" spans="1:17" ht="15.75" customHeight="1" x14ac:dyDescent="0.3">
      <c r="A670" s="30">
        <v>52</v>
      </c>
      <c r="B670" s="1">
        <v>12</v>
      </c>
      <c r="C670" s="96">
        <v>46013</v>
      </c>
      <c r="D670" s="90" t="s">
        <v>320</v>
      </c>
      <c r="E670" s="33" t="s">
        <v>356</v>
      </c>
      <c r="F670" s="33" t="s">
        <v>127</v>
      </c>
      <c r="G670" s="83" t="s">
        <v>311</v>
      </c>
      <c r="H670" s="83" t="s">
        <v>608</v>
      </c>
      <c r="I670" s="33" t="s">
        <v>10</v>
      </c>
      <c r="J670" s="33" t="s">
        <v>25</v>
      </c>
      <c r="K670" s="83" t="s">
        <v>364</v>
      </c>
      <c r="L670" s="33"/>
      <c r="M670" s="33">
        <v>42.45</v>
      </c>
      <c r="N670" s="33"/>
      <c r="O670" s="33" t="s">
        <v>733</v>
      </c>
      <c r="P670" s="30" t="s">
        <v>734</v>
      </c>
      <c r="Q670" s="5" t="s">
        <v>735</v>
      </c>
    </row>
    <row r="671" spans="1:17" ht="15.75" customHeight="1" x14ac:dyDescent="0.3">
      <c r="A671" s="30">
        <v>52</v>
      </c>
      <c r="B671" s="1">
        <v>12</v>
      </c>
      <c r="C671" s="96">
        <v>46013</v>
      </c>
      <c r="D671" s="90" t="s">
        <v>320</v>
      </c>
      <c r="E671" s="33" t="s">
        <v>356</v>
      </c>
      <c r="F671" s="33" t="s">
        <v>736</v>
      </c>
      <c r="G671" s="83" t="s">
        <v>311</v>
      </c>
      <c r="H671" s="83" t="s">
        <v>118</v>
      </c>
      <c r="I671" s="33" t="s">
        <v>10</v>
      </c>
      <c r="J671" s="33" t="s">
        <v>25</v>
      </c>
      <c r="K671" s="83" t="s">
        <v>364</v>
      </c>
      <c r="L671" s="33"/>
      <c r="M671" s="33">
        <v>95</v>
      </c>
      <c r="N671" s="33"/>
      <c r="O671" s="33" t="s">
        <v>737</v>
      </c>
      <c r="P671" s="30" t="s">
        <v>738</v>
      </c>
      <c r="Q671" s="5" t="s">
        <v>374</v>
      </c>
    </row>
    <row r="672" spans="1:17" ht="15.75" customHeight="1" x14ac:dyDescent="0.3">
      <c r="A672" s="30">
        <v>52</v>
      </c>
      <c r="B672" s="1">
        <v>12</v>
      </c>
      <c r="C672" s="96">
        <v>46014</v>
      </c>
      <c r="D672" s="90" t="s">
        <v>320</v>
      </c>
      <c r="E672" s="33" t="s">
        <v>356</v>
      </c>
      <c r="F672" s="33" t="s">
        <v>708</v>
      </c>
      <c r="G672" s="83" t="s">
        <v>311</v>
      </c>
      <c r="H672" s="83" t="s">
        <v>608</v>
      </c>
      <c r="I672" s="33" t="s">
        <v>10</v>
      </c>
      <c r="J672" s="33" t="s">
        <v>25</v>
      </c>
      <c r="K672" s="83" t="s">
        <v>369</v>
      </c>
      <c r="L672" s="33"/>
      <c r="M672" s="33">
        <v>4000</v>
      </c>
      <c r="N672" s="33"/>
      <c r="O672" s="33" t="s">
        <v>709</v>
      </c>
      <c r="P672" s="30" t="s">
        <v>739</v>
      </c>
      <c r="Q672" s="5"/>
    </row>
    <row r="673" spans="1:17" ht="15.75" customHeight="1" x14ac:dyDescent="0.3">
      <c r="A673" s="30">
        <v>52</v>
      </c>
      <c r="B673" s="1">
        <v>12</v>
      </c>
      <c r="C673" s="96">
        <v>46014</v>
      </c>
      <c r="D673" s="90" t="s">
        <v>320</v>
      </c>
      <c r="E673" s="33" t="s">
        <v>356</v>
      </c>
      <c r="F673" s="33" t="s">
        <v>708</v>
      </c>
      <c r="G673" s="83" t="s">
        <v>311</v>
      </c>
      <c r="H673" s="83" t="s">
        <v>740</v>
      </c>
      <c r="I673" s="33" t="s">
        <v>10</v>
      </c>
      <c r="J673" s="33" t="s">
        <v>25</v>
      </c>
      <c r="K673" s="83" t="s">
        <v>369</v>
      </c>
      <c r="L673" s="33"/>
      <c r="M673" s="33">
        <v>4000</v>
      </c>
      <c r="N673" s="33"/>
      <c r="O673" s="33" t="s">
        <v>709</v>
      </c>
      <c r="P673" s="30" t="s">
        <v>739</v>
      </c>
      <c r="Q673" s="5"/>
    </row>
    <row r="674" spans="1:17" ht="15.75" customHeight="1" x14ac:dyDescent="0.3">
      <c r="A674" s="30">
        <v>52</v>
      </c>
      <c r="B674" s="1">
        <v>12</v>
      </c>
      <c r="C674" s="96">
        <v>46014</v>
      </c>
      <c r="D674" s="90" t="s">
        <v>320</v>
      </c>
      <c r="E674" s="33" t="s">
        <v>477</v>
      </c>
      <c r="F674" s="33" t="s">
        <v>741</v>
      </c>
      <c r="G674" s="83" t="s">
        <v>742</v>
      </c>
      <c r="H674" s="13" t="s">
        <v>169</v>
      </c>
      <c r="I674" s="33" t="s">
        <v>10</v>
      </c>
      <c r="J674" s="33" t="s">
        <v>25</v>
      </c>
      <c r="K674" s="83" t="s">
        <v>364</v>
      </c>
      <c r="L674" s="33"/>
      <c r="M674" s="33">
        <v>629</v>
      </c>
      <c r="N674" s="33"/>
      <c r="O674" s="33" t="s">
        <v>560</v>
      </c>
      <c r="P674" s="30" t="s">
        <v>743</v>
      </c>
      <c r="Q674" s="5"/>
    </row>
    <row r="675" spans="1:17" ht="15.75" customHeight="1" x14ac:dyDescent="0.3">
      <c r="A675" s="30">
        <v>52</v>
      </c>
      <c r="B675" s="1">
        <v>12</v>
      </c>
      <c r="C675" s="96">
        <v>46014</v>
      </c>
      <c r="D675" s="90" t="s">
        <v>320</v>
      </c>
      <c r="E675" s="33" t="s">
        <v>376</v>
      </c>
      <c r="F675" s="33" t="s">
        <v>111</v>
      </c>
      <c r="G675" s="83" t="s">
        <v>311</v>
      </c>
      <c r="H675" s="83" t="s">
        <v>645</v>
      </c>
      <c r="I675" s="33" t="s">
        <v>10</v>
      </c>
      <c r="J675" s="33" t="s">
        <v>25</v>
      </c>
      <c r="K675" s="83" t="s">
        <v>364</v>
      </c>
      <c r="L675" s="33"/>
      <c r="M675" s="33">
        <v>190</v>
      </c>
      <c r="N675" s="33"/>
      <c r="O675" s="33" t="s">
        <v>744</v>
      </c>
      <c r="P675" s="30" t="s">
        <v>743</v>
      </c>
      <c r="Q675" s="5" t="s">
        <v>745</v>
      </c>
    </row>
    <row r="676" spans="1:17" ht="15.75" customHeight="1" x14ac:dyDescent="0.3">
      <c r="A676" s="30">
        <v>52</v>
      </c>
      <c r="B676" s="1">
        <v>12</v>
      </c>
      <c r="C676" s="96">
        <v>46014</v>
      </c>
      <c r="D676" s="90" t="s">
        <v>320</v>
      </c>
      <c r="E676" s="33" t="s">
        <v>376</v>
      </c>
      <c r="F676" s="33" t="s">
        <v>746</v>
      </c>
      <c r="G676" s="83" t="s">
        <v>747</v>
      </c>
      <c r="H676" s="83" t="s">
        <v>152</v>
      </c>
      <c r="I676" s="33" t="s">
        <v>10</v>
      </c>
      <c r="J676" s="33" t="s">
        <v>25</v>
      </c>
      <c r="K676" s="83" t="s">
        <v>358</v>
      </c>
      <c r="L676" s="33"/>
      <c r="M676" s="33">
        <v>1910</v>
      </c>
      <c r="N676" s="33"/>
      <c r="O676" s="33" t="s">
        <v>748</v>
      </c>
      <c r="P676" s="30" t="s">
        <v>567</v>
      </c>
      <c r="Q676" s="5"/>
    </row>
    <row r="677" spans="1:17" ht="15.75" customHeight="1" x14ac:dyDescent="0.3">
      <c r="A677" s="30">
        <v>52</v>
      </c>
      <c r="B677" s="1">
        <v>12</v>
      </c>
      <c r="C677" s="96">
        <v>46014</v>
      </c>
      <c r="D677" s="90" t="s">
        <v>320</v>
      </c>
      <c r="E677" s="33" t="s">
        <v>376</v>
      </c>
      <c r="F677" s="33" t="s">
        <v>133</v>
      </c>
      <c r="G677" s="83" t="s">
        <v>749</v>
      </c>
      <c r="H677" s="83" t="s">
        <v>104</v>
      </c>
      <c r="I677" s="33" t="s">
        <v>10</v>
      </c>
      <c r="J677" s="33" t="s">
        <v>25</v>
      </c>
      <c r="K677" s="83" t="s">
        <v>369</v>
      </c>
      <c r="L677" s="33"/>
      <c r="M677" s="33">
        <v>1350</v>
      </c>
      <c r="N677" s="33"/>
      <c r="O677" s="33" t="s">
        <v>750</v>
      </c>
      <c r="P677" s="30" t="s">
        <v>587</v>
      </c>
      <c r="Q677" s="5"/>
    </row>
    <row r="678" spans="1:17" ht="15.75" customHeight="1" x14ac:dyDescent="0.3">
      <c r="A678" s="30">
        <v>52</v>
      </c>
      <c r="B678" s="1">
        <v>12</v>
      </c>
      <c r="C678" s="96">
        <v>46014</v>
      </c>
      <c r="D678" s="90" t="s">
        <v>320</v>
      </c>
      <c r="E678" s="33" t="s">
        <v>356</v>
      </c>
      <c r="F678" s="33" t="s">
        <v>127</v>
      </c>
      <c r="G678" s="83" t="s">
        <v>311</v>
      </c>
      <c r="H678" s="83" t="s">
        <v>645</v>
      </c>
      <c r="I678" s="33" t="s">
        <v>10</v>
      </c>
      <c r="J678" s="33" t="s">
        <v>25</v>
      </c>
      <c r="K678" s="83" t="s">
        <v>397</v>
      </c>
      <c r="L678" s="33"/>
      <c r="M678" s="33">
        <v>126.95</v>
      </c>
      <c r="N678" s="33"/>
      <c r="O678" s="33" t="s">
        <v>388</v>
      </c>
      <c r="P678" s="30" t="s">
        <v>397</v>
      </c>
      <c r="Q678" s="5" t="s">
        <v>751</v>
      </c>
    </row>
    <row r="679" spans="1:17" ht="15.75" customHeight="1" x14ac:dyDescent="0.3">
      <c r="A679" s="30">
        <v>52</v>
      </c>
      <c r="B679" s="1">
        <v>12</v>
      </c>
      <c r="C679" s="96">
        <v>46014</v>
      </c>
      <c r="D679" s="90" t="s">
        <v>320</v>
      </c>
      <c r="E679" s="33" t="s">
        <v>376</v>
      </c>
      <c r="F679" s="33" t="s">
        <v>111</v>
      </c>
      <c r="G679" s="83" t="s">
        <v>311</v>
      </c>
      <c r="H679" s="83" t="s">
        <v>645</v>
      </c>
      <c r="I679" s="33" t="s">
        <v>10</v>
      </c>
      <c r="J679" s="33" t="s">
        <v>25</v>
      </c>
      <c r="K679" s="83" t="s">
        <v>364</v>
      </c>
      <c r="L679" s="33"/>
      <c r="M679" s="33">
        <v>70</v>
      </c>
      <c r="N679" s="33"/>
      <c r="O679" s="33" t="s">
        <v>752</v>
      </c>
      <c r="P679" s="30" t="s">
        <v>753</v>
      </c>
      <c r="Q679" s="30" t="s">
        <v>754</v>
      </c>
    </row>
    <row r="680" spans="1:17" ht="15.75" customHeight="1" x14ac:dyDescent="0.3">
      <c r="A680" s="30">
        <v>52</v>
      </c>
      <c r="B680" s="1">
        <v>12</v>
      </c>
      <c r="C680" s="96">
        <v>46014</v>
      </c>
      <c r="D680" s="90" t="s">
        <v>320</v>
      </c>
      <c r="E680" s="33" t="s">
        <v>376</v>
      </c>
      <c r="F680" s="33" t="s">
        <v>755</v>
      </c>
      <c r="G680" s="83" t="s">
        <v>311</v>
      </c>
      <c r="H680" s="83" t="s">
        <v>645</v>
      </c>
      <c r="I680" s="33" t="s">
        <v>10</v>
      </c>
      <c r="J680" s="33" t="s">
        <v>25</v>
      </c>
      <c r="K680" s="83" t="s">
        <v>397</v>
      </c>
      <c r="L680" s="33"/>
      <c r="M680" s="33">
        <v>2268.52</v>
      </c>
      <c r="N680" s="33"/>
      <c r="O680" s="33" t="s">
        <v>756</v>
      </c>
      <c r="P680" s="30" t="s">
        <v>397</v>
      </c>
      <c r="Q680" s="30"/>
    </row>
    <row r="681" spans="1:17" ht="15.75" customHeight="1" x14ac:dyDescent="0.3">
      <c r="A681" s="30">
        <v>52</v>
      </c>
      <c r="B681" s="1">
        <v>12</v>
      </c>
      <c r="C681" s="96">
        <v>46015</v>
      </c>
      <c r="D681" s="90" t="s">
        <v>320</v>
      </c>
      <c r="E681" s="33" t="s">
        <v>376</v>
      </c>
      <c r="F681" s="33" t="s">
        <v>556</v>
      </c>
      <c r="G681" s="83" t="s">
        <v>311</v>
      </c>
      <c r="H681" s="83" t="s">
        <v>645</v>
      </c>
      <c r="I681" s="33" t="s">
        <v>10</v>
      </c>
      <c r="J681" s="33" t="s">
        <v>25</v>
      </c>
      <c r="K681" s="83" t="s">
        <v>397</v>
      </c>
      <c r="L681" s="33"/>
      <c r="M681" s="33">
        <v>2237</v>
      </c>
      <c r="N681" s="33"/>
      <c r="O681" s="33" t="s">
        <v>574</v>
      </c>
      <c r="P681" s="30"/>
      <c r="Q681" s="30"/>
    </row>
    <row r="682" spans="1:17" ht="15.75" customHeight="1" x14ac:dyDescent="0.3">
      <c r="A682" s="30">
        <v>52</v>
      </c>
      <c r="B682" s="1">
        <v>12</v>
      </c>
      <c r="C682" s="96">
        <v>46015</v>
      </c>
      <c r="D682" s="90" t="s">
        <v>320</v>
      </c>
      <c r="E682" s="33" t="s">
        <v>356</v>
      </c>
      <c r="F682" s="33" t="s">
        <v>127</v>
      </c>
      <c r="G682" s="83" t="s">
        <v>311</v>
      </c>
      <c r="H682" s="83" t="s">
        <v>645</v>
      </c>
      <c r="I682" s="33" t="s">
        <v>10</v>
      </c>
      <c r="J682" s="33" t="s">
        <v>25</v>
      </c>
      <c r="K682" s="83" t="s">
        <v>397</v>
      </c>
      <c r="L682" s="33"/>
      <c r="M682" s="33">
        <v>234.15</v>
      </c>
      <c r="N682" s="33"/>
      <c r="O682" s="33" t="s">
        <v>593</v>
      </c>
      <c r="P682" s="30" t="s">
        <v>397</v>
      </c>
      <c r="Q682" s="5" t="s">
        <v>751</v>
      </c>
    </row>
    <row r="683" spans="1:17" ht="15.75" customHeight="1" x14ac:dyDescent="0.3">
      <c r="A683" s="30">
        <v>52</v>
      </c>
      <c r="B683" s="1">
        <v>12</v>
      </c>
      <c r="C683" s="96">
        <v>46015</v>
      </c>
      <c r="D683" s="90" t="s">
        <v>320</v>
      </c>
      <c r="E683" s="33" t="s">
        <v>446</v>
      </c>
      <c r="F683" s="33" t="s">
        <v>757</v>
      </c>
      <c r="G683" s="83" t="s">
        <v>311</v>
      </c>
      <c r="H683" s="83" t="s">
        <v>645</v>
      </c>
      <c r="I683" s="33" t="s">
        <v>10</v>
      </c>
      <c r="J683" s="33" t="s">
        <v>25</v>
      </c>
      <c r="K683" s="83" t="s">
        <v>369</v>
      </c>
      <c r="L683" s="33"/>
      <c r="M683" s="33" t="s">
        <v>473</v>
      </c>
      <c r="N683" s="33"/>
      <c r="O683" s="33" t="s">
        <v>20</v>
      </c>
      <c r="P683" s="33" t="s">
        <v>530</v>
      </c>
      <c r="Q683" s="30"/>
    </row>
    <row r="684" spans="1:17" ht="15.75" customHeight="1" x14ac:dyDescent="0.3">
      <c r="A684" s="30">
        <v>52</v>
      </c>
      <c r="B684" s="1">
        <v>12</v>
      </c>
      <c r="C684" s="96">
        <v>46015</v>
      </c>
      <c r="D684" s="90" t="s">
        <v>320</v>
      </c>
      <c r="E684" s="33" t="s">
        <v>376</v>
      </c>
      <c r="F684" s="33" t="s">
        <v>758</v>
      </c>
      <c r="G684" s="83" t="s">
        <v>311</v>
      </c>
      <c r="H684" s="83" t="s">
        <v>740</v>
      </c>
      <c r="I684" s="33" t="s">
        <v>10</v>
      </c>
      <c r="J684" s="33" t="s">
        <v>25</v>
      </c>
      <c r="K684" s="83" t="s">
        <v>369</v>
      </c>
      <c r="L684" s="33"/>
      <c r="M684" s="33">
        <v>2300</v>
      </c>
      <c r="N684" s="33"/>
      <c r="O684" s="33" t="s">
        <v>20</v>
      </c>
      <c r="P684" s="33" t="s">
        <v>530</v>
      </c>
      <c r="Q684" s="30"/>
    </row>
    <row r="685" spans="1:17" ht="15.75" customHeight="1" x14ac:dyDescent="0.3">
      <c r="A685" s="30">
        <v>52</v>
      </c>
      <c r="B685" s="1">
        <v>12</v>
      </c>
      <c r="C685" s="96">
        <v>46015</v>
      </c>
      <c r="D685" s="90" t="s">
        <v>320</v>
      </c>
      <c r="E685" s="33" t="s">
        <v>446</v>
      </c>
      <c r="F685" s="33" t="s">
        <v>759</v>
      </c>
      <c r="G685" s="83" t="s">
        <v>311</v>
      </c>
      <c r="H685" s="83" t="s">
        <v>760</v>
      </c>
      <c r="I685" s="33" t="s">
        <v>10</v>
      </c>
      <c r="J685" s="33" t="s">
        <v>25</v>
      </c>
      <c r="K685" s="83" t="s">
        <v>369</v>
      </c>
      <c r="L685" s="33"/>
      <c r="M685" s="33">
        <v>1687</v>
      </c>
      <c r="N685" s="33"/>
      <c r="O685" s="33" t="s">
        <v>398</v>
      </c>
      <c r="P685" s="33" t="s">
        <v>530</v>
      </c>
      <c r="Q685" s="30"/>
    </row>
    <row r="686" spans="1:17" ht="15.75" customHeight="1" x14ac:dyDescent="0.3">
      <c r="A686" s="30">
        <v>52</v>
      </c>
      <c r="B686" s="1">
        <v>12</v>
      </c>
      <c r="C686" s="96">
        <v>46015</v>
      </c>
      <c r="D686" s="90" t="s">
        <v>320</v>
      </c>
      <c r="E686" s="33" t="s">
        <v>356</v>
      </c>
      <c r="F686" s="33" t="s">
        <v>761</v>
      </c>
      <c r="G686" s="83" t="s">
        <v>311</v>
      </c>
      <c r="H686" s="83" t="s">
        <v>317</v>
      </c>
      <c r="I686" s="33" t="s">
        <v>10</v>
      </c>
      <c r="J686" s="33" t="s">
        <v>25</v>
      </c>
      <c r="K686" s="83" t="s">
        <v>364</v>
      </c>
      <c r="L686" s="33"/>
      <c r="M686" s="33">
        <v>170</v>
      </c>
      <c r="N686" s="33"/>
      <c r="O686" s="33" t="s">
        <v>762</v>
      </c>
      <c r="P686" s="33" t="s">
        <v>763</v>
      </c>
      <c r="Q686" s="30"/>
    </row>
    <row r="687" spans="1:17" ht="15.75" customHeight="1" x14ac:dyDescent="0.3">
      <c r="A687" s="30">
        <v>52</v>
      </c>
      <c r="B687" s="1">
        <v>12</v>
      </c>
      <c r="C687" s="96">
        <v>46017</v>
      </c>
      <c r="D687" s="90" t="s">
        <v>320</v>
      </c>
      <c r="E687" s="33" t="s">
        <v>477</v>
      </c>
      <c r="F687" s="33" t="s">
        <v>764</v>
      </c>
      <c r="G687" s="83" t="s">
        <v>311</v>
      </c>
      <c r="H687" s="83" t="s">
        <v>667</v>
      </c>
      <c r="I687" s="33" t="s">
        <v>10</v>
      </c>
      <c r="J687" s="33" t="s">
        <v>25</v>
      </c>
      <c r="K687" s="83" t="s">
        <v>364</v>
      </c>
      <c r="L687" s="33"/>
      <c r="M687" s="33">
        <v>1997</v>
      </c>
      <c r="N687" s="33"/>
      <c r="O687" s="33" t="s">
        <v>560</v>
      </c>
      <c r="P687" s="33" t="s">
        <v>765</v>
      </c>
      <c r="Q687" s="30" t="s">
        <v>766</v>
      </c>
    </row>
    <row r="688" spans="1:17" ht="15.75" customHeight="1" x14ac:dyDescent="0.3">
      <c r="A688" s="30">
        <v>52</v>
      </c>
      <c r="B688" s="1">
        <v>12</v>
      </c>
      <c r="C688" s="96">
        <v>46017</v>
      </c>
      <c r="D688" s="90" t="s">
        <v>320</v>
      </c>
      <c r="E688" s="33" t="s">
        <v>477</v>
      </c>
      <c r="F688" s="33" t="s">
        <v>764</v>
      </c>
      <c r="G688" s="83" t="s">
        <v>311</v>
      </c>
      <c r="H688" s="83" t="s">
        <v>667</v>
      </c>
      <c r="I688" s="33" t="s">
        <v>10</v>
      </c>
      <c r="J688" s="33" t="s">
        <v>25</v>
      </c>
      <c r="K688" s="83" t="s">
        <v>364</v>
      </c>
      <c r="L688" s="33"/>
      <c r="M688" s="33">
        <v>1997</v>
      </c>
      <c r="N688" s="33"/>
      <c r="O688" s="33" t="s">
        <v>560</v>
      </c>
      <c r="P688" s="33" t="s">
        <v>765</v>
      </c>
      <c r="Q688" s="30" t="s">
        <v>766</v>
      </c>
    </row>
    <row r="689" spans="1:17" ht="15.75" customHeight="1" x14ac:dyDescent="0.3">
      <c r="A689" s="30">
        <v>52</v>
      </c>
      <c r="B689" s="1">
        <v>12</v>
      </c>
      <c r="C689" s="96">
        <v>46017</v>
      </c>
      <c r="D689" s="90" t="s">
        <v>320</v>
      </c>
      <c r="E689" s="33" t="s">
        <v>477</v>
      </c>
      <c r="F689" s="33" t="s">
        <v>559</v>
      </c>
      <c r="G689" s="83" t="s">
        <v>311</v>
      </c>
      <c r="H689" s="83" t="s">
        <v>767</v>
      </c>
      <c r="I689" s="33" t="s">
        <v>10</v>
      </c>
      <c r="J689" s="33" t="s">
        <v>25</v>
      </c>
      <c r="K689" s="83" t="s">
        <v>364</v>
      </c>
      <c r="L689" s="33"/>
      <c r="M689" s="33">
        <v>566</v>
      </c>
      <c r="N689" s="33"/>
      <c r="O689" s="33" t="s">
        <v>560</v>
      </c>
      <c r="P689" s="33" t="s">
        <v>768</v>
      </c>
      <c r="Q689" s="30"/>
    </row>
    <row r="690" spans="1:17" ht="15.75" customHeight="1" x14ac:dyDescent="0.3">
      <c r="A690" s="30">
        <v>52</v>
      </c>
      <c r="B690" s="1">
        <v>12</v>
      </c>
      <c r="C690" s="96">
        <v>46017</v>
      </c>
      <c r="D690" s="90" t="s">
        <v>320</v>
      </c>
      <c r="E690" s="33" t="s">
        <v>477</v>
      </c>
      <c r="F690" s="33" t="s">
        <v>559</v>
      </c>
      <c r="G690" s="83" t="s">
        <v>311</v>
      </c>
      <c r="H690" s="83" t="s">
        <v>769</v>
      </c>
      <c r="I690" s="33" t="s">
        <v>10</v>
      </c>
      <c r="J690" s="33" t="s">
        <v>25</v>
      </c>
      <c r="K690" s="83" t="s">
        <v>364</v>
      </c>
      <c r="L690" s="33"/>
      <c r="M690" s="33">
        <v>566</v>
      </c>
      <c r="N690" s="33"/>
      <c r="O690" s="33" t="s">
        <v>560</v>
      </c>
      <c r="P690" s="33" t="s">
        <v>768</v>
      </c>
      <c r="Q690" s="30"/>
    </row>
    <row r="691" spans="1:17" ht="15.75" customHeight="1" x14ac:dyDescent="0.3">
      <c r="A691" s="30">
        <v>52</v>
      </c>
      <c r="B691" s="1">
        <v>12</v>
      </c>
      <c r="C691" s="96">
        <v>46017</v>
      </c>
      <c r="D691" s="90" t="s">
        <v>320</v>
      </c>
      <c r="E691" s="33" t="s">
        <v>477</v>
      </c>
      <c r="F691" s="33" t="s">
        <v>559</v>
      </c>
      <c r="G691" s="83" t="s">
        <v>311</v>
      </c>
      <c r="H691" s="83" t="s">
        <v>770</v>
      </c>
      <c r="I691" s="33" t="s">
        <v>10</v>
      </c>
      <c r="J691" s="33" t="s">
        <v>25</v>
      </c>
      <c r="K691" s="83" t="s">
        <v>364</v>
      </c>
      <c r="L691" s="33"/>
      <c r="M691" s="33">
        <v>566</v>
      </c>
      <c r="N691" s="33"/>
      <c r="O691" s="33" t="s">
        <v>560</v>
      </c>
      <c r="P691" s="33" t="s">
        <v>768</v>
      </c>
      <c r="Q691" s="30"/>
    </row>
    <row r="692" spans="1:17" ht="15.75" customHeight="1" x14ac:dyDescent="0.3">
      <c r="A692" s="30">
        <v>52</v>
      </c>
      <c r="B692" s="1">
        <v>12</v>
      </c>
      <c r="C692" s="96">
        <v>46017</v>
      </c>
      <c r="D692" s="90" t="s">
        <v>320</v>
      </c>
      <c r="E692" s="33" t="s">
        <v>376</v>
      </c>
      <c r="F692" s="33" t="s">
        <v>771</v>
      </c>
      <c r="G692" s="83" t="s">
        <v>311</v>
      </c>
      <c r="H692" s="83" t="s">
        <v>62</v>
      </c>
      <c r="I692" s="33" t="s">
        <v>10</v>
      </c>
      <c r="J692" s="33" t="s">
        <v>25</v>
      </c>
      <c r="K692" s="83" t="s">
        <v>364</v>
      </c>
      <c r="L692" s="33"/>
      <c r="M692" s="33">
        <v>22.64</v>
      </c>
      <c r="N692" s="33"/>
      <c r="O692" s="33" t="s">
        <v>577</v>
      </c>
      <c r="P692" s="33" t="s">
        <v>772</v>
      </c>
      <c r="Q692" s="30"/>
    </row>
    <row r="693" spans="1:17" ht="15.75" customHeight="1" x14ac:dyDescent="0.3">
      <c r="A693" s="30">
        <v>52</v>
      </c>
      <c r="B693" s="1">
        <v>12</v>
      </c>
      <c r="C693" s="96">
        <v>46017</v>
      </c>
      <c r="D693" s="90" t="s">
        <v>320</v>
      </c>
      <c r="E693" s="33" t="s">
        <v>376</v>
      </c>
      <c r="F693" s="33" t="s">
        <v>773</v>
      </c>
      <c r="G693" s="83" t="s">
        <v>311</v>
      </c>
      <c r="H693" s="83" t="s">
        <v>62</v>
      </c>
      <c r="I693" s="33" t="s">
        <v>10</v>
      </c>
      <c r="J693" s="33" t="s">
        <v>25</v>
      </c>
      <c r="K693" s="83" t="s">
        <v>364</v>
      </c>
      <c r="L693" s="33"/>
      <c r="M693" s="33">
        <v>10</v>
      </c>
      <c r="N693" s="33"/>
      <c r="O693" s="33" t="s">
        <v>577</v>
      </c>
      <c r="P693" s="33" t="s">
        <v>772</v>
      </c>
      <c r="Q693" s="30"/>
    </row>
    <row r="694" spans="1:17" ht="15.75" customHeight="1" x14ac:dyDescent="0.3">
      <c r="A694" s="30">
        <v>52</v>
      </c>
      <c r="B694" s="1">
        <v>12</v>
      </c>
      <c r="C694" s="96">
        <v>46017</v>
      </c>
      <c r="D694" s="90" t="s">
        <v>320</v>
      </c>
      <c r="E694" s="33" t="s">
        <v>78</v>
      </c>
      <c r="F694" s="33" t="s">
        <v>485</v>
      </c>
      <c r="G694" s="83" t="s">
        <v>311</v>
      </c>
      <c r="H694" s="83" t="s">
        <v>774</v>
      </c>
      <c r="I694" s="33" t="s">
        <v>10</v>
      </c>
      <c r="J694" s="33" t="s">
        <v>25</v>
      </c>
      <c r="K694" s="83" t="s">
        <v>397</v>
      </c>
      <c r="L694" s="33"/>
      <c r="M694" s="33">
        <v>780</v>
      </c>
      <c r="N694" s="33"/>
      <c r="O694" s="33" t="s">
        <v>381</v>
      </c>
      <c r="P694" s="33" t="s">
        <v>775</v>
      </c>
      <c r="Q694" s="30"/>
    </row>
    <row r="695" spans="1:17" ht="15.75" customHeight="1" x14ac:dyDescent="0.3">
      <c r="A695" s="30">
        <v>52</v>
      </c>
      <c r="B695" s="1">
        <v>12</v>
      </c>
      <c r="C695" s="96">
        <v>46017</v>
      </c>
      <c r="D695" s="90" t="s">
        <v>320</v>
      </c>
      <c r="E695" s="33" t="s">
        <v>78</v>
      </c>
      <c r="F695" s="33" t="s">
        <v>703</v>
      </c>
      <c r="G695" s="83" t="s">
        <v>311</v>
      </c>
      <c r="H695" s="83" t="s">
        <v>774</v>
      </c>
      <c r="I695" s="33" t="s">
        <v>10</v>
      </c>
      <c r="J695" s="33" t="s">
        <v>25</v>
      </c>
      <c r="K695" s="83" t="s">
        <v>397</v>
      </c>
      <c r="L695" s="33"/>
      <c r="M695" s="33">
        <v>640</v>
      </c>
      <c r="N695" s="33"/>
      <c r="O695" s="33" t="s">
        <v>381</v>
      </c>
      <c r="P695" s="33" t="s">
        <v>775</v>
      </c>
      <c r="Q695" s="30"/>
    </row>
    <row r="696" spans="1:17" ht="15.75" customHeight="1" x14ac:dyDescent="0.3">
      <c r="A696" s="30">
        <v>52</v>
      </c>
      <c r="B696" s="1">
        <v>12</v>
      </c>
      <c r="C696" s="96">
        <v>46017</v>
      </c>
      <c r="D696" s="90" t="s">
        <v>320</v>
      </c>
      <c r="E696" s="3" t="s">
        <v>78</v>
      </c>
      <c r="F696" s="33" t="s">
        <v>98</v>
      </c>
      <c r="G696" s="83" t="s">
        <v>311</v>
      </c>
      <c r="H696" s="83" t="s">
        <v>774</v>
      </c>
      <c r="I696" s="33" t="s">
        <v>10</v>
      </c>
      <c r="J696" s="33" t="s">
        <v>25</v>
      </c>
      <c r="K696" s="83" t="s">
        <v>397</v>
      </c>
      <c r="L696" s="33"/>
      <c r="M696" s="33">
        <v>370</v>
      </c>
      <c r="N696" s="33"/>
      <c r="O696" s="33" t="s">
        <v>381</v>
      </c>
      <c r="P696" s="33" t="s">
        <v>775</v>
      </c>
      <c r="Q696" s="30"/>
    </row>
    <row r="697" spans="1:17" ht="15.75" customHeight="1" x14ac:dyDescent="0.3">
      <c r="A697" s="30">
        <v>52</v>
      </c>
      <c r="B697" s="1">
        <v>12</v>
      </c>
      <c r="C697" s="96">
        <v>46017</v>
      </c>
      <c r="D697" s="90" t="s">
        <v>320</v>
      </c>
      <c r="E697" s="3" t="s">
        <v>78</v>
      </c>
      <c r="F697" s="33" t="s">
        <v>97</v>
      </c>
      <c r="G697" s="83" t="s">
        <v>311</v>
      </c>
      <c r="H697" s="83" t="s">
        <v>774</v>
      </c>
      <c r="I697" s="33" t="s">
        <v>10</v>
      </c>
      <c r="J697" s="33" t="s">
        <v>25</v>
      </c>
      <c r="K697" s="83" t="s">
        <v>397</v>
      </c>
      <c r="L697" s="33"/>
      <c r="M697" s="33">
        <v>370</v>
      </c>
      <c r="N697" s="33"/>
      <c r="O697" s="33" t="s">
        <v>381</v>
      </c>
      <c r="P697" s="33" t="s">
        <v>775</v>
      </c>
      <c r="Q697" s="30"/>
    </row>
    <row r="698" spans="1:17" ht="15.75" customHeight="1" x14ac:dyDescent="0.3">
      <c r="A698" s="30">
        <v>52</v>
      </c>
      <c r="B698" s="1">
        <v>12</v>
      </c>
      <c r="C698" s="96">
        <v>46017</v>
      </c>
      <c r="D698" s="90" t="s">
        <v>320</v>
      </c>
      <c r="E698" s="33" t="s">
        <v>78</v>
      </c>
      <c r="F698" s="33" t="s">
        <v>95</v>
      </c>
      <c r="G698" s="83" t="s">
        <v>311</v>
      </c>
      <c r="H698" s="83" t="s">
        <v>774</v>
      </c>
      <c r="I698" s="33" t="s">
        <v>10</v>
      </c>
      <c r="J698" s="33" t="s">
        <v>25</v>
      </c>
      <c r="K698" s="83" t="s">
        <v>397</v>
      </c>
      <c r="L698" s="33"/>
      <c r="M698" s="33">
        <v>65</v>
      </c>
      <c r="N698" s="33"/>
      <c r="O698" s="33" t="s">
        <v>381</v>
      </c>
      <c r="P698" s="33" t="s">
        <v>775</v>
      </c>
      <c r="Q698" s="30"/>
    </row>
    <row r="699" spans="1:17" ht="15.75" customHeight="1" x14ac:dyDescent="0.3">
      <c r="A699" s="30">
        <v>52</v>
      </c>
      <c r="B699" s="1">
        <v>12</v>
      </c>
      <c r="C699" s="96">
        <v>46017</v>
      </c>
      <c r="D699" s="90" t="s">
        <v>320</v>
      </c>
      <c r="E699" s="33" t="s">
        <v>78</v>
      </c>
      <c r="F699" s="33" t="s">
        <v>92</v>
      </c>
      <c r="G699" s="83" t="s">
        <v>311</v>
      </c>
      <c r="H699" s="83" t="s">
        <v>774</v>
      </c>
      <c r="I699" s="33" t="s">
        <v>10</v>
      </c>
      <c r="J699" s="33" t="s">
        <v>25</v>
      </c>
      <c r="K699" s="83" t="s">
        <v>397</v>
      </c>
      <c r="L699" s="33"/>
      <c r="M699" s="33">
        <v>135</v>
      </c>
      <c r="N699" s="33"/>
      <c r="O699" s="33" t="s">
        <v>381</v>
      </c>
      <c r="P699" s="33" t="s">
        <v>775</v>
      </c>
      <c r="Q699" s="30"/>
    </row>
    <row r="700" spans="1:17" ht="15.75" customHeight="1" x14ac:dyDescent="0.3">
      <c r="A700" s="30">
        <v>52</v>
      </c>
      <c r="B700" s="1">
        <v>12</v>
      </c>
      <c r="C700" s="96">
        <v>46017</v>
      </c>
      <c r="D700" s="90" t="s">
        <v>320</v>
      </c>
      <c r="E700" s="33" t="s">
        <v>78</v>
      </c>
      <c r="F700" s="33" t="s">
        <v>79</v>
      </c>
      <c r="G700" s="83" t="s">
        <v>311</v>
      </c>
      <c r="H700" s="83" t="s">
        <v>62</v>
      </c>
      <c r="I700" s="33" t="s">
        <v>10</v>
      </c>
      <c r="J700" s="33" t="s">
        <v>25</v>
      </c>
      <c r="K700" s="83" t="s">
        <v>397</v>
      </c>
      <c r="L700" s="33"/>
      <c r="M700" s="33">
        <v>95</v>
      </c>
      <c r="N700" s="33"/>
      <c r="O700" s="33" t="s">
        <v>381</v>
      </c>
      <c r="P700" s="33" t="s">
        <v>775</v>
      </c>
      <c r="Q700" s="30"/>
    </row>
    <row r="701" spans="1:17" ht="15.75" customHeight="1" x14ac:dyDescent="0.3">
      <c r="A701" s="30">
        <v>52</v>
      </c>
      <c r="B701" s="1">
        <v>12</v>
      </c>
      <c r="C701" s="96">
        <v>46017</v>
      </c>
      <c r="D701" s="90" t="s">
        <v>320</v>
      </c>
      <c r="E701" s="3" t="s">
        <v>78</v>
      </c>
      <c r="F701" s="33" t="s">
        <v>98</v>
      </c>
      <c r="G701" s="83" t="s">
        <v>311</v>
      </c>
      <c r="H701" s="83" t="s">
        <v>645</v>
      </c>
      <c r="I701" s="33" t="s">
        <v>10</v>
      </c>
      <c r="J701" s="33" t="s">
        <v>25</v>
      </c>
      <c r="K701" s="83" t="s">
        <v>397</v>
      </c>
      <c r="L701" s="33"/>
      <c r="M701" s="33">
        <v>530</v>
      </c>
      <c r="N701" s="33"/>
      <c r="O701" s="33" t="s">
        <v>381</v>
      </c>
      <c r="P701" s="33" t="s">
        <v>775</v>
      </c>
      <c r="Q701" s="30"/>
    </row>
    <row r="702" spans="1:17" s="33" customFormat="1" ht="15.75" customHeight="1" x14ac:dyDescent="0.3">
      <c r="A702" s="30">
        <v>52</v>
      </c>
      <c r="B702" s="1">
        <v>12</v>
      </c>
      <c r="C702" s="96">
        <v>46017</v>
      </c>
      <c r="D702" s="90" t="s">
        <v>320</v>
      </c>
      <c r="E702" s="3" t="s">
        <v>78</v>
      </c>
      <c r="F702" s="33" t="s">
        <v>97</v>
      </c>
      <c r="G702" s="83" t="s">
        <v>311</v>
      </c>
      <c r="H702" s="83" t="s">
        <v>645</v>
      </c>
      <c r="I702" s="33" t="s">
        <v>10</v>
      </c>
      <c r="J702" s="33" t="s">
        <v>25</v>
      </c>
      <c r="K702" s="83" t="s">
        <v>397</v>
      </c>
      <c r="M702" s="33">
        <v>560</v>
      </c>
      <c r="O702" s="33" t="s">
        <v>381</v>
      </c>
      <c r="P702" s="33" t="s">
        <v>775</v>
      </c>
    </row>
    <row r="703" spans="1:17" ht="15.75" customHeight="1" x14ac:dyDescent="0.3">
      <c r="A703" s="30">
        <v>52</v>
      </c>
      <c r="B703" s="1">
        <v>12</v>
      </c>
      <c r="C703" s="96">
        <v>46017</v>
      </c>
      <c r="D703" s="90" t="s">
        <v>320</v>
      </c>
      <c r="E703" s="33" t="s">
        <v>78</v>
      </c>
      <c r="F703" s="33" t="s">
        <v>776</v>
      </c>
      <c r="G703" s="83" t="s">
        <v>311</v>
      </c>
      <c r="H703" s="83" t="s">
        <v>645</v>
      </c>
      <c r="I703" s="33" t="s">
        <v>10</v>
      </c>
      <c r="J703" s="33" t="s">
        <v>25</v>
      </c>
      <c r="K703" s="83" t="s">
        <v>397</v>
      </c>
      <c r="L703" s="33"/>
      <c r="M703" s="33">
        <v>165</v>
      </c>
      <c r="N703" s="33"/>
      <c r="O703" s="33" t="s">
        <v>381</v>
      </c>
      <c r="P703" s="33" t="s">
        <v>775</v>
      </c>
      <c r="Q703" s="30"/>
    </row>
    <row r="704" spans="1:17" ht="15.75" customHeight="1" x14ac:dyDescent="0.3">
      <c r="A704" s="30">
        <v>52</v>
      </c>
      <c r="B704" s="1">
        <v>12</v>
      </c>
      <c r="C704" s="96">
        <v>46017</v>
      </c>
      <c r="D704" s="90" t="s">
        <v>320</v>
      </c>
      <c r="E704" s="33" t="s">
        <v>78</v>
      </c>
      <c r="F704" s="33" t="s">
        <v>92</v>
      </c>
      <c r="G704" s="83" t="s">
        <v>311</v>
      </c>
      <c r="H704" s="83" t="s">
        <v>645</v>
      </c>
      <c r="I704" s="33" t="s">
        <v>10</v>
      </c>
      <c r="J704" s="33" t="s">
        <v>25</v>
      </c>
      <c r="K704" s="83" t="s">
        <v>397</v>
      </c>
      <c r="L704" s="33"/>
      <c r="M704" s="33">
        <v>115</v>
      </c>
      <c r="N704" s="33"/>
      <c r="O704" s="33" t="s">
        <v>381</v>
      </c>
      <c r="P704" s="33" t="s">
        <v>775</v>
      </c>
      <c r="Q704" s="30"/>
    </row>
    <row r="705" spans="1:17" ht="15.75" customHeight="1" x14ac:dyDescent="0.3">
      <c r="A705" s="30">
        <v>52</v>
      </c>
      <c r="B705" s="1">
        <v>12</v>
      </c>
      <c r="C705" s="96">
        <v>46017</v>
      </c>
      <c r="D705" s="90" t="s">
        <v>320</v>
      </c>
      <c r="E705" s="33" t="s">
        <v>78</v>
      </c>
      <c r="F705" s="33" t="s">
        <v>345</v>
      </c>
      <c r="G705" s="83" t="s">
        <v>311</v>
      </c>
      <c r="H705" s="83" t="s">
        <v>645</v>
      </c>
      <c r="I705" s="33" t="s">
        <v>10</v>
      </c>
      <c r="J705" s="33" t="s">
        <v>25</v>
      </c>
      <c r="K705" s="83" t="s">
        <v>397</v>
      </c>
      <c r="L705" s="33"/>
      <c r="M705" s="33">
        <v>230</v>
      </c>
      <c r="N705" s="33"/>
      <c r="O705" s="33" t="s">
        <v>381</v>
      </c>
      <c r="P705" s="33" t="s">
        <v>775</v>
      </c>
      <c r="Q705" s="30"/>
    </row>
    <row r="706" spans="1:17" ht="15.75" customHeight="1" x14ac:dyDescent="0.3">
      <c r="A706" s="30">
        <v>52</v>
      </c>
      <c r="B706" s="1">
        <v>12</v>
      </c>
      <c r="C706" s="96">
        <v>46017</v>
      </c>
      <c r="D706" s="90" t="s">
        <v>320</v>
      </c>
      <c r="E706" s="33" t="s">
        <v>78</v>
      </c>
      <c r="F706" s="33" t="s">
        <v>485</v>
      </c>
      <c r="G706" s="83" t="s">
        <v>311</v>
      </c>
      <c r="H706" s="83" t="s">
        <v>645</v>
      </c>
      <c r="I706" s="33" t="s">
        <v>10</v>
      </c>
      <c r="J706" s="33" t="s">
        <v>25</v>
      </c>
      <c r="K706" s="83" t="s">
        <v>397</v>
      </c>
      <c r="L706" s="33"/>
      <c r="M706" s="33">
        <v>660</v>
      </c>
      <c r="N706" s="33"/>
      <c r="O706" s="33" t="s">
        <v>381</v>
      </c>
      <c r="P706" s="33" t="s">
        <v>775</v>
      </c>
      <c r="Q706" s="30"/>
    </row>
    <row r="707" spans="1:17" ht="15.75" customHeight="1" x14ac:dyDescent="0.3">
      <c r="A707" s="30">
        <v>52</v>
      </c>
      <c r="B707" s="1">
        <v>12</v>
      </c>
      <c r="C707" s="96">
        <v>46017</v>
      </c>
      <c r="D707" s="90" t="s">
        <v>320</v>
      </c>
      <c r="E707" s="33" t="s">
        <v>78</v>
      </c>
      <c r="F707" s="33" t="s">
        <v>777</v>
      </c>
      <c r="G707" s="83" t="s">
        <v>311</v>
      </c>
      <c r="H707" s="83" t="s">
        <v>150</v>
      </c>
      <c r="I707" s="33" t="s">
        <v>10</v>
      </c>
      <c r="J707" s="33" t="s">
        <v>25</v>
      </c>
      <c r="K707" s="83" t="s">
        <v>397</v>
      </c>
      <c r="L707" s="33"/>
      <c r="M707" s="33">
        <v>1750</v>
      </c>
      <c r="N707" s="33"/>
      <c r="O707" s="33" t="s">
        <v>778</v>
      </c>
      <c r="P707" s="33"/>
      <c r="Q707" s="30"/>
    </row>
    <row r="708" spans="1:17" ht="15.75" customHeight="1" x14ac:dyDescent="0.3">
      <c r="A708" s="30">
        <v>52</v>
      </c>
      <c r="B708" s="1">
        <v>12</v>
      </c>
      <c r="C708" s="96">
        <v>46017</v>
      </c>
      <c r="D708" s="90" t="s">
        <v>320</v>
      </c>
      <c r="E708" s="33" t="s">
        <v>356</v>
      </c>
      <c r="F708" s="33" t="s">
        <v>127</v>
      </c>
      <c r="G708" s="83" t="s">
        <v>311</v>
      </c>
      <c r="H708" s="83" t="s">
        <v>770</v>
      </c>
      <c r="I708" s="33" t="s">
        <v>10</v>
      </c>
      <c r="J708" s="33" t="s">
        <v>25</v>
      </c>
      <c r="K708" s="83" t="s">
        <v>779</v>
      </c>
      <c r="L708" s="33"/>
      <c r="M708" s="33">
        <v>100</v>
      </c>
      <c r="N708" s="33"/>
      <c r="O708" s="33" t="s">
        <v>389</v>
      </c>
      <c r="P708" s="33" t="s">
        <v>780</v>
      </c>
      <c r="Q708" s="30" t="s">
        <v>374</v>
      </c>
    </row>
    <row r="709" spans="1:17" ht="15.75" customHeight="1" x14ac:dyDescent="0.3">
      <c r="A709" s="30">
        <v>52</v>
      </c>
      <c r="B709" s="1">
        <v>12</v>
      </c>
      <c r="C709" s="96">
        <v>46017</v>
      </c>
      <c r="D709" s="90" t="s">
        <v>320</v>
      </c>
      <c r="E709" s="33" t="s">
        <v>376</v>
      </c>
      <c r="F709" s="33" t="s">
        <v>781</v>
      </c>
      <c r="G709" s="83" t="s">
        <v>311</v>
      </c>
      <c r="H709" s="83" t="s">
        <v>645</v>
      </c>
      <c r="I709" s="33" t="s">
        <v>10</v>
      </c>
      <c r="J709" s="33" t="s">
        <v>25</v>
      </c>
      <c r="K709" s="83" t="s">
        <v>369</v>
      </c>
      <c r="L709" s="33"/>
      <c r="M709" s="33">
        <v>2000</v>
      </c>
      <c r="N709" s="33"/>
      <c r="O709" s="33" t="s">
        <v>782</v>
      </c>
      <c r="P709" s="33" t="s">
        <v>530</v>
      </c>
      <c r="Q709" s="30"/>
    </row>
    <row r="710" spans="1:17" ht="15.75" customHeight="1" x14ac:dyDescent="0.3">
      <c r="A710" s="30">
        <v>52</v>
      </c>
      <c r="B710" s="1">
        <v>12</v>
      </c>
      <c r="C710" s="96">
        <v>46017</v>
      </c>
      <c r="D710" s="90" t="s">
        <v>320</v>
      </c>
      <c r="E710" s="33" t="s">
        <v>668</v>
      </c>
      <c r="F710" s="33" t="s">
        <v>669</v>
      </c>
      <c r="G710" s="83"/>
      <c r="H710" s="83" t="s">
        <v>563</v>
      </c>
      <c r="I710" s="33" t="s">
        <v>10</v>
      </c>
      <c r="J710" s="33" t="s">
        <v>25</v>
      </c>
      <c r="K710" s="83" t="s">
        <v>369</v>
      </c>
      <c r="L710" s="33"/>
      <c r="M710" s="33">
        <v>12590.13</v>
      </c>
      <c r="N710" s="33"/>
      <c r="O710" s="33" t="s">
        <v>669</v>
      </c>
      <c r="P710" s="33" t="s">
        <v>671</v>
      </c>
      <c r="Q710" s="30" t="s">
        <v>783</v>
      </c>
    </row>
    <row r="711" spans="1:17" ht="15.75" customHeight="1" x14ac:dyDescent="0.3">
      <c r="A711" s="30">
        <v>52</v>
      </c>
      <c r="B711" s="1">
        <v>12</v>
      </c>
      <c r="C711" s="96">
        <v>46017</v>
      </c>
      <c r="D711" s="90" t="s">
        <v>320</v>
      </c>
      <c r="E711" s="33" t="s">
        <v>668</v>
      </c>
      <c r="F711" s="33" t="s">
        <v>669</v>
      </c>
      <c r="G711" s="83"/>
      <c r="H711" s="83" t="s">
        <v>426</v>
      </c>
      <c r="I711" s="33" t="s">
        <v>10</v>
      </c>
      <c r="J711" s="33" t="s">
        <v>25</v>
      </c>
      <c r="K711" s="83" t="s">
        <v>369</v>
      </c>
      <c r="L711" s="33"/>
      <c r="M711" s="33">
        <v>12064.28</v>
      </c>
      <c r="N711" s="33"/>
      <c r="O711" s="33" t="s">
        <v>669</v>
      </c>
      <c r="P711" s="33" t="s">
        <v>671</v>
      </c>
      <c r="Q711" s="30"/>
    </row>
    <row r="712" spans="1:17" ht="15.75" customHeight="1" x14ac:dyDescent="0.3">
      <c r="A712" s="30">
        <v>52</v>
      </c>
      <c r="B712" s="1">
        <v>12</v>
      </c>
      <c r="C712" s="96">
        <v>46017</v>
      </c>
      <c r="D712" s="90" t="s">
        <v>320</v>
      </c>
      <c r="E712" s="33" t="s">
        <v>668</v>
      </c>
      <c r="F712" s="33" t="s">
        <v>669</v>
      </c>
      <c r="G712" s="83"/>
      <c r="H712" s="83" t="s">
        <v>670</v>
      </c>
      <c r="I712" s="33" t="s">
        <v>10</v>
      </c>
      <c r="J712" s="33" t="s">
        <v>25</v>
      </c>
      <c r="K712" s="83" t="s">
        <v>369</v>
      </c>
      <c r="L712" s="33"/>
      <c r="M712" s="33">
        <v>14341.08</v>
      </c>
      <c r="N712" s="33"/>
      <c r="O712" s="33" t="s">
        <v>669</v>
      </c>
      <c r="P712" s="33" t="s">
        <v>671</v>
      </c>
      <c r="Q712" s="30"/>
    </row>
    <row r="713" spans="1:17" ht="15.75" customHeight="1" x14ac:dyDescent="0.3">
      <c r="A713" s="30">
        <v>52</v>
      </c>
      <c r="B713" s="1">
        <v>12</v>
      </c>
      <c r="C713" s="96">
        <v>46017</v>
      </c>
      <c r="D713" s="90" t="s">
        <v>320</v>
      </c>
      <c r="E713" s="33" t="s">
        <v>668</v>
      </c>
      <c r="F713" s="33" t="s">
        <v>669</v>
      </c>
      <c r="G713" s="83"/>
      <c r="H713" s="83" t="s">
        <v>774</v>
      </c>
      <c r="I713" s="33" t="s">
        <v>10</v>
      </c>
      <c r="J713" s="33" t="s">
        <v>25</v>
      </c>
      <c r="K713" s="83" t="s">
        <v>369</v>
      </c>
      <c r="L713" s="33"/>
      <c r="M713" s="33">
        <v>12590.12</v>
      </c>
      <c r="N713" s="33"/>
      <c r="O713" s="33" t="s">
        <v>669</v>
      </c>
      <c r="P713" s="33" t="s">
        <v>671</v>
      </c>
      <c r="Q713" s="30"/>
    </row>
    <row r="714" spans="1:17" ht="15.75" customHeight="1" x14ac:dyDescent="0.3">
      <c r="A714" s="30">
        <v>52</v>
      </c>
      <c r="B714" s="1">
        <v>12</v>
      </c>
      <c r="C714" s="96">
        <v>46018</v>
      </c>
      <c r="D714" s="90" t="s">
        <v>320</v>
      </c>
      <c r="E714" s="33" t="s">
        <v>317</v>
      </c>
      <c r="F714" s="33" t="s">
        <v>102</v>
      </c>
      <c r="G714" s="83"/>
      <c r="H714" s="83" t="s">
        <v>317</v>
      </c>
      <c r="I714" s="33" t="s">
        <v>10</v>
      </c>
      <c r="J714" s="33" t="s">
        <v>25</v>
      </c>
      <c r="K714" s="83" t="s">
        <v>369</v>
      </c>
      <c r="L714" s="33"/>
      <c r="M714" s="33">
        <v>1500</v>
      </c>
      <c r="N714" s="33"/>
      <c r="O714" s="33" t="s">
        <v>20</v>
      </c>
      <c r="P714" s="33" t="s">
        <v>530</v>
      </c>
      <c r="Q714" s="30"/>
    </row>
    <row r="715" spans="1:17" ht="15.75" customHeight="1" x14ac:dyDescent="0.3">
      <c r="A715" s="30">
        <v>52</v>
      </c>
      <c r="B715" s="1">
        <v>12</v>
      </c>
      <c r="C715" s="96">
        <v>46018</v>
      </c>
      <c r="D715" s="90" t="s">
        <v>320</v>
      </c>
      <c r="E715" s="33" t="s">
        <v>356</v>
      </c>
      <c r="F715" s="33" t="s">
        <v>736</v>
      </c>
      <c r="G715" s="83"/>
      <c r="H715" s="105" t="s">
        <v>118</v>
      </c>
      <c r="I715" s="33" t="s">
        <v>10</v>
      </c>
      <c r="J715" s="33" t="s">
        <v>25</v>
      </c>
      <c r="K715" s="83" t="s">
        <v>369</v>
      </c>
      <c r="L715" s="33"/>
      <c r="M715" s="33">
        <v>161</v>
      </c>
      <c r="N715" s="33"/>
      <c r="O715" s="33" t="s">
        <v>737</v>
      </c>
      <c r="P715" s="33" t="s">
        <v>784</v>
      </c>
      <c r="Q715" s="30" t="s">
        <v>785</v>
      </c>
    </row>
    <row r="716" spans="1:17" ht="15.75" customHeight="1" x14ac:dyDescent="0.3">
      <c r="A716" s="30">
        <v>52</v>
      </c>
      <c r="B716" s="1">
        <v>12</v>
      </c>
      <c r="C716" s="96">
        <v>46018</v>
      </c>
      <c r="D716" s="90" t="s">
        <v>320</v>
      </c>
      <c r="E716" s="33" t="s">
        <v>376</v>
      </c>
      <c r="F716" s="33" t="s">
        <v>786</v>
      </c>
      <c r="G716" s="83"/>
      <c r="H716" s="83" t="s">
        <v>774</v>
      </c>
      <c r="I716" s="33" t="s">
        <v>10</v>
      </c>
      <c r="J716" s="33" t="s">
        <v>25</v>
      </c>
      <c r="K716" s="83" t="s">
        <v>358</v>
      </c>
      <c r="L716" s="33"/>
      <c r="M716" s="33">
        <v>2250</v>
      </c>
      <c r="N716" s="33"/>
      <c r="O716" s="33" t="s">
        <v>787</v>
      </c>
      <c r="P716" s="33" t="s">
        <v>359</v>
      </c>
      <c r="Q716" s="30"/>
    </row>
    <row r="717" spans="1:17" ht="15.75" customHeight="1" x14ac:dyDescent="0.3">
      <c r="A717" s="30">
        <v>52</v>
      </c>
      <c r="B717" s="1">
        <v>12</v>
      </c>
      <c r="C717" s="96">
        <v>46018</v>
      </c>
      <c r="D717" s="90" t="s">
        <v>320</v>
      </c>
      <c r="E717" s="33" t="s">
        <v>376</v>
      </c>
      <c r="F717" s="33" t="s">
        <v>788</v>
      </c>
      <c r="G717" s="83"/>
      <c r="H717" s="86" t="s">
        <v>774</v>
      </c>
      <c r="I717" s="33" t="s">
        <v>10</v>
      </c>
      <c r="J717" s="33" t="s">
        <v>25</v>
      </c>
      <c r="K717" s="83" t="s">
        <v>364</v>
      </c>
      <c r="L717" s="33"/>
      <c r="M717" s="33">
        <v>30</v>
      </c>
      <c r="N717" s="33"/>
      <c r="O717" s="33" t="s">
        <v>601</v>
      </c>
      <c r="P717" s="33" t="s">
        <v>467</v>
      </c>
      <c r="Q717" s="30"/>
    </row>
    <row r="718" spans="1:17" ht="15.75" customHeight="1" x14ac:dyDescent="0.3">
      <c r="A718" s="30">
        <v>52</v>
      </c>
      <c r="B718" s="1">
        <v>12</v>
      </c>
      <c r="C718" s="96">
        <v>46018</v>
      </c>
      <c r="D718" s="90" t="s">
        <v>320</v>
      </c>
      <c r="E718" s="33" t="s">
        <v>376</v>
      </c>
      <c r="F718" s="33" t="s">
        <v>789</v>
      </c>
      <c r="G718" s="83"/>
      <c r="H718" s="86" t="s">
        <v>774</v>
      </c>
      <c r="I718" s="33" t="s">
        <v>10</v>
      </c>
      <c r="J718" s="33" t="s">
        <v>25</v>
      </c>
      <c r="K718" s="83" t="s">
        <v>364</v>
      </c>
      <c r="L718" s="33"/>
      <c r="M718" s="33">
        <v>160</v>
      </c>
      <c r="N718" s="33"/>
      <c r="O718" s="33" t="s">
        <v>790</v>
      </c>
      <c r="P718" s="33" t="s">
        <v>467</v>
      </c>
      <c r="Q718" s="30"/>
    </row>
    <row r="719" spans="1:17" ht="15.75" customHeight="1" x14ac:dyDescent="0.3">
      <c r="A719" s="30">
        <v>52</v>
      </c>
      <c r="B719" s="1">
        <v>12</v>
      </c>
      <c r="C719" s="96">
        <v>46018</v>
      </c>
      <c r="D719" s="90" t="s">
        <v>320</v>
      </c>
      <c r="E719" s="33" t="s">
        <v>376</v>
      </c>
      <c r="F719" s="33" t="s">
        <v>791</v>
      </c>
      <c r="G719" s="83"/>
      <c r="H719" s="86" t="s">
        <v>62</v>
      </c>
      <c r="I719" s="33" t="s">
        <v>10</v>
      </c>
      <c r="J719" s="33" t="s">
        <v>25</v>
      </c>
      <c r="K719" s="83" t="s">
        <v>364</v>
      </c>
      <c r="L719" s="33"/>
      <c r="M719" s="33">
        <v>30</v>
      </c>
      <c r="N719" s="33"/>
      <c r="O719" s="33" t="s">
        <v>792</v>
      </c>
      <c r="P719" s="33" t="s">
        <v>467</v>
      </c>
      <c r="Q719" s="30"/>
    </row>
    <row r="720" spans="1:17" ht="15.75" customHeight="1" x14ac:dyDescent="0.3">
      <c r="A720" s="30">
        <v>52</v>
      </c>
      <c r="B720" s="1">
        <v>12</v>
      </c>
      <c r="C720" s="96">
        <v>46018</v>
      </c>
      <c r="D720" s="90" t="s">
        <v>320</v>
      </c>
      <c r="E720" s="33" t="s">
        <v>376</v>
      </c>
      <c r="F720" s="33" t="s">
        <v>793</v>
      </c>
      <c r="G720" s="83"/>
      <c r="H720" s="86" t="s">
        <v>62</v>
      </c>
      <c r="I720" s="33" t="s">
        <v>10</v>
      </c>
      <c r="J720" s="33" t="s">
        <v>25</v>
      </c>
      <c r="K720" s="83" t="s">
        <v>364</v>
      </c>
      <c r="L720" s="33"/>
      <c r="M720" s="33">
        <v>45</v>
      </c>
      <c r="N720" s="33"/>
      <c r="O720" s="33" t="s">
        <v>792</v>
      </c>
      <c r="P720" s="33" t="s">
        <v>467</v>
      </c>
      <c r="Q720" s="30"/>
    </row>
    <row r="721" spans="1:17" ht="15.75" customHeight="1" x14ac:dyDescent="0.3">
      <c r="A721" s="30">
        <v>52</v>
      </c>
      <c r="B721" s="1">
        <v>12</v>
      </c>
      <c r="C721" s="96">
        <v>46018</v>
      </c>
      <c r="D721" s="90" t="s">
        <v>320</v>
      </c>
      <c r="E721" s="33" t="s">
        <v>376</v>
      </c>
      <c r="F721" s="33" t="s">
        <v>284</v>
      </c>
      <c r="G721" s="83"/>
      <c r="H721" s="83" t="s">
        <v>774</v>
      </c>
      <c r="I721" s="33" t="s">
        <v>10</v>
      </c>
      <c r="J721" s="33" t="s">
        <v>25</v>
      </c>
      <c r="K721" s="83" t="s">
        <v>358</v>
      </c>
      <c r="L721" s="33"/>
      <c r="M721" s="33">
        <v>997.83</v>
      </c>
      <c r="N721" s="33"/>
      <c r="O721" s="33" t="s">
        <v>794</v>
      </c>
      <c r="P721" s="33" t="s">
        <v>359</v>
      </c>
      <c r="Q721" s="30"/>
    </row>
    <row r="722" spans="1:17" ht="15.75" customHeight="1" x14ac:dyDescent="0.3">
      <c r="A722" s="30">
        <v>52</v>
      </c>
      <c r="B722" s="1">
        <v>12</v>
      </c>
      <c r="C722" s="96">
        <v>46018</v>
      </c>
      <c r="D722" s="90" t="s">
        <v>320</v>
      </c>
      <c r="E722" s="33" t="s">
        <v>376</v>
      </c>
      <c r="F722" s="33" t="s">
        <v>795</v>
      </c>
      <c r="G722" s="83"/>
      <c r="H722" s="83" t="s">
        <v>774</v>
      </c>
      <c r="I722" s="33" t="s">
        <v>10</v>
      </c>
      <c r="J722" s="33" t="s">
        <v>25</v>
      </c>
      <c r="K722" s="83" t="s">
        <v>358</v>
      </c>
      <c r="L722" s="33"/>
      <c r="M722" s="33">
        <v>916.86</v>
      </c>
      <c r="N722" s="33"/>
      <c r="O722" s="33" t="s">
        <v>794</v>
      </c>
      <c r="P722" s="33" t="s">
        <v>359</v>
      </c>
      <c r="Q722" s="30"/>
    </row>
    <row r="723" spans="1:17" ht="15.75" customHeight="1" x14ac:dyDescent="0.3">
      <c r="A723" s="30">
        <v>52</v>
      </c>
      <c r="B723" s="1">
        <v>12</v>
      </c>
      <c r="C723" s="96">
        <v>46018</v>
      </c>
      <c r="D723" s="90" t="s">
        <v>320</v>
      </c>
      <c r="E723" s="33" t="s">
        <v>376</v>
      </c>
      <c r="F723" s="33" t="s">
        <v>795</v>
      </c>
      <c r="G723" s="83"/>
      <c r="H723" s="83" t="s">
        <v>645</v>
      </c>
      <c r="I723" s="33" t="s">
        <v>10</v>
      </c>
      <c r="J723" s="33" t="s">
        <v>25</v>
      </c>
      <c r="K723" s="83" t="s">
        <v>358</v>
      </c>
      <c r="L723" s="33"/>
      <c r="M723" s="33">
        <f>1642.88+262.86</f>
        <v>1905.7400000000002</v>
      </c>
      <c r="N723" s="33"/>
      <c r="O723" s="33" t="s">
        <v>794</v>
      </c>
      <c r="P723" s="33" t="s">
        <v>359</v>
      </c>
      <c r="Q723" s="30"/>
    </row>
    <row r="724" spans="1:17" ht="15.75" customHeight="1" x14ac:dyDescent="0.3">
      <c r="A724" s="30">
        <v>52</v>
      </c>
      <c r="B724" s="1">
        <v>12</v>
      </c>
      <c r="C724" s="96">
        <v>46018</v>
      </c>
      <c r="D724" s="90" t="s">
        <v>320</v>
      </c>
      <c r="E724" s="33" t="s">
        <v>376</v>
      </c>
      <c r="F724" s="33" t="s">
        <v>556</v>
      </c>
      <c r="G724" s="83"/>
      <c r="H724" s="83" t="s">
        <v>774</v>
      </c>
      <c r="I724" s="33" t="s">
        <v>10</v>
      </c>
      <c r="J724" s="33" t="s">
        <v>25</v>
      </c>
      <c r="K724" s="83" t="s">
        <v>358</v>
      </c>
      <c r="L724" s="33"/>
      <c r="M724" s="33">
        <f>2248.27+359.72</f>
        <v>2607.9899999999998</v>
      </c>
      <c r="N724" s="33"/>
      <c r="O724" s="33" t="s">
        <v>794</v>
      </c>
      <c r="P724" s="33" t="s">
        <v>359</v>
      </c>
      <c r="Q724" s="30" t="s">
        <v>796</v>
      </c>
    </row>
    <row r="725" spans="1:17" ht="15.75" customHeight="1" x14ac:dyDescent="0.3">
      <c r="A725" s="30">
        <v>52</v>
      </c>
      <c r="B725" s="1">
        <v>12</v>
      </c>
      <c r="C725" s="96">
        <v>46018</v>
      </c>
      <c r="D725" s="90" t="s">
        <v>320</v>
      </c>
      <c r="E725" s="33" t="s">
        <v>376</v>
      </c>
      <c r="F725" s="33" t="s">
        <v>797</v>
      </c>
      <c r="G725" s="83"/>
      <c r="H725" s="83" t="s">
        <v>774</v>
      </c>
      <c r="I725" s="33" t="s">
        <v>10</v>
      </c>
      <c r="J725" s="33" t="s">
        <v>25</v>
      </c>
      <c r="K725" s="83" t="s">
        <v>358</v>
      </c>
      <c r="L725" s="33"/>
      <c r="M725" s="33">
        <f>117.6+18.81</f>
        <v>136.41</v>
      </c>
      <c r="N725" s="33"/>
      <c r="O725" s="33" t="s">
        <v>794</v>
      </c>
      <c r="P725" s="33" t="s">
        <v>359</v>
      </c>
      <c r="Q725" s="30"/>
    </row>
    <row r="726" spans="1:17" ht="15.75" customHeight="1" x14ac:dyDescent="0.3">
      <c r="A726" s="30">
        <v>52</v>
      </c>
      <c r="B726" s="1">
        <v>12</v>
      </c>
      <c r="C726" s="96">
        <v>46018</v>
      </c>
      <c r="D726" s="90" t="s">
        <v>320</v>
      </c>
      <c r="E726" s="33" t="s">
        <v>356</v>
      </c>
      <c r="F726" s="33" t="s">
        <v>127</v>
      </c>
      <c r="G726" s="83"/>
      <c r="H726" s="83" t="s">
        <v>573</v>
      </c>
      <c r="I726" s="33" t="s">
        <v>10</v>
      </c>
      <c r="J726" s="33" t="s">
        <v>25</v>
      </c>
      <c r="K726" s="83" t="s">
        <v>397</v>
      </c>
      <c r="L726" s="33"/>
      <c r="M726" s="33">
        <v>200</v>
      </c>
      <c r="N726" s="33"/>
      <c r="O726" s="33" t="s">
        <v>389</v>
      </c>
      <c r="P726" s="33" t="s">
        <v>397</v>
      </c>
      <c r="Q726" s="30"/>
    </row>
    <row r="727" spans="1:17" ht="15.75" customHeight="1" x14ac:dyDescent="0.3">
      <c r="A727" s="30">
        <v>52</v>
      </c>
      <c r="B727" s="1">
        <v>12</v>
      </c>
      <c r="C727" s="96">
        <v>46018</v>
      </c>
      <c r="D727" s="90" t="s">
        <v>320</v>
      </c>
      <c r="E727" s="33" t="s">
        <v>356</v>
      </c>
      <c r="F727" s="33" t="s">
        <v>127</v>
      </c>
      <c r="G727" s="83"/>
      <c r="H727" s="83" t="s">
        <v>767</v>
      </c>
      <c r="I727" s="33" t="s">
        <v>10</v>
      </c>
      <c r="J727" s="33" t="s">
        <v>25</v>
      </c>
      <c r="K727" s="83" t="s">
        <v>397</v>
      </c>
      <c r="L727" s="33"/>
      <c r="M727" s="33">
        <v>200</v>
      </c>
      <c r="N727" s="33"/>
      <c r="O727" s="33" t="s">
        <v>389</v>
      </c>
      <c r="P727" s="33" t="s">
        <v>397</v>
      </c>
      <c r="Q727" s="30"/>
    </row>
    <row r="728" spans="1:17" ht="15.75" customHeight="1" x14ac:dyDescent="0.3">
      <c r="A728" s="30">
        <v>53</v>
      </c>
      <c r="B728" s="1">
        <v>12</v>
      </c>
      <c r="C728" s="96">
        <v>46020</v>
      </c>
      <c r="D728" s="90" t="s">
        <v>320</v>
      </c>
      <c r="E728" s="33" t="s">
        <v>356</v>
      </c>
      <c r="F728" s="33" t="s">
        <v>708</v>
      </c>
      <c r="G728" s="83"/>
      <c r="H728" s="83" t="s">
        <v>798</v>
      </c>
      <c r="I728" s="33" t="s">
        <v>10</v>
      </c>
      <c r="J728" s="33" t="s">
        <v>25</v>
      </c>
      <c r="K728" s="83" t="s">
        <v>369</v>
      </c>
      <c r="L728" s="33"/>
      <c r="M728" s="33">
        <v>5000</v>
      </c>
      <c r="N728" s="33"/>
      <c r="O728" s="33" t="s">
        <v>709</v>
      </c>
      <c r="P728" s="33" t="s">
        <v>530</v>
      </c>
      <c r="Q728" s="30"/>
    </row>
    <row r="729" spans="1:17" ht="15.75" customHeight="1" x14ac:dyDescent="0.3">
      <c r="A729" s="30">
        <v>53</v>
      </c>
      <c r="B729" s="1">
        <v>12</v>
      </c>
      <c r="C729" s="96">
        <v>46020</v>
      </c>
      <c r="D729" s="90" t="s">
        <v>320</v>
      </c>
      <c r="E729" s="33" t="s">
        <v>376</v>
      </c>
      <c r="F729" s="33" t="s">
        <v>799</v>
      </c>
      <c r="G729" s="83"/>
      <c r="H729" s="83" t="s">
        <v>645</v>
      </c>
      <c r="I729" s="33" t="s">
        <v>10</v>
      </c>
      <c r="J729" s="33" t="s">
        <v>25</v>
      </c>
      <c r="K729" s="83" t="s">
        <v>358</v>
      </c>
      <c r="L729" s="33"/>
      <c r="M729" s="33">
        <v>360.44</v>
      </c>
      <c r="N729" s="33"/>
      <c r="O729" s="33" t="s">
        <v>800</v>
      </c>
      <c r="P729" s="33" t="s">
        <v>359</v>
      </c>
      <c r="Q729" s="30"/>
    </row>
    <row r="730" spans="1:17" ht="15.75" customHeight="1" x14ac:dyDescent="0.3">
      <c r="A730" s="30">
        <v>53</v>
      </c>
      <c r="B730" s="1">
        <v>12</v>
      </c>
      <c r="C730" s="96">
        <v>46020</v>
      </c>
      <c r="D730" s="90" t="s">
        <v>320</v>
      </c>
      <c r="E730" s="33" t="s">
        <v>376</v>
      </c>
      <c r="F730" s="33" t="s">
        <v>801</v>
      </c>
      <c r="G730" s="83"/>
      <c r="H730" s="83" t="s">
        <v>645</v>
      </c>
      <c r="I730" s="33" t="s">
        <v>10</v>
      </c>
      <c r="J730" s="33" t="s">
        <v>25</v>
      </c>
      <c r="K730" s="83" t="s">
        <v>358</v>
      </c>
      <c r="L730" s="33"/>
      <c r="M730" s="33">
        <v>360.44</v>
      </c>
      <c r="N730" s="33"/>
      <c r="O730" s="33" t="s">
        <v>800</v>
      </c>
      <c r="P730" s="33" t="s">
        <v>359</v>
      </c>
      <c r="Q730" s="30"/>
    </row>
    <row r="731" spans="1:17" ht="15.75" customHeight="1" x14ac:dyDescent="0.3">
      <c r="A731" s="30">
        <v>53</v>
      </c>
      <c r="B731" s="1">
        <v>12</v>
      </c>
      <c r="C731" s="96">
        <v>46020</v>
      </c>
      <c r="D731" s="90" t="s">
        <v>320</v>
      </c>
      <c r="E731" s="33" t="s">
        <v>356</v>
      </c>
      <c r="F731" s="33" t="s">
        <v>802</v>
      </c>
      <c r="G731" s="83"/>
      <c r="H731" s="83" t="s">
        <v>62</v>
      </c>
      <c r="I731" s="33" t="s">
        <v>10</v>
      </c>
      <c r="J731" s="33" t="s">
        <v>25</v>
      </c>
      <c r="K731" s="83" t="s">
        <v>364</v>
      </c>
      <c r="L731" s="33"/>
      <c r="M731" s="33">
        <v>40</v>
      </c>
      <c r="N731" s="33"/>
      <c r="O731" s="33" t="s">
        <v>792</v>
      </c>
      <c r="P731" s="33" t="s">
        <v>467</v>
      </c>
      <c r="Q731" s="30"/>
    </row>
    <row r="732" spans="1:17" ht="15.75" customHeight="1" x14ac:dyDescent="0.3">
      <c r="A732" s="30">
        <v>53</v>
      </c>
      <c r="B732" s="1">
        <v>12</v>
      </c>
      <c r="C732" s="96">
        <v>46020</v>
      </c>
      <c r="D732" s="90" t="s">
        <v>320</v>
      </c>
      <c r="E732" s="33" t="s">
        <v>317</v>
      </c>
      <c r="F732" s="33" t="s">
        <v>27</v>
      </c>
      <c r="G732" s="83"/>
      <c r="H732" s="83" t="s">
        <v>317</v>
      </c>
      <c r="I732" s="33" t="s">
        <v>10</v>
      </c>
      <c r="J732" s="33" t="s">
        <v>25</v>
      </c>
      <c r="K732" s="83" t="s">
        <v>364</v>
      </c>
      <c r="L732" s="33"/>
      <c r="M732" s="33">
        <v>100</v>
      </c>
      <c r="N732" s="33"/>
      <c r="O732" s="33" t="s">
        <v>20</v>
      </c>
      <c r="P732" s="33" t="s">
        <v>467</v>
      </c>
      <c r="Q732" s="30"/>
    </row>
    <row r="733" spans="1:17" ht="15.75" customHeight="1" x14ac:dyDescent="0.3">
      <c r="A733" s="30">
        <v>53</v>
      </c>
      <c r="B733" s="1">
        <v>12</v>
      </c>
      <c r="C733" s="96">
        <v>46020</v>
      </c>
      <c r="D733" s="90" t="s">
        <v>320</v>
      </c>
      <c r="E733" s="33" t="s">
        <v>376</v>
      </c>
      <c r="F733" s="33" t="s">
        <v>444</v>
      </c>
      <c r="G733" s="83"/>
      <c r="H733" s="83" t="s">
        <v>645</v>
      </c>
      <c r="I733" s="33" t="s">
        <v>10</v>
      </c>
      <c r="J733" s="33" t="s">
        <v>25</v>
      </c>
      <c r="K733" s="83" t="s">
        <v>397</v>
      </c>
      <c r="L733" s="33"/>
      <c r="M733" s="33">
        <v>342</v>
      </c>
      <c r="N733" s="33"/>
      <c r="O733" s="33" t="s">
        <v>540</v>
      </c>
      <c r="P733" s="33" t="s">
        <v>397</v>
      </c>
      <c r="Q733" s="30"/>
    </row>
    <row r="734" spans="1:17" ht="15.75" customHeight="1" x14ac:dyDescent="0.3">
      <c r="A734" s="30">
        <v>53</v>
      </c>
      <c r="B734" s="1">
        <v>12</v>
      </c>
      <c r="C734" s="96">
        <v>46020</v>
      </c>
      <c r="D734" s="90" t="s">
        <v>320</v>
      </c>
      <c r="E734" s="33" t="s">
        <v>376</v>
      </c>
      <c r="F734" s="33" t="s">
        <v>556</v>
      </c>
      <c r="G734" s="83"/>
      <c r="H734" s="83" t="s">
        <v>426</v>
      </c>
      <c r="I734" s="33" t="s">
        <v>10</v>
      </c>
      <c r="J734" s="33" t="s">
        <v>25</v>
      </c>
      <c r="K734" s="83" t="s">
        <v>397</v>
      </c>
      <c r="L734" s="33"/>
      <c r="M734" s="33">
        <v>2137.25</v>
      </c>
      <c r="N734" s="33"/>
      <c r="O734" s="33" t="s">
        <v>540</v>
      </c>
      <c r="P734" s="33" t="s">
        <v>397</v>
      </c>
      <c r="Q734" s="30"/>
    </row>
    <row r="735" spans="1:17" ht="15.75" customHeight="1" x14ac:dyDescent="0.3">
      <c r="A735" s="30">
        <v>53</v>
      </c>
      <c r="B735" s="1">
        <v>12</v>
      </c>
      <c r="C735" s="96">
        <v>46020</v>
      </c>
      <c r="D735" s="90" t="s">
        <v>320</v>
      </c>
      <c r="E735" s="33" t="s">
        <v>376</v>
      </c>
      <c r="F735" s="33" t="s">
        <v>556</v>
      </c>
      <c r="G735" s="83"/>
      <c r="H735" s="83" t="s">
        <v>774</v>
      </c>
      <c r="I735" s="33" t="s">
        <v>10</v>
      </c>
      <c r="J735" s="33" t="s">
        <v>25</v>
      </c>
      <c r="K735" s="83" t="s">
        <v>397</v>
      </c>
      <c r="L735" s="33"/>
      <c r="M735" s="33">
        <v>2137.25</v>
      </c>
      <c r="N735" s="33"/>
      <c r="O735" s="33" t="s">
        <v>540</v>
      </c>
      <c r="P735" s="33" t="s">
        <v>397</v>
      </c>
      <c r="Q735" s="30"/>
    </row>
    <row r="736" spans="1:17" ht="15.75" customHeight="1" x14ac:dyDescent="0.3">
      <c r="A736" s="30">
        <v>53</v>
      </c>
      <c r="B736" s="1">
        <v>12</v>
      </c>
      <c r="C736" s="96">
        <v>46020</v>
      </c>
      <c r="D736" s="90" t="s">
        <v>320</v>
      </c>
      <c r="E736" s="33" t="s">
        <v>376</v>
      </c>
      <c r="F736" s="33" t="s">
        <v>797</v>
      </c>
      <c r="G736" s="83"/>
      <c r="H736" s="83" t="s">
        <v>774</v>
      </c>
      <c r="I736" s="33" t="s">
        <v>10</v>
      </c>
      <c r="J736" s="33" t="s">
        <v>25</v>
      </c>
      <c r="K736" s="83" t="s">
        <v>397</v>
      </c>
      <c r="L736" s="33"/>
      <c r="M736" s="33">
        <f>107.76+17.24</f>
        <v>125</v>
      </c>
      <c r="N736" s="33"/>
      <c r="O736" s="33" t="s">
        <v>540</v>
      </c>
      <c r="P736" s="33" t="s">
        <v>397</v>
      </c>
      <c r="Q736" s="30"/>
    </row>
    <row r="737" spans="1:17" ht="15.75" customHeight="1" x14ac:dyDescent="0.3">
      <c r="A737" s="30">
        <v>53</v>
      </c>
      <c r="B737" s="1">
        <v>12</v>
      </c>
      <c r="C737" s="96">
        <v>46021</v>
      </c>
      <c r="D737" s="90" t="s">
        <v>320</v>
      </c>
      <c r="E737" s="33" t="s">
        <v>477</v>
      </c>
      <c r="F737" s="33" t="s">
        <v>342</v>
      </c>
      <c r="G737" s="83"/>
      <c r="H737" s="83" t="s">
        <v>803</v>
      </c>
      <c r="I737" s="33" t="s">
        <v>10</v>
      </c>
      <c r="J737" s="33" t="s">
        <v>25</v>
      </c>
      <c r="K737" s="83" t="s">
        <v>369</v>
      </c>
      <c r="L737" s="33"/>
      <c r="M737" s="33">
        <v>160</v>
      </c>
      <c r="N737" s="33"/>
      <c r="O737" s="33" t="s">
        <v>20</v>
      </c>
      <c r="P737" s="33" t="s">
        <v>804</v>
      </c>
      <c r="Q737" s="30" t="s">
        <v>374</v>
      </c>
    </row>
    <row r="738" spans="1:17" ht="15.75" customHeight="1" x14ac:dyDescent="0.3">
      <c r="A738" s="30">
        <v>53</v>
      </c>
      <c r="B738" s="1">
        <v>12</v>
      </c>
      <c r="C738" s="96">
        <v>46021</v>
      </c>
      <c r="D738" s="90" t="s">
        <v>320</v>
      </c>
      <c r="E738" s="33" t="s">
        <v>376</v>
      </c>
      <c r="F738" s="33" t="s">
        <v>662</v>
      </c>
      <c r="G738" s="83"/>
      <c r="H738" s="83" t="s">
        <v>645</v>
      </c>
      <c r="I738" s="33" t="s">
        <v>10</v>
      </c>
      <c r="J738" s="33" t="s">
        <v>25</v>
      </c>
      <c r="K738" s="83" t="s">
        <v>358</v>
      </c>
      <c r="L738" s="33"/>
      <c r="M738" s="33">
        <v>1277.8599999999999</v>
      </c>
      <c r="N738" s="33"/>
      <c r="O738" s="33" t="s">
        <v>631</v>
      </c>
      <c r="P738" s="33" t="s">
        <v>358</v>
      </c>
      <c r="Q738" s="30"/>
    </row>
    <row r="739" spans="1:17" ht="15.75" customHeight="1" x14ac:dyDescent="0.3">
      <c r="A739" s="30">
        <v>53</v>
      </c>
      <c r="B739" s="1">
        <v>12</v>
      </c>
      <c r="C739" s="96">
        <v>46021</v>
      </c>
      <c r="D739" s="90" t="s">
        <v>320</v>
      </c>
      <c r="E739" s="33" t="s">
        <v>376</v>
      </c>
      <c r="F739" s="33" t="s">
        <v>661</v>
      </c>
      <c r="G739" s="83"/>
      <c r="H739" s="83" t="s">
        <v>645</v>
      </c>
      <c r="I739" s="33" t="s">
        <v>10</v>
      </c>
      <c r="J739" s="33" t="s">
        <v>25</v>
      </c>
      <c r="K739" s="83" t="s">
        <v>358</v>
      </c>
      <c r="L739" s="33"/>
      <c r="M739" s="33">
        <v>1277.8499999999999</v>
      </c>
      <c r="N739" s="33"/>
      <c r="O739" s="33" t="s">
        <v>631</v>
      </c>
      <c r="P739" s="33" t="s">
        <v>358</v>
      </c>
      <c r="Q739" s="30"/>
    </row>
    <row r="740" spans="1:17" ht="15.75" customHeight="1" x14ac:dyDescent="0.3">
      <c r="A740" s="30">
        <v>53</v>
      </c>
      <c r="B740" s="1">
        <v>12</v>
      </c>
      <c r="C740" s="96">
        <v>46021</v>
      </c>
      <c r="D740" s="90" t="s">
        <v>320</v>
      </c>
      <c r="E740" s="33" t="s">
        <v>376</v>
      </c>
      <c r="F740" s="33" t="s">
        <v>552</v>
      </c>
      <c r="G740" s="83"/>
      <c r="H740" s="83" t="s">
        <v>645</v>
      </c>
      <c r="I740" s="33" t="s">
        <v>10</v>
      </c>
      <c r="J740" s="33" t="s">
        <v>25</v>
      </c>
      <c r="K740" s="83" t="s">
        <v>358</v>
      </c>
      <c r="L740" s="33"/>
      <c r="M740" s="33">
        <v>309.33999999999997</v>
      </c>
      <c r="N740" s="33"/>
      <c r="O740" s="33" t="s">
        <v>800</v>
      </c>
      <c r="P740" s="33" t="s">
        <v>358</v>
      </c>
      <c r="Q740" s="30"/>
    </row>
    <row r="741" spans="1:17" ht="15.75" customHeight="1" x14ac:dyDescent="0.3">
      <c r="A741" s="30">
        <v>53</v>
      </c>
      <c r="B741" s="1">
        <v>12</v>
      </c>
      <c r="C741" s="96">
        <v>46021</v>
      </c>
      <c r="D741" s="90" t="s">
        <v>320</v>
      </c>
      <c r="E741" s="33" t="s">
        <v>376</v>
      </c>
      <c r="F741" s="33" t="s">
        <v>805</v>
      </c>
      <c r="G741" s="83"/>
      <c r="H741" s="83" t="s">
        <v>645</v>
      </c>
      <c r="I741" s="33" t="s">
        <v>10</v>
      </c>
      <c r="J741" s="33" t="s">
        <v>25</v>
      </c>
      <c r="K741" s="83" t="s">
        <v>358</v>
      </c>
      <c r="L741" s="33"/>
      <c r="M741" s="33">
        <v>56.83</v>
      </c>
      <c r="N741" s="33"/>
      <c r="O741" s="33" t="s">
        <v>800</v>
      </c>
      <c r="P741" s="33" t="s">
        <v>358</v>
      </c>
      <c r="Q741" s="30"/>
    </row>
    <row r="742" spans="1:17" ht="15.75" customHeight="1" x14ac:dyDescent="0.3">
      <c r="A742" s="30">
        <v>53</v>
      </c>
      <c r="B742" s="1">
        <v>12</v>
      </c>
      <c r="C742" s="96">
        <v>46021</v>
      </c>
      <c r="D742" s="90" t="s">
        <v>320</v>
      </c>
      <c r="E742" s="33" t="s">
        <v>376</v>
      </c>
      <c r="F742" s="33" t="s">
        <v>168</v>
      </c>
      <c r="G742" s="83"/>
      <c r="H742" s="83" t="s">
        <v>798</v>
      </c>
      <c r="I742" s="33" t="s">
        <v>10</v>
      </c>
      <c r="J742" s="33" t="s">
        <v>25</v>
      </c>
      <c r="K742" s="83" t="s">
        <v>358</v>
      </c>
      <c r="L742" s="33"/>
      <c r="M742" s="33">
        <v>2300</v>
      </c>
      <c r="N742" s="33"/>
      <c r="O742" s="33" t="s">
        <v>806</v>
      </c>
      <c r="P742" s="33" t="s">
        <v>358</v>
      </c>
      <c r="Q742" s="30"/>
    </row>
    <row r="743" spans="1:17" ht="15.75" customHeight="1" x14ac:dyDescent="0.3">
      <c r="A743" s="30">
        <v>53</v>
      </c>
      <c r="B743" s="1">
        <v>12</v>
      </c>
      <c r="C743" s="96">
        <v>46021</v>
      </c>
      <c r="D743" s="90" t="s">
        <v>320</v>
      </c>
      <c r="E743" s="33" t="s">
        <v>376</v>
      </c>
      <c r="F743" s="33" t="s">
        <v>111</v>
      </c>
      <c r="G743" s="83"/>
      <c r="H743" s="83" t="s">
        <v>100</v>
      </c>
      <c r="I743" s="33" t="s">
        <v>10</v>
      </c>
      <c r="J743" s="33" t="s">
        <v>25</v>
      </c>
      <c r="K743" s="83" t="s">
        <v>364</v>
      </c>
      <c r="L743" s="33"/>
      <c r="M743" s="33">
        <v>130</v>
      </c>
      <c r="N743" s="33"/>
      <c r="O743" s="33" t="s">
        <v>20</v>
      </c>
      <c r="P743" s="33" t="s">
        <v>807</v>
      </c>
      <c r="Q743" s="30" t="s">
        <v>374</v>
      </c>
    </row>
    <row r="744" spans="1:17" ht="15.75" customHeight="1" x14ac:dyDescent="0.3">
      <c r="A744" s="30">
        <v>53</v>
      </c>
      <c r="B744" s="1">
        <v>12</v>
      </c>
      <c r="C744" s="96">
        <v>46021</v>
      </c>
      <c r="D744" s="90" t="s">
        <v>320</v>
      </c>
      <c r="E744" s="33" t="s">
        <v>376</v>
      </c>
      <c r="F744" s="33" t="s">
        <v>133</v>
      </c>
      <c r="G744" s="83"/>
      <c r="H744" s="83" t="s">
        <v>774</v>
      </c>
      <c r="I744" s="33" t="s">
        <v>10</v>
      </c>
      <c r="J744" s="33" t="s">
        <v>25</v>
      </c>
      <c r="K744" s="83" t="s">
        <v>369</v>
      </c>
      <c r="L744" s="33"/>
      <c r="M744" s="33">
        <v>400</v>
      </c>
      <c r="N744" s="33"/>
      <c r="O744" s="33" t="s">
        <v>808</v>
      </c>
      <c r="P744" s="33" t="s">
        <v>809</v>
      </c>
      <c r="Q744" s="30"/>
    </row>
    <row r="745" spans="1:17" ht="15.75" customHeight="1" x14ac:dyDescent="0.3">
      <c r="A745" s="30">
        <v>53</v>
      </c>
      <c r="B745" s="1">
        <v>12</v>
      </c>
      <c r="C745" s="96">
        <v>46022</v>
      </c>
      <c r="D745" s="90" t="s">
        <v>320</v>
      </c>
      <c r="E745" s="33" t="s">
        <v>376</v>
      </c>
      <c r="F745" s="33" t="s">
        <v>700</v>
      </c>
      <c r="G745" s="83" t="s">
        <v>311</v>
      </c>
      <c r="H745" s="13" t="s">
        <v>135</v>
      </c>
      <c r="I745" s="33" t="s">
        <v>10</v>
      </c>
      <c r="J745" s="33" t="s">
        <v>25</v>
      </c>
      <c r="K745" s="83" t="s">
        <v>369</v>
      </c>
      <c r="L745" s="33"/>
      <c r="M745" s="33">
        <v>4000</v>
      </c>
      <c r="N745" s="33"/>
      <c r="O745" s="33" t="s">
        <v>810</v>
      </c>
      <c r="P745" s="30" t="s">
        <v>567</v>
      </c>
      <c r="Q745" s="5" t="s">
        <v>811</v>
      </c>
    </row>
    <row r="746" spans="1:17" ht="15.75" customHeight="1" x14ac:dyDescent="0.3">
      <c r="A746" s="30">
        <v>53</v>
      </c>
      <c r="B746" s="1">
        <v>12</v>
      </c>
      <c r="C746" s="96">
        <v>46022</v>
      </c>
      <c r="D746" s="90" t="s">
        <v>320</v>
      </c>
      <c r="E746" s="33" t="s">
        <v>376</v>
      </c>
      <c r="F746" s="33" t="s">
        <v>812</v>
      </c>
      <c r="G746" s="83"/>
      <c r="H746" s="13" t="s">
        <v>53</v>
      </c>
      <c r="I746" s="33" t="s">
        <v>10</v>
      </c>
      <c r="J746" s="33" t="s">
        <v>25</v>
      </c>
      <c r="K746" s="83" t="s">
        <v>369</v>
      </c>
      <c r="L746" s="33"/>
      <c r="M746" s="33">
        <v>12000</v>
      </c>
      <c r="N746" s="33"/>
      <c r="O746" s="33" t="s">
        <v>810</v>
      </c>
      <c r="P746" s="30" t="s">
        <v>567</v>
      </c>
      <c r="Q746" s="30"/>
    </row>
    <row r="747" spans="1:17" ht="15.75" customHeight="1" x14ac:dyDescent="0.3">
      <c r="A747" s="30">
        <v>53</v>
      </c>
      <c r="B747" s="1">
        <v>12</v>
      </c>
      <c r="C747" s="96">
        <v>46022</v>
      </c>
      <c r="D747" s="90" t="s">
        <v>320</v>
      </c>
      <c r="E747" s="33" t="s">
        <v>376</v>
      </c>
      <c r="F747" s="33" t="s">
        <v>813</v>
      </c>
      <c r="G747" s="83"/>
      <c r="H747" s="13" t="s">
        <v>814</v>
      </c>
      <c r="I747" s="33" t="s">
        <v>10</v>
      </c>
      <c r="J747" s="33" t="s">
        <v>25</v>
      </c>
      <c r="K747" s="83" t="s">
        <v>369</v>
      </c>
      <c r="L747" s="33"/>
      <c r="M747" s="33">
        <v>3500</v>
      </c>
      <c r="N747" s="33"/>
      <c r="O747" s="33" t="s">
        <v>810</v>
      </c>
      <c r="P747" s="30" t="s">
        <v>567</v>
      </c>
      <c r="Q747" s="30"/>
    </row>
    <row r="748" spans="1:17" ht="15.75" customHeight="1" x14ac:dyDescent="0.3">
      <c r="A748" s="30">
        <v>53</v>
      </c>
      <c r="B748" s="1">
        <v>12</v>
      </c>
      <c r="C748" s="96">
        <v>46022</v>
      </c>
      <c r="D748" s="90" t="s">
        <v>320</v>
      </c>
      <c r="E748" s="33" t="s">
        <v>477</v>
      </c>
      <c r="F748" s="33" t="s">
        <v>815</v>
      </c>
      <c r="G748" s="83"/>
      <c r="H748" s="13" t="s">
        <v>672</v>
      </c>
      <c r="I748" s="33" t="s">
        <v>10</v>
      </c>
      <c r="J748" s="33" t="s">
        <v>25</v>
      </c>
      <c r="K748" s="83" t="s">
        <v>369</v>
      </c>
      <c r="L748" s="33"/>
      <c r="M748" s="33">
        <v>3394</v>
      </c>
      <c r="N748" s="33"/>
      <c r="O748" s="33" t="s">
        <v>816</v>
      </c>
      <c r="P748" s="30" t="s">
        <v>567</v>
      </c>
      <c r="Q748" s="30"/>
    </row>
    <row r="749" spans="1:17" ht="15.75" customHeight="1" x14ac:dyDescent="0.3">
      <c r="A749" s="30">
        <v>46</v>
      </c>
      <c r="B749" s="1">
        <v>11</v>
      </c>
      <c r="C749" s="106">
        <v>45973</v>
      </c>
      <c r="D749" s="81" t="s">
        <v>320</v>
      </c>
      <c r="E749" s="81" t="s">
        <v>817</v>
      </c>
      <c r="F749" s="81" t="s">
        <v>818</v>
      </c>
      <c r="G749" s="83" t="s">
        <v>311</v>
      </c>
      <c r="H749" s="65" t="s">
        <v>819</v>
      </c>
      <c r="I749" s="81" t="s">
        <v>820</v>
      </c>
      <c r="J749" s="81" t="s">
        <v>25</v>
      </c>
      <c r="K749" s="107" t="s">
        <v>369</v>
      </c>
      <c r="L749" s="80">
        <v>563</v>
      </c>
      <c r="M749" s="80">
        <v>563</v>
      </c>
      <c r="N749" s="80"/>
      <c r="O749" s="107" t="s">
        <v>25</v>
      </c>
      <c r="P749" s="80" t="s">
        <v>821</v>
      </c>
      <c r="Q749" s="5"/>
    </row>
    <row r="750" spans="1:17" ht="15.75" customHeight="1" x14ac:dyDescent="0.3">
      <c r="A750" s="30">
        <v>46</v>
      </c>
      <c r="B750" s="1">
        <v>11</v>
      </c>
      <c r="C750" s="106">
        <v>45973</v>
      </c>
      <c r="D750" s="81" t="s">
        <v>320</v>
      </c>
      <c r="E750" s="81" t="s">
        <v>817</v>
      </c>
      <c r="F750" s="81" t="s">
        <v>822</v>
      </c>
      <c r="G750" s="83" t="s">
        <v>311</v>
      </c>
      <c r="H750" s="65" t="s">
        <v>488</v>
      </c>
      <c r="I750" s="81" t="s">
        <v>820</v>
      </c>
      <c r="J750" s="81" t="s">
        <v>25</v>
      </c>
      <c r="K750" s="107" t="s">
        <v>369</v>
      </c>
      <c r="L750" s="80">
        <v>1628</v>
      </c>
      <c r="M750" s="80">
        <v>1628</v>
      </c>
      <c r="N750" s="108"/>
      <c r="O750" s="107" t="s">
        <v>25</v>
      </c>
      <c r="P750" s="80" t="s">
        <v>821</v>
      </c>
      <c r="Q750" s="5"/>
    </row>
    <row r="751" spans="1:17" ht="15.75" customHeight="1" x14ac:dyDescent="0.3">
      <c r="A751" s="30">
        <v>46</v>
      </c>
      <c r="B751" s="1">
        <v>11</v>
      </c>
      <c r="C751" s="106">
        <v>45976</v>
      </c>
      <c r="D751" s="81" t="s">
        <v>320</v>
      </c>
      <c r="E751" s="81" t="s">
        <v>817</v>
      </c>
      <c r="F751" s="81" t="s">
        <v>535</v>
      </c>
      <c r="G751" s="83" t="s">
        <v>311</v>
      </c>
      <c r="H751" s="65" t="s">
        <v>535</v>
      </c>
      <c r="I751" s="81" t="s">
        <v>820</v>
      </c>
      <c r="J751" s="81" t="s">
        <v>25</v>
      </c>
      <c r="K751" s="107" t="s">
        <v>369</v>
      </c>
      <c r="L751" s="80">
        <f t="shared" ref="L751:M751" si="2">8351+980</f>
        <v>9331</v>
      </c>
      <c r="M751" s="80">
        <f t="shared" si="2"/>
        <v>9331</v>
      </c>
      <c r="N751" s="108"/>
      <c r="O751" s="107" t="s">
        <v>25</v>
      </c>
      <c r="P751" s="81" t="s">
        <v>823</v>
      </c>
      <c r="Q751" s="5"/>
    </row>
    <row r="752" spans="1:17" ht="15.75" customHeight="1" x14ac:dyDescent="0.3">
      <c r="A752" s="30">
        <v>46</v>
      </c>
      <c r="B752" s="1">
        <v>11</v>
      </c>
      <c r="C752" s="106">
        <v>45976</v>
      </c>
      <c r="D752" s="81" t="s">
        <v>320</v>
      </c>
      <c r="E752" s="81" t="s">
        <v>817</v>
      </c>
      <c r="F752" s="81" t="s">
        <v>15</v>
      </c>
      <c r="G752" s="83" t="s">
        <v>311</v>
      </c>
      <c r="H752" s="65" t="s">
        <v>15</v>
      </c>
      <c r="I752" s="81" t="s">
        <v>820</v>
      </c>
      <c r="J752" s="81" t="s">
        <v>25</v>
      </c>
      <c r="K752" s="107" t="s">
        <v>369</v>
      </c>
      <c r="L752" s="80">
        <f t="shared" ref="L752:M752" si="3">1374+191</f>
        <v>1565</v>
      </c>
      <c r="M752" s="80">
        <f t="shared" si="3"/>
        <v>1565</v>
      </c>
      <c r="N752" s="108"/>
      <c r="O752" s="107" t="s">
        <v>25</v>
      </c>
      <c r="P752" s="81" t="s">
        <v>823</v>
      </c>
      <c r="Q752" s="5"/>
    </row>
    <row r="753" spans="1:30" ht="15.75" customHeight="1" x14ac:dyDescent="0.3">
      <c r="A753" s="30">
        <v>46</v>
      </c>
      <c r="B753" s="1">
        <v>11</v>
      </c>
      <c r="C753" s="106">
        <v>45976</v>
      </c>
      <c r="D753" s="81" t="s">
        <v>320</v>
      </c>
      <c r="E753" s="81" t="s">
        <v>817</v>
      </c>
      <c r="F753" s="81" t="s">
        <v>242</v>
      </c>
      <c r="G753" s="83" t="s">
        <v>311</v>
      </c>
      <c r="H753" s="65" t="s">
        <v>242</v>
      </c>
      <c r="I753" s="81" t="s">
        <v>820</v>
      </c>
      <c r="J753" s="81" t="s">
        <v>25</v>
      </c>
      <c r="K753" s="107" t="s">
        <v>369</v>
      </c>
      <c r="L753" s="80">
        <v>840</v>
      </c>
      <c r="M753" s="80">
        <v>840</v>
      </c>
      <c r="N753" s="108"/>
      <c r="O753" s="107" t="s">
        <v>25</v>
      </c>
      <c r="P753" s="81" t="s">
        <v>823</v>
      </c>
      <c r="Q753" s="5"/>
    </row>
    <row r="754" spans="1:30" ht="15.75" customHeight="1" x14ac:dyDescent="0.3">
      <c r="A754" s="30">
        <v>46</v>
      </c>
      <c r="B754" s="1">
        <v>11</v>
      </c>
      <c r="C754" s="106">
        <v>45973</v>
      </c>
      <c r="D754" s="81" t="s">
        <v>320</v>
      </c>
      <c r="E754" s="81" t="s">
        <v>817</v>
      </c>
      <c r="F754" s="81" t="s">
        <v>824</v>
      </c>
      <c r="G754" s="83" t="s">
        <v>311</v>
      </c>
      <c r="H754" s="83" t="s">
        <v>244</v>
      </c>
      <c r="I754" s="81" t="s">
        <v>820</v>
      </c>
      <c r="J754" s="81" t="s">
        <v>25</v>
      </c>
      <c r="K754" s="107" t="s">
        <v>369</v>
      </c>
      <c r="L754" s="80">
        <v>180</v>
      </c>
      <c r="M754" s="80">
        <v>180</v>
      </c>
      <c r="N754" s="108"/>
      <c r="O754" s="107" t="s">
        <v>25</v>
      </c>
      <c r="P754" s="80" t="s">
        <v>821</v>
      </c>
      <c r="Q754" s="5"/>
    </row>
    <row r="755" spans="1:30" ht="15.75" customHeight="1" x14ac:dyDescent="0.3">
      <c r="A755" s="30">
        <v>46</v>
      </c>
      <c r="B755" s="1">
        <v>11</v>
      </c>
      <c r="C755" s="106">
        <v>45973</v>
      </c>
      <c r="D755" s="81" t="s">
        <v>320</v>
      </c>
      <c r="E755" s="81" t="s">
        <v>817</v>
      </c>
      <c r="F755" s="81" t="s">
        <v>825</v>
      </c>
      <c r="G755" s="83" t="s">
        <v>311</v>
      </c>
      <c r="H755" s="65" t="s">
        <v>320</v>
      </c>
      <c r="I755" s="81" t="s">
        <v>820</v>
      </c>
      <c r="J755" s="81" t="s">
        <v>39</v>
      </c>
      <c r="K755" s="107" t="s">
        <v>369</v>
      </c>
      <c r="L755" s="80">
        <v>171</v>
      </c>
      <c r="M755" s="80">
        <v>171</v>
      </c>
      <c r="N755" s="108"/>
      <c r="O755" s="107" t="s">
        <v>25</v>
      </c>
      <c r="P755" s="80" t="s">
        <v>821</v>
      </c>
      <c r="Q755" s="5"/>
    </row>
    <row r="756" spans="1:30" ht="15.75" customHeight="1" x14ac:dyDescent="0.3">
      <c r="A756" s="30">
        <v>46</v>
      </c>
      <c r="B756" s="1">
        <v>11</v>
      </c>
      <c r="C756" s="106">
        <v>45973</v>
      </c>
      <c r="D756" s="81" t="s">
        <v>320</v>
      </c>
      <c r="E756" s="81" t="s">
        <v>817</v>
      </c>
      <c r="F756" s="81" t="s">
        <v>826</v>
      </c>
      <c r="G756" s="83" t="s">
        <v>311</v>
      </c>
      <c r="H756" s="65" t="s">
        <v>320</v>
      </c>
      <c r="I756" s="81" t="s">
        <v>820</v>
      </c>
      <c r="J756" s="81" t="s">
        <v>25</v>
      </c>
      <c r="K756" s="107" t="s">
        <v>369</v>
      </c>
      <c r="L756" s="80">
        <v>160</v>
      </c>
      <c r="M756" s="80">
        <v>160</v>
      </c>
      <c r="N756" s="108"/>
      <c r="O756" s="107" t="s">
        <v>25</v>
      </c>
      <c r="P756" s="80" t="s">
        <v>821</v>
      </c>
      <c r="Q756" s="5"/>
    </row>
    <row r="757" spans="1:30" ht="15.75" customHeight="1" x14ac:dyDescent="0.3">
      <c r="A757" s="1"/>
      <c r="B757" s="20">
        <v>11</v>
      </c>
      <c r="C757" s="13" t="s">
        <v>20</v>
      </c>
      <c r="D757" s="16" t="s">
        <v>320</v>
      </c>
      <c r="E757" s="33" t="s">
        <v>78</v>
      </c>
      <c r="F757" s="16" t="s">
        <v>90</v>
      </c>
      <c r="G757" s="13" t="s">
        <v>20</v>
      </c>
      <c r="H757" s="13" t="s">
        <v>409</v>
      </c>
      <c r="I757" s="16" t="s">
        <v>820</v>
      </c>
      <c r="J757" s="16" t="s">
        <v>39</v>
      </c>
      <c r="K757" s="13" t="s">
        <v>20</v>
      </c>
      <c r="L757" s="16">
        <v>280</v>
      </c>
      <c r="M757" s="13" t="s">
        <v>20</v>
      </c>
      <c r="N757" s="12"/>
      <c r="O757" s="84" t="s">
        <v>20</v>
      </c>
      <c r="P757" s="3" t="s">
        <v>1927</v>
      </c>
      <c r="Q757" s="5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spans="1:30" ht="15.75" customHeight="1" x14ac:dyDescent="0.3">
      <c r="A758" s="1"/>
      <c r="B758" s="20">
        <v>11</v>
      </c>
      <c r="C758" s="13" t="s">
        <v>20</v>
      </c>
      <c r="D758" s="16" t="s">
        <v>320</v>
      </c>
      <c r="E758" s="16" t="s">
        <v>78</v>
      </c>
      <c r="F758" s="16" t="s">
        <v>88</v>
      </c>
      <c r="G758" s="13" t="s">
        <v>20</v>
      </c>
      <c r="H758" s="13" t="s">
        <v>409</v>
      </c>
      <c r="I758" s="16" t="s">
        <v>820</v>
      </c>
      <c r="J758" s="16" t="s">
        <v>39</v>
      </c>
      <c r="K758" s="13" t="s">
        <v>20</v>
      </c>
      <c r="L758" s="16">
        <v>555</v>
      </c>
      <c r="M758" s="13" t="s">
        <v>20</v>
      </c>
      <c r="N758" s="12"/>
      <c r="O758" s="84" t="s">
        <v>20</v>
      </c>
      <c r="P758" s="3" t="s">
        <v>1927</v>
      </c>
      <c r="Q758" s="5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spans="1:30" ht="15.75" customHeight="1" x14ac:dyDescent="0.3">
      <c r="A759" s="1"/>
      <c r="B759" s="20">
        <v>11</v>
      </c>
      <c r="C759" s="13" t="s">
        <v>20</v>
      </c>
      <c r="D759" s="16" t="s">
        <v>320</v>
      </c>
      <c r="E759" s="16" t="s">
        <v>78</v>
      </c>
      <c r="F759" s="16" t="s">
        <v>95</v>
      </c>
      <c r="G759" s="13" t="s">
        <v>20</v>
      </c>
      <c r="H759" s="13" t="s">
        <v>409</v>
      </c>
      <c r="I759" s="16" t="s">
        <v>820</v>
      </c>
      <c r="J759" s="16" t="s">
        <v>39</v>
      </c>
      <c r="K759" s="13" t="s">
        <v>20</v>
      </c>
      <c r="L759" s="16">
        <v>80</v>
      </c>
      <c r="M759" s="13" t="s">
        <v>20</v>
      </c>
      <c r="N759" s="12"/>
      <c r="O759" s="84" t="s">
        <v>20</v>
      </c>
      <c r="P759" s="3" t="s">
        <v>1927</v>
      </c>
      <c r="Q759" s="5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spans="1:30" ht="15.75" customHeight="1" x14ac:dyDescent="0.3">
      <c r="A760" s="1"/>
      <c r="B760" s="20">
        <v>11</v>
      </c>
      <c r="C760" s="13" t="s">
        <v>20</v>
      </c>
      <c r="D760" s="16" t="s">
        <v>320</v>
      </c>
      <c r="E760" s="3" t="s">
        <v>78</v>
      </c>
      <c r="F760" s="16" t="s">
        <v>97</v>
      </c>
      <c r="G760" s="13" t="s">
        <v>20</v>
      </c>
      <c r="H760" s="13" t="s">
        <v>409</v>
      </c>
      <c r="I760" s="16" t="s">
        <v>820</v>
      </c>
      <c r="J760" s="16" t="s">
        <v>39</v>
      </c>
      <c r="K760" s="13" t="s">
        <v>20</v>
      </c>
      <c r="L760" s="16">
        <v>350</v>
      </c>
      <c r="M760" s="13" t="s">
        <v>20</v>
      </c>
      <c r="N760" s="12"/>
      <c r="O760" s="84" t="s">
        <v>20</v>
      </c>
      <c r="P760" s="3" t="s">
        <v>1927</v>
      </c>
      <c r="Q760" s="5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spans="1:30" ht="15.75" customHeight="1" x14ac:dyDescent="0.3">
      <c r="A761" s="1"/>
      <c r="B761" s="20">
        <v>11</v>
      </c>
      <c r="C761" s="13" t="s">
        <v>20</v>
      </c>
      <c r="D761" s="16" t="s">
        <v>320</v>
      </c>
      <c r="E761" s="3" t="s">
        <v>78</v>
      </c>
      <c r="F761" s="16" t="s">
        <v>98</v>
      </c>
      <c r="G761" s="13" t="s">
        <v>20</v>
      </c>
      <c r="H761" s="13" t="s">
        <v>409</v>
      </c>
      <c r="I761" s="16" t="s">
        <v>820</v>
      </c>
      <c r="J761" s="16" t="s">
        <v>39</v>
      </c>
      <c r="K761" s="13" t="s">
        <v>20</v>
      </c>
      <c r="L761" s="16">
        <v>400</v>
      </c>
      <c r="M761" s="13" t="s">
        <v>20</v>
      </c>
      <c r="N761" s="12"/>
      <c r="O761" s="84" t="s">
        <v>20</v>
      </c>
      <c r="P761" s="3" t="s">
        <v>1927</v>
      </c>
      <c r="Q761" s="5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spans="1:30" ht="15.75" customHeight="1" x14ac:dyDescent="0.3">
      <c r="A762" s="1">
        <v>47</v>
      </c>
      <c r="B762" s="20">
        <v>11</v>
      </c>
      <c r="C762" s="23">
        <v>45981</v>
      </c>
      <c r="D762" s="16" t="s">
        <v>320</v>
      </c>
      <c r="E762" s="16" t="s">
        <v>78</v>
      </c>
      <c r="F762" s="16" t="s">
        <v>88</v>
      </c>
      <c r="G762" s="16" t="s">
        <v>457</v>
      </c>
      <c r="H762" s="13" t="s">
        <v>135</v>
      </c>
      <c r="I762" s="16" t="s">
        <v>820</v>
      </c>
      <c r="J762" s="16" t="s">
        <v>25</v>
      </c>
      <c r="K762" s="13" t="s">
        <v>358</v>
      </c>
      <c r="L762" s="16">
        <v>555</v>
      </c>
      <c r="M762" s="9">
        <f>551.72+88.28</f>
        <v>640</v>
      </c>
      <c r="N762" s="12"/>
      <c r="O762" s="17" t="s">
        <v>381</v>
      </c>
      <c r="P762" s="33" t="s">
        <v>359</v>
      </c>
      <c r="Q762" s="21" t="s">
        <v>453</v>
      </c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spans="1:30" ht="15.75" customHeight="1" x14ac:dyDescent="0.3">
      <c r="A763" s="1">
        <v>47</v>
      </c>
      <c r="B763" s="20">
        <v>11</v>
      </c>
      <c r="C763" s="23">
        <v>45981</v>
      </c>
      <c r="D763" s="16" t="s">
        <v>320</v>
      </c>
      <c r="E763" s="16" t="s">
        <v>78</v>
      </c>
      <c r="F763" s="16" t="s">
        <v>95</v>
      </c>
      <c r="G763" s="16" t="s">
        <v>457</v>
      </c>
      <c r="H763" s="13" t="s">
        <v>135</v>
      </c>
      <c r="I763" s="16" t="s">
        <v>820</v>
      </c>
      <c r="J763" s="16" t="s">
        <v>25</v>
      </c>
      <c r="K763" s="13" t="s">
        <v>358</v>
      </c>
      <c r="L763" s="16">
        <v>100</v>
      </c>
      <c r="M763" s="9">
        <f>51.72+8.28</f>
        <v>60</v>
      </c>
      <c r="N763" s="12"/>
      <c r="O763" s="17" t="s">
        <v>381</v>
      </c>
      <c r="P763" s="33" t="s">
        <v>359</v>
      </c>
      <c r="Q763" s="21" t="s">
        <v>453</v>
      </c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spans="1:30" ht="15.75" customHeight="1" x14ac:dyDescent="0.3">
      <c r="A764" s="30">
        <v>45</v>
      </c>
      <c r="B764" s="1">
        <v>11</v>
      </c>
      <c r="C764" s="87">
        <v>45969</v>
      </c>
      <c r="D764" s="33" t="s">
        <v>320</v>
      </c>
      <c r="E764" s="3" t="s">
        <v>78</v>
      </c>
      <c r="F764" s="33" t="s">
        <v>97</v>
      </c>
      <c r="G764" s="33" t="s">
        <v>408</v>
      </c>
      <c r="H764" s="17" t="s">
        <v>409</v>
      </c>
      <c r="I764" s="33" t="s">
        <v>10</v>
      </c>
      <c r="J764" s="33" t="s">
        <v>25</v>
      </c>
      <c r="K764" s="83" t="s">
        <v>364</v>
      </c>
      <c r="L764" s="85">
        <v>480</v>
      </c>
      <c r="M764" s="9">
        <v>550</v>
      </c>
      <c r="N764" s="86"/>
      <c r="O764" s="83" t="s">
        <v>381</v>
      </c>
      <c r="P764" s="33" t="s">
        <v>410</v>
      </c>
      <c r="Q764" s="5" t="s">
        <v>374</v>
      </c>
    </row>
    <row r="765" spans="1:30" ht="15.75" customHeight="1" x14ac:dyDescent="0.3">
      <c r="A765" s="17"/>
      <c r="B765" s="20">
        <v>11</v>
      </c>
      <c r="C765" s="17" t="s">
        <v>20</v>
      </c>
      <c r="D765" s="16" t="s">
        <v>320</v>
      </c>
      <c r="E765" s="3" t="s">
        <v>78</v>
      </c>
      <c r="F765" s="16" t="s">
        <v>98</v>
      </c>
      <c r="G765" s="17" t="s">
        <v>20</v>
      </c>
      <c r="H765" s="13" t="s">
        <v>135</v>
      </c>
      <c r="I765" s="16" t="s">
        <v>820</v>
      </c>
      <c r="J765" s="16" t="s">
        <v>25</v>
      </c>
      <c r="K765" s="17" t="s">
        <v>20</v>
      </c>
      <c r="L765" s="16">
        <v>400</v>
      </c>
      <c r="M765" s="17" t="s">
        <v>20</v>
      </c>
      <c r="N765" s="12"/>
      <c r="O765" s="84" t="s">
        <v>20</v>
      </c>
      <c r="P765" s="3" t="s">
        <v>1927</v>
      </c>
      <c r="Q765" s="5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spans="1:30" ht="15.75" customHeight="1" x14ac:dyDescent="0.3">
      <c r="A766" s="17"/>
      <c r="B766" s="20">
        <v>11</v>
      </c>
      <c r="C766" s="17" t="s">
        <v>20</v>
      </c>
      <c r="D766" s="16" t="s">
        <v>320</v>
      </c>
      <c r="E766" s="16" t="s">
        <v>390</v>
      </c>
      <c r="F766" s="16" t="s">
        <v>1928</v>
      </c>
      <c r="G766" s="17" t="s">
        <v>20</v>
      </c>
      <c r="H766" s="13" t="s">
        <v>135</v>
      </c>
      <c r="I766" s="16" t="s">
        <v>820</v>
      </c>
      <c r="J766" s="16" t="s">
        <v>39</v>
      </c>
      <c r="K766" s="17" t="s">
        <v>20</v>
      </c>
      <c r="L766" s="109">
        <v>1550</v>
      </c>
      <c r="M766" s="17" t="s">
        <v>20</v>
      </c>
      <c r="N766" s="12"/>
      <c r="O766" s="84" t="s">
        <v>20</v>
      </c>
      <c r="P766" s="3" t="s">
        <v>1929</v>
      </c>
      <c r="Q766" s="5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spans="1:30" ht="15.75" customHeight="1" x14ac:dyDescent="0.3">
      <c r="A767" s="1"/>
      <c r="B767" s="20">
        <v>11</v>
      </c>
      <c r="C767" s="20"/>
      <c r="D767" s="16" t="s">
        <v>320</v>
      </c>
      <c r="E767" s="16" t="s">
        <v>317</v>
      </c>
      <c r="F767" s="16" t="s">
        <v>102</v>
      </c>
      <c r="G767" s="16"/>
      <c r="H767" s="13" t="s">
        <v>317</v>
      </c>
      <c r="I767" s="16" t="s">
        <v>820</v>
      </c>
      <c r="J767" s="16" t="s">
        <v>25</v>
      </c>
      <c r="K767" s="34"/>
      <c r="L767" s="109">
        <v>6000</v>
      </c>
      <c r="M767" s="9"/>
      <c r="N767" s="12"/>
      <c r="O767" s="17"/>
      <c r="P767" s="3"/>
      <c r="Q767" s="5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spans="1:30" ht="15.75" customHeight="1" x14ac:dyDescent="0.3">
      <c r="A768" s="30">
        <v>47</v>
      </c>
      <c r="B768" s="20">
        <v>11</v>
      </c>
      <c r="C768" s="23">
        <v>45982</v>
      </c>
      <c r="D768" s="16" t="s">
        <v>320</v>
      </c>
      <c r="E768" s="16" t="s">
        <v>477</v>
      </c>
      <c r="F768" s="16" t="s">
        <v>827</v>
      </c>
      <c r="G768" s="83" t="s">
        <v>311</v>
      </c>
      <c r="H768" s="13" t="s">
        <v>357</v>
      </c>
      <c r="I768" s="16" t="s">
        <v>820</v>
      </c>
      <c r="J768" s="16" t="s">
        <v>25</v>
      </c>
      <c r="K768" s="83" t="s">
        <v>369</v>
      </c>
      <c r="L768" s="109">
        <v>1300</v>
      </c>
      <c r="M768" s="9">
        <v>1100</v>
      </c>
      <c r="N768" s="12"/>
      <c r="O768" s="33" t="s">
        <v>560</v>
      </c>
      <c r="P768" s="3" t="s">
        <v>189</v>
      </c>
      <c r="Q768" s="5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spans="1:17" ht="15.75" customHeight="1" x14ac:dyDescent="0.3">
      <c r="A769" s="30">
        <v>47</v>
      </c>
      <c r="B769" s="20">
        <v>11</v>
      </c>
      <c r="C769" s="23">
        <v>45982</v>
      </c>
      <c r="D769" s="16" t="s">
        <v>320</v>
      </c>
      <c r="E769" s="16" t="s">
        <v>477</v>
      </c>
      <c r="F769" s="16" t="s">
        <v>827</v>
      </c>
      <c r="G769" s="83" t="s">
        <v>311</v>
      </c>
      <c r="H769" s="13" t="s">
        <v>360</v>
      </c>
      <c r="I769" s="16" t="s">
        <v>820</v>
      </c>
      <c r="J769" s="16" t="s">
        <v>25</v>
      </c>
      <c r="K769" s="83" t="s">
        <v>369</v>
      </c>
      <c r="L769" s="109">
        <v>1300</v>
      </c>
      <c r="M769" s="9">
        <v>1100</v>
      </c>
      <c r="N769" s="10"/>
      <c r="O769" s="33" t="s">
        <v>560</v>
      </c>
      <c r="P769" s="3" t="s">
        <v>189</v>
      </c>
      <c r="Q769" s="3"/>
    </row>
    <row r="770" spans="1:17" ht="15.75" customHeight="1" x14ac:dyDescent="0.3">
      <c r="A770" s="30">
        <v>47</v>
      </c>
      <c r="B770" s="20">
        <v>11</v>
      </c>
      <c r="C770" s="23">
        <v>45982</v>
      </c>
      <c r="D770" s="16" t="s">
        <v>320</v>
      </c>
      <c r="E770" s="16" t="s">
        <v>477</v>
      </c>
      <c r="F770" s="16" t="s">
        <v>827</v>
      </c>
      <c r="G770" s="83" t="s">
        <v>311</v>
      </c>
      <c r="H770" s="13" t="s">
        <v>361</v>
      </c>
      <c r="I770" s="16" t="s">
        <v>820</v>
      </c>
      <c r="J770" s="16" t="s">
        <v>25</v>
      </c>
      <c r="K770" s="83" t="s">
        <v>369</v>
      </c>
      <c r="L770" s="109">
        <v>1300</v>
      </c>
      <c r="M770" s="9">
        <v>1100</v>
      </c>
      <c r="N770" s="10"/>
      <c r="O770" s="33" t="s">
        <v>560</v>
      </c>
      <c r="P770" s="3" t="s">
        <v>189</v>
      </c>
      <c r="Q770" s="3"/>
    </row>
    <row r="771" spans="1:17" ht="15.75" customHeight="1" x14ac:dyDescent="0.3">
      <c r="A771" s="30">
        <v>47</v>
      </c>
      <c r="B771" s="20">
        <v>11</v>
      </c>
      <c r="C771" s="23">
        <v>45982</v>
      </c>
      <c r="D771" s="16" t="s">
        <v>320</v>
      </c>
      <c r="E771" s="16" t="s">
        <v>477</v>
      </c>
      <c r="F771" s="16" t="s">
        <v>827</v>
      </c>
      <c r="G771" s="83" t="s">
        <v>311</v>
      </c>
      <c r="H771" s="13" t="s">
        <v>605</v>
      </c>
      <c r="I771" s="16" t="s">
        <v>820</v>
      </c>
      <c r="J771" s="16" t="s">
        <v>25</v>
      </c>
      <c r="K771" s="83" t="s">
        <v>369</v>
      </c>
      <c r="L771" s="109">
        <v>1300</v>
      </c>
      <c r="M771" s="9">
        <v>1100</v>
      </c>
      <c r="N771" s="10"/>
      <c r="O771" s="33" t="s">
        <v>560</v>
      </c>
      <c r="P771" s="3" t="s">
        <v>189</v>
      </c>
      <c r="Q771" s="3"/>
    </row>
    <row r="772" spans="1:17" ht="15.75" customHeight="1" x14ac:dyDescent="0.3">
      <c r="A772" s="30">
        <v>47</v>
      </c>
      <c r="B772" s="20">
        <v>11</v>
      </c>
      <c r="C772" s="23">
        <v>45982</v>
      </c>
      <c r="D772" s="16" t="s">
        <v>320</v>
      </c>
      <c r="E772" s="16" t="s">
        <v>477</v>
      </c>
      <c r="F772" s="16" t="s">
        <v>827</v>
      </c>
      <c r="G772" s="83" t="s">
        <v>311</v>
      </c>
      <c r="H772" s="13" t="s">
        <v>480</v>
      </c>
      <c r="I772" s="16" t="s">
        <v>820</v>
      </c>
      <c r="J772" s="16" t="s">
        <v>25</v>
      </c>
      <c r="K772" s="83" t="s">
        <v>369</v>
      </c>
      <c r="L772" s="109">
        <v>1300</v>
      </c>
      <c r="M772" s="9">
        <v>1100</v>
      </c>
      <c r="N772" s="10"/>
      <c r="O772" s="33" t="s">
        <v>560</v>
      </c>
      <c r="P772" s="3" t="s">
        <v>189</v>
      </c>
      <c r="Q772" s="3"/>
    </row>
    <row r="773" spans="1:17" ht="15.75" customHeight="1" x14ac:dyDescent="0.3">
      <c r="A773" s="30">
        <v>46</v>
      </c>
      <c r="B773" s="1">
        <v>11</v>
      </c>
      <c r="C773" s="87">
        <v>45974</v>
      </c>
      <c r="D773" s="33" t="s">
        <v>320</v>
      </c>
      <c r="E773" s="33" t="s">
        <v>477</v>
      </c>
      <c r="F773" s="33" t="s">
        <v>828</v>
      </c>
      <c r="G773" s="83" t="s">
        <v>311</v>
      </c>
      <c r="H773" s="83" t="s">
        <v>829</v>
      </c>
      <c r="I773" s="33" t="s">
        <v>10</v>
      </c>
      <c r="J773" s="33" t="s">
        <v>25</v>
      </c>
      <c r="K773" s="84" t="s">
        <v>364</v>
      </c>
      <c r="L773" s="85">
        <v>1773</v>
      </c>
      <c r="M773" s="85">
        <v>1773</v>
      </c>
      <c r="N773" s="86"/>
      <c r="O773" s="33" t="s">
        <v>560</v>
      </c>
      <c r="P773" s="33" t="s">
        <v>830</v>
      </c>
      <c r="Q773" s="5"/>
    </row>
    <row r="774" spans="1:17" ht="15.75" customHeight="1" x14ac:dyDescent="0.3">
      <c r="A774" s="30">
        <v>47</v>
      </c>
      <c r="B774" s="1">
        <v>11</v>
      </c>
      <c r="C774" s="87">
        <v>45982</v>
      </c>
      <c r="D774" s="33" t="s">
        <v>320</v>
      </c>
      <c r="E774" s="33" t="s">
        <v>477</v>
      </c>
      <c r="F774" s="33" t="s">
        <v>831</v>
      </c>
      <c r="G774" s="83" t="s">
        <v>311</v>
      </c>
      <c r="H774" s="83" t="s">
        <v>104</v>
      </c>
      <c r="I774" s="33" t="s">
        <v>10</v>
      </c>
      <c r="J774" s="33" t="s">
        <v>25</v>
      </c>
      <c r="K774" s="84"/>
      <c r="L774" s="85">
        <v>350</v>
      </c>
      <c r="M774" s="85">
        <v>350</v>
      </c>
      <c r="N774" s="86"/>
      <c r="O774" s="33" t="s">
        <v>560</v>
      </c>
      <c r="P774" s="33"/>
      <c r="Q774" s="5" t="s">
        <v>832</v>
      </c>
    </row>
    <row r="775" spans="1:17" ht="15.75" customHeight="1" x14ac:dyDescent="0.3">
      <c r="A775" s="30">
        <v>47</v>
      </c>
      <c r="B775" s="20">
        <v>11</v>
      </c>
      <c r="C775" s="23">
        <v>45982</v>
      </c>
      <c r="D775" s="16" t="s">
        <v>320</v>
      </c>
      <c r="E775" s="16" t="s">
        <v>477</v>
      </c>
      <c r="F775" s="16" t="s">
        <v>827</v>
      </c>
      <c r="G775" s="83" t="s">
        <v>311</v>
      </c>
      <c r="H775" s="13" t="s">
        <v>829</v>
      </c>
      <c r="I775" s="16" t="s">
        <v>820</v>
      </c>
      <c r="J775" s="16" t="s">
        <v>25</v>
      </c>
      <c r="K775" s="34"/>
      <c r="L775" s="109">
        <v>1300</v>
      </c>
      <c r="M775" s="9">
        <v>1300</v>
      </c>
      <c r="N775" s="10"/>
      <c r="O775" s="33" t="s">
        <v>560</v>
      </c>
      <c r="P775" s="3"/>
      <c r="Q775" s="3"/>
    </row>
    <row r="776" spans="1:17" ht="15.75" customHeight="1" x14ac:dyDescent="0.3">
      <c r="A776" s="30">
        <v>46</v>
      </c>
      <c r="B776" s="1">
        <v>11</v>
      </c>
      <c r="C776" s="23">
        <v>45975</v>
      </c>
      <c r="D776" s="16" t="s">
        <v>320</v>
      </c>
      <c r="E776" s="16" t="s">
        <v>477</v>
      </c>
      <c r="F776" s="16" t="s">
        <v>833</v>
      </c>
      <c r="G776" s="83" t="s">
        <v>311</v>
      </c>
      <c r="H776" s="13" t="s">
        <v>188</v>
      </c>
      <c r="I776" s="33" t="s">
        <v>10</v>
      </c>
      <c r="J776" s="16" t="s">
        <v>25</v>
      </c>
      <c r="K776" s="34"/>
      <c r="L776" s="109">
        <v>4682</v>
      </c>
      <c r="M776" s="109">
        <v>4682</v>
      </c>
      <c r="N776" s="10"/>
      <c r="O776" s="33" t="s">
        <v>560</v>
      </c>
      <c r="P776" s="3"/>
      <c r="Q776" s="3"/>
    </row>
    <row r="777" spans="1:17" ht="15.75" customHeight="1" x14ac:dyDescent="0.3">
      <c r="A777" s="30">
        <v>46</v>
      </c>
      <c r="B777" s="1">
        <v>11</v>
      </c>
      <c r="C777" s="23">
        <v>45975</v>
      </c>
      <c r="D777" s="16" t="s">
        <v>320</v>
      </c>
      <c r="E777" s="16" t="s">
        <v>477</v>
      </c>
      <c r="F777" s="16" t="s">
        <v>833</v>
      </c>
      <c r="G777" s="83" t="s">
        <v>311</v>
      </c>
      <c r="H777" s="13" t="s">
        <v>188</v>
      </c>
      <c r="I777" s="33" t="s">
        <v>10</v>
      </c>
      <c r="J777" s="16" t="s">
        <v>25</v>
      </c>
      <c r="K777" s="34"/>
      <c r="L777" s="109">
        <v>4682</v>
      </c>
      <c r="M777" s="109">
        <v>4682</v>
      </c>
      <c r="N777" s="10"/>
      <c r="O777" s="33" t="s">
        <v>560</v>
      </c>
      <c r="P777" s="3"/>
      <c r="Q777" s="3"/>
    </row>
    <row r="778" spans="1:17" ht="15.75" customHeight="1" x14ac:dyDescent="0.3">
      <c r="A778" s="30">
        <v>47</v>
      </c>
      <c r="B778" s="20">
        <v>11</v>
      </c>
      <c r="C778" s="23">
        <v>45982</v>
      </c>
      <c r="D778" s="16" t="s">
        <v>320</v>
      </c>
      <c r="E778" s="16" t="s">
        <v>477</v>
      </c>
      <c r="F778" s="16" t="s">
        <v>827</v>
      </c>
      <c r="G778" s="83" t="s">
        <v>311</v>
      </c>
      <c r="H778" s="13" t="s">
        <v>188</v>
      </c>
      <c r="I778" s="16" t="s">
        <v>820</v>
      </c>
      <c r="J778" s="16" t="s">
        <v>25</v>
      </c>
      <c r="K778" s="34"/>
      <c r="L778" s="109">
        <v>1300</v>
      </c>
      <c r="M778" s="109">
        <v>1300</v>
      </c>
      <c r="N778" s="10"/>
      <c r="O778" s="33" t="s">
        <v>560</v>
      </c>
      <c r="P778" s="3" t="s">
        <v>189</v>
      </c>
      <c r="Q778" s="3"/>
    </row>
    <row r="779" spans="1:17" ht="15.75" customHeight="1" x14ac:dyDescent="0.3">
      <c r="A779" s="30">
        <v>47</v>
      </c>
      <c r="B779" s="20">
        <v>11</v>
      </c>
      <c r="C779" s="23">
        <v>45982</v>
      </c>
      <c r="D779" s="16" t="s">
        <v>320</v>
      </c>
      <c r="E779" s="16" t="s">
        <v>477</v>
      </c>
      <c r="F779" s="16" t="s">
        <v>827</v>
      </c>
      <c r="G779" s="83" t="s">
        <v>311</v>
      </c>
      <c r="H779" s="13" t="s">
        <v>188</v>
      </c>
      <c r="I779" s="16" t="s">
        <v>820</v>
      </c>
      <c r="J779" s="16" t="s">
        <v>25</v>
      </c>
      <c r="K779" s="34"/>
      <c r="L779" s="109">
        <v>1300</v>
      </c>
      <c r="M779" s="109">
        <v>1300</v>
      </c>
      <c r="N779" s="10"/>
      <c r="O779" s="33" t="s">
        <v>560</v>
      </c>
      <c r="P779" s="3" t="s">
        <v>189</v>
      </c>
      <c r="Q779" s="3"/>
    </row>
    <row r="780" spans="1:17" ht="15.75" customHeight="1" x14ac:dyDescent="0.3">
      <c r="A780" s="1"/>
      <c r="B780" s="20">
        <v>11</v>
      </c>
      <c r="C780" s="20"/>
      <c r="D780" s="16" t="s">
        <v>320</v>
      </c>
      <c r="E780" s="16" t="s">
        <v>668</v>
      </c>
      <c r="F780" s="16" t="s">
        <v>669</v>
      </c>
      <c r="G780" s="16"/>
      <c r="H780" s="13" t="s">
        <v>357</v>
      </c>
      <c r="I780" s="16" t="s">
        <v>820</v>
      </c>
      <c r="J780" s="16" t="s">
        <v>25</v>
      </c>
      <c r="K780" s="34"/>
      <c r="L780" s="109">
        <v>15090.97</v>
      </c>
      <c r="M780" s="9" t="s">
        <v>20</v>
      </c>
      <c r="N780" s="10"/>
      <c r="O780" s="17" t="s">
        <v>669</v>
      </c>
      <c r="P780" s="3" t="s">
        <v>1930</v>
      </c>
      <c r="Q780" s="3" t="s">
        <v>1931</v>
      </c>
    </row>
    <row r="781" spans="1:17" ht="15.75" customHeight="1" x14ac:dyDescent="0.3">
      <c r="A781" s="1"/>
      <c r="B781" s="20">
        <v>11</v>
      </c>
      <c r="C781" s="20"/>
      <c r="D781" s="16" t="s">
        <v>320</v>
      </c>
      <c r="E781" s="16" t="s">
        <v>668</v>
      </c>
      <c r="F781" s="16" t="s">
        <v>669</v>
      </c>
      <c r="G781" s="16"/>
      <c r="H781" s="13" t="s">
        <v>360</v>
      </c>
      <c r="I781" s="16" t="s">
        <v>820</v>
      </c>
      <c r="J781" s="16" t="s">
        <v>25</v>
      </c>
      <c r="K781" s="34"/>
      <c r="L781" s="109">
        <v>15090.97</v>
      </c>
      <c r="M781" s="9" t="s">
        <v>20</v>
      </c>
      <c r="N781" s="10"/>
      <c r="O781" s="17" t="s">
        <v>669</v>
      </c>
      <c r="P781" s="3" t="s">
        <v>1930</v>
      </c>
      <c r="Q781" s="3" t="s">
        <v>1931</v>
      </c>
    </row>
    <row r="782" spans="1:17" ht="15.75" customHeight="1" x14ac:dyDescent="0.3">
      <c r="A782" s="1"/>
      <c r="B782" s="20">
        <v>11</v>
      </c>
      <c r="C782" s="20"/>
      <c r="D782" s="16" t="s">
        <v>320</v>
      </c>
      <c r="E782" s="16" t="s">
        <v>668</v>
      </c>
      <c r="F782" s="16" t="s">
        <v>669</v>
      </c>
      <c r="G782" s="16"/>
      <c r="H782" s="13" t="s">
        <v>361</v>
      </c>
      <c r="I782" s="16" t="s">
        <v>820</v>
      </c>
      <c r="J782" s="16" t="s">
        <v>25</v>
      </c>
      <c r="K782" s="34"/>
      <c r="L782" s="109">
        <v>15090.97</v>
      </c>
      <c r="M782" s="9" t="s">
        <v>20</v>
      </c>
      <c r="N782" s="10"/>
      <c r="O782" s="17" t="s">
        <v>669</v>
      </c>
      <c r="P782" s="3" t="s">
        <v>1930</v>
      </c>
      <c r="Q782" s="3" t="s">
        <v>1931</v>
      </c>
    </row>
    <row r="783" spans="1:17" ht="15.75" customHeight="1" x14ac:dyDescent="0.3">
      <c r="A783" s="1"/>
      <c r="B783" s="20">
        <v>11</v>
      </c>
      <c r="C783" s="20"/>
      <c r="D783" s="16" t="s">
        <v>320</v>
      </c>
      <c r="E783" s="16" t="s">
        <v>668</v>
      </c>
      <c r="F783" s="16" t="s">
        <v>669</v>
      </c>
      <c r="G783" s="16"/>
      <c r="H783" s="13" t="s">
        <v>605</v>
      </c>
      <c r="I783" s="16" t="s">
        <v>820</v>
      </c>
      <c r="J783" s="16" t="s">
        <v>25</v>
      </c>
      <c r="K783" s="34"/>
      <c r="L783" s="109">
        <v>15090.97</v>
      </c>
      <c r="M783" s="3" t="s">
        <v>20</v>
      </c>
      <c r="N783" s="12"/>
      <c r="O783" s="17" t="s">
        <v>669</v>
      </c>
      <c r="P783" s="3" t="s">
        <v>1930</v>
      </c>
      <c r="Q783" s="3" t="s">
        <v>1931</v>
      </c>
    </row>
    <row r="784" spans="1:17" ht="15.75" customHeight="1" x14ac:dyDescent="0.3">
      <c r="A784" s="1"/>
      <c r="B784" s="20">
        <v>11</v>
      </c>
      <c r="C784" s="20"/>
      <c r="D784" s="16" t="s">
        <v>320</v>
      </c>
      <c r="E784" s="16" t="s">
        <v>668</v>
      </c>
      <c r="F784" s="16" t="s">
        <v>669</v>
      </c>
      <c r="G784" s="16"/>
      <c r="H784" s="13" t="s">
        <v>480</v>
      </c>
      <c r="I784" s="16" t="s">
        <v>820</v>
      </c>
      <c r="J784" s="16" t="s">
        <v>25</v>
      </c>
      <c r="K784" s="34"/>
      <c r="L784" s="109">
        <v>15090.97</v>
      </c>
      <c r="M784" s="3" t="s">
        <v>20</v>
      </c>
      <c r="N784" s="12"/>
      <c r="O784" s="17" t="s">
        <v>669</v>
      </c>
      <c r="P784" s="3" t="s">
        <v>1930</v>
      </c>
      <c r="Q784" s="3" t="s">
        <v>1931</v>
      </c>
    </row>
    <row r="785" spans="1:22" ht="15.75" customHeight="1" x14ac:dyDescent="0.3">
      <c r="A785" s="1">
        <v>46</v>
      </c>
      <c r="B785" s="20">
        <v>11</v>
      </c>
      <c r="C785" s="106">
        <v>45975</v>
      </c>
      <c r="D785" s="16" t="s">
        <v>320</v>
      </c>
      <c r="E785" s="16" t="s">
        <v>477</v>
      </c>
      <c r="F785" s="16" t="s">
        <v>663</v>
      </c>
      <c r="G785" s="83" t="s">
        <v>311</v>
      </c>
      <c r="H785" s="13" t="s">
        <v>605</v>
      </c>
      <c r="I785" s="33" t="s">
        <v>10</v>
      </c>
      <c r="J785" s="16" t="s">
        <v>25</v>
      </c>
      <c r="K785" s="34" t="s">
        <v>364</v>
      </c>
      <c r="L785" s="109">
        <v>1997</v>
      </c>
      <c r="M785" s="109">
        <v>1997</v>
      </c>
      <c r="N785" s="12"/>
      <c r="O785" s="33" t="s">
        <v>560</v>
      </c>
      <c r="P785" s="33" t="s">
        <v>830</v>
      </c>
      <c r="Q785" s="5"/>
    </row>
    <row r="786" spans="1:22" ht="15" customHeight="1" x14ac:dyDescent="0.3">
      <c r="A786" s="1">
        <v>46</v>
      </c>
      <c r="B786" s="20">
        <v>11</v>
      </c>
      <c r="C786" s="106">
        <v>45975</v>
      </c>
      <c r="D786" s="16" t="s">
        <v>320</v>
      </c>
      <c r="E786" s="16" t="s">
        <v>477</v>
      </c>
      <c r="F786" s="16" t="s">
        <v>663</v>
      </c>
      <c r="G786" s="83" t="s">
        <v>311</v>
      </c>
      <c r="H786" s="13" t="s">
        <v>480</v>
      </c>
      <c r="I786" s="33" t="s">
        <v>10</v>
      </c>
      <c r="J786" s="16" t="s">
        <v>25</v>
      </c>
      <c r="K786" s="34" t="s">
        <v>364</v>
      </c>
      <c r="L786" s="109">
        <v>1997</v>
      </c>
      <c r="M786" s="109">
        <v>1997</v>
      </c>
      <c r="N786" s="10"/>
      <c r="O786" s="33" t="s">
        <v>560</v>
      </c>
      <c r="P786" s="33" t="s">
        <v>830</v>
      </c>
      <c r="Q786" s="35"/>
    </row>
    <row r="787" spans="1:22" ht="15.75" customHeight="1" x14ac:dyDescent="0.3">
      <c r="A787" s="1"/>
      <c r="B787" s="20">
        <v>11</v>
      </c>
      <c r="C787" s="20"/>
      <c r="D787" s="16" t="s">
        <v>320</v>
      </c>
      <c r="E787" s="16" t="s">
        <v>477</v>
      </c>
      <c r="F787" s="16" t="s">
        <v>1932</v>
      </c>
      <c r="G787" s="83" t="s">
        <v>311</v>
      </c>
      <c r="H787" s="13" t="s">
        <v>1933</v>
      </c>
      <c r="I787" s="16" t="s">
        <v>820</v>
      </c>
      <c r="J787" s="16" t="s">
        <v>18</v>
      </c>
      <c r="K787" s="3" t="s">
        <v>20</v>
      </c>
      <c r="L787" s="109">
        <v>13000</v>
      </c>
      <c r="M787" s="3" t="s">
        <v>20</v>
      </c>
      <c r="N787" s="10"/>
      <c r="O787" s="84" t="s">
        <v>20</v>
      </c>
      <c r="P787" s="3" t="s">
        <v>1934</v>
      </c>
      <c r="Q787" s="5"/>
    </row>
    <row r="788" spans="1:22" ht="15.75" customHeight="1" x14ac:dyDescent="0.3">
      <c r="A788" s="1"/>
      <c r="B788" s="20">
        <v>11</v>
      </c>
      <c r="C788" s="20"/>
      <c r="D788" s="16" t="s">
        <v>320</v>
      </c>
      <c r="E788" s="16" t="s">
        <v>477</v>
      </c>
      <c r="F788" s="16" t="s">
        <v>1935</v>
      </c>
      <c r="G788" s="83" t="s">
        <v>311</v>
      </c>
      <c r="H788" s="13" t="s">
        <v>1933</v>
      </c>
      <c r="I788" s="16" t="s">
        <v>820</v>
      </c>
      <c r="J788" s="16" t="s">
        <v>18</v>
      </c>
      <c r="K788" s="3" t="s">
        <v>20</v>
      </c>
      <c r="L788" s="109">
        <v>143170</v>
      </c>
      <c r="M788" s="3" t="s">
        <v>20</v>
      </c>
      <c r="N788" s="12"/>
      <c r="O788" s="84" t="s">
        <v>20</v>
      </c>
      <c r="P788" s="3" t="s">
        <v>1934</v>
      </c>
      <c r="Q788" s="5"/>
    </row>
    <row r="789" spans="1:22" ht="15.75" customHeight="1" x14ac:dyDescent="0.3">
      <c r="A789" s="1"/>
      <c r="B789" s="20">
        <v>11</v>
      </c>
      <c r="C789" s="20"/>
      <c r="D789" s="16" t="s">
        <v>320</v>
      </c>
      <c r="E789" s="16" t="s">
        <v>477</v>
      </c>
      <c r="F789" s="16" t="s">
        <v>1936</v>
      </c>
      <c r="G789" s="83" t="s">
        <v>311</v>
      </c>
      <c r="H789" s="13" t="s">
        <v>1933</v>
      </c>
      <c r="I789" s="16" t="s">
        <v>820</v>
      </c>
      <c r="J789" s="16" t="s">
        <v>18</v>
      </c>
      <c r="K789" s="3" t="s">
        <v>20</v>
      </c>
      <c r="L789" s="109">
        <v>800</v>
      </c>
      <c r="M789" s="3" t="s">
        <v>20</v>
      </c>
      <c r="N789" s="12"/>
      <c r="O789" s="84" t="s">
        <v>20</v>
      </c>
      <c r="P789" s="3" t="s">
        <v>1934</v>
      </c>
      <c r="Q789" s="5"/>
    </row>
    <row r="790" spans="1:22" ht="15.75" customHeight="1" x14ac:dyDescent="0.3">
      <c r="A790" s="1"/>
      <c r="B790" s="20">
        <v>11</v>
      </c>
      <c r="C790" s="20"/>
      <c r="D790" s="16" t="s">
        <v>320</v>
      </c>
      <c r="E790" s="33" t="s">
        <v>356</v>
      </c>
      <c r="F790" s="16" t="s">
        <v>1937</v>
      </c>
      <c r="G790" s="3" t="s">
        <v>20</v>
      </c>
      <c r="H790" s="13" t="s">
        <v>1933</v>
      </c>
      <c r="I790" s="16" t="s">
        <v>820</v>
      </c>
      <c r="J790" s="16" t="s">
        <v>18</v>
      </c>
      <c r="K790" s="3" t="s">
        <v>20</v>
      </c>
      <c r="L790" s="109">
        <v>2000</v>
      </c>
      <c r="M790" s="3" t="s">
        <v>20</v>
      </c>
      <c r="N790" s="12"/>
      <c r="O790" s="84" t="s">
        <v>20</v>
      </c>
      <c r="P790" s="3" t="s">
        <v>1934</v>
      </c>
      <c r="Q790" s="5"/>
    </row>
    <row r="791" spans="1:22" ht="15.75" customHeight="1" x14ac:dyDescent="0.3">
      <c r="A791" s="1"/>
      <c r="B791" s="20">
        <v>11</v>
      </c>
      <c r="C791" s="20"/>
      <c r="D791" s="16" t="s">
        <v>320</v>
      </c>
      <c r="E791" s="16" t="s">
        <v>422</v>
      </c>
      <c r="F791" s="16" t="s">
        <v>1938</v>
      </c>
      <c r="G791" s="3" t="s">
        <v>20</v>
      </c>
      <c r="H791" s="13" t="s">
        <v>1933</v>
      </c>
      <c r="I791" s="16" t="s">
        <v>820</v>
      </c>
      <c r="J791" s="16" t="s">
        <v>18</v>
      </c>
      <c r="K791" s="3" t="s">
        <v>20</v>
      </c>
      <c r="L791" s="109">
        <v>25000</v>
      </c>
      <c r="M791" s="3" t="s">
        <v>20</v>
      </c>
      <c r="N791" s="12"/>
      <c r="O791" s="84" t="s">
        <v>20</v>
      </c>
      <c r="P791" s="3" t="s">
        <v>1934</v>
      </c>
      <c r="Q791" s="5"/>
    </row>
    <row r="792" spans="1:22" ht="15.75" customHeight="1" x14ac:dyDescent="0.3">
      <c r="A792" s="1">
        <v>47</v>
      </c>
      <c r="B792" s="20">
        <v>11</v>
      </c>
      <c r="C792" s="23">
        <v>45979</v>
      </c>
      <c r="D792" s="16" t="s">
        <v>320</v>
      </c>
      <c r="E792" s="16" t="s">
        <v>477</v>
      </c>
      <c r="F792" s="16" t="s">
        <v>559</v>
      </c>
      <c r="G792" s="83" t="s">
        <v>311</v>
      </c>
      <c r="H792" s="13" t="s">
        <v>169</v>
      </c>
      <c r="I792" s="16" t="s">
        <v>820</v>
      </c>
      <c r="J792" s="16" t="s">
        <v>39</v>
      </c>
      <c r="K792" s="84" t="s">
        <v>364</v>
      </c>
      <c r="L792" s="109">
        <v>720</v>
      </c>
      <c r="M792" s="85">
        <v>515</v>
      </c>
      <c r="N792" s="10"/>
      <c r="O792" s="84" t="s">
        <v>834</v>
      </c>
      <c r="P792" s="25" t="s">
        <v>835</v>
      </c>
      <c r="Q792" s="5"/>
      <c r="V792" s="14"/>
    </row>
    <row r="793" spans="1:22" ht="15.75" customHeight="1" x14ac:dyDescent="0.3">
      <c r="A793" s="1">
        <v>47</v>
      </c>
      <c r="B793" s="20">
        <v>11</v>
      </c>
      <c r="C793" s="23">
        <v>45979</v>
      </c>
      <c r="D793" s="16" t="s">
        <v>320</v>
      </c>
      <c r="E793" s="16" t="s">
        <v>477</v>
      </c>
      <c r="F793" s="16" t="s">
        <v>559</v>
      </c>
      <c r="G793" s="83" t="s">
        <v>311</v>
      </c>
      <c r="H793" s="13" t="s">
        <v>169</v>
      </c>
      <c r="I793" s="16" t="s">
        <v>820</v>
      </c>
      <c r="J793" s="16" t="s">
        <v>39</v>
      </c>
      <c r="K793" s="84" t="s">
        <v>364</v>
      </c>
      <c r="L793" s="109"/>
      <c r="M793" s="85">
        <v>225</v>
      </c>
      <c r="N793" s="10"/>
      <c r="O793" s="84" t="s">
        <v>834</v>
      </c>
      <c r="P793" s="33" t="s">
        <v>387</v>
      </c>
      <c r="Q793" s="5"/>
      <c r="V793" s="14"/>
    </row>
    <row r="794" spans="1:22" ht="15.75" customHeight="1" x14ac:dyDescent="0.3">
      <c r="A794" s="30">
        <v>47</v>
      </c>
      <c r="B794" s="1">
        <v>11</v>
      </c>
      <c r="C794" s="87">
        <v>45979</v>
      </c>
      <c r="D794" s="33" t="s">
        <v>320</v>
      </c>
      <c r="E794" s="33" t="s">
        <v>477</v>
      </c>
      <c r="F794" s="33" t="s">
        <v>559</v>
      </c>
      <c r="G794" s="33" t="s">
        <v>604</v>
      </c>
      <c r="H794" s="13" t="s">
        <v>123</v>
      </c>
      <c r="I794" s="33" t="s">
        <v>10</v>
      </c>
      <c r="J794" s="33" t="s">
        <v>25</v>
      </c>
      <c r="K794" s="84" t="s">
        <v>364</v>
      </c>
      <c r="L794" s="85">
        <v>720</v>
      </c>
      <c r="M794" s="85">
        <v>1040</v>
      </c>
      <c r="N794" s="85"/>
      <c r="O794" s="84" t="s">
        <v>834</v>
      </c>
      <c r="P794" s="33" t="s">
        <v>387</v>
      </c>
      <c r="Q794" s="5" t="s">
        <v>836</v>
      </c>
      <c r="V794" s="14"/>
    </row>
    <row r="795" spans="1:22" ht="15.75" customHeight="1" x14ac:dyDescent="0.3">
      <c r="A795" s="1"/>
      <c r="B795" s="20">
        <v>11</v>
      </c>
      <c r="C795" s="23">
        <v>45981</v>
      </c>
      <c r="D795" s="16" t="s">
        <v>320</v>
      </c>
      <c r="E795" s="16" t="s">
        <v>477</v>
      </c>
      <c r="F795" s="33" t="s">
        <v>559</v>
      </c>
      <c r="G795" s="16" t="s">
        <v>837</v>
      </c>
      <c r="H795" s="13" t="s">
        <v>334</v>
      </c>
      <c r="I795" s="33" t="s">
        <v>10</v>
      </c>
      <c r="J795" s="16" t="s">
        <v>25</v>
      </c>
      <c r="K795" s="84" t="s">
        <v>364</v>
      </c>
      <c r="L795" s="109">
        <v>720</v>
      </c>
      <c r="M795" s="9">
        <v>740</v>
      </c>
      <c r="N795" s="10"/>
      <c r="O795" s="84" t="s">
        <v>834</v>
      </c>
      <c r="P795" s="25" t="s">
        <v>835</v>
      </c>
      <c r="Q795" s="5"/>
      <c r="V795" s="14"/>
    </row>
    <row r="796" spans="1:22" ht="15.75" customHeight="1" x14ac:dyDescent="0.3">
      <c r="A796" s="30">
        <v>46</v>
      </c>
      <c r="B796" s="1">
        <v>11</v>
      </c>
      <c r="C796" s="87">
        <v>45976</v>
      </c>
      <c r="D796" s="33" t="s">
        <v>320</v>
      </c>
      <c r="E796" s="33" t="s">
        <v>477</v>
      </c>
      <c r="F796" s="33" t="s">
        <v>559</v>
      </c>
      <c r="G796" s="33" t="s">
        <v>585</v>
      </c>
      <c r="H796" s="17" t="s">
        <v>838</v>
      </c>
      <c r="I796" s="33" t="s">
        <v>10</v>
      </c>
      <c r="J796" s="33" t="s">
        <v>25</v>
      </c>
      <c r="K796" s="84" t="s">
        <v>364</v>
      </c>
      <c r="L796" s="85">
        <v>740</v>
      </c>
      <c r="M796" s="85">
        <v>740</v>
      </c>
      <c r="N796" s="85"/>
      <c r="O796" s="84" t="s">
        <v>834</v>
      </c>
      <c r="P796" s="33" t="s">
        <v>387</v>
      </c>
      <c r="Q796" s="21"/>
      <c r="V796" s="14"/>
    </row>
    <row r="797" spans="1:22" ht="15.75" customHeight="1" x14ac:dyDescent="0.3">
      <c r="A797" s="30">
        <v>46</v>
      </c>
      <c r="B797" s="1">
        <v>11</v>
      </c>
      <c r="C797" s="87">
        <v>45986</v>
      </c>
      <c r="D797" s="33" t="s">
        <v>320</v>
      </c>
      <c r="E797" s="16" t="s">
        <v>477</v>
      </c>
      <c r="F797" s="33" t="s">
        <v>559</v>
      </c>
      <c r="G797" s="33" t="s">
        <v>839</v>
      </c>
      <c r="H797" s="13" t="s">
        <v>59</v>
      </c>
      <c r="I797" s="33" t="s">
        <v>10</v>
      </c>
      <c r="J797" s="33" t="s">
        <v>25</v>
      </c>
      <c r="K797" s="84" t="s">
        <v>364</v>
      </c>
      <c r="L797" s="85">
        <v>740</v>
      </c>
      <c r="M797" s="85">
        <v>740</v>
      </c>
      <c r="N797" s="86"/>
      <c r="O797" s="84" t="s">
        <v>834</v>
      </c>
      <c r="P797" s="25" t="s">
        <v>465</v>
      </c>
      <c r="Q797" s="5" t="s">
        <v>836</v>
      </c>
      <c r="V797" s="14"/>
    </row>
    <row r="798" spans="1:22" ht="15.75" customHeight="1" x14ac:dyDescent="0.3">
      <c r="A798" s="30">
        <v>46</v>
      </c>
      <c r="B798" s="1">
        <v>11</v>
      </c>
      <c r="C798" s="87">
        <v>45974</v>
      </c>
      <c r="D798" s="33" t="s">
        <v>320</v>
      </c>
      <c r="E798" s="33" t="s">
        <v>78</v>
      </c>
      <c r="F798" s="33" t="s">
        <v>95</v>
      </c>
      <c r="G798" s="33" t="s">
        <v>840</v>
      </c>
      <c r="H798" s="13" t="s">
        <v>59</v>
      </c>
      <c r="I798" s="33" t="s">
        <v>10</v>
      </c>
      <c r="J798" s="33" t="s">
        <v>25</v>
      </c>
      <c r="K798" s="84" t="s">
        <v>358</v>
      </c>
      <c r="L798" s="85">
        <v>60</v>
      </c>
      <c r="M798" s="85">
        <v>170</v>
      </c>
      <c r="N798" s="86"/>
      <c r="O798" s="83" t="s">
        <v>381</v>
      </c>
      <c r="P798" s="33" t="s">
        <v>359</v>
      </c>
      <c r="Q798" s="5"/>
      <c r="V798" s="14"/>
    </row>
    <row r="799" spans="1:22" ht="15.75" customHeight="1" x14ac:dyDescent="0.3">
      <c r="A799" s="30">
        <v>46</v>
      </c>
      <c r="B799" s="1">
        <v>11</v>
      </c>
      <c r="C799" s="87">
        <v>45974</v>
      </c>
      <c r="D799" s="33" t="s">
        <v>320</v>
      </c>
      <c r="E799" s="33" t="s">
        <v>78</v>
      </c>
      <c r="F799" s="33" t="s">
        <v>88</v>
      </c>
      <c r="G799" s="33" t="s">
        <v>840</v>
      </c>
      <c r="H799" s="13" t="s">
        <v>59</v>
      </c>
      <c r="I799" s="33" t="s">
        <v>10</v>
      </c>
      <c r="J799" s="33" t="s">
        <v>25</v>
      </c>
      <c r="K799" s="84" t="s">
        <v>358</v>
      </c>
      <c r="L799" s="85">
        <v>555</v>
      </c>
      <c r="M799" s="85">
        <v>640</v>
      </c>
      <c r="N799" s="86"/>
      <c r="O799" s="83" t="s">
        <v>381</v>
      </c>
      <c r="P799" s="33" t="s">
        <v>359</v>
      </c>
      <c r="Q799" s="5"/>
      <c r="V799" s="14"/>
    </row>
    <row r="800" spans="1:22" ht="15.75" customHeight="1" x14ac:dyDescent="0.3">
      <c r="A800" s="9" t="s">
        <v>20</v>
      </c>
      <c r="B800" s="1">
        <v>11</v>
      </c>
      <c r="C800" s="9" t="s">
        <v>20</v>
      </c>
      <c r="D800" s="16" t="s">
        <v>320</v>
      </c>
      <c r="E800" s="33" t="s">
        <v>78</v>
      </c>
      <c r="F800" s="16" t="s">
        <v>90</v>
      </c>
      <c r="G800" s="9" t="s">
        <v>20</v>
      </c>
      <c r="H800" s="13" t="s">
        <v>59</v>
      </c>
      <c r="I800" s="16" t="s">
        <v>820</v>
      </c>
      <c r="J800" s="16" t="s">
        <v>25</v>
      </c>
      <c r="K800" s="9" t="s">
        <v>20</v>
      </c>
      <c r="L800" s="109">
        <v>300</v>
      </c>
      <c r="M800" s="9" t="s">
        <v>20</v>
      </c>
      <c r="N800" s="10"/>
      <c r="O800" s="84" t="s">
        <v>20</v>
      </c>
      <c r="P800" s="3" t="s">
        <v>1930</v>
      </c>
      <c r="Q800" s="5" t="s">
        <v>1939</v>
      </c>
      <c r="V800" s="14"/>
    </row>
    <row r="801" spans="1:22" ht="15.75" customHeight="1" x14ac:dyDescent="0.3">
      <c r="A801" s="9" t="s">
        <v>20</v>
      </c>
      <c r="B801" s="1">
        <v>11</v>
      </c>
      <c r="C801" s="9" t="s">
        <v>20</v>
      </c>
      <c r="D801" s="16" t="s">
        <v>320</v>
      </c>
      <c r="E801" s="16" t="s">
        <v>78</v>
      </c>
      <c r="F801" s="16" t="s">
        <v>92</v>
      </c>
      <c r="G801" s="9" t="s">
        <v>20</v>
      </c>
      <c r="H801" s="13" t="s">
        <v>59</v>
      </c>
      <c r="I801" s="16" t="s">
        <v>820</v>
      </c>
      <c r="J801" s="16" t="s">
        <v>25</v>
      </c>
      <c r="K801" s="9" t="s">
        <v>20</v>
      </c>
      <c r="L801" s="109">
        <v>300</v>
      </c>
      <c r="M801" s="9" t="s">
        <v>20</v>
      </c>
      <c r="N801" s="10"/>
      <c r="O801" s="84" t="s">
        <v>20</v>
      </c>
      <c r="P801" s="3" t="s">
        <v>1930</v>
      </c>
      <c r="Q801" s="5" t="s">
        <v>1939</v>
      </c>
      <c r="V801" s="14"/>
    </row>
    <row r="802" spans="1:22" ht="15.75" customHeight="1" x14ac:dyDescent="0.3">
      <c r="A802" s="1">
        <v>47</v>
      </c>
      <c r="B802" s="20">
        <v>11</v>
      </c>
      <c r="C802" s="23">
        <v>45981</v>
      </c>
      <c r="D802" s="16" t="s">
        <v>320</v>
      </c>
      <c r="E802" s="16" t="s">
        <v>477</v>
      </c>
      <c r="F802" s="33" t="s">
        <v>559</v>
      </c>
      <c r="G802" s="33" t="s">
        <v>244</v>
      </c>
      <c r="H802" s="13" t="s">
        <v>360</v>
      </c>
      <c r="I802" s="33" t="s">
        <v>10</v>
      </c>
      <c r="J802" s="16" t="s">
        <v>25</v>
      </c>
      <c r="K802" s="84" t="s">
        <v>364</v>
      </c>
      <c r="L802" s="85">
        <v>1131</v>
      </c>
      <c r="M802" s="9">
        <v>1131</v>
      </c>
      <c r="N802" s="85"/>
      <c r="O802" s="84" t="s">
        <v>834</v>
      </c>
      <c r="P802" s="25" t="s">
        <v>835</v>
      </c>
      <c r="Q802" s="5"/>
      <c r="V802" s="14"/>
    </row>
    <row r="803" spans="1:22" ht="15.75" customHeight="1" x14ac:dyDescent="0.3">
      <c r="A803" s="30">
        <v>47</v>
      </c>
      <c r="B803" s="1">
        <v>11</v>
      </c>
      <c r="C803" s="87">
        <v>45979</v>
      </c>
      <c r="D803" s="33" t="s">
        <v>320</v>
      </c>
      <c r="E803" s="33" t="s">
        <v>477</v>
      </c>
      <c r="F803" s="33" t="s">
        <v>559</v>
      </c>
      <c r="G803" s="33" t="s">
        <v>244</v>
      </c>
      <c r="H803" s="83" t="s">
        <v>361</v>
      </c>
      <c r="I803" s="33" t="s">
        <v>10</v>
      </c>
      <c r="J803" s="33" t="s">
        <v>25</v>
      </c>
      <c r="K803" s="84" t="s">
        <v>364</v>
      </c>
      <c r="L803" s="85">
        <v>1131</v>
      </c>
      <c r="M803" s="85">
        <v>1131</v>
      </c>
      <c r="N803" s="85"/>
      <c r="O803" s="84" t="s">
        <v>834</v>
      </c>
      <c r="P803" s="25" t="s">
        <v>835</v>
      </c>
      <c r="Q803" s="21"/>
      <c r="V803" s="14"/>
    </row>
    <row r="804" spans="1:22" ht="15.75" customHeight="1" x14ac:dyDescent="0.3">
      <c r="A804" s="30">
        <v>47</v>
      </c>
      <c r="B804" s="1">
        <v>11</v>
      </c>
      <c r="C804" s="87">
        <v>45982</v>
      </c>
      <c r="D804" s="33" t="s">
        <v>320</v>
      </c>
      <c r="E804" s="33" t="s">
        <v>477</v>
      </c>
      <c r="F804" s="33" t="s">
        <v>559</v>
      </c>
      <c r="G804" s="33" t="s">
        <v>244</v>
      </c>
      <c r="H804" s="83" t="s">
        <v>357</v>
      </c>
      <c r="I804" s="33" t="s">
        <v>10</v>
      </c>
      <c r="J804" s="33" t="s">
        <v>25</v>
      </c>
      <c r="K804" s="84" t="s">
        <v>364</v>
      </c>
      <c r="L804" s="85">
        <v>1131</v>
      </c>
      <c r="M804" s="85">
        <v>1131</v>
      </c>
      <c r="N804" s="85"/>
      <c r="O804" s="84" t="s">
        <v>834</v>
      </c>
      <c r="P804" s="25" t="s">
        <v>465</v>
      </c>
      <c r="Q804" s="21"/>
      <c r="V804" s="14"/>
    </row>
    <row r="805" spans="1:22" ht="15.75" customHeight="1" x14ac:dyDescent="0.3">
      <c r="A805" s="1">
        <v>48</v>
      </c>
      <c r="B805" s="20">
        <v>11</v>
      </c>
      <c r="C805" s="23">
        <v>45985</v>
      </c>
      <c r="D805" s="95" t="s">
        <v>320</v>
      </c>
      <c r="E805" s="33" t="s">
        <v>477</v>
      </c>
      <c r="F805" s="33" t="s">
        <v>559</v>
      </c>
      <c r="G805" s="33" t="s">
        <v>244</v>
      </c>
      <c r="H805" s="13" t="s">
        <v>605</v>
      </c>
      <c r="I805" s="33" t="s">
        <v>10</v>
      </c>
      <c r="J805" s="33" t="s">
        <v>25</v>
      </c>
      <c r="K805" s="84" t="s">
        <v>364</v>
      </c>
      <c r="L805" s="85">
        <v>1131</v>
      </c>
      <c r="M805" s="85">
        <v>1131</v>
      </c>
      <c r="N805" s="10"/>
      <c r="O805" s="84" t="s">
        <v>834</v>
      </c>
      <c r="P805" s="25" t="s">
        <v>465</v>
      </c>
      <c r="Q805" s="5"/>
      <c r="V805" s="14"/>
    </row>
    <row r="806" spans="1:22" ht="15.75" customHeight="1" x14ac:dyDescent="0.3">
      <c r="A806" s="1">
        <v>48</v>
      </c>
      <c r="B806" s="20">
        <v>11</v>
      </c>
      <c r="C806" s="23">
        <v>45988</v>
      </c>
      <c r="D806" s="95" t="s">
        <v>320</v>
      </c>
      <c r="E806" s="33" t="s">
        <v>477</v>
      </c>
      <c r="F806" s="33" t="s">
        <v>559</v>
      </c>
      <c r="G806" s="16" t="s">
        <v>488</v>
      </c>
      <c r="H806" s="13" t="s">
        <v>480</v>
      </c>
      <c r="I806" s="16" t="s">
        <v>10</v>
      </c>
      <c r="J806" s="33" t="s">
        <v>25</v>
      </c>
      <c r="K806" s="34" t="s">
        <v>364</v>
      </c>
      <c r="L806" s="85">
        <v>1131</v>
      </c>
      <c r="M806" s="85">
        <v>1131</v>
      </c>
      <c r="N806" s="10"/>
      <c r="O806" s="110" t="s">
        <v>834</v>
      </c>
      <c r="P806" s="3" t="s">
        <v>510</v>
      </c>
      <c r="Q806" s="5"/>
      <c r="V806" s="14"/>
    </row>
    <row r="807" spans="1:22" ht="15.75" customHeight="1" x14ac:dyDescent="0.3">
      <c r="A807" s="1"/>
      <c r="B807" s="20">
        <v>11</v>
      </c>
      <c r="C807" s="23"/>
      <c r="D807" s="16" t="s">
        <v>320</v>
      </c>
      <c r="E807" s="16" t="s">
        <v>422</v>
      </c>
      <c r="F807" s="16" t="s">
        <v>131</v>
      </c>
      <c r="G807" s="16"/>
      <c r="H807" s="13" t="s">
        <v>605</v>
      </c>
      <c r="I807" s="16" t="s">
        <v>820</v>
      </c>
      <c r="J807" s="16" t="s">
        <v>25</v>
      </c>
      <c r="K807" s="34"/>
      <c r="L807" s="109">
        <v>200</v>
      </c>
      <c r="M807" s="9"/>
      <c r="N807" s="10"/>
      <c r="O807" s="17"/>
      <c r="P807" s="3"/>
      <c r="Q807" s="5"/>
      <c r="V807" s="14"/>
    </row>
    <row r="808" spans="1:22" ht="15.75" customHeight="1" x14ac:dyDescent="0.3">
      <c r="A808" s="1"/>
      <c r="B808" s="20">
        <v>11</v>
      </c>
      <c r="C808" s="20"/>
      <c r="D808" s="16" t="s">
        <v>320</v>
      </c>
      <c r="E808" s="16" t="s">
        <v>422</v>
      </c>
      <c r="F808" s="16" t="s">
        <v>131</v>
      </c>
      <c r="G808" s="16"/>
      <c r="H808" s="13" t="s">
        <v>480</v>
      </c>
      <c r="I808" s="16" t="s">
        <v>820</v>
      </c>
      <c r="J808" s="16" t="s">
        <v>25</v>
      </c>
      <c r="K808" s="34"/>
      <c r="L808" s="109">
        <v>200</v>
      </c>
      <c r="M808" s="9"/>
      <c r="N808" s="10"/>
      <c r="O808" s="17"/>
      <c r="P808" s="3"/>
      <c r="Q808" s="5"/>
      <c r="V808" s="14"/>
    </row>
    <row r="809" spans="1:22" ht="15.75" customHeight="1" x14ac:dyDescent="0.3">
      <c r="A809" s="1"/>
      <c r="B809" s="20">
        <v>11</v>
      </c>
      <c r="C809" s="20"/>
      <c r="D809" s="16" t="s">
        <v>320</v>
      </c>
      <c r="E809" s="33" t="s">
        <v>356</v>
      </c>
      <c r="F809" s="16" t="s">
        <v>1940</v>
      </c>
      <c r="G809" s="16"/>
      <c r="H809" s="13" t="s">
        <v>118</v>
      </c>
      <c r="I809" s="16" t="s">
        <v>820</v>
      </c>
      <c r="J809" s="16" t="s">
        <v>25</v>
      </c>
      <c r="K809" s="34"/>
      <c r="L809" s="109">
        <v>50</v>
      </c>
      <c r="M809" s="9"/>
      <c r="N809" s="10"/>
      <c r="O809" s="17"/>
      <c r="P809" s="3"/>
      <c r="Q809" s="5"/>
      <c r="V809" s="14"/>
    </row>
    <row r="810" spans="1:22" ht="15.75" customHeight="1" x14ac:dyDescent="0.3">
      <c r="A810" s="1"/>
      <c r="B810" s="20">
        <v>11</v>
      </c>
      <c r="C810" s="20"/>
      <c r="D810" s="16" t="s">
        <v>320</v>
      </c>
      <c r="E810" s="16" t="s">
        <v>376</v>
      </c>
      <c r="F810" s="16" t="s">
        <v>333</v>
      </c>
      <c r="G810" s="16"/>
      <c r="H810" s="13" t="s">
        <v>135</v>
      </c>
      <c r="I810" s="16" t="s">
        <v>820</v>
      </c>
      <c r="J810" s="16" t="s">
        <v>39</v>
      </c>
      <c r="K810" s="34"/>
      <c r="L810" s="109">
        <v>3200</v>
      </c>
      <c r="M810" s="9"/>
      <c r="N810" s="10"/>
      <c r="O810" s="17"/>
      <c r="P810" s="3"/>
      <c r="Q810" s="5"/>
      <c r="V810" s="14"/>
    </row>
    <row r="811" spans="1:22" ht="15.75" customHeight="1" x14ac:dyDescent="0.3">
      <c r="A811" s="1"/>
      <c r="B811" s="20">
        <v>11</v>
      </c>
      <c r="C811" s="20"/>
      <c r="D811" s="16" t="s">
        <v>320</v>
      </c>
      <c r="E811" s="16" t="s">
        <v>376</v>
      </c>
      <c r="F811" s="16" t="s">
        <v>333</v>
      </c>
      <c r="G811" s="16"/>
      <c r="H811" s="13" t="s">
        <v>409</v>
      </c>
      <c r="I811" s="16" t="s">
        <v>820</v>
      </c>
      <c r="J811" s="16" t="s">
        <v>25</v>
      </c>
      <c r="K811" s="34"/>
      <c r="L811" s="109">
        <v>3200</v>
      </c>
      <c r="M811" s="9"/>
      <c r="N811" s="10"/>
      <c r="O811" s="17"/>
      <c r="P811" s="3"/>
      <c r="Q811" s="5"/>
      <c r="V811" s="14"/>
    </row>
    <row r="812" spans="1:22" ht="15.75" customHeight="1" x14ac:dyDescent="0.3">
      <c r="A812" s="1"/>
      <c r="B812" s="20">
        <v>11</v>
      </c>
      <c r="C812" s="20"/>
      <c r="D812" s="16" t="s">
        <v>320</v>
      </c>
      <c r="E812" s="16" t="s">
        <v>376</v>
      </c>
      <c r="F812" s="16" t="s">
        <v>333</v>
      </c>
      <c r="G812" s="16"/>
      <c r="H812" s="13" t="s">
        <v>100</v>
      </c>
      <c r="I812" s="16" t="s">
        <v>820</v>
      </c>
      <c r="J812" s="16" t="s">
        <v>25</v>
      </c>
      <c r="K812" s="34"/>
      <c r="L812" s="109">
        <v>3200</v>
      </c>
      <c r="M812" s="9"/>
      <c r="N812" s="10"/>
      <c r="O812" s="17"/>
      <c r="P812" s="3"/>
      <c r="Q812" s="5"/>
      <c r="V812" s="14"/>
    </row>
    <row r="813" spans="1:22" ht="13.5" customHeight="1" x14ac:dyDescent="0.3">
      <c r="A813" s="1"/>
      <c r="B813" s="20">
        <v>11</v>
      </c>
      <c r="C813" s="20"/>
      <c r="D813" s="16" t="s">
        <v>320</v>
      </c>
      <c r="E813" s="16" t="s">
        <v>376</v>
      </c>
      <c r="F813" s="16" t="s">
        <v>140</v>
      </c>
      <c r="G813" s="16"/>
      <c r="H813" s="13" t="s">
        <v>150</v>
      </c>
      <c r="I813" s="16" t="s">
        <v>820</v>
      </c>
      <c r="J813" s="16" t="s">
        <v>25</v>
      </c>
      <c r="K813" s="34"/>
      <c r="L813" s="109">
        <v>280</v>
      </c>
      <c r="M813" s="9"/>
      <c r="N813" s="10"/>
      <c r="O813" s="84" t="s">
        <v>20</v>
      </c>
      <c r="P813" s="3" t="s">
        <v>1941</v>
      </c>
      <c r="Q813" s="5"/>
    </row>
    <row r="814" spans="1:22" ht="15.75" customHeight="1" x14ac:dyDescent="0.3">
      <c r="A814" s="1"/>
      <c r="B814" s="20">
        <v>11</v>
      </c>
      <c r="C814" s="20"/>
      <c r="D814" s="16" t="s">
        <v>320</v>
      </c>
      <c r="E814" s="16" t="s">
        <v>376</v>
      </c>
      <c r="F814" s="16" t="s">
        <v>140</v>
      </c>
      <c r="G814" s="16"/>
      <c r="H814" s="13" t="s">
        <v>21</v>
      </c>
      <c r="I814" s="16" t="s">
        <v>820</v>
      </c>
      <c r="J814" s="16" t="s">
        <v>18</v>
      </c>
      <c r="K814" s="34"/>
      <c r="L814" s="109">
        <v>280</v>
      </c>
      <c r="M814" s="3"/>
      <c r="N814" s="12"/>
      <c r="O814" s="84" t="s">
        <v>20</v>
      </c>
      <c r="P814" s="3" t="s">
        <v>1941</v>
      </c>
      <c r="Q814" s="5"/>
    </row>
    <row r="815" spans="1:22" ht="15.75" customHeight="1" x14ac:dyDescent="0.3">
      <c r="A815" s="1"/>
      <c r="B815" s="20">
        <v>11</v>
      </c>
      <c r="C815" s="20"/>
      <c r="D815" s="16" t="s">
        <v>320</v>
      </c>
      <c r="E815" s="16" t="s">
        <v>376</v>
      </c>
      <c r="F815" s="16" t="s">
        <v>248</v>
      </c>
      <c r="G815" s="16"/>
      <c r="H815" s="13" t="s">
        <v>21</v>
      </c>
      <c r="I815" s="16" t="s">
        <v>820</v>
      </c>
      <c r="J815" s="16" t="s">
        <v>18</v>
      </c>
      <c r="K815" s="34"/>
      <c r="L815" s="109">
        <v>210</v>
      </c>
      <c r="M815" s="3"/>
      <c r="N815" s="12"/>
      <c r="O815" s="84" t="s">
        <v>20</v>
      </c>
      <c r="P815" s="3" t="s">
        <v>1941</v>
      </c>
      <c r="Q815" s="5"/>
    </row>
    <row r="816" spans="1:22" ht="15.75" customHeight="1" x14ac:dyDescent="0.3">
      <c r="A816" s="1"/>
      <c r="B816" s="20">
        <v>11</v>
      </c>
      <c r="C816" s="20"/>
      <c r="D816" s="16" t="s">
        <v>320</v>
      </c>
      <c r="E816" s="16" t="s">
        <v>376</v>
      </c>
      <c r="F816" s="16" t="s">
        <v>248</v>
      </c>
      <c r="G816" s="16"/>
      <c r="H816" s="13" t="s">
        <v>22</v>
      </c>
      <c r="I816" s="16" t="s">
        <v>820</v>
      </c>
      <c r="J816" s="16" t="s">
        <v>18</v>
      </c>
      <c r="K816" s="34"/>
      <c r="L816" s="109">
        <v>210</v>
      </c>
      <c r="M816" s="9"/>
      <c r="N816" s="10"/>
      <c r="O816" s="84" t="s">
        <v>20</v>
      </c>
      <c r="P816" s="3" t="s">
        <v>1941</v>
      </c>
      <c r="Q816" s="3"/>
    </row>
    <row r="817" spans="1:17" ht="15.75" customHeight="1" x14ac:dyDescent="0.3">
      <c r="A817" s="1"/>
      <c r="B817" s="20">
        <v>11</v>
      </c>
      <c r="C817" s="20"/>
      <c r="D817" s="16" t="s">
        <v>320</v>
      </c>
      <c r="E817" s="16" t="s">
        <v>376</v>
      </c>
      <c r="F817" s="16" t="s">
        <v>140</v>
      </c>
      <c r="G817" s="16"/>
      <c r="H817" s="13" t="s">
        <v>22</v>
      </c>
      <c r="I817" s="16" t="s">
        <v>820</v>
      </c>
      <c r="J817" s="16" t="s">
        <v>18</v>
      </c>
      <c r="K817" s="34"/>
      <c r="L817" s="109">
        <v>280</v>
      </c>
      <c r="M817" s="9"/>
      <c r="N817" s="10"/>
      <c r="O817" s="84" t="s">
        <v>20</v>
      </c>
      <c r="P817" s="3" t="s">
        <v>1941</v>
      </c>
      <c r="Q817" s="3"/>
    </row>
    <row r="818" spans="1:17" ht="15.75" customHeight="1" x14ac:dyDescent="0.3">
      <c r="A818" s="1"/>
      <c r="B818" s="20">
        <v>11</v>
      </c>
      <c r="C818" s="20"/>
      <c r="D818" s="16" t="s">
        <v>320</v>
      </c>
      <c r="E818" s="16" t="s">
        <v>376</v>
      </c>
      <c r="F818" s="16" t="s">
        <v>140</v>
      </c>
      <c r="G818" s="16"/>
      <c r="H818" s="13" t="s">
        <v>46</v>
      </c>
      <c r="I818" s="16" t="s">
        <v>820</v>
      </c>
      <c r="J818" s="16" t="s">
        <v>25</v>
      </c>
      <c r="K818" s="13"/>
      <c r="L818" s="16">
        <v>280</v>
      </c>
      <c r="M818" s="3"/>
      <c r="N818" s="12"/>
      <c r="O818" s="84" t="s">
        <v>20</v>
      </c>
      <c r="P818" s="3" t="s">
        <v>1941</v>
      </c>
      <c r="Q818" s="5"/>
    </row>
    <row r="819" spans="1:17" ht="15.75" customHeight="1" x14ac:dyDescent="0.3">
      <c r="A819" s="1"/>
      <c r="B819" s="20">
        <v>11</v>
      </c>
      <c r="C819" s="20"/>
      <c r="D819" s="16" t="s">
        <v>320</v>
      </c>
      <c r="E819" s="16" t="s">
        <v>78</v>
      </c>
      <c r="F819" s="16" t="s">
        <v>92</v>
      </c>
      <c r="G819" s="16"/>
      <c r="H819" s="13" t="s">
        <v>372</v>
      </c>
      <c r="I819" s="16" t="s">
        <v>820</v>
      </c>
      <c r="J819" s="16" t="s">
        <v>39</v>
      </c>
      <c r="K819" s="13"/>
      <c r="L819" s="16">
        <v>100</v>
      </c>
      <c r="M819" s="3"/>
      <c r="N819" s="12"/>
      <c r="O819" s="17"/>
      <c r="P819" s="3"/>
      <c r="Q819" s="5"/>
    </row>
    <row r="820" spans="1:17" ht="15.75" customHeight="1" x14ac:dyDescent="0.3">
      <c r="A820" s="1"/>
      <c r="B820" s="20">
        <v>11</v>
      </c>
      <c r="C820" s="20"/>
      <c r="D820" s="16" t="s">
        <v>320</v>
      </c>
      <c r="E820" s="16" t="s">
        <v>376</v>
      </c>
      <c r="F820" s="16" t="s">
        <v>345</v>
      </c>
      <c r="G820" s="16"/>
      <c r="H820" s="13" t="s">
        <v>372</v>
      </c>
      <c r="I820" s="16" t="s">
        <v>820</v>
      </c>
      <c r="J820" s="16" t="s">
        <v>39</v>
      </c>
      <c r="K820" s="13"/>
      <c r="L820" s="16">
        <v>100</v>
      </c>
      <c r="M820" s="3"/>
      <c r="N820" s="12"/>
      <c r="O820" s="17"/>
      <c r="P820" s="3"/>
      <c r="Q820" s="5"/>
    </row>
    <row r="821" spans="1:17" ht="15.75" customHeight="1" x14ac:dyDescent="0.3">
      <c r="A821" s="1"/>
      <c r="B821" s="20">
        <v>11</v>
      </c>
      <c r="C821" s="20"/>
      <c r="D821" s="16" t="s">
        <v>320</v>
      </c>
      <c r="E821" s="16" t="s">
        <v>376</v>
      </c>
      <c r="F821" s="16" t="s">
        <v>219</v>
      </c>
      <c r="G821" s="16"/>
      <c r="H821" s="13" t="s">
        <v>372</v>
      </c>
      <c r="I821" s="16" t="s">
        <v>820</v>
      </c>
      <c r="J821" s="16" t="s">
        <v>39</v>
      </c>
      <c r="K821" s="111"/>
      <c r="L821" s="112">
        <v>1000</v>
      </c>
      <c r="M821" s="3"/>
      <c r="N821" s="12"/>
      <c r="O821" s="17"/>
      <c r="P821" s="3"/>
      <c r="Q821" s="5"/>
    </row>
    <row r="822" spans="1:17" ht="15.75" customHeight="1" x14ac:dyDescent="0.3">
      <c r="A822" s="17" t="s">
        <v>20</v>
      </c>
      <c r="B822" s="20">
        <v>11</v>
      </c>
      <c r="C822" s="17" t="s">
        <v>20</v>
      </c>
      <c r="D822" s="16" t="s">
        <v>320</v>
      </c>
      <c r="E822" s="33" t="s">
        <v>78</v>
      </c>
      <c r="F822" s="16" t="s">
        <v>90</v>
      </c>
      <c r="G822" s="17" t="s">
        <v>20</v>
      </c>
      <c r="H822" s="13" t="s">
        <v>123</v>
      </c>
      <c r="I822" s="16" t="s">
        <v>820</v>
      </c>
      <c r="J822" s="16" t="s">
        <v>39</v>
      </c>
      <c r="K822" s="17" t="s">
        <v>20</v>
      </c>
      <c r="L822" s="16">
        <v>280</v>
      </c>
      <c r="M822" s="17" t="s">
        <v>20</v>
      </c>
      <c r="N822" s="12"/>
      <c r="O822" s="84" t="s">
        <v>20</v>
      </c>
      <c r="P822" s="5" t="s">
        <v>1939</v>
      </c>
      <c r="Q822" s="5"/>
    </row>
    <row r="823" spans="1:17" ht="15.75" customHeight="1" x14ac:dyDescent="0.3">
      <c r="A823" s="17" t="s">
        <v>20</v>
      </c>
      <c r="B823" s="20">
        <v>11</v>
      </c>
      <c r="C823" s="17" t="s">
        <v>20</v>
      </c>
      <c r="D823" s="16" t="s">
        <v>320</v>
      </c>
      <c r="E823" s="16" t="s">
        <v>78</v>
      </c>
      <c r="F823" s="16" t="s">
        <v>88</v>
      </c>
      <c r="G823" s="17" t="s">
        <v>20</v>
      </c>
      <c r="H823" s="13" t="s">
        <v>123</v>
      </c>
      <c r="I823" s="16" t="s">
        <v>820</v>
      </c>
      <c r="J823" s="16" t="s">
        <v>39</v>
      </c>
      <c r="K823" s="17" t="s">
        <v>20</v>
      </c>
      <c r="L823" s="16">
        <v>555</v>
      </c>
      <c r="M823" s="17" t="s">
        <v>20</v>
      </c>
      <c r="N823" s="12"/>
      <c r="O823" s="84" t="s">
        <v>20</v>
      </c>
      <c r="P823" s="5" t="s">
        <v>1939</v>
      </c>
      <c r="Q823" s="5"/>
    </row>
    <row r="824" spans="1:17" ht="15.75" customHeight="1" x14ac:dyDescent="0.3">
      <c r="A824" s="17" t="s">
        <v>20</v>
      </c>
      <c r="B824" s="20">
        <v>11</v>
      </c>
      <c r="C824" s="17" t="s">
        <v>20</v>
      </c>
      <c r="D824" s="16" t="s">
        <v>320</v>
      </c>
      <c r="E824" s="16" t="s">
        <v>78</v>
      </c>
      <c r="F824" s="16" t="s">
        <v>95</v>
      </c>
      <c r="G824" s="17" t="s">
        <v>20</v>
      </c>
      <c r="H824" s="13" t="s">
        <v>123</v>
      </c>
      <c r="I824" s="16" t="s">
        <v>820</v>
      </c>
      <c r="J824" s="16" t="s">
        <v>39</v>
      </c>
      <c r="K824" s="17" t="s">
        <v>20</v>
      </c>
      <c r="L824" s="16">
        <v>80</v>
      </c>
      <c r="M824" s="17" t="s">
        <v>20</v>
      </c>
      <c r="N824" s="12"/>
      <c r="O824" s="84" t="s">
        <v>20</v>
      </c>
      <c r="P824" s="5" t="s">
        <v>1939</v>
      </c>
      <c r="Q824" s="5"/>
    </row>
    <row r="825" spans="1:17" ht="15.75" customHeight="1" x14ac:dyDescent="0.3">
      <c r="A825" s="17" t="s">
        <v>20</v>
      </c>
      <c r="B825" s="20">
        <v>11</v>
      </c>
      <c r="C825" s="17" t="s">
        <v>20</v>
      </c>
      <c r="D825" s="16" t="s">
        <v>320</v>
      </c>
      <c r="E825" s="16" t="s">
        <v>78</v>
      </c>
      <c r="F825" s="16" t="s">
        <v>92</v>
      </c>
      <c r="G825" s="17" t="s">
        <v>20</v>
      </c>
      <c r="H825" s="13" t="s">
        <v>123</v>
      </c>
      <c r="I825" s="16" t="s">
        <v>820</v>
      </c>
      <c r="J825" s="16" t="s">
        <v>39</v>
      </c>
      <c r="K825" s="17" t="s">
        <v>20</v>
      </c>
      <c r="L825" s="16">
        <v>50</v>
      </c>
      <c r="M825" s="17" t="s">
        <v>20</v>
      </c>
      <c r="N825" s="12"/>
      <c r="O825" s="84" t="s">
        <v>20</v>
      </c>
      <c r="P825" s="5" t="s">
        <v>1939</v>
      </c>
      <c r="Q825" s="5"/>
    </row>
    <row r="826" spans="1:17" ht="15.75" customHeight="1" x14ac:dyDescent="0.3">
      <c r="A826" s="17" t="s">
        <v>20</v>
      </c>
      <c r="B826" s="20">
        <v>11</v>
      </c>
      <c r="C826" s="17" t="s">
        <v>20</v>
      </c>
      <c r="D826" s="16" t="s">
        <v>320</v>
      </c>
      <c r="E826" s="3" t="s">
        <v>78</v>
      </c>
      <c r="F826" s="16" t="s">
        <v>97</v>
      </c>
      <c r="G826" s="17" t="s">
        <v>20</v>
      </c>
      <c r="H826" s="13" t="s">
        <v>123</v>
      </c>
      <c r="I826" s="16" t="s">
        <v>820</v>
      </c>
      <c r="J826" s="16" t="s">
        <v>39</v>
      </c>
      <c r="K826" s="17" t="s">
        <v>20</v>
      </c>
      <c r="L826" s="16">
        <v>350</v>
      </c>
      <c r="M826" s="17" t="s">
        <v>20</v>
      </c>
      <c r="N826" s="12"/>
      <c r="O826" s="84" t="s">
        <v>20</v>
      </c>
      <c r="P826" s="5" t="s">
        <v>1939</v>
      </c>
      <c r="Q826" s="5"/>
    </row>
    <row r="827" spans="1:17" ht="15.75" customHeight="1" x14ac:dyDescent="0.3">
      <c r="A827" s="17" t="s">
        <v>20</v>
      </c>
      <c r="B827" s="20">
        <v>11</v>
      </c>
      <c r="C827" s="17" t="s">
        <v>20</v>
      </c>
      <c r="D827" s="16" t="s">
        <v>320</v>
      </c>
      <c r="E827" s="3" t="s">
        <v>78</v>
      </c>
      <c r="F827" s="16" t="s">
        <v>98</v>
      </c>
      <c r="G827" s="17" t="s">
        <v>20</v>
      </c>
      <c r="H827" s="13" t="s">
        <v>123</v>
      </c>
      <c r="I827" s="16" t="s">
        <v>820</v>
      </c>
      <c r="J827" s="16" t="s">
        <v>39</v>
      </c>
      <c r="K827" s="17" t="s">
        <v>20</v>
      </c>
      <c r="L827" s="16">
        <v>400</v>
      </c>
      <c r="M827" s="17" t="s">
        <v>20</v>
      </c>
      <c r="N827" s="12"/>
      <c r="O827" s="84" t="s">
        <v>20</v>
      </c>
      <c r="P827" s="5" t="s">
        <v>1939</v>
      </c>
      <c r="Q827" s="5"/>
    </row>
    <row r="828" spans="1:17" ht="15.75" customHeight="1" x14ac:dyDescent="0.3">
      <c r="A828" s="30">
        <v>46</v>
      </c>
      <c r="B828" s="1">
        <v>11</v>
      </c>
      <c r="C828" s="87">
        <v>45974</v>
      </c>
      <c r="D828" s="33" t="s">
        <v>320</v>
      </c>
      <c r="E828" s="33" t="s">
        <v>78</v>
      </c>
      <c r="F828" s="33" t="s">
        <v>92</v>
      </c>
      <c r="G828" s="33" t="s">
        <v>841</v>
      </c>
      <c r="H828" s="17" t="s">
        <v>838</v>
      </c>
      <c r="I828" s="33" t="s">
        <v>10</v>
      </c>
      <c r="J828" s="33" t="s">
        <v>25</v>
      </c>
      <c r="K828" s="84" t="s">
        <v>364</v>
      </c>
      <c r="L828" s="85">
        <v>50</v>
      </c>
      <c r="M828" s="85">
        <v>130</v>
      </c>
      <c r="N828" s="86"/>
      <c r="O828" s="83" t="s">
        <v>381</v>
      </c>
      <c r="P828" s="33" t="s">
        <v>229</v>
      </c>
      <c r="Q828" s="5" t="s">
        <v>374</v>
      </c>
    </row>
    <row r="829" spans="1:17" ht="15.75" customHeight="1" x14ac:dyDescent="0.3">
      <c r="A829" s="30">
        <v>46</v>
      </c>
      <c r="B829" s="1">
        <v>11</v>
      </c>
      <c r="C829" s="87">
        <v>45974</v>
      </c>
      <c r="D829" s="33" t="s">
        <v>320</v>
      </c>
      <c r="E829" s="33" t="s">
        <v>78</v>
      </c>
      <c r="F829" s="33" t="s">
        <v>95</v>
      </c>
      <c r="G829" s="33" t="s">
        <v>841</v>
      </c>
      <c r="H829" s="17" t="s">
        <v>838</v>
      </c>
      <c r="I829" s="33" t="s">
        <v>10</v>
      </c>
      <c r="J829" s="33" t="s">
        <v>25</v>
      </c>
      <c r="K829" s="84" t="s">
        <v>364</v>
      </c>
      <c r="L829" s="85">
        <v>100</v>
      </c>
      <c r="M829" s="85">
        <v>105</v>
      </c>
      <c r="N829" s="86"/>
      <c r="O829" s="83" t="s">
        <v>381</v>
      </c>
      <c r="P829" s="33" t="s">
        <v>229</v>
      </c>
      <c r="Q829" s="5" t="s">
        <v>374</v>
      </c>
    </row>
    <row r="830" spans="1:17" ht="15.75" customHeight="1" x14ac:dyDescent="0.3">
      <c r="A830" s="17" t="s">
        <v>20</v>
      </c>
      <c r="B830" s="20">
        <v>11</v>
      </c>
      <c r="C830" s="17" t="s">
        <v>20</v>
      </c>
      <c r="D830" s="16" t="s">
        <v>320</v>
      </c>
      <c r="E830" s="33" t="s">
        <v>78</v>
      </c>
      <c r="F830" s="16" t="s">
        <v>90</v>
      </c>
      <c r="G830" s="17" t="s">
        <v>20</v>
      </c>
      <c r="H830" s="13" t="s">
        <v>42</v>
      </c>
      <c r="I830" s="16" t="s">
        <v>820</v>
      </c>
      <c r="J830" s="16" t="s">
        <v>25</v>
      </c>
      <c r="K830" s="17" t="s">
        <v>20</v>
      </c>
      <c r="L830" s="16">
        <v>240</v>
      </c>
      <c r="M830" s="17" t="s">
        <v>20</v>
      </c>
      <c r="N830" s="12"/>
      <c r="O830" s="84" t="s">
        <v>20</v>
      </c>
      <c r="P830" s="5" t="s">
        <v>1939</v>
      </c>
      <c r="Q830" s="5"/>
    </row>
    <row r="831" spans="1:17" ht="15.75" customHeight="1" x14ac:dyDescent="0.3">
      <c r="A831" s="17" t="s">
        <v>20</v>
      </c>
      <c r="B831" s="20">
        <v>11</v>
      </c>
      <c r="C831" s="17" t="s">
        <v>20</v>
      </c>
      <c r="D831" s="16" t="s">
        <v>320</v>
      </c>
      <c r="E831" s="16" t="s">
        <v>78</v>
      </c>
      <c r="F831" s="16" t="s">
        <v>88</v>
      </c>
      <c r="G831" s="17" t="s">
        <v>20</v>
      </c>
      <c r="H831" s="13" t="s">
        <v>42</v>
      </c>
      <c r="I831" s="16" t="s">
        <v>820</v>
      </c>
      <c r="J831" s="16" t="s">
        <v>25</v>
      </c>
      <c r="K831" s="17" t="s">
        <v>20</v>
      </c>
      <c r="L831" s="16">
        <v>555</v>
      </c>
      <c r="M831" s="17" t="s">
        <v>20</v>
      </c>
      <c r="N831" s="12"/>
      <c r="O831" s="84" t="s">
        <v>20</v>
      </c>
      <c r="P831" s="5" t="s">
        <v>1939</v>
      </c>
      <c r="Q831" s="5"/>
    </row>
    <row r="832" spans="1:17" ht="15.75" customHeight="1" x14ac:dyDescent="0.3">
      <c r="A832" s="17" t="s">
        <v>20</v>
      </c>
      <c r="B832" s="20">
        <v>11</v>
      </c>
      <c r="C832" s="17" t="s">
        <v>20</v>
      </c>
      <c r="D832" s="16" t="s">
        <v>320</v>
      </c>
      <c r="E832" s="3" t="s">
        <v>78</v>
      </c>
      <c r="F832" s="16" t="s">
        <v>97</v>
      </c>
      <c r="G832" s="17" t="s">
        <v>20</v>
      </c>
      <c r="H832" s="13" t="s">
        <v>42</v>
      </c>
      <c r="I832" s="16" t="s">
        <v>820</v>
      </c>
      <c r="J832" s="16" t="s">
        <v>25</v>
      </c>
      <c r="K832" s="17" t="s">
        <v>20</v>
      </c>
      <c r="L832" s="16">
        <v>480</v>
      </c>
      <c r="M832" s="17" t="s">
        <v>20</v>
      </c>
      <c r="N832" s="12"/>
      <c r="O832" s="84" t="s">
        <v>20</v>
      </c>
      <c r="P832" s="5" t="s">
        <v>1939</v>
      </c>
      <c r="Q832" s="5"/>
    </row>
    <row r="833" spans="1:17" ht="15.75" customHeight="1" x14ac:dyDescent="0.3">
      <c r="A833" s="17" t="s">
        <v>20</v>
      </c>
      <c r="B833" s="20">
        <v>11</v>
      </c>
      <c r="C833" s="17" t="s">
        <v>20</v>
      </c>
      <c r="D833" s="16" t="s">
        <v>320</v>
      </c>
      <c r="E833" s="3" t="s">
        <v>78</v>
      </c>
      <c r="F833" s="16" t="s">
        <v>98</v>
      </c>
      <c r="G833" s="17" t="s">
        <v>20</v>
      </c>
      <c r="H833" s="13" t="s">
        <v>42</v>
      </c>
      <c r="I833" s="16" t="s">
        <v>820</v>
      </c>
      <c r="J833" s="16" t="s">
        <v>25</v>
      </c>
      <c r="K833" s="17" t="s">
        <v>20</v>
      </c>
      <c r="L833" s="16">
        <v>400</v>
      </c>
      <c r="M833" s="17" t="s">
        <v>20</v>
      </c>
      <c r="N833" s="12"/>
      <c r="O833" s="84" t="s">
        <v>20</v>
      </c>
      <c r="P833" s="5" t="s">
        <v>1939</v>
      </c>
      <c r="Q833" s="5"/>
    </row>
    <row r="834" spans="1:17" ht="15.75" customHeight="1" x14ac:dyDescent="0.3">
      <c r="A834" s="1"/>
      <c r="B834" s="20">
        <v>11</v>
      </c>
      <c r="C834" s="20"/>
      <c r="D834" s="16" t="s">
        <v>320</v>
      </c>
      <c r="E834" s="16" t="s">
        <v>376</v>
      </c>
      <c r="F834" s="16" t="s">
        <v>1942</v>
      </c>
      <c r="G834" s="16"/>
      <c r="H834" s="13" t="s">
        <v>22</v>
      </c>
      <c r="I834" s="16" t="s">
        <v>820</v>
      </c>
      <c r="J834" s="16" t="s">
        <v>18</v>
      </c>
      <c r="K834" s="13"/>
      <c r="L834" s="16">
        <v>250</v>
      </c>
      <c r="M834" s="3"/>
      <c r="N834" s="12"/>
      <c r="O834" s="3"/>
      <c r="P834" s="3"/>
      <c r="Q834" s="5"/>
    </row>
    <row r="835" spans="1:17" ht="15.75" customHeight="1" x14ac:dyDescent="0.3">
      <c r="A835" s="1"/>
      <c r="B835" s="20">
        <v>11</v>
      </c>
      <c r="C835" s="20"/>
      <c r="D835" s="16" t="s">
        <v>320</v>
      </c>
      <c r="E835" s="16" t="s">
        <v>376</v>
      </c>
      <c r="F835" s="16" t="s">
        <v>1942</v>
      </c>
      <c r="G835" s="16"/>
      <c r="H835" s="13" t="s">
        <v>17</v>
      </c>
      <c r="I835" s="16" t="s">
        <v>820</v>
      </c>
      <c r="J835" s="16" t="s">
        <v>18</v>
      </c>
      <c r="K835" s="13"/>
      <c r="L835" s="16">
        <v>250</v>
      </c>
      <c r="M835" s="3"/>
      <c r="N835" s="12"/>
      <c r="O835" s="3"/>
      <c r="P835" s="3"/>
      <c r="Q835" s="5"/>
    </row>
    <row r="836" spans="1:17" ht="15.75" customHeight="1" x14ac:dyDescent="0.3">
      <c r="A836" s="1"/>
      <c r="B836" s="20">
        <v>11</v>
      </c>
      <c r="C836" s="20"/>
      <c r="D836" s="16" t="s">
        <v>320</v>
      </c>
      <c r="E836" s="16" t="s">
        <v>376</v>
      </c>
      <c r="F836" s="16" t="s">
        <v>1943</v>
      </c>
      <c r="G836" s="16"/>
      <c r="H836" s="13" t="s">
        <v>85</v>
      </c>
      <c r="I836" s="16" t="s">
        <v>820</v>
      </c>
      <c r="J836" s="16" t="s">
        <v>25</v>
      </c>
      <c r="K836" s="111"/>
      <c r="L836" s="112">
        <v>7970</v>
      </c>
      <c r="M836" s="3"/>
      <c r="N836" s="12"/>
      <c r="O836" s="3"/>
      <c r="P836" s="3"/>
      <c r="Q836" s="5"/>
    </row>
    <row r="837" spans="1:17" ht="15.75" customHeight="1" x14ac:dyDescent="0.3">
      <c r="A837" s="1"/>
      <c r="B837" s="20">
        <v>11</v>
      </c>
      <c r="C837" s="20"/>
      <c r="D837" s="16" t="s">
        <v>320</v>
      </c>
      <c r="E837" s="16" t="s">
        <v>376</v>
      </c>
      <c r="F837" s="16" t="s">
        <v>1944</v>
      </c>
      <c r="G837" s="17" t="s">
        <v>20</v>
      </c>
      <c r="H837" s="13" t="s">
        <v>120</v>
      </c>
      <c r="I837" s="16" t="s">
        <v>820</v>
      </c>
      <c r="J837" s="16" t="s">
        <v>25</v>
      </c>
      <c r="K837" s="17" t="s">
        <v>20</v>
      </c>
      <c r="L837" s="112">
        <v>1500</v>
      </c>
      <c r="M837" s="3"/>
      <c r="N837" s="12"/>
      <c r="O837" s="84" t="s">
        <v>20</v>
      </c>
      <c r="P837" s="5" t="s">
        <v>1929</v>
      </c>
      <c r="Q837" s="5"/>
    </row>
    <row r="838" spans="1:17" ht="15.75" customHeight="1" x14ac:dyDescent="0.3">
      <c r="A838" s="1"/>
      <c r="B838" s="20">
        <v>11</v>
      </c>
      <c r="C838" s="20"/>
      <c r="D838" s="16" t="s">
        <v>320</v>
      </c>
      <c r="E838" s="16" t="s">
        <v>376</v>
      </c>
      <c r="F838" s="16" t="s">
        <v>1945</v>
      </c>
      <c r="G838" s="17" t="s">
        <v>20</v>
      </c>
      <c r="H838" s="13" t="s">
        <v>120</v>
      </c>
      <c r="I838" s="16" t="s">
        <v>820</v>
      </c>
      <c r="J838" s="16" t="s">
        <v>25</v>
      </c>
      <c r="K838" s="17" t="s">
        <v>20</v>
      </c>
      <c r="L838" s="112">
        <v>1000</v>
      </c>
      <c r="M838" s="3"/>
      <c r="N838" s="12"/>
      <c r="O838" s="84" t="s">
        <v>20</v>
      </c>
      <c r="P838" s="5" t="s">
        <v>1929</v>
      </c>
      <c r="Q838" s="5"/>
    </row>
    <row r="839" spans="1:17" ht="15.75" customHeight="1" x14ac:dyDescent="0.3">
      <c r="A839" s="36"/>
      <c r="B839" s="36"/>
      <c r="C839" s="36"/>
      <c r="K839" s="37"/>
      <c r="N839" s="38"/>
      <c r="Q839" s="8"/>
    </row>
    <row r="840" spans="1:17" ht="15.75" customHeight="1" x14ac:dyDescent="0.3">
      <c r="A840" s="36"/>
      <c r="B840" s="36"/>
      <c r="C840" s="36"/>
      <c r="K840" s="37"/>
      <c r="N840" s="38"/>
      <c r="Q840" s="8"/>
    </row>
    <row r="841" spans="1:17" ht="15.75" customHeight="1" x14ac:dyDescent="0.3">
      <c r="A841" s="36"/>
      <c r="B841" s="36"/>
      <c r="C841" s="36"/>
      <c r="K841" s="37"/>
      <c r="N841" s="38"/>
      <c r="Q841" s="8"/>
    </row>
    <row r="842" spans="1:17" ht="15.75" customHeight="1" x14ac:dyDescent="0.3">
      <c r="A842" s="36"/>
      <c r="B842" s="36"/>
      <c r="C842" s="36"/>
      <c r="K842" s="37"/>
      <c r="N842" s="38"/>
      <c r="Q842" s="8"/>
    </row>
    <row r="843" spans="1:17" ht="15.75" customHeight="1" x14ac:dyDescent="0.3">
      <c r="A843" s="36"/>
      <c r="B843" s="36"/>
      <c r="C843" s="36"/>
      <c r="K843" s="37"/>
      <c r="N843" s="38"/>
      <c r="Q843" s="8"/>
    </row>
    <row r="844" spans="1:17" ht="15.75" customHeight="1" x14ac:dyDescent="0.3">
      <c r="A844" s="36"/>
      <c r="B844" s="36"/>
      <c r="C844" s="36"/>
      <c r="K844" s="37"/>
      <c r="N844" s="38"/>
      <c r="Q844" s="8"/>
    </row>
    <row r="845" spans="1:17" ht="15.75" customHeight="1" x14ac:dyDescent="0.3">
      <c r="A845" s="36"/>
      <c r="B845" s="36"/>
      <c r="C845" s="36"/>
      <c r="K845" s="37"/>
      <c r="N845" s="38"/>
      <c r="Q845" s="8"/>
    </row>
    <row r="846" spans="1:17" ht="15.75" customHeight="1" x14ac:dyDescent="0.3">
      <c r="A846" s="36"/>
      <c r="B846" s="36"/>
      <c r="C846" s="36"/>
      <c r="K846" s="37"/>
      <c r="N846" s="38"/>
      <c r="Q846" s="8"/>
    </row>
    <row r="847" spans="1:17" ht="15.75" customHeight="1" x14ac:dyDescent="0.3">
      <c r="A847" s="36"/>
      <c r="B847" s="36"/>
      <c r="C847" s="36"/>
      <c r="K847" s="37"/>
      <c r="N847" s="38"/>
      <c r="Q847" s="8"/>
    </row>
    <row r="848" spans="1:17" ht="15.75" customHeight="1" x14ac:dyDescent="0.3">
      <c r="A848" s="36"/>
      <c r="B848" s="36"/>
      <c r="C848" s="36"/>
      <c r="K848" s="37"/>
      <c r="N848" s="38"/>
      <c r="Q848" s="8"/>
    </row>
    <row r="849" spans="1:17" ht="15.75" customHeight="1" x14ac:dyDescent="0.3">
      <c r="A849" s="36"/>
      <c r="B849" s="36"/>
      <c r="C849" s="36"/>
      <c r="K849" s="37"/>
      <c r="N849" s="38"/>
      <c r="Q849" s="8"/>
    </row>
    <row r="850" spans="1:17" ht="15.75" customHeight="1" x14ac:dyDescent="0.3">
      <c r="A850" s="36"/>
      <c r="B850" s="36"/>
      <c r="C850" s="36"/>
      <c r="K850" s="37"/>
      <c r="N850" s="38"/>
      <c r="Q850" s="8"/>
    </row>
    <row r="851" spans="1:17" ht="15.75" customHeight="1" x14ac:dyDescent="0.3">
      <c r="A851" s="36"/>
      <c r="B851" s="36"/>
      <c r="C851" s="36"/>
      <c r="K851" s="37"/>
      <c r="N851" s="38"/>
      <c r="Q851" s="8"/>
    </row>
    <row r="852" spans="1:17" ht="15.75" customHeight="1" x14ac:dyDescent="0.3">
      <c r="A852" s="36"/>
      <c r="B852" s="36"/>
      <c r="C852" s="36"/>
      <c r="K852" s="37"/>
      <c r="N852" s="38"/>
      <c r="Q852" s="8"/>
    </row>
    <row r="853" spans="1:17" ht="15.75" customHeight="1" x14ac:dyDescent="0.3">
      <c r="A853" s="36"/>
      <c r="B853" s="36"/>
      <c r="C853" s="36"/>
      <c r="K853" s="37"/>
      <c r="N853" s="38"/>
      <c r="Q853" s="8"/>
    </row>
    <row r="854" spans="1:17" ht="15.75" customHeight="1" x14ac:dyDescent="0.3">
      <c r="A854" s="36"/>
      <c r="B854" s="36"/>
      <c r="C854" s="36"/>
      <c r="K854" s="37"/>
      <c r="N854" s="38"/>
      <c r="Q854" s="8"/>
    </row>
    <row r="855" spans="1:17" ht="15.75" customHeight="1" x14ac:dyDescent="0.3">
      <c r="A855" s="36"/>
      <c r="B855" s="36"/>
      <c r="C855" s="36"/>
      <c r="K855" s="37"/>
      <c r="N855" s="38"/>
      <c r="Q855" s="8"/>
    </row>
    <row r="856" spans="1:17" ht="15.75" customHeight="1" x14ac:dyDescent="0.3">
      <c r="A856" s="36"/>
      <c r="B856" s="36"/>
      <c r="C856" s="36"/>
      <c r="K856" s="37"/>
      <c r="N856" s="38"/>
      <c r="Q856" s="8"/>
    </row>
    <row r="857" spans="1:17" ht="15.75" customHeight="1" x14ac:dyDescent="0.3">
      <c r="A857" s="36"/>
      <c r="B857" s="36"/>
      <c r="C857" s="36"/>
      <c r="K857" s="37"/>
      <c r="N857" s="38"/>
      <c r="Q857" s="8"/>
    </row>
    <row r="858" spans="1:17" ht="15.75" customHeight="1" x14ac:dyDescent="0.3">
      <c r="A858" s="36"/>
      <c r="B858" s="36"/>
      <c r="C858" s="36"/>
      <c r="K858" s="37"/>
      <c r="N858" s="38"/>
      <c r="Q858" s="8"/>
    </row>
    <row r="859" spans="1:17" ht="15.75" customHeight="1" x14ac:dyDescent="0.3">
      <c r="A859" s="36"/>
      <c r="B859" s="36"/>
      <c r="C859" s="36"/>
      <c r="K859" s="37"/>
      <c r="N859" s="38"/>
      <c r="Q859" s="8"/>
    </row>
    <row r="860" spans="1:17" ht="15.75" customHeight="1" x14ac:dyDescent="0.3">
      <c r="A860" s="36"/>
      <c r="B860" s="36"/>
      <c r="C860" s="36"/>
      <c r="K860" s="37"/>
      <c r="N860" s="38"/>
      <c r="Q860" s="8"/>
    </row>
    <row r="861" spans="1:17" ht="15.75" customHeight="1" x14ac:dyDescent="0.3">
      <c r="A861" s="36"/>
      <c r="B861" s="36"/>
      <c r="C861" s="36"/>
      <c r="K861" s="37"/>
      <c r="N861" s="38"/>
      <c r="Q861" s="8"/>
    </row>
    <row r="862" spans="1:17" ht="15.75" customHeight="1" x14ac:dyDescent="0.3">
      <c r="A862" s="36"/>
      <c r="B862" s="36"/>
      <c r="C862" s="36"/>
      <c r="K862" s="37"/>
      <c r="N862" s="38"/>
      <c r="Q862" s="8"/>
    </row>
    <row r="863" spans="1:17" ht="15.75" customHeight="1" x14ac:dyDescent="0.3">
      <c r="A863" s="36"/>
      <c r="B863" s="36"/>
      <c r="C863" s="36"/>
      <c r="K863" s="37"/>
      <c r="N863" s="38"/>
      <c r="Q863" s="8"/>
    </row>
    <row r="864" spans="1:17" ht="15.75" customHeight="1" x14ac:dyDescent="0.3">
      <c r="A864" s="36"/>
      <c r="B864" s="36"/>
      <c r="C864" s="36"/>
      <c r="K864" s="37"/>
      <c r="N864" s="38"/>
      <c r="Q864" s="8"/>
    </row>
    <row r="865" spans="1:17" ht="15.75" customHeight="1" x14ac:dyDescent="0.3">
      <c r="A865" s="36"/>
      <c r="B865" s="36"/>
      <c r="C865" s="36"/>
      <c r="K865" s="37"/>
      <c r="N865" s="38"/>
      <c r="Q865" s="8"/>
    </row>
    <row r="866" spans="1:17" ht="15.75" customHeight="1" x14ac:dyDescent="0.3">
      <c r="A866" s="36"/>
      <c r="B866" s="36"/>
      <c r="C866" s="36"/>
      <c r="K866" s="37"/>
      <c r="N866" s="38"/>
      <c r="Q866" s="8"/>
    </row>
    <row r="867" spans="1:17" ht="15.75" customHeight="1" x14ac:dyDescent="0.3">
      <c r="A867" s="36"/>
      <c r="B867" s="36"/>
      <c r="C867" s="36"/>
      <c r="K867" s="37"/>
      <c r="N867" s="38"/>
      <c r="Q867" s="8"/>
    </row>
    <row r="868" spans="1:17" ht="15.75" customHeight="1" x14ac:dyDescent="0.3">
      <c r="A868" s="36"/>
      <c r="B868" s="36"/>
      <c r="C868" s="36"/>
      <c r="K868" s="37"/>
      <c r="N868" s="38"/>
      <c r="Q868" s="8"/>
    </row>
    <row r="869" spans="1:17" ht="15.75" customHeight="1" x14ac:dyDescent="0.3">
      <c r="A869" s="36"/>
      <c r="B869" s="36"/>
      <c r="C869" s="36"/>
      <c r="K869" s="37"/>
      <c r="N869" s="38"/>
      <c r="Q869" s="8"/>
    </row>
    <row r="870" spans="1:17" ht="15.75" customHeight="1" x14ac:dyDescent="0.3">
      <c r="A870" s="36"/>
      <c r="B870" s="36"/>
      <c r="C870" s="36"/>
      <c r="K870" s="37"/>
      <c r="N870" s="38"/>
      <c r="Q870" s="8"/>
    </row>
    <row r="871" spans="1:17" ht="15.75" customHeight="1" x14ac:dyDescent="0.3">
      <c r="A871" s="36"/>
      <c r="B871" s="36"/>
      <c r="C871" s="36"/>
      <c r="K871" s="37"/>
      <c r="N871" s="38"/>
      <c r="Q871" s="8"/>
    </row>
    <row r="872" spans="1:17" ht="15.75" customHeight="1" x14ac:dyDescent="0.3">
      <c r="A872" s="36"/>
      <c r="B872" s="36"/>
      <c r="C872" s="36"/>
      <c r="K872" s="37"/>
      <c r="N872" s="38"/>
      <c r="Q872" s="8"/>
    </row>
    <row r="873" spans="1:17" ht="15.75" customHeight="1" x14ac:dyDescent="0.3">
      <c r="A873" s="36"/>
      <c r="B873" s="36"/>
      <c r="C873" s="36"/>
      <c r="K873" s="37"/>
      <c r="N873" s="38"/>
      <c r="Q873" s="8"/>
    </row>
    <row r="874" spans="1:17" ht="15.75" customHeight="1" x14ac:dyDescent="0.3">
      <c r="A874" s="36"/>
      <c r="B874" s="36"/>
      <c r="C874" s="36"/>
      <c r="K874" s="37"/>
      <c r="N874" s="38"/>
      <c r="Q874" s="8"/>
    </row>
    <row r="875" spans="1:17" ht="15.75" customHeight="1" x14ac:dyDescent="0.3">
      <c r="A875" s="36"/>
      <c r="B875" s="36"/>
      <c r="C875" s="36"/>
      <c r="K875" s="37"/>
      <c r="N875" s="38"/>
      <c r="Q875" s="8"/>
    </row>
    <row r="876" spans="1:17" ht="15.75" customHeight="1" x14ac:dyDescent="0.3">
      <c r="A876" s="36"/>
      <c r="B876" s="36"/>
      <c r="C876" s="36"/>
      <c r="K876" s="37"/>
      <c r="N876" s="38"/>
      <c r="Q876" s="8"/>
    </row>
    <row r="877" spans="1:17" ht="15.75" customHeight="1" x14ac:dyDescent="0.3">
      <c r="A877" s="36"/>
      <c r="B877" s="36"/>
      <c r="C877" s="36"/>
      <c r="K877" s="37"/>
      <c r="N877" s="38"/>
      <c r="Q877" s="8"/>
    </row>
    <row r="878" spans="1:17" ht="15.75" customHeight="1" x14ac:dyDescent="0.3">
      <c r="A878" s="36"/>
      <c r="B878" s="36"/>
      <c r="C878" s="36"/>
      <c r="K878" s="37"/>
      <c r="N878" s="38"/>
      <c r="Q878" s="8"/>
    </row>
    <row r="879" spans="1:17" ht="15.75" customHeight="1" x14ac:dyDescent="0.3">
      <c r="A879" s="36"/>
      <c r="B879" s="36"/>
      <c r="C879" s="36"/>
      <c r="K879" s="37"/>
      <c r="N879" s="38"/>
      <c r="Q879" s="8"/>
    </row>
    <row r="880" spans="1:17" ht="15.75" customHeight="1" x14ac:dyDescent="0.3">
      <c r="A880" s="36"/>
      <c r="B880" s="36"/>
      <c r="C880" s="36"/>
      <c r="K880" s="37"/>
      <c r="N880" s="38"/>
      <c r="Q880" s="8"/>
    </row>
    <row r="881" spans="1:17" ht="15.75" customHeight="1" x14ac:dyDescent="0.3">
      <c r="A881" s="36"/>
      <c r="B881" s="36"/>
      <c r="C881" s="36"/>
      <c r="K881" s="37"/>
      <c r="N881" s="38"/>
      <c r="Q881" s="8"/>
    </row>
    <row r="882" spans="1:17" ht="15.75" customHeight="1" x14ac:dyDescent="0.3">
      <c r="A882" s="36"/>
      <c r="B882" s="36"/>
      <c r="C882" s="36"/>
      <c r="K882" s="37"/>
      <c r="N882" s="38"/>
      <c r="Q882" s="8"/>
    </row>
    <row r="883" spans="1:17" ht="15.75" customHeight="1" x14ac:dyDescent="0.3">
      <c r="A883" s="36"/>
      <c r="B883" s="36"/>
      <c r="C883" s="36"/>
      <c r="K883" s="37"/>
      <c r="N883" s="38"/>
      <c r="Q883" s="8"/>
    </row>
    <row r="884" spans="1:17" ht="15.75" customHeight="1" x14ac:dyDescent="0.3">
      <c r="A884" s="36"/>
      <c r="B884" s="36"/>
      <c r="C884" s="36"/>
      <c r="K884" s="37"/>
      <c r="N884" s="38"/>
      <c r="Q884" s="8"/>
    </row>
    <row r="885" spans="1:17" ht="15.75" customHeight="1" x14ac:dyDescent="0.3">
      <c r="A885" s="36"/>
      <c r="B885" s="36"/>
      <c r="C885" s="36"/>
      <c r="K885" s="37"/>
      <c r="N885" s="38"/>
      <c r="Q885" s="8"/>
    </row>
    <row r="886" spans="1:17" ht="15.75" customHeight="1" x14ac:dyDescent="0.3">
      <c r="A886" s="36"/>
      <c r="B886" s="36"/>
      <c r="C886" s="36"/>
      <c r="K886" s="37"/>
      <c r="N886" s="38"/>
      <c r="Q886" s="8"/>
    </row>
    <row r="887" spans="1:17" ht="15.75" customHeight="1" x14ac:dyDescent="0.3">
      <c r="A887" s="36"/>
      <c r="B887" s="36"/>
      <c r="C887" s="36"/>
      <c r="K887" s="37"/>
      <c r="N887" s="38"/>
      <c r="Q887" s="8"/>
    </row>
    <row r="888" spans="1:17" ht="15.75" customHeight="1" x14ac:dyDescent="0.3">
      <c r="A888" s="36"/>
      <c r="B888" s="36"/>
      <c r="C888" s="36"/>
      <c r="K888" s="37"/>
      <c r="N888" s="38"/>
      <c r="Q888" s="8"/>
    </row>
    <row r="889" spans="1:17" ht="15.75" customHeight="1" x14ac:dyDescent="0.3">
      <c r="A889" s="36"/>
      <c r="B889" s="36"/>
      <c r="C889" s="36"/>
      <c r="K889" s="37"/>
      <c r="N889" s="38"/>
      <c r="Q889" s="8"/>
    </row>
    <row r="890" spans="1:17" ht="15.75" customHeight="1" x14ac:dyDescent="0.3">
      <c r="A890" s="36"/>
      <c r="B890" s="36"/>
      <c r="C890" s="36"/>
      <c r="K890" s="37"/>
      <c r="N890" s="38"/>
      <c r="Q890" s="8"/>
    </row>
    <row r="891" spans="1:17" ht="15.75" customHeight="1" x14ac:dyDescent="0.3">
      <c r="A891" s="36"/>
      <c r="B891" s="36"/>
      <c r="C891" s="36"/>
      <c r="K891" s="37"/>
      <c r="N891" s="38"/>
      <c r="Q891" s="8"/>
    </row>
    <row r="892" spans="1:17" ht="15.75" customHeight="1" x14ac:dyDescent="0.3">
      <c r="A892" s="36"/>
      <c r="B892" s="36"/>
      <c r="C892" s="36"/>
      <c r="K892" s="37"/>
      <c r="N892" s="38"/>
      <c r="Q892" s="8"/>
    </row>
    <row r="893" spans="1:17" ht="15.75" customHeight="1" x14ac:dyDescent="0.3">
      <c r="A893" s="36"/>
      <c r="B893" s="36"/>
      <c r="C893" s="36"/>
      <c r="K893" s="37"/>
      <c r="N893" s="38"/>
      <c r="Q893" s="8"/>
    </row>
    <row r="894" spans="1:17" ht="15.75" customHeight="1" x14ac:dyDescent="0.3">
      <c r="A894" s="36"/>
      <c r="B894" s="36"/>
      <c r="C894" s="36"/>
      <c r="K894" s="37"/>
      <c r="N894" s="38"/>
      <c r="Q894" s="8"/>
    </row>
    <row r="895" spans="1:17" ht="15.75" customHeight="1" x14ac:dyDescent="0.3">
      <c r="A895" s="36"/>
      <c r="B895" s="36"/>
      <c r="C895" s="36"/>
      <c r="K895" s="37"/>
      <c r="N895" s="38"/>
      <c r="Q895" s="8"/>
    </row>
    <row r="896" spans="1:17" ht="15.75" customHeight="1" x14ac:dyDescent="0.3">
      <c r="A896" s="36"/>
      <c r="B896" s="36"/>
      <c r="C896" s="36"/>
      <c r="K896" s="37"/>
      <c r="N896" s="38"/>
      <c r="Q896" s="8"/>
    </row>
    <row r="897" spans="1:17" ht="15.75" customHeight="1" x14ac:dyDescent="0.3">
      <c r="A897" s="36"/>
      <c r="B897" s="36"/>
      <c r="C897" s="36"/>
      <c r="K897" s="37"/>
      <c r="N897" s="38"/>
      <c r="Q897" s="8"/>
    </row>
    <row r="898" spans="1:17" ht="15.75" customHeight="1" x14ac:dyDescent="0.3">
      <c r="A898" s="36"/>
      <c r="B898" s="36"/>
      <c r="C898" s="36"/>
      <c r="K898" s="37"/>
      <c r="N898" s="38"/>
      <c r="Q898" s="8"/>
    </row>
    <row r="899" spans="1:17" ht="15.75" customHeight="1" x14ac:dyDescent="0.3">
      <c r="A899" s="36"/>
      <c r="B899" s="36"/>
      <c r="C899" s="36"/>
      <c r="K899" s="37"/>
      <c r="N899" s="38"/>
      <c r="Q899" s="8"/>
    </row>
    <row r="900" spans="1:17" ht="15.75" customHeight="1" x14ac:dyDescent="0.3">
      <c r="A900" s="36"/>
      <c r="B900" s="36"/>
      <c r="C900" s="36"/>
      <c r="K900" s="37"/>
      <c r="N900" s="38"/>
      <c r="Q900" s="8"/>
    </row>
    <row r="901" spans="1:17" ht="15.75" customHeight="1" x14ac:dyDescent="0.3">
      <c r="A901" s="36"/>
      <c r="B901" s="36"/>
      <c r="C901" s="36"/>
      <c r="K901" s="37"/>
      <c r="N901" s="38"/>
      <c r="Q901" s="8"/>
    </row>
    <row r="902" spans="1:17" ht="15.75" customHeight="1" x14ac:dyDescent="0.3">
      <c r="A902" s="36"/>
      <c r="B902" s="36"/>
      <c r="C902" s="36"/>
      <c r="K902" s="37"/>
      <c r="N902" s="38"/>
      <c r="Q902" s="8"/>
    </row>
    <row r="903" spans="1:17" ht="15.75" customHeight="1" x14ac:dyDescent="0.3">
      <c r="A903" s="36"/>
      <c r="B903" s="36"/>
      <c r="C903" s="36"/>
      <c r="K903" s="37"/>
      <c r="N903" s="38"/>
      <c r="Q903" s="8"/>
    </row>
    <row r="904" spans="1:17" ht="15.75" customHeight="1" x14ac:dyDescent="0.3">
      <c r="A904" s="36"/>
      <c r="B904" s="36"/>
      <c r="C904" s="36"/>
      <c r="K904" s="37"/>
      <c r="N904" s="38"/>
      <c r="Q904" s="8"/>
    </row>
    <row r="905" spans="1:17" ht="15.75" customHeight="1" x14ac:dyDescent="0.3">
      <c r="A905" s="36"/>
      <c r="B905" s="36"/>
      <c r="C905" s="36"/>
      <c r="K905" s="37"/>
      <c r="N905" s="38"/>
      <c r="Q905" s="8"/>
    </row>
    <row r="906" spans="1:17" ht="15.75" customHeight="1" x14ac:dyDescent="0.3">
      <c r="A906" s="36"/>
      <c r="B906" s="36"/>
      <c r="C906" s="36"/>
      <c r="K906" s="37"/>
      <c r="N906" s="38"/>
      <c r="Q906" s="8"/>
    </row>
    <row r="907" spans="1:17" ht="15.75" customHeight="1" x14ac:dyDescent="0.3">
      <c r="A907" s="36"/>
      <c r="B907" s="36"/>
      <c r="C907" s="36"/>
      <c r="K907" s="37"/>
      <c r="N907" s="38"/>
      <c r="Q907" s="8"/>
    </row>
    <row r="908" spans="1:17" ht="15.75" customHeight="1" x14ac:dyDescent="0.3">
      <c r="A908" s="36"/>
      <c r="B908" s="36"/>
      <c r="C908" s="36"/>
      <c r="K908" s="37"/>
      <c r="N908" s="38"/>
      <c r="Q908" s="8"/>
    </row>
    <row r="909" spans="1:17" ht="15.75" customHeight="1" x14ac:dyDescent="0.3">
      <c r="A909" s="36"/>
      <c r="B909" s="36"/>
      <c r="C909" s="36"/>
      <c r="K909" s="37"/>
      <c r="N909" s="38"/>
      <c r="Q909" s="8"/>
    </row>
    <row r="910" spans="1:17" ht="15.75" customHeight="1" x14ac:dyDescent="0.3">
      <c r="A910" s="36"/>
      <c r="B910" s="36"/>
      <c r="C910" s="36"/>
      <c r="K910" s="37"/>
      <c r="N910" s="38"/>
      <c r="Q910" s="8"/>
    </row>
    <row r="911" spans="1:17" ht="15.75" customHeight="1" x14ac:dyDescent="0.3">
      <c r="A911" s="36"/>
      <c r="B911" s="36"/>
      <c r="C911" s="36"/>
      <c r="K911" s="37"/>
      <c r="N911" s="38"/>
      <c r="Q911" s="8"/>
    </row>
    <row r="912" spans="1:17" ht="15.75" customHeight="1" x14ac:dyDescent="0.3">
      <c r="A912" s="36"/>
      <c r="B912" s="36"/>
      <c r="C912" s="36"/>
      <c r="K912" s="37"/>
      <c r="N912" s="38"/>
      <c r="Q912" s="8"/>
    </row>
    <row r="913" spans="1:17" ht="15.75" customHeight="1" x14ac:dyDescent="0.3">
      <c r="A913" s="36"/>
      <c r="B913" s="36"/>
      <c r="C913" s="36"/>
      <c r="K913" s="37"/>
      <c r="N913" s="38"/>
      <c r="Q913" s="8"/>
    </row>
    <row r="914" spans="1:17" ht="15.75" customHeight="1" x14ac:dyDescent="0.3">
      <c r="A914" s="36"/>
      <c r="B914" s="36"/>
      <c r="C914" s="36"/>
      <c r="K914" s="37"/>
      <c r="N914" s="38"/>
      <c r="Q914" s="8"/>
    </row>
    <row r="915" spans="1:17" ht="15.75" customHeight="1" x14ac:dyDescent="0.3">
      <c r="A915" s="36"/>
      <c r="B915" s="36"/>
      <c r="C915" s="36"/>
      <c r="K915" s="37"/>
      <c r="N915" s="38"/>
      <c r="Q915" s="8"/>
    </row>
    <row r="916" spans="1:17" ht="15.75" customHeight="1" x14ac:dyDescent="0.3">
      <c r="A916" s="36"/>
      <c r="B916" s="36"/>
      <c r="C916" s="36"/>
      <c r="K916" s="37"/>
      <c r="N916" s="38"/>
      <c r="Q916" s="8"/>
    </row>
    <row r="917" spans="1:17" ht="15.75" customHeight="1" x14ac:dyDescent="0.3">
      <c r="A917" s="36"/>
      <c r="B917" s="36"/>
      <c r="C917" s="36"/>
      <c r="K917" s="37"/>
      <c r="N917" s="38"/>
      <c r="Q917" s="8"/>
    </row>
    <row r="918" spans="1:17" ht="15.75" customHeight="1" x14ac:dyDescent="0.3">
      <c r="A918" s="36"/>
      <c r="B918" s="36"/>
      <c r="C918" s="36"/>
      <c r="K918" s="37"/>
      <c r="N918" s="38"/>
      <c r="Q918" s="8"/>
    </row>
    <row r="919" spans="1:17" ht="15.75" customHeight="1" x14ac:dyDescent="0.3">
      <c r="A919" s="36"/>
      <c r="B919" s="36"/>
      <c r="C919" s="36"/>
      <c r="K919" s="37"/>
      <c r="N919" s="38"/>
      <c r="Q919" s="8"/>
    </row>
    <row r="920" spans="1:17" ht="15.75" customHeight="1" x14ac:dyDescent="0.3">
      <c r="A920" s="36"/>
      <c r="B920" s="36"/>
      <c r="C920" s="36"/>
      <c r="K920" s="37"/>
      <c r="N920" s="38"/>
      <c r="Q920" s="8"/>
    </row>
    <row r="921" spans="1:17" ht="15.75" customHeight="1" x14ac:dyDescent="0.3">
      <c r="A921" s="36"/>
      <c r="B921" s="36"/>
      <c r="C921" s="36"/>
      <c r="K921" s="37"/>
      <c r="N921" s="38"/>
      <c r="Q921" s="8"/>
    </row>
    <row r="922" spans="1:17" ht="15.75" customHeight="1" x14ac:dyDescent="0.3">
      <c r="A922" s="36"/>
      <c r="B922" s="36"/>
      <c r="C922" s="36"/>
      <c r="K922" s="37"/>
      <c r="N922" s="38"/>
      <c r="Q922" s="8"/>
    </row>
    <row r="923" spans="1:17" ht="15.75" customHeight="1" x14ac:dyDescent="0.3">
      <c r="A923" s="36"/>
      <c r="B923" s="36"/>
      <c r="C923" s="36"/>
      <c r="K923" s="37"/>
      <c r="N923" s="38"/>
      <c r="Q923" s="8"/>
    </row>
    <row r="924" spans="1:17" ht="15.75" customHeight="1" x14ac:dyDescent="0.3">
      <c r="A924" s="36"/>
      <c r="B924" s="36"/>
      <c r="C924" s="36"/>
      <c r="K924" s="37"/>
      <c r="N924" s="38"/>
      <c r="Q924" s="8"/>
    </row>
    <row r="925" spans="1:17" ht="15.75" customHeight="1" x14ac:dyDescent="0.3">
      <c r="A925" s="36"/>
      <c r="B925" s="36"/>
      <c r="C925" s="36"/>
      <c r="K925" s="37"/>
      <c r="N925" s="38"/>
      <c r="Q925" s="8"/>
    </row>
    <row r="926" spans="1:17" ht="15.75" customHeight="1" x14ac:dyDescent="0.3">
      <c r="A926" s="36"/>
      <c r="B926" s="36"/>
      <c r="C926" s="36"/>
      <c r="K926" s="37"/>
      <c r="N926" s="38"/>
      <c r="Q926" s="8"/>
    </row>
    <row r="927" spans="1:17" ht="15.75" customHeight="1" x14ac:dyDescent="0.3">
      <c r="A927" s="36"/>
      <c r="B927" s="36"/>
      <c r="C927" s="36"/>
      <c r="K927" s="37"/>
      <c r="N927" s="38"/>
      <c r="Q927" s="8"/>
    </row>
    <row r="928" spans="1:17" ht="15.75" customHeight="1" x14ac:dyDescent="0.3">
      <c r="A928" s="36"/>
      <c r="B928" s="36"/>
      <c r="C928" s="36"/>
      <c r="K928" s="37"/>
      <c r="N928" s="38"/>
      <c r="Q928" s="8"/>
    </row>
    <row r="929" spans="1:17" ht="15.75" customHeight="1" x14ac:dyDescent="0.3">
      <c r="A929" s="36"/>
      <c r="B929" s="36"/>
      <c r="C929" s="36"/>
      <c r="K929" s="37"/>
      <c r="N929" s="38"/>
      <c r="Q929" s="8"/>
    </row>
    <row r="930" spans="1:17" ht="15.75" customHeight="1" x14ac:dyDescent="0.3">
      <c r="A930" s="36"/>
      <c r="B930" s="36"/>
      <c r="C930" s="36"/>
      <c r="K930" s="37"/>
      <c r="N930" s="38"/>
      <c r="Q930" s="8"/>
    </row>
    <row r="931" spans="1:17" ht="15.75" customHeight="1" x14ac:dyDescent="0.3">
      <c r="A931" s="36"/>
      <c r="B931" s="36"/>
      <c r="C931" s="36"/>
      <c r="K931" s="37"/>
      <c r="N931" s="38"/>
      <c r="Q931" s="8"/>
    </row>
    <row r="932" spans="1:17" ht="15.75" customHeight="1" x14ac:dyDescent="0.3">
      <c r="A932" s="36"/>
      <c r="B932" s="36"/>
      <c r="C932" s="36"/>
      <c r="K932" s="37"/>
      <c r="N932" s="38"/>
      <c r="Q932" s="8"/>
    </row>
    <row r="933" spans="1:17" ht="15.75" customHeight="1" x14ac:dyDescent="0.3">
      <c r="A933" s="36"/>
      <c r="B933" s="36"/>
      <c r="C933" s="36"/>
      <c r="K933" s="37"/>
      <c r="N933" s="38"/>
      <c r="Q933" s="8"/>
    </row>
    <row r="934" spans="1:17" ht="15.75" customHeight="1" x14ac:dyDescent="0.3">
      <c r="A934" s="36"/>
      <c r="B934" s="36"/>
      <c r="C934" s="36"/>
      <c r="K934" s="37"/>
      <c r="N934" s="38"/>
      <c r="Q934" s="8"/>
    </row>
    <row r="935" spans="1:17" ht="15.75" customHeight="1" x14ac:dyDescent="0.3">
      <c r="A935" s="36"/>
      <c r="B935" s="36"/>
      <c r="C935" s="36"/>
      <c r="K935" s="37"/>
      <c r="N935" s="38"/>
      <c r="Q935" s="8"/>
    </row>
    <row r="936" spans="1:17" ht="15.75" customHeight="1" x14ac:dyDescent="0.3">
      <c r="A936" s="36"/>
      <c r="B936" s="36"/>
      <c r="C936" s="36"/>
      <c r="K936" s="37"/>
      <c r="N936" s="38"/>
      <c r="Q936" s="8"/>
    </row>
    <row r="937" spans="1:17" ht="15.75" customHeight="1" x14ac:dyDescent="0.3">
      <c r="A937" s="36"/>
      <c r="B937" s="36"/>
      <c r="C937" s="36"/>
      <c r="K937" s="37"/>
      <c r="N937" s="38"/>
      <c r="Q937" s="8"/>
    </row>
    <row r="938" spans="1:17" ht="15.75" customHeight="1" x14ac:dyDescent="0.3">
      <c r="A938" s="36"/>
      <c r="B938" s="36"/>
      <c r="C938" s="36"/>
      <c r="K938" s="37"/>
      <c r="N938" s="38"/>
      <c r="Q938" s="8"/>
    </row>
    <row r="939" spans="1:17" ht="15.75" customHeight="1" x14ac:dyDescent="0.3">
      <c r="A939" s="36"/>
      <c r="B939" s="36"/>
      <c r="C939" s="36"/>
      <c r="K939" s="37"/>
      <c r="N939" s="38"/>
      <c r="Q939" s="8"/>
    </row>
    <row r="940" spans="1:17" ht="15.75" customHeight="1" x14ac:dyDescent="0.3">
      <c r="A940" s="36"/>
      <c r="B940" s="36"/>
      <c r="C940" s="36"/>
      <c r="K940" s="37"/>
      <c r="N940" s="38"/>
      <c r="Q940" s="8"/>
    </row>
    <row r="941" spans="1:17" ht="15.75" customHeight="1" x14ac:dyDescent="0.3">
      <c r="A941" s="36"/>
      <c r="B941" s="36"/>
      <c r="C941" s="36"/>
      <c r="K941" s="37"/>
      <c r="N941" s="38"/>
      <c r="Q941" s="8"/>
    </row>
    <row r="942" spans="1:17" ht="15.75" customHeight="1" x14ac:dyDescent="0.3">
      <c r="A942" s="36"/>
      <c r="B942" s="36"/>
      <c r="C942" s="36"/>
      <c r="K942" s="37"/>
      <c r="N942" s="38"/>
      <c r="Q942" s="8"/>
    </row>
    <row r="943" spans="1:17" ht="15.75" customHeight="1" x14ac:dyDescent="0.3">
      <c r="A943" s="36"/>
      <c r="B943" s="36"/>
      <c r="C943" s="36"/>
      <c r="K943" s="37"/>
      <c r="N943" s="38"/>
      <c r="Q943" s="8"/>
    </row>
    <row r="944" spans="1:17" ht="15.75" customHeight="1" x14ac:dyDescent="0.3">
      <c r="A944" s="36"/>
      <c r="B944" s="36"/>
      <c r="C944" s="36"/>
      <c r="K944" s="37"/>
      <c r="N944" s="38"/>
      <c r="Q944" s="8"/>
    </row>
    <row r="945" spans="1:17" ht="15.75" customHeight="1" x14ac:dyDescent="0.3">
      <c r="A945" s="36"/>
      <c r="B945" s="36"/>
      <c r="C945" s="36"/>
      <c r="K945" s="37"/>
      <c r="N945" s="38"/>
      <c r="Q945" s="8"/>
    </row>
    <row r="946" spans="1:17" ht="15.75" customHeight="1" x14ac:dyDescent="0.3">
      <c r="A946" s="36"/>
      <c r="B946" s="36"/>
      <c r="C946" s="36"/>
      <c r="K946" s="37"/>
      <c r="N946" s="38"/>
      <c r="Q946" s="8"/>
    </row>
    <row r="947" spans="1:17" ht="15.75" customHeight="1" x14ac:dyDescent="0.3">
      <c r="A947" s="36"/>
      <c r="B947" s="36"/>
      <c r="C947" s="36"/>
      <c r="K947" s="37"/>
      <c r="N947" s="38"/>
      <c r="Q947" s="8"/>
    </row>
    <row r="948" spans="1:17" ht="15.75" customHeight="1" x14ac:dyDescent="0.3">
      <c r="A948" s="36"/>
      <c r="B948" s="36"/>
      <c r="C948" s="36"/>
      <c r="K948" s="37"/>
      <c r="N948" s="38"/>
      <c r="Q948" s="8"/>
    </row>
    <row r="949" spans="1:17" ht="15.75" customHeight="1" x14ac:dyDescent="0.3">
      <c r="A949" s="36"/>
      <c r="B949" s="36"/>
      <c r="C949" s="36"/>
      <c r="K949" s="37"/>
      <c r="N949" s="38"/>
      <c r="Q949" s="8"/>
    </row>
    <row r="950" spans="1:17" ht="15.75" customHeight="1" x14ac:dyDescent="0.3">
      <c r="A950" s="36"/>
      <c r="B950" s="36"/>
      <c r="C950" s="36"/>
      <c r="K950" s="37"/>
      <c r="N950" s="38"/>
      <c r="Q950" s="8"/>
    </row>
    <row r="951" spans="1:17" ht="15.75" customHeight="1" x14ac:dyDescent="0.3">
      <c r="A951" s="36"/>
      <c r="B951" s="36"/>
      <c r="C951" s="36"/>
      <c r="K951" s="37"/>
      <c r="N951" s="38"/>
      <c r="Q951" s="8"/>
    </row>
    <row r="952" spans="1:17" ht="15.75" customHeight="1" x14ac:dyDescent="0.3">
      <c r="A952" s="36"/>
      <c r="B952" s="36"/>
      <c r="C952" s="36"/>
      <c r="K952" s="37"/>
      <c r="N952" s="38"/>
      <c r="Q952" s="8"/>
    </row>
    <row r="953" spans="1:17" ht="15.75" customHeight="1" x14ac:dyDescent="0.3">
      <c r="A953" s="36"/>
      <c r="B953" s="36"/>
      <c r="C953" s="36"/>
      <c r="K953" s="37"/>
      <c r="N953" s="38"/>
      <c r="Q953" s="8"/>
    </row>
    <row r="954" spans="1:17" ht="15.75" customHeight="1" x14ac:dyDescent="0.3">
      <c r="A954" s="36"/>
      <c r="B954" s="36"/>
      <c r="C954" s="36"/>
      <c r="K954" s="37"/>
      <c r="N954" s="38"/>
      <c r="Q954" s="8"/>
    </row>
    <row r="955" spans="1:17" ht="15.75" customHeight="1" x14ac:dyDescent="0.3">
      <c r="A955" s="36"/>
      <c r="B955" s="36"/>
      <c r="C955" s="36"/>
      <c r="K955" s="37"/>
      <c r="N955" s="38"/>
      <c r="Q955" s="8"/>
    </row>
    <row r="956" spans="1:17" ht="15.75" customHeight="1" x14ac:dyDescent="0.3">
      <c r="A956" s="36"/>
      <c r="B956" s="36"/>
      <c r="C956" s="36"/>
      <c r="K956" s="37"/>
      <c r="N956" s="38"/>
      <c r="Q956" s="8"/>
    </row>
    <row r="957" spans="1:17" ht="15.75" customHeight="1" x14ac:dyDescent="0.3">
      <c r="A957" s="36"/>
      <c r="B957" s="36"/>
      <c r="C957" s="36"/>
      <c r="K957" s="37"/>
      <c r="N957" s="38"/>
      <c r="Q957" s="8"/>
    </row>
    <row r="958" spans="1:17" ht="15.75" customHeight="1" x14ac:dyDescent="0.3">
      <c r="A958" s="36"/>
      <c r="B958" s="36"/>
      <c r="C958" s="36"/>
      <c r="K958" s="37"/>
      <c r="N958" s="38"/>
      <c r="Q958" s="8"/>
    </row>
    <row r="959" spans="1:17" ht="15.75" customHeight="1" x14ac:dyDescent="0.3">
      <c r="A959" s="36"/>
      <c r="B959" s="36"/>
      <c r="C959" s="36"/>
      <c r="K959" s="37"/>
      <c r="N959" s="38"/>
      <c r="Q959" s="8"/>
    </row>
    <row r="960" spans="1:17" ht="15.75" customHeight="1" x14ac:dyDescent="0.3">
      <c r="A960" s="36"/>
      <c r="B960" s="36"/>
      <c r="C960" s="36"/>
      <c r="K960" s="37"/>
      <c r="N960" s="38"/>
      <c r="Q960" s="8"/>
    </row>
    <row r="961" spans="1:17" ht="15.75" customHeight="1" x14ac:dyDescent="0.3">
      <c r="A961" s="36"/>
      <c r="B961" s="36"/>
      <c r="C961" s="36"/>
      <c r="K961" s="37"/>
      <c r="N961" s="38"/>
      <c r="Q961" s="8"/>
    </row>
    <row r="962" spans="1:17" ht="15.75" customHeight="1" x14ac:dyDescent="0.3">
      <c r="A962" s="36"/>
      <c r="B962" s="36"/>
      <c r="C962" s="36"/>
      <c r="K962" s="37"/>
      <c r="N962" s="38"/>
      <c r="Q962" s="8"/>
    </row>
    <row r="963" spans="1:17" ht="15.75" customHeight="1" x14ac:dyDescent="0.3">
      <c r="A963" s="36"/>
      <c r="B963" s="36"/>
      <c r="C963" s="36"/>
      <c r="K963" s="37"/>
      <c r="N963" s="38"/>
      <c r="Q963" s="8"/>
    </row>
    <row r="964" spans="1:17" ht="15.75" customHeight="1" x14ac:dyDescent="0.3">
      <c r="A964" s="36"/>
      <c r="B964" s="36"/>
      <c r="C964" s="36"/>
      <c r="K964" s="37"/>
      <c r="N964" s="38"/>
      <c r="Q964" s="8"/>
    </row>
    <row r="965" spans="1:17" ht="15.75" customHeight="1" x14ac:dyDescent="0.3">
      <c r="A965" s="36"/>
      <c r="B965" s="36"/>
      <c r="C965" s="36"/>
      <c r="K965" s="37"/>
      <c r="N965" s="38"/>
      <c r="Q965" s="8"/>
    </row>
    <row r="966" spans="1:17" ht="15.75" customHeight="1" x14ac:dyDescent="0.3">
      <c r="A966" s="36"/>
      <c r="B966" s="36"/>
      <c r="C966" s="36"/>
      <c r="K966" s="37"/>
      <c r="N966" s="38"/>
      <c r="Q966" s="8"/>
    </row>
    <row r="967" spans="1:17" ht="15.75" customHeight="1" x14ac:dyDescent="0.3">
      <c r="A967" s="36"/>
      <c r="B967" s="36"/>
      <c r="C967" s="36"/>
      <c r="K967" s="37"/>
      <c r="N967" s="38"/>
      <c r="Q967" s="8"/>
    </row>
    <row r="968" spans="1:17" ht="15.75" customHeight="1" x14ac:dyDescent="0.3">
      <c r="A968" s="36"/>
      <c r="B968" s="36"/>
      <c r="C968" s="36"/>
      <c r="K968" s="37"/>
      <c r="N968" s="38"/>
      <c r="Q968" s="8"/>
    </row>
    <row r="969" spans="1:17" ht="15.75" customHeight="1" x14ac:dyDescent="0.3">
      <c r="A969" s="36"/>
      <c r="B969" s="36"/>
      <c r="C969" s="36"/>
      <c r="K969" s="37"/>
      <c r="N969" s="38"/>
      <c r="Q969" s="8"/>
    </row>
    <row r="970" spans="1:17" ht="15.75" customHeight="1" x14ac:dyDescent="0.3">
      <c r="A970" s="36"/>
      <c r="B970" s="36"/>
      <c r="C970" s="36"/>
      <c r="K970" s="37"/>
      <c r="N970" s="38"/>
      <c r="Q970" s="8"/>
    </row>
    <row r="971" spans="1:17" ht="15.75" customHeight="1" x14ac:dyDescent="0.3">
      <c r="A971" s="36"/>
      <c r="B971" s="36"/>
      <c r="C971" s="36"/>
      <c r="K971" s="37"/>
      <c r="N971" s="38"/>
      <c r="Q971" s="8"/>
    </row>
    <row r="972" spans="1:17" ht="15.75" customHeight="1" x14ac:dyDescent="0.3">
      <c r="A972" s="36"/>
      <c r="B972" s="36"/>
      <c r="C972" s="36"/>
      <c r="K972" s="37"/>
      <c r="N972" s="38"/>
      <c r="Q972" s="8"/>
    </row>
    <row r="973" spans="1:17" ht="15.75" customHeight="1" x14ac:dyDescent="0.3">
      <c r="A973" s="36"/>
      <c r="B973" s="36"/>
      <c r="C973" s="36"/>
      <c r="K973" s="37"/>
      <c r="N973" s="38"/>
      <c r="Q973" s="8"/>
    </row>
    <row r="974" spans="1:17" ht="15.75" customHeight="1" x14ac:dyDescent="0.3">
      <c r="A974" s="36"/>
      <c r="B974" s="36"/>
      <c r="C974" s="36"/>
      <c r="K974" s="37"/>
      <c r="N974" s="38"/>
      <c r="Q974" s="8"/>
    </row>
    <row r="975" spans="1:17" ht="15.75" customHeight="1" x14ac:dyDescent="0.3">
      <c r="A975" s="36"/>
      <c r="B975" s="36"/>
      <c r="C975" s="36"/>
      <c r="K975" s="37"/>
      <c r="N975" s="38"/>
      <c r="Q975" s="8"/>
    </row>
    <row r="976" spans="1:17" ht="15.75" customHeight="1" x14ac:dyDescent="0.3">
      <c r="A976" s="36"/>
      <c r="B976" s="36"/>
      <c r="C976" s="36"/>
      <c r="K976" s="37"/>
      <c r="N976" s="38"/>
      <c r="Q976" s="8"/>
    </row>
    <row r="977" spans="1:17" ht="15.75" customHeight="1" x14ac:dyDescent="0.3">
      <c r="A977" s="36"/>
      <c r="B977" s="36"/>
      <c r="C977" s="36"/>
      <c r="K977" s="37"/>
      <c r="N977" s="38"/>
      <c r="Q977" s="8"/>
    </row>
    <row r="978" spans="1:17" ht="15.75" customHeight="1" x14ac:dyDescent="0.3">
      <c r="A978" s="36"/>
      <c r="B978" s="36"/>
      <c r="C978" s="36"/>
      <c r="K978" s="37"/>
      <c r="N978" s="38"/>
      <c r="Q978" s="8"/>
    </row>
    <row r="979" spans="1:17" ht="15.75" customHeight="1" x14ac:dyDescent="0.3">
      <c r="A979" s="36"/>
      <c r="B979" s="36"/>
      <c r="C979" s="36"/>
      <c r="K979" s="37"/>
      <c r="N979" s="38"/>
      <c r="Q979" s="8"/>
    </row>
    <row r="980" spans="1:17" ht="15.75" customHeight="1" x14ac:dyDescent="0.3">
      <c r="A980" s="36"/>
      <c r="B980" s="36"/>
      <c r="C980" s="36"/>
      <c r="K980" s="37"/>
      <c r="N980" s="38"/>
      <c r="Q980" s="8"/>
    </row>
    <row r="981" spans="1:17" ht="15.75" customHeight="1" x14ac:dyDescent="0.3">
      <c r="A981" s="36"/>
      <c r="B981" s="36"/>
      <c r="C981" s="36"/>
      <c r="K981" s="37"/>
      <c r="N981" s="38"/>
      <c r="Q981" s="8"/>
    </row>
    <row r="982" spans="1:17" ht="15.75" customHeight="1" x14ac:dyDescent="0.3">
      <c r="A982" s="36"/>
      <c r="B982" s="36"/>
      <c r="C982" s="36"/>
      <c r="K982" s="37"/>
      <c r="N982" s="38"/>
      <c r="Q982" s="8"/>
    </row>
    <row r="983" spans="1:17" ht="15.75" customHeight="1" x14ac:dyDescent="0.3">
      <c r="A983" s="36"/>
      <c r="B983" s="36"/>
      <c r="C983" s="36"/>
      <c r="K983" s="37"/>
      <c r="N983" s="38"/>
      <c r="Q983" s="8"/>
    </row>
    <row r="984" spans="1:17" ht="15.75" customHeight="1" x14ac:dyDescent="0.3">
      <c r="A984" s="36"/>
      <c r="B984" s="36"/>
      <c r="C984" s="36"/>
      <c r="K984" s="37"/>
      <c r="N984" s="38"/>
      <c r="Q984" s="8"/>
    </row>
    <row r="985" spans="1:17" ht="15.75" customHeight="1" x14ac:dyDescent="0.3">
      <c r="A985" s="36"/>
      <c r="B985" s="36"/>
      <c r="C985" s="36"/>
      <c r="K985" s="37"/>
      <c r="N985" s="38"/>
      <c r="Q985" s="8"/>
    </row>
    <row r="986" spans="1:17" ht="15.75" customHeight="1" x14ac:dyDescent="0.3">
      <c r="A986" s="36"/>
      <c r="B986" s="36"/>
      <c r="C986" s="36"/>
      <c r="K986" s="37"/>
      <c r="N986" s="38"/>
      <c r="Q986" s="8"/>
    </row>
    <row r="987" spans="1:17" ht="15.75" customHeight="1" x14ac:dyDescent="0.3">
      <c r="A987" s="36"/>
      <c r="B987" s="36"/>
      <c r="C987" s="36"/>
      <c r="K987" s="37"/>
      <c r="N987" s="38"/>
      <c r="Q987" s="8"/>
    </row>
    <row r="988" spans="1:17" ht="15.75" customHeight="1" x14ac:dyDescent="0.3">
      <c r="A988" s="36"/>
      <c r="B988" s="36"/>
      <c r="C988" s="36"/>
      <c r="K988" s="37"/>
      <c r="N988" s="38"/>
      <c r="Q988" s="8"/>
    </row>
    <row r="989" spans="1:17" ht="15.75" customHeight="1" x14ac:dyDescent="0.3">
      <c r="A989" s="36"/>
      <c r="B989" s="36"/>
      <c r="C989" s="36"/>
      <c r="K989" s="37"/>
      <c r="N989" s="38"/>
      <c r="Q989" s="8"/>
    </row>
    <row r="990" spans="1:17" ht="15.75" customHeight="1" x14ac:dyDescent="0.3">
      <c r="A990" s="36"/>
      <c r="B990" s="36"/>
      <c r="C990" s="36"/>
      <c r="K990" s="37"/>
      <c r="N990" s="38"/>
      <c r="Q990" s="8"/>
    </row>
    <row r="991" spans="1:17" ht="15.75" customHeight="1" x14ac:dyDescent="0.3">
      <c r="A991" s="36"/>
      <c r="B991" s="36"/>
      <c r="C991" s="36"/>
      <c r="K991" s="37"/>
      <c r="N991" s="38"/>
      <c r="Q991" s="8"/>
    </row>
    <row r="992" spans="1:17" ht="15.75" customHeight="1" x14ac:dyDescent="0.3">
      <c r="A992" s="36"/>
      <c r="B992" s="36"/>
      <c r="C992" s="36"/>
      <c r="K992" s="37"/>
      <c r="N992" s="38"/>
      <c r="Q992" s="8"/>
    </row>
    <row r="993" spans="1:17" ht="15.75" customHeight="1" x14ac:dyDescent="0.3">
      <c r="A993" s="36"/>
      <c r="B993" s="36"/>
      <c r="C993" s="36"/>
      <c r="K993" s="37"/>
      <c r="N993" s="38"/>
      <c r="Q993" s="8"/>
    </row>
    <row r="994" spans="1:17" ht="15.75" customHeight="1" x14ac:dyDescent="0.3">
      <c r="A994" s="36"/>
      <c r="B994" s="36"/>
      <c r="C994" s="36"/>
      <c r="K994" s="37"/>
      <c r="N994" s="38"/>
      <c r="Q994" s="8"/>
    </row>
    <row r="995" spans="1:17" ht="15.75" customHeight="1" x14ac:dyDescent="0.3">
      <c r="A995" s="36"/>
      <c r="B995" s="36"/>
      <c r="C995" s="36"/>
      <c r="K995" s="37"/>
      <c r="N995" s="38"/>
      <c r="Q995" s="8"/>
    </row>
    <row r="996" spans="1:17" ht="15.75" customHeight="1" x14ac:dyDescent="0.3">
      <c r="A996" s="36"/>
      <c r="B996" s="36"/>
      <c r="C996" s="36"/>
      <c r="K996" s="37"/>
      <c r="N996" s="38"/>
      <c r="Q996" s="8"/>
    </row>
    <row r="997" spans="1:17" ht="15.75" customHeight="1" x14ac:dyDescent="0.3">
      <c r="A997" s="36"/>
      <c r="B997" s="36"/>
      <c r="C997" s="36"/>
      <c r="K997" s="37"/>
      <c r="N997" s="38"/>
      <c r="Q997" s="8"/>
    </row>
    <row r="998" spans="1:17" ht="15.75" customHeight="1" x14ac:dyDescent="0.3">
      <c r="A998" s="36"/>
      <c r="B998" s="36"/>
      <c r="C998" s="36"/>
      <c r="K998" s="37"/>
      <c r="N998" s="38"/>
      <c r="Q998" s="8"/>
    </row>
    <row r="999" spans="1:17" ht="15.75" customHeight="1" x14ac:dyDescent="0.3">
      <c r="A999" s="36"/>
      <c r="B999" s="36"/>
      <c r="C999" s="36"/>
      <c r="K999" s="37"/>
      <c r="N999" s="38"/>
      <c r="Q999" s="8"/>
    </row>
    <row r="1000" spans="1:17" ht="15.75" customHeight="1" x14ac:dyDescent="0.3">
      <c r="A1000" s="36"/>
      <c r="B1000" s="36"/>
      <c r="C1000" s="36"/>
      <c r="K1000" s="37"/>
      <c r="N1000" s="38"/>
      <c r="Q1000" s="8"/>
    </row>
    <row r="1001" spans="1:17" ht="15.75" customHeight="1" x14ac:dyDescent="0.3">
      <c r="A1001" s="36"/>
      <c r="B1001" s="36"/>
      <c r="C1001" s="36"/>
      <c r="K1001" s="37"/>
      <c r="N1001" s="38"/>
      <c r="Q1001" s="8"/>
    </row>
    <row r="1002" spans="1:17" ht="15.75" customHeight="1" x14ac:dyDescent="0.3">
      <c r="A1002" s="36"/>
      <c r="B1002" s="36"/>
      <c r="C1002" s="36"/>
      <c r="K1002" s="37"/>
      <c r="N1002" s="38"/>
      <c r="Q1002" s="8"/>
    </row>
    <row r="1003" spans="1:17" ht="15.75" customHeight="1" x14ac:dyDescent="0.3">
      <c r="A1003" s="36"/>
      <c r="B1003" s="36"/>
      <c r="C1003" s="36"/>
      <c r="K1003" s="37"/>
      <c r="N1003" s="38"/>
      <c r="Q1003" s="8"/>
    </row>
    <row r="1004" spans="1:17" ht="15.75" customHeight="1" x14ac:dyDescent="0.3">
      <c r="A1004" s="36"/>
      <c r="B1004" s="36"/>
      <c r="C1004" s="36"/>
      <c r="K1004" s="37"/>
      <c r="N1004" s="38"/>
      <c r="Q1004" s="8"/>
    </row>
    <row r="1005" spans="1:17" ht="15.75" customHeight="1" x14ac:dyDescent="0.3">
      <c r="A1005" s="36"/>
      <c r="B1005" s="36"/>
      <c r="C1005" s="36"/>
      <c r="K1005" s="37"/>
      <c r="N1005" s="38"/>
      <c r="Q1005" s="8"/>
    </row>
    <row r="1006" spans="1:17" ht="15.75" customHeight="1" x14ac:dyDescent="0.3">
      <c r="A1006" s="36"/>
      <c r="B1006" s="36"/>
      <c r="C1006" s="36"/>
      <c r="K1006" s="37"/>
      <c r="N1006" s="38"/>
      <c r="Q1006" s="8"/>
    </row>
    <row r="1007" spans="1:17" ht="15.75" customHeight="1" x14ac:dyDescent="0.3">
      <c r="A1007" s="36"/>
      <c r="B1007" s="36"/>
      <c r="C1007" s="36"/>
      <c r="K1007" s="37"/>
      <c r="N1007" s="38"/>
      <c r="Q1007" s="8"/>
    </row>
    <row r="1008" spans="1:17" ht="15.75" customHeight="1" x14ac:dyDescent="0.3">
      <c r="A1008" s="36"/>
      <c r="B1008" s="36"/>
      <c r="C1008" s="36"/>
      <c r="K1008" s="37"/>
      <c r="N1008" s="38"/>
      <c r="Q1008" s="8"/>
    </row>
    <row r="1009" spans="1:17" ht="15.75" customHeight="1" x14ac:dyDescent="0.3">
      <c r="A1009" s="36"/>
      <c r="B1009" s="36"/>
      <c r="C1009" s="36"/>
      <c r="K1009" s="37"/>
      <c r="N1009" s="38"/>
      <c r="Q1009" s="8"/>
    </row>
    <row r="1010" spans="1:17" ht="15.75" customHeight="1" x14ac:dyDescent="0.3">
      <c r="A1010" s="36"/>
      <c r="B1010" s="36"/>
      <c r="C1010" s="36"/>
      <c r="K1010" s="37"/>
      <c r="N1010" s="38"/>
      <c r="Q1010" s="8"/>
    </row>
    <row r="1011" spans="1:17" ht="15.75" customHeight="1" x14ac:dyDescent="0.3">
      <c r="A1011" s="36"/>
      <c r="B1011" s="36"/>
      <c r="C1011" s="36"/>
      <c r="K1011" s="37"/>
      <c r="N1011" s="38"/>
      <c r="Q1011" s="8"/>
    </row>
    <row r="1012" spans="1:17" ht="15.75" customHeight="1" x14ac:dyDescent="0.3">
      <c r="A1012" s="36"/>
      <c r="B1012" s="36"/>
      <c r="C1012" s="36"/>
      <c r="K1012" s="37"/>
      <c r="N1012" s="38"/>
      <c r="Q1012" s="8"/>
    </row>
    <row r="1013" spans="1:17" ht="15.75" customHeight="1" x14ac:dyDescent="0.3">
      <c r="A1013" s="36"/>
      <c r="B1013" s="36"/>
      <c r="C1013" s="36"/>
      <c r="K1013" s="37"/>
      <c r="N1013" s="38"/>
      <c r="Q1013" s="8"/>
    </row>
    <row r="1014" spans="1:17" ht="15.75" customHeight="1" x14ac:dyDescent="0.3">
      <c r="A1014" s="36"/>
      <c r="B1014" s="36"/>
      <c r="C1014" s="36"/>
      <c r="K1014" s="37"/>
      <c r="N1014" s="38"/>
      <c r="Q1014" s="8"/>
    </row>
    <row r="1015" spans="1:17" ht="15.75" customHeight="1" x14ac:dyDescent="0.3">
      <c r="A1015" s="36"/>
      <c r="B1015" s="36"/>
      <c r="C1015" s="36"/>
      <c r="K1015" s="37"/>
      <c r="N1015" s="38"/>
      <c r="Q1015" s="8"/>
    </row>
    <row r="1016" spans="1:17" ht="15.75" customHeight="1" x14ac:dyDescent="0.3">
      <c r="A1016" s="36"/>
      <c r="B1016" s="36"/>
      <c r="C1016" s="36"/>
      <c r="K1016" s="37"/>
      <c r="N1016" s="38"/>
      <c r="Q1016" s="8"/>
    </row>
    <row r="1017" spans="1:17" ht="15.75" customHeight="1" x14ac:dyDescent="0.3">
      <c r="A1017" s="36"/>
      <c r="B1017" s="36"/>
      <c r="C1017" s="36"/>
      <c r="K1017" s="37"/>
      <c r="N1017" s="38"/>
      <c r="Q1017" s="8"/>
    </row>
    <row r="1018" spans="1:17" ht="15.75" customHeight="1" x14ac:dyDescent="0.3">
      <c r="A1018" s="36"/>
      <c r="B1018" s="36"/>
      <c r="C1018" s="36"/>
      <c r="K1018" s="37"/>
      <c r="N1018" s="38"/>
      <c r="Q1018" s="8"/>
    </row>
    <row r="1019" spans="1:17" ht="15.75" customHeight="1" x14ac:dyDescent="0.3">
      <c r="A1019" s="36"/>
      <c r="B1019" s="36"/>
      <c r="C1019" s="36"/>
      <c r="K1019" s="37"/>
      <c r="N1019" s="38"/>
      <c r="Q1019" s="8"/>
    </row>
    <row r="1020" spans="1:17" ht="15.75" customHeight="1" x14ac:dyDescent="0.3">
      <c r="A1020" s="36"/>
      <c r="B1020" s="36"/>
      <c r="C1020" s="36"/>
      <c r="K1020" s="37"/>
      <c r="N1020" s="38"/>
      <c r="Q1020" s="8"/>
    </row>
    <row r="1021" spans="1:17" ht="15.75" customHeight="1" x14ac:dyDescent="0.3">
      <c r="A1021" s="36"/>
      <c r="B1021" s="36"/>
      <c r="C1021" s="36"/>
      <c r="K1021" s="37"/>
      <c r="N1021" s="38"/>
      <c r="Q1021" s="8"/>
    </row>
    <row r="1022" spans="1:17" ht="15.75" customHeight="1" x14ac:dyDescent="0.3">
      <c r="A1022" s="36"/>
      <c r="B1022" s="36"/>
      <c r="C1022" s="36"/>
      <c r="K1022" s="37"/>
      <c r="N1022" s="38"/>
      <c r="Q1022" s="8"/>
    </row>
    <row r="1023" spans="1:17" ht="15.75" customHeight="1" x14ac:dyDescent="0.3">
      <c r="A1023" s="36"/>
      <c r="B1023" s="36"/>
      <c r="C1023" s="36"/>
      <c r="K1023" s="37"/>
      <c r="N1023" s="38"/>
      <c r="Q1023" s="8"/>
    </row>
    <row r="1024" spans="1:17" ht="15.75" customHeight="1" x14ac:dyDescent="0.3">
      <c r="A1024" s="36"/>
      <c r="B1024" s="36"/>
      <c r="C1024" s="36"/>
      <c r="K1024" s="37"/>
      <c r="N1024" s="38"/>
      <c r="Q1024" s="8"/>
    </row>
    <row r="1025" spans="1:17" ht="15.75" customHeight="1" x14ac:dyDescent="0.3">
      <c r="A1025" s="36"/>
      <c r="B1025" s="36"/>
      <c r="C1025" s="36"/>
      <c r="K1025" s="37"/>
      <c r="N1025" s="38"/>
      <c r="Q1025" s="8"/>
    </row>
    <row r="1026" spans="1:17" ht="15.75" customHeight="1" x14ac:dyDescent="0.3">
      <c r="A1026" s="36"/>
      <c r="B1026" s="36"/>
      <c r="C1026" s="36"/>
      <c r="K1026" s="37"/>
      <c r="N1026" s="38"/>
      <c r="Q1026" s="8"/>
    </row>
    <row r="1027" spans="1:17" ht="15.75" customHeight="1" x14ac:dyDescent="0.3">
      <c r="A1027" s="36"/>
      <c r="B1027" s="36"/>
      <c r="C1027" s="36"/>
      <c r="K1027" s="37"/>
      <c r="N1027" s="38"/>
      <c r="Q1027" s="8"/>
    </row>
    <row r="1028" spans="1:17" ht="15.75" customHeight="1" x14ac:dyDescent="0.3">
      <c r="A1028" s="36"/>
      <c r="B1028" s="36"/>
      <c r="C1028" s="36"/>
      <c r="K1028" s="37"/>
      <c r="N1028" s="38"/>
      <c r="Q1028" s="8"/>
    </row>
    <row r="1029" spans="1:17" ht="15.75" customHeight="1" x14ac:dyDescent="0.3">
      <c r="A1029" s="36"/>
      <c r="B1029" s="36"/>
      <c r="C1029" s="36"/>
      <c r="K1029" s="37"/>
      <c r="N1029" s="38"/>
      <c r="Q1029" s="8"/>
    </row>
    <row r="1030" spans="1:17" ht="15.75" customHeight="1" x14ac:dyDescent="0.3">
      <c r="A1030" s="36"/>
      <c r="B1030" s="36"/>
      <c r="C1030" s="36"/>
      <c r="K1030" s="37"/>
      <c r="N1030" s="38"/>
      <c r="Q1030" s="8"/>
    </row>
    <row r="1031" spans="1:17" ht="15.75" customHeight="1" x14ac:dyDescent="0.3">
      <c r="A1031" s="36"/>
      <c r="B1031" s="36"/>
      <c r="C1031" s="36"/>
      <c r="K1031" s="37"/>
      <c r="N1031" s="38"/>
      <c r="Q1031" s="8"/>
    </row>
    <row r="1032" spans="1:17" ht="15.75" customHeight="1" x14ac:dyDescent="0.3">
      <c r="A1032" s="36"/>
      <c r="B1032" s="36"/>
      <c r="C1032" s="36"/>
      <c r="K1032" s="37"/>
      <c r="N1032" s="38"/>
      <c r="Q1032" s="8"/>
    </row>
    <row r="1033" spans="1:17" ht="15.75" customHeight="1" x14ac:dyDescent="0.3">
      <c r="A1033" s="36"/>
      <c r="B1033" s="36"/>
      <c r="C1033" s="36"/>
      <c r="K1033" s="37"/>
      <c r="N1033" s="38"/>
      <c r="Q1033" s="8"/>
    </row>
    <row r="1034" spans="1:17" ht="15.75" customHeight="1" x14ac:dyDescent="0.3">
      <c r="A1034" s="36"/>
      <c r="B1034" s="36"/>
      <c r="C1034" s="36"/>
      <c r="K1034" s="37"/>
      <c r="N1034" s="38"/>
      <c r="Q1034" s="8"/>
    </row>
    <row r="1035" spans="1:17" ht="15.75" customHeight="1" x14ac:dyDescent="0.3">
      <c r="A1035" s="36"/>
      <c r="B1035" s="36"/>
      <c r="C1035" s="36"/>
      <c r="K1035" s="37"/>
      <c r="N1035" s="38"/>
      <c r="Q1035" s="8"/>
    </row>
    <row r="1036" spans="1:17" ht="15.75" customHeight="1" x14ac:dyDescent="0.3">
      <c r="A1036" s="36"/>
      <c r="B1036" s="36"/>
      <c r="C1036" s="36"/>
      <c r="K1036" s="37"/>
      <c r="N1036" s="38"/>
      <c r="Q1036" s="8"/>
    </row>
    <row r="1037" spans="1:17" ht="15.75" customHeight="1" x14ac:dyDescent="0.3">
      <c r="A1037" s="36"/>
      <c r="B1037" s="36"/>
      <c r="C1037" s="36"/>
      <c r="K1037" s="37"/>
      <c r="N1037" s="38"/>
      <c r="Q1037" s="8"/>
    </row>
    <row r="1038" spans="1:17" ht="15.75" customHeight="1" x14ac:dyDescent="0.3">
      <c r="A1038" s="36"/>
      <c r="B1038" s="36"/>
      <c r="C1038" s="36"/>
      <c r="K1038" s="37"/>
      <c r="N1038" s="38"/>
      <c r="Q1038" s="8"/>
    </row>
    <row r="1039" spans="1:17" ht="15.75" customHeight="1" x14ac:dyDescent="0.3">
      <c r="A1039" s="36"/>
      <c r="B1039" s="36"/>
      <c r="C1039" s="36"/>
      <c r="K1039" s="37"/>
      <c r="N1039" s="38"/>
      <c r="Q1039" s="8"/>
    </row>
    <row r="1040" spans="1:17" ht="15.75" customHeight="1" x14ac:dyDescent="0.3">
      <c r="A1040" s="36"/>
      <c r="B1040" s="36"/>
      <c r="C1040" s="36"/>
      <c r="K1040" s="37"/>
      <c r="N1040" s="38"/>
      <c r="Q1040" s="8"/>
    </row>
    <row r="1041" spans="1:17" ht="15.75" customHeight="1" x14ac:dyDescent="0.3">
      <c r="A1041" s="36"/>
      <c r="B1041" s="36"/>
      <c r="C1041" s="36"/>
      <c r="K1041" s="37"/>
      <c r="N1041" s="38"/>
      <c r="Q1041" s="8"/>
    </row>
    <row r="1042" spans="1:17" ht="15.75" customHeight="1" x14ac:dyDescent="0.3">
      <c r="A1042" s="36"/>
      <c r="B1042" s="36"/>
      <c r="C1042" s="36"/>
      <c r="K1042" s="37"/>
      <c r="N1042" s="38"/>
      <c r="Q1042" s="8"/>
    </row>
    <row r="1043" spans="1:17" ht="15.75" customHeight="1" x14ac:dyDescent="0.3">
      <c r="A1043" s="36"/>
      <c r="B1043" s="36"/>
      <c r="C1043" s="36"/>
      <c r="K1043" s="37"/>
      <c r="N1043" s="38"/>
      <c r="Q1043" s="8"/>
    </row>
    <row r="1044" spans="1:17" ht="15.75" customHeight="1" x14ac:dyDescent="0.3">
      <c r="A1044" s="36"/>
      <c r="B1044" s="36"/>
      <c r="C1044" s="36"/>
      <c r="K1044" s="37"/>
      <c r="N1044" s="38"/>
      <c r="Q1044" s="8"/>
    </row>
    <row r="1045" spans="1:17" ht="15.75" customHeight="1" x14ac:dyDescent="0.3">
      <c r="A1045" s="36"/>
      <c r="B1045" s="36"/>
      <c r="C1045" s="36"/>
      <c r="K1045" s="37"/>
      <c r="N1045" s="38"/>
      <c r="Q1045" s="8"/>
    </row>
    <row r="1046" spans="1:17" ht="15.75" customHeight="1" x14ac:dyDescent="0.3">
      <c r="A1046" s="36"/>
      <c r="B1046" s="36"/>
      <c r="C1046" s="36"/>
      <c r="K1046" s="37"/>
      <c r="N1046" s="38"/>
      <c r="Q1046" s="8"/>
    </row>
    <row r="1047" spans="1:17" ht="15.75" customHeight="1" x14ac:dyDescent="0.3">
      <c r="A1047" s="36"/>
      <c r="B1047" s="36"/>
      <c r="C1047" s="36"/>
      <c r="K1047" s="37"/>
      <c r="N1047" s="38"/>
      <c r="Q1047" s="8"/>
    </row>
    <row r="1048" spans="1:17" ht="15.75" customHeight="1" x14ac:dyDescent="0.3">
      <c r="A1048" s="36"/>
      <c r="B1048" s="36"/>
      <c r="C1048" s="36"/>
      <c r="K1048" s="37"/>
      <c r="N1048" s="38"/>
      <c r="Q1048" s="8"/>
    </row>
    <row r="1049" spans="1:17" ht="15.75" customHeight="1" x14ac:dyDescent="0.3">
      <c r="A1049" s="36"/>
      <c r="B1049" s="36"/>
      <c r="C1049" s="36"/>
      <c r="K1049" s="37"/>
      <c r="N1049" s="38"/>
      <c r="Q1049" s="8"/>
    </row>
    <row r="1050" spans="1:17" ht="15.75" customHeight="1" x14ac:dyDescent="0.3">
      <c r="A1050" s="36"/>
      <c r="B1050" s="36"/>
      <c r="C1050" s="36"/>
      <c r="K1050" s="37"/>
      <c r="N1050" s="38"/>
      <c r="Q1050" s="8"/>
    </row>
    <row r="1051" spans="1:17" ht="15.75" customHeight="1" x14ac:dyDescent="0.3">
      <c r="A1051" s="36"/>
      <c r="B1051" s="36"/>
      <c r="C1051" s="36"/>
      <c r="K1051" s="37"/>
      <c r="N1051" s="38"/>
      <c r="Q1051" s="8"/>
    </row>
    <row r="1052" spans="1:17" ht="15.75" customHeight="1" x14ac:dyDescent="0.3">
      <c r="A1052" s="36"/>
      <c r="B1052" s="36"/>
      <c r="C1052" s="36"/>
      <c r="K1052" s="37"/>
      <c r="N1052" s="38"/>
      <c r="Q1052" s="8"/>
    </row>
    <row r="1053" spans="1:17" ht="15.75" customHeight="1" x14ac:dyDescent="0.3">
      <c r="A1053" s="36"/>
      <c r="B1053" s="36"/>
      <c r="C1053" s="36"/>
      <c r="K1053" s="37"/>
      <c r="N1053" s="38"/>
      <c r="Q1053" s="8"/>
    </row>
    <row r="1054" spans="1:17" ht="15.75" customHeight="1" x14ac:dyDescent="0.3">
      <c r="A1054" s="36"/>
      <c r="B1054" s="36"/>
      <c r="C1054" s="36"/>
      <c r="K1054" s="37"/>
      <c r="N1054" s="38"/>
      <c r="Q1054" s="8"/>
    </row>
    <row r="1055" spans="1:17" ht="15.75" customHeight="1" x14ac:dyDescent="0.3">
      <c r="A1055" s="36"/>
      <c r="B1055" s="36"/>
      <c r="C1055" s="36"/>
      <c r="K1055" s="37"/>
      <c r="N1055" s="38"/>
      <c r="Q1055" s="8"/>
    </row>
    <row r="1056" spans="1:17" ht="15.75" customHeight="1" x14ac:dyDescent="0.3">
      <c r="A1056" s="36"/>
      <c r="B1056" s="36"/>
      <c r="C1056" s="36"/>
      <c r="K1056" s="37"/>
      <c r="N1056" s="38"/>
      <c r="Q1056" s="8"/>
    </row>
    <row r="1057" spans="1:17" ht="15.75" customHeight="1" x14ac:dyDescent="0.3">
      <c r="A1057" s="36"/>
      <c r="B1057" s="36"/>
      <c r="C1057" s="36"/>
      <c r="K1057" s="37"/>
      <c r="N1057" s="38"/>
      <c r="Q1057" s="8"/>
    </row>
    <row r="1058" spans="1:17" ht="15.75" customHeight="1" x14ac:dyDescent="0.3">
      <c r="A1058" s="36"/>
      <c r="B1058" s="36"/>
      <c r="C1058" s="36"/>
      <c r="K1058" s="37"/>
      <c r="N1058" s="38"/>
      <c r="Q1058" s="8"/>
    </row>
    <row r="1059" spans="1:17" ht="15.75" customHeight="1" x14ac:dyDescent="0.3">
      <c r="A1059" s="36"/>
      <c r="B1059" s="36"/>
      <c r="C1059" s="36"/>
      <c r="K1059" s="37"/>
      <c r="N1059" s="38"/>
      <c r="Q1059" s="8"/>
    </row>
    <row r="1060" spans="1:17" ht="15.75" customHeight="1" x14ac:dyDescent="0.3">
      <c r="A1060" s="36"/>
      <c r="B1060" s="36"/>
      <c r="C1060" s="36"/>
      <c r="K1060" s="37"/>
      <c r="N1060" s="38"/>
      <c r="Q1060" s="8"/>
    </row>
    <row r="1061" spans="1:17" ht="15.75" customHeight="1" x14ac:dyDescent="0.3">
      <c r="A1061" s="36"/>
      <c r="B1061" s="36"/>
      <c r="C1061" s="36"/>
      <c r="K1061" s="37"/>
      <c r="N1061" s="38"/>
      <c r="Q1061" s="8"/>
    </row>
    <row r="1062" spans="1:17" ht="15.75" customHeight="1" x14ac:dyDescent="0.3">
      <c r="A1062" s="36"/>
      <c r="B1062" s="36"/>
      <c r="C1062" s="36"/>
      <c r="K1062" s="37"/>
      <c r="N1062" s="38"/>
      <c r="Q1062" s="8"/>
    </row>
    <row r="1063" spans="1:17" ht="15.75" customHeight="1" x14ac:dyDescent="0.3">
      <c r="A1063" s="36"/>
      <c r="B1063" s="36"/>
      <c r="C1063" s="36"/>
      <c r="K1063" s="37"/>
      <c r="N1063" s="38"/>
      <c r="Q1063" s="8"/>
    </row>
    <row r="1064" spans="1:17" ht="15.75" customHeight="1" x14ac:dyDescent="0.3">
      <c r="A1064" s="36"/>
      <c r="B1064" s="36"/>
      <c r="C1064" s="36"/>
      <c r="K1064" s="37"/>
      <c r="N1064" s="38"/>
      <c r="Q1064" s="8"/>
    </row>
    <row r="1065" spans="1:17" ht="15.75" customHeight="1" x14ac:dyDescent="0.3">
      <c r="A1065" s="36"/>
      <c r="B1065" s="36"/>
      <c r="C1065" s="36"/>
      <c r="K1065" s="37"/>
      <c r="N1065" s="38"/>
      <c r="Q1065" s="8"/>
    </row>
    <row r="1066" spans="1:17" ht="15.75" customHeight="1" x14ac:dyDescent="0.3">
      <c r="A1066" s="36"/>
      <c r="B1066" s="36"/>
      <c r="C1066" s="36"/>
      <c r="K1066" s="37"/>
      <c r="N1066" s="38"/>
      <c r="Q1066" s="8"/>
    </row>
    <row r="1067" spans="1:17" ht="15.75" customHeight="1" x14ac:dyDescent="0.3">
      <c r="A1067" s="36"/>
      <c r="B1067" s="36"/>
      <c r="C1067" s="36"/>
      <c r="K1067" s="37"/>
      <c r="N1067" s="38"/>
      <c r="Q1067" s="8"/>
    </row>
    <row r="1068" spans="1:17" ht="15.75" customHeight="1" x14ac:dyDescent="0.3">
      <c r="A1068" s="36"/>
      <c r="B1068" s="36"/>
      <c r="C1068" s="36"/>
      <c r="K1068" s="37"/>
      <c r="N1068" s="38"/>
      <c r="Q1068" s="8"/>
    </row>
    <row r="1069" spans="1:17" ht="15.75" customHeight="1" x14ac:dyDescent="0.3">
      <c r="A1069" s="36"/>
      <c r="B1069" s="36"/>
      <c r="C1069" s="36"/>
      <c r="K1069" s="37"/>
      <c r="N1069" s="38"/>
      <c r="Q1069" s="8"/>
    </row>
    <row r="1070" spans="1:17" ht="15.75" customHeight="1" x14ac:dyDescent="0.3">
      <c r="A1070" s="36"/>
      <c r="B1070" s="36"/>
      <c r="C1070" s="36"/>
      <c r="K1070" s="37"/>
      <c r="N1070" s="38"/>
      <c r="Q1070" s="8"/>
    </row>
    <row r="1071" spans="1:17" ht="15.75" customHeight="1" x14ac:dyDescent="0.3">
      <c r="A1071" s="36"/>
      <c r="B1071" s="36"/>
      <c r="C1071" s="36"/>
      <c r="K1071" s="37"/>
      <c r="N1071" s="38"/>
      <c r="Q1071" s="8"/>
    </row>
    <row r="1072" spans="1:17" ht="15.75" customHeight="1" x14ac:dyDescent="0.3">
      <c r="A1072" s="36"/>
      <c r="B1072" s="36"/>
      <c r="C1072" s="36"/>
      <c r="K1072" s="37"/>
      <c r="N1072" s="38"/>
      <c r="Q1072" s="8"/>
    </row>
    <row r="1073" spans="1:17" ht="15.75" customHeight="1" x14ac:dyDescent="0.3">
      <c r="A1073" s="36"/>
      <c r="B1073" s="36"/>
      <c r="C1073" s="36"/>
      <c r="K1073" s="37"/>
      <c r="N1073" s="38"/>
      <c r="Q1073" s="8"/>
    </row>
    <row r="1074" spans="1:17" ht="15.75" customHeight="1" x14ac:dyDescent="0.3">
      <c r="A1074" s="36"/>
      <c r="B1074" s="36"/>
      <c r="C1074" s="36"/>
      <c r="K1074" s="37"/>
      <c r="N1074" s="38"/>
      <c r="Q1074" s="8"/>
    </row>
    <row r="1075" spans="1:17" ht="15.75" customHeight="1" x14ac:dyDescent="0.3">
      <c r="A1075" s="36"/>
      <c r="B1075" s="36"/>
      <c r="C1075" s="36"/>
      <c r="K1075" s="37"/>
      <c r="N1075" s="38"/>
      <c r="Q1075" s="8"/>
    </row>
    <row r="1076" spans="1:17" ht="15.75" customHeight="1" x14ac:dyDescent="0.3">
      <c r="A1076" s="36"/>
      <c r="B1076" s="36"/>
      <c r="C1076" s="36"/>
      <c r="K1076" s="37"/>
      <c r="N1076" s="38"/>
      <c r="Q1076" s="8"/>
    </row>
    <row r="1077" spans="1:17" ht="15.75" customHeight="1" x14ac:dyDescent="0.3">
      <c r="A1077" s="36"/>
      <c r="B1077" s="36"/>
      <c r="C1077" s="36"/>
      <c r="K1077" s="37"/>
      <c r="N1077" s="38"/>
      <c r="Q1077" s="8"/>
    </row>
    <row r="1078" spans="1:17" ht="15.75" customHeight="1" x14ac:dyDescent="0.3">
      <c r="A1078" s="36"/>
      <c r="B1078" s="36"/>
      <c r="C1078" s="36"/>
      <c r="K1078" s="37"/>
      <c r="N1078" s="38"/>
      <c r="Q1078" s="8"/>
    </row>
    <row r="1079" spans="1:17" ht="15.75" customHeight="1" x14ac:dyDescent="0.3">
      <c r="A1079" s="36"/>
      <c r="B1079" s="36"/>
      <c r="C1079" s="36"/>
      <c r="K1079" s="37"/>
      <c r="N1079" s="38"/>
      <c r="Q1079" s="8"/>
    </row>
    <row r="1080" spans="1:17" ht="15.75" customHeight="1" x14ac:dyDescent="0.3">
      <c r="A1080" s="36"/>
      <c r="B1080" s="36"/>
      <c r="C1080" s="36"/>
      <c r="K1080" s="37"/>
      <c r="N1080" s="38"/>
      <c r="Q1080" s="8"/>
    </row>
    <row r="1081" spans="1:17" ht="15.75" customHeight="1" x14ac:dyDescent="0.3">
      <c r="A1081" s="36"/>
      <c r="B1081" s="36"/>
      <c r="C1081" s="36"/>
      <c r="K1081" s="37"/>
      <c r="N1081" s="38"/>
      <c r="Q1081" s="8"/>
    </row>
    <row r="1082" spans="1:17" ht="15.75" customHeight="1" x14ac:dyDescent="0.3">
      <c r="A1082" s="36"/>
      <c r="B1082" s="36"/>
      <c r="C1082" s="36"/>
      <c r="K1082" s="37"/>
      <c r="N1082" s="38"/>
      <c r="Q1082" s="8"/>
    </row>
    <row r="1083" spans="1:17" ht="15.75" customHeight="1" x14ac:dyDescent="0.3">
      <c r="A1083" s="36"/>
      <c r="B1083" s="36"/>
      <c r="C1083" s="36"/>
      <c r="K1083" s="37"/>
      <c r="N1083" s="38"/>
      <c r="Q1083" s="8"/>
    </row>
    <row r="1084" spans="1:17" ht="15.75" customHeight="1" x14ac:dyDescent="0.3">
      <c r="A1084" s="36"/>
      <c r="B1084" s="36"/>
      <c r="C1084" s="36"/>
      <c r="K1084" s="37"/>
      <c r="N1084" s="38"/>
      <c r="Q1084" s="8"/>
    </row>
    <row r="1085" spans="1:17" ht="15.75" customHeight="1" x14ac:dyDescent="0.3">
      <c r="A1085" s="36"/>
      <c r="B1085" s="36"/>
      <c r="C1085" s="36"/>
      <c r="K1085" s="37"/>
      <c r="N1085" s="38"/>
      <c r="Q1085" s="8"/>
    </row>
    <row r="1086" spans="1:17" ht="15.75" customHeight="1" x14ac:dyDescent="0.3">
      <c r="A1086" s="36"/>
      <c r="B1086" s="36"/>
      <c r="C1086" s="36"/>
      <c r="K1086" s="37"/>
      <c r="N1086" s="38"/>
      <c r="Q1086" s="8"/>
    </row>
    <row r="1087" spans="1:17" ht="15.75" customHeight="1" x14ac:dyDescent="0.3">
      <c r="A1087" s="36"/>
      <c r="B1087" s="36"/>
      <c r="C1087" s="36"/>
      <c r="K1087" s="37"/>
      <c r="N1087" s="38"/>
      <c r="Q1087" s="8"/>
    </row>
    <row r="1088" spans="1:17" ht="15.75" customHeight="1" x14ac:dyDescent="0.3">
      <c r="A1088" s="36"/>
      <c r="B1088" s="36"/>
      <c r="C1088" s="36"/>
      <c r="K1088" s="37"/>
      <c r="N1088" s="38"/>
      <c r="Q1088" s="8"/>
    </row>
    <row r="1089" spans="1:17" ht="15.75" customHeight="1" x14ac:dyDescent="0.3">
      <c r="A1089" s="36"/>
      <c r="B1089" s="36"/>
      <c r="C1089" s="36"/>
      <c r="K1089" s="37"/>
      <c r="N1089" s="38"/>
      <c r="Q1089" s="8"/>
    </row>
    <row r="1090" spans="1:17" ht="15.75" customHeight="1" x14ac:dyDescent="0.3">
      <c r="A1090" s="36"/>
      <c r="B1090" s="36"/>
      <c r="C1090" s="36"/>
      <c r="K1090" s="37"/>
      <c r="N1090" s="38"/>
      <c r="Q1090" s="8"/>
    </row>
    <row r="1091" spans="1:17" ht="15.75" customHeight="1" x14ac:dyDescent="0.3">
      <c r="A1091" s="36"/>
      <c r="B1091" s="36"/>
      <c r="C1091" s="36"/>
      <c r="K1091" s="37"/>
      <c r="N1091" s="38"/>
      <c r="Q1091" s="8"/>
    </row>
    <row r="1092" spans="1:17" ht="15.75" customHeight="1" x14ac:dyDescent="0.3">
      <c r="A1092" s="36"/>
      <c r="B1092" s="36"/>
      <c r="C1092" s="36"/>
      <c r="K1092" s="37"/>
      <c r="N1092" s="38"/>
      <c r="Q1092" s="8"/>
    </row>
    <row r="1093" spans="1:17" ht="15.75" customHeight="1" x14ac:dyDescent="0.3">
      <c r="A1093" s="36"/>
      <c r="B1093" s="36"/>
      <c r="C1093" s="36"/>
      <c r="K1093" s="37"/>
      <c r="N1093" s="38"/>
      <c r="Q1093" s="8"/>
    </row>
    <row r="1094" spans="1:17" ht="15.75" customHeight="1" x14ac:dyDescent="0.3">
      <c r="A1094" s="36"/>
      <c r="B1094" s="36"/>
      <c r="C1094" s="36"/>
      <c r="K1094" s="37"/>
      <c r="N1094" s="38"/>
      <c r="Q1094" s="8"/>
    </row>
    <row r="1095" spans="1:17" ht="15.75" customHeight="1" x14ac:dyDescent="0.3">
      <c r="A1095" s="36"/>
      <c r="B1095" s="36"/>
      <c r="C1095" s="36"/>
      <c r="K1095" s="37"/>
      <c r="N1095" s="38"/>
      <c r="Q1095" s="8"/>
    </row>
    <row r="1096" spans="1:17" ht="15.75" customHeight="1" x14ac:dyDescent="0.3">
      <c r="A1096" s="36"/>
      <c r="B1096" s="36"/>
      <c r="C1096" s="36"/>
      <c r="K1096" s="37"/>
      <c r="N1096" s="38"/>
      <c r="Q1096" s="8"/>
    </row>
    <row r="1097" spans="1:17" ht="15.75" customHeight="1" x14ac:dyDescent="0.3">
      <c r="A1097" s="36"/>
      <c r="B1097" s="36"/>
      <c r="C1097" s="36"/>
      <c r="K1097" s="37"/>
      <c r="N1097" s="38"/>
      <c r="Q1097" s="8"/>
    </row>
    <row r="1098" spans="1:17" ht="15.75" customHeight="1" x14ac:dyDescent="0.3">
      <c r="A1098" s="36"/>
      <c r="B1098" s="36"/>
      <c r="C1098" s="36"/>
      <c r="K1098" s="37"/>
      <c r="N1098" s="38"/>
      <c r="Q1098" s="8"/>
    </row>
    <row r="1099" spans="1:17" ht="15.75" customHeight="1" x14ac:dyDescent="0.3">
      <c r="A1099" s="36"/>
      <c r="B1099" s="36"/>
      <c r="C1099" s="36"/>
      <c r="K1099" s="37"/>
      <c r="N1099" s="38"/>
      <c r="Q1099" s="8"/>
    </row>
    <row r="1100" spans="1:17" ht="15.75" customHeight="1" x14ac:dyDescent="0.3">
      <c r="A1100" s="36"/>
      <c r="B1100" s="36"/>
      <c r="C1100" s="36"/>
      <c r="K1100" s="37"/>
      <c r="N1100" s="38"/>
      <c r="Q1100" s="8"/>
    </row>
    <row r="1101" spans="1:17" ht="15.75" customHeight="1" x14ac:dyDescent="0.3">
      <c r="A1101" s="36"/>
      <c r="B1101" s="36"/>
      <c r="C1101" s="36"/>
      <c r="K1101" s="37"/>
      <c r="N1101" s="38"/>
      <c r="Q1101" s="8"/>
    </row>
    <row r="1102" spans="1:17" ht="15.75" customHeight="1" x14ac:dyDescent="0.3">
      <c r="A1102" s="36"/>
      <c r="B1102" s="36"/>
      <c r="C1102" s="36"/>
      <c r="K1102" s="37"/>
      <c r="N1102" s="38"/>
      <c r="Q1102" s="8"/>
    </row>
    <row r="1103" spans="1:17" ht="15.75" customHeight="1" x14ac:dyDescent="0.3">
      <c r="A1103" s="36"/>
      <c r="B1103" s="36"/>
      <c r="C1103" s="36"/>
      <c r="K1103" s="37"/>
      <c r="N1103" s="38"/>
      <c r="Q1103" s="8"/>
    </row>
    <row r="1104" spans="1:17" ht="15.75" customHeight="1" x14ac:dyDescent="0.3">
      <c r="A1104" s="36"/>
      <c r="B1104" s="36"/>
      <c r="C1104" s="36"/>
      <c r="K1104" s="37"/>
      <c r="N1104" s="38"/>
      <c r="Q1104" s="8"/>
    </row>
    <row r="1105" spans="1:17" ht="15.75" customHeight="1" x14ac:dyDescent="0.3">
      <c r="A1105" s="36"/>
      <c r="B1105" s="36"/>
      <c r="C1105" s="36"/>
      <c r="K1105" s="37"/>
      <c r="N1105" s="38"/>
      <c r="Q1105" s="8"/>
    </row>
    <row r="1106" spans="1:17" ht="15.75" customHeight="1" x14ac:dyDescent="0.3">
      <c r="A1106" s="36"/>
      <c r="B1106" s="36"/>
      <c r="C1106" s="36"/>
      <c r="K1106" s="37"/>
      <c r="N1106" s="38"/>
      <c r="Q1106" s="8"/>
    </row>
    <row r="1107" spans="1:17" ht="15.75" customHeight="1" x14ac:dyDescent="0.3">
      <c r="A1107" s="36"/>
      <c r="B1107" s="36"/>
      <c r="C1107" s="36"/>
      <c r="K1107" s="37"/>
      <c r="N1107" s="38"/>
      <c r="Q1107" s="8"/>
    </row>
    <row r="1108" spans="1:17" ht="15.75" customHeight="1" x14ac:dyDescent="0.3">
      <c r="A1108" s="36"/>
      <c r="B1108" s="36"/>
      <c r="C1108" s="36"/>
      <c r="K1108" s="37"/>
      <c r="N1108" s="38"/>
      <c r="Q1108" s="8"/>
    </row>
    <row r="1109" spans="1:17" ht="15.75" customHeight="1" x14ac:dyDescent="0.3">
      <c r="A1109" s="36"/>
      <c r="B1109" s="36"/>
      <c r="C1109" s="36"/>
      <c r="K1109" s="37"/>
      <c r="N1109" s="38"/>
      <c r="Q1109" s="8"/>
    </row>
    <row r="1110" spans="1:17" ht="15.75" customHeight="1" x14ac:dyDescent="0.3">
      <c r="A1110" s="36"/>
      <c r="B1110" s="36"/>
      <c r="C1110" s="36"/>
      <c r="K1110" s="37"/>
      <c r="N1110" s="38"/>
      <c r="Q1110" s="8"/>
    </row>
    <row r="1111" spans="1:17" ht="15.75" customHeight="1" x14ac:dyDescent="0.3">
      <c r="A1111" s="36"/>
      <c r="B1111" s="36"/>
      <c r="C1111" s="36"/>
      <c r="K1111" s="37"/>
      <c r="N1111" s="38"/>
      <c r="Q1111" s="8"/>
    </row>
    <row r="1112" spans="1:17" ht="15.75" customHeight="1" x14ac:dyDescent="0.3">
      <c r="A1112" s="36"/>
      <c r="B1112" s="36"/>
      <c r="C1112" s="36"/>
      <c r="K1112" s="37"/>
      <c r="N1112" s="38"/>
      <c r="Q1112" s="8"/>
    </row>
    <row r="1113" spans="1:17" ht="15.75" customHeight="1" x14ac:dyDescent="0.3">
      <c r="A1113" s="36"/>
      <c r="B1113" s="36"/>
      <c r="C1113" s="36"/>
      <c r="K1113" s="37"/>
      <c r="N1113" s="38"/>
      <c r="Q1113" s="8"/>
    </row>
    <row r="1114" spans="1:17" ht="15.75" customHeight="1" x14ac:dyDescent="0.3">
      <c r="A1114" s="36"/>
      <c r="B1114" s="36"/>
      <c r="C1114" s="36"/>
      <c r="K1114" s="37"/>
      <c r="N1114" s="38"/>
      <c r="Q1114" s="8"/>
    </row>
    <row r="1115" spans="1:17" ht="15.75" customHeight="1" x14ac:dyDescent="0.3">
      <c r="A1115" s="36"/>
      <c r="B1115" s="36"/>
      <c r="C1115" s="36"/>
      <c r="K1115" s="37"/>
      <c r="N1115" s="38"/>
      <c r="Q1115" s="8"/>
    </row>
    <row r="1116" spans="1:17" ht="15.75" customHeight="1" x14ac:dyDescent="0.3">
      <c r="A1116" s="36"/>
      <c r="B1116" s="36"/>
      <c r="C1116" s="36"/>
      <c r="K1116" s="37"/>
      <c r="N1116" s="38"/>
      <c r="Q1116" s="8"/>
    </row>
    <row r="1117" spans="1:17" ht="15.75" customHeight="1" x14ac:dyDescent="0.3">
      <c r="A1117" s="36"/>
      <c r="B1117" s="36"/>
      <c r="C1117" s="36"/>
      <c r="K1117" s="37"/>
      <c r="N1117" s="38"/>
      <c r="Q1117" s="8"/>
    </row>
    <row r="1118" spans="1:17" ht="15.75" customHeight="1" x14ac:dyDescent="0.3">
      <c r="A1118" s="36"/>
      <c r="B1118" s="36"/>
      <c r="C1118" s="36"/>
      <c r="K1118" s="37"/>
      <c r="N1118" s="38"/>
      <c r="Q1118" s="8"/>
    </row>
    <row r="1119" spans="1:17" ht="15.75" customHeight="1" x14ac:dyDescent="0.3">
      <c r="A1119" s="36"/>
      <c r="B1119" s="36"/>
      <c r="C1119" s="36"/>
      <c r="K1119" s="37"/>
      <c r="N1119" s="38"/>
      <c r="Q1119" s="8"/>
    </row>
    <row r="1120" spans="1:17" ht="15.75" customHeight="1" x14ac:dyDescent="0.3">
      <c r="A1120" s="36"/>
      <c r="B1120" s="36"/>
      <c r="C1120" s="36"/>
      <c r="K1120" s="37"/>
      <c r="N1120" s="38"/>
      <c r="Q1120" s="8"/>
    </row>
    <row r="1121" spans="1:17" ht="15.75" customHeight="1" x14ac:dyDescent="0.3">
      <c r="A1121" s="36"/>
      <c r="B1121" s="36"/>
      <c r="C1121" s="36"/>
      <c r="K1121" s="37"/>
      <c r="N1121" s="38"/>
      <c r="Q1121" s="8"/>
    </row>
    <row r="1122" spans="1:17" ht="15.75" customHeight="1" x14ac:dyDescent="0.3">
      <c r="A1122" s="36"/>
      <c r="B1122" s="36"/>
      <c r="C1122" s="36"/>
      <c r="K1122" s="37"/>
      <c r="N1122" s="38"/>
      <c r="Q1122" s="8"/>
    </row>
    <row r="1123" spans="1:17" ht="15.75" customHeight="1" x14ac:dyDescent="0.3">
      <c r="A1123" s="36"/>
      <c r="B1123" s="36"/>
      <c r="C1123" s="36"/>
      <c r="K1123" s="37"/>
      <c r="N1123" s="38"/>
      <c r="Q1123" s="8"/>
    </row>
    <row r="1124" spans="1:17" ht="15.75" customHeight="1" x14ac:dyDescent="0.3">
      <c r="A1124" s="36"/>
      <c r="B1124" s="36"/>
      <c r="C1124" s="36"/>
      <c r="K1124" s="37"/>
      <c r="N1124" s="38"/>
      <c r="Q1124" s="8"/>
    </row>
    <row r="1125" spans="1:17" ht="15.75" customHeight="1" x14ac:dyDescent="0.3">
      <c r="A1125" s="36"/>
      <c r="B1125" s="36"/>
      <c r="C1125" s="36"/>
      <c r="K1125" s="37"/>
      <c r="N1125" s="38"/>
      <c r="Q1125" s="8"/>
    </row>
    <row r="1126" spans="1:17" ht="15.75" customHeight="1" x14ac:dyDescent="0.3">
      <c r="A1126" s="36"/>
      <c r="B1126" s="36"/>
      <c r="C1126" s="36"/>
      <c r="K1126" s="37"/>
      <c r="N1126" s="38"/>
      <c r="Q1126" s="8"/>
    </row>
    <row r="1127" spans="1:17" ht="15.75" customHeight="1" x14ac:dyDescent="0.3">
      <c r="A1127" s="36"/>
      <c r="B1127" s="36"/>
      <c r="C1127" s="36"/>
      <c r="K1127" s="37"/>
      <c r="N1127" s="38"/>
      <c r="Q1127" s="8"/>
    </row>
    <row r="1128" spans="1:17" ht="15.75" customHeight="1" x14ac:dyDescent="0.3">
      <c r="A1128" s="36"/>
      <c r="B1128" s="36"/>
      <c r="C1128" s="36"/>
      <c r="K1128" s="37"/>
      <c r="N1128" s="38"/>
      <c r="Q1128" s="8"/>
    </row>
    <row r="1129" spans="1:17" ht="15.75" customHeight="1" x14ac:dyDescent="0.3">
      <c r="A1129" s="36"/>
      <c r="B1129" s="36"/>
      <c r="C1129" s="36"/>
      <c r="K1129" s="37"/>
      <c r="N1129" s="38"/>
      <c r="Q1129" s="8"/>
    </row>
    <row r="1130" spans="1:17" ht="15.75" customHeight="1" x14ac:dyDescent="0.3">
      <c r="A1130" s="36"/>
      <c r="B1130" s="36"/>
      <c r="C1130" s="36"/>
      <c r="K1130" s="37"/>
      <c r="N1130" s="38"/>
      <c r="Q1130" s="8"/>
    </row>
    <row r="1131" spans="1:17" ht="15.75" customHeight="1" x14ac:dyDescent="0.3">
      <c r="A1131" s="36"/>
      <c r="B1131" s="36"/>
      <c r="C1131" s="36"/>
      <c r="K1131" s="37"/>
      <c r="N1131" s="38"/>
      <c r="Q1131" s="8"/>
    </row>
    <row r="1132" spans="1:17" ht="15.75" customHeight="1" x14ac:dyDescent="0.3">
      <c r="A1132" s="36"/>
      <c r="B1132" s="36"/>
      <c r="C1132" s="36"/>
      <c r="K1132" s="37"/>
      <c r="N1132" s="38"/>
      <c r="Q1132" s="8"/>
    </row>
    <row r="1133" spans="1:17" ht="15.75" customHeight="1" x14ac:dyDescent="0.3">
      <c r="A1133" s="36"/>
      <c r="B1133" s="36"/>
      <c r="C1133" s="36"/>
      <c r="K1133" s="37"/>
      <c r="N1133" s="38"/>
      <c r="Q1133" s="8"/>
    </row>
    <row r="1134" spans="1:17" ht="15.75" customHeight="1" x14ac:dyDescent="0.3">
      <c r="A1134" s="36"/>
      <c r="B1134" s="36"/>
      <c r="C1134" s="36"/>
      <c r="K1134" s="37"/>
      <c r="N1134" s="38"/>
      <c r="Q1134" s="8"/>
    </row>
    <row r="1135" spans="1:17" ht="15.75" customHeight="1" x14ac:dyDescent="0.3">
      <c r="A1135" s="36"/>
      <c r="B1135" s="36"/>
      <c r="C1135" s="36"/>
      <c r="K1135" s="37"/>
      <c r="N1135" s="38"/>
      <c r="Q1135" s="8"/>
    </row>
    <row r="1136" spans="1:17" ht="15.75" customHeight="1" x14ac:dyDescent="0.3">
      <c r="A1136" s="36"/>
      <c r="B1136" s="36"/>
      <c r="C1136" s="36"/>
      <c r="K1136" s="37"/>
      <c r="N1136" s="38"/>
      <c r="Q1136" s="8"/>
    </row>
    <row r="1137" spans="1:17" ht="15.75" customHeight="1" x14ac:dyDescent="0.3">
      <c r="A1137" s="36"/>
      <c r="B1137" s="36"/>
      <c r="C1137" s="36"/>
      <c r="K1137" s="37"/>
      <c r="N1137" s="38"/>
      <c r="Q1137" s="8"/>
    </row>
    <row r="1138" spans="1:17" ht="15.75" customHeight="1" x14ac:dyDescent="0.3">
      <c r="A1138" s="36"/>
      <c r="B1138" s="36"/>
      <c r="C1138" s="36"/>
      <c r="K1138" s="37"/>
      <c r="N1138" s="38"/>
      <c r="Q1138" s="8"/>
    </row>
    <row r="1139" spans="1:17" ht="15.75" customHeight="1" x14ac:dyDescent="0.3">
      <c r="A1139" s="36"/>
      <c r="B1139" s="36"/>
      <c r="C1139" s="36"/>
      <c r="K1139" s="37"/>
      <c r="N1139" s="38"/>
      <c r="Q1139" s="8"/>
    </row>
    <row r="1140" spans="1:17" ht="15.75" customHeight="1" x14ac:dyDescent="0.3">
      <c r="A1140" s="36"/>
      <c r="B1140" s="36"/>
      <c r="C1140" s="36"/>
      <c r="K1140" s="37"/>
      <c r="N1140" s="38"/>
      <c r="Q1140" s="8"/>
    </row>
    <row r="1141" spans="1:17" ht="15.75" customHeight="1" x14ac:dyDescent="0.3">
      <c r="A1141" s="36"/>
      <c r="B1141" s="36"/>
      <c r="C1141" s="36"/>
      <c r="K1141" s="37"/>
      <c r="N1141" s="38"/>
      <c r="Q1141" s="8"/>
    </row>
    <row r="1142" spans="1:17" ht="15.75" customHeight="1" x14ac:dyDescent="0.3">
      <c r="A1142" s="36"/>
      <c r="B1142" s="36"/>
      <c r="C1142" s="36"/>
      <c r="K1142" s="37"/>
      <c r="N1142" s="38"/>
      <c r="Q1142" s="8"/>
    </row>
    <row r="1143" spans="1:17" ht="15.75" customHeight="1" x14ac:dyDescent="0.3">
      <c r="A1143" s="36"/>
      <c r="B1143" s="36"/>
      <c r="C1143" s="36"/>
      <c r="K1143" s="37"/>
      <c r="N1143" s="38"/>
      <c r="Q1143" s="8"/>
    </row>
    <row r="1144" spans="1:17" ht="15.75" customHeight="1" x14ac:dyDescent="0.3">
      <c r="A1144" s="36"/>
      <c r="B1144" s="36"/>
      <c r="C1144" s="36"/>
      <c r="K1144" s="37"/>
      <c r="N1144" s="38"/>
      <c r="Q1144" s="8"/>
    </row>
    <row r="1145" spans="1:17" ht="15.75" customHeight="1" x14ac:dyDescent="0.3">
      <c r="A1145" s="36"/>
      <c r="B1145" s="36"/>
      <c r="C1145" s="36"/>
      <c r="K1145" s="37"/>
      <c r="N1145" s="38"/>
      <c r="Q1145" s="8"/>
    </row>
    <row r="1146" spans="1:17" ht="15.75" customHeight="1" x14ac:dyDescent="0.3">
      <c r="A1146" s="36"/>
      <c r="B1146" s="36"/>
      <c r="C1146" s="36"/>
      <c r="K1146" s="37"/>
      <c r="N1146" s="38"/>
      <c r="Q1146" s="8"/>
    </row>
    <row r="1147" spans="1:17" ht="15.75" customHeight="1" x14ac:dyDescent="0.3">
      <c r="A1147" s="36"/>
      <c r="B1147" s="36"/>
      <c r="C1147" s="36"/>
      <c r="K1147" s="37"/>
      <c r="N1147" s="38"/>
      <c r="Q1147" s="8"/>
    </row>
    <row r="1148" spans="1:17" ht="15.75" customHeight="1" x14ac:dyDescent="0.3">
      <c r="A1148" s="36"/>
      <c r="B1148" s="36"/>
      <c r="C1148" s="36"/>
      <c r="K1148" s="37"/>
      <c r="N1148" s="38"/>
      <c r="Q1148" s="8"/>
    </row>
    <row r="1149" spans="1:17" ht="15.75" customHeight="1" x14ac:dyDescent="0.3">
      <c r="A1149" s="36"/>
      <c r="B1149" s="36"/>
      <c r="C1149" s="36"/>
      <c r="K1149" s="37"/>
      <c r="N1149" s="38"/>
      <c r="Q1149" s="8"/>
    </row>
    <row r="1150" spans="1:17" ht="15.75" customHeight="1" x14ac:dyDescent="0.3">
      <c r="A1150" s="36"/>
      <c r="B1150" s="36"/>
      <c r="C1150" s="36"/>
      <c r="K1150" s="37"/>
      <c r="N1150" s="38"/>
      <c r="Q1150" s="8"/>
    </row>
    <row r="1151" spans="1:17" ht="15.75" customHeight="1" x14ac:dyDescent="0.3">
      <c r="A1151" s="36"/>
      <c r="B1151" s="36"/>
      <c r="C1151" s="36"/>
      <c r="K1151" s="37"/>
      <c r="N1151" s="38"/>
      <c r="Q1151" s="8"/>
    </row>
    <row r="1152" spans="1:17" ht="15.75" customHeight="1" x14ac:dyDescent="0.3">
      <c r="A1152" s="36"/>
      <c r="B1152" s="36"/>
      <c r="C1152" s="36"/>
      <c r="K1152" s="37"/>
      <c r="N1152" s="38"/>
      <c r="Q1152" s="8"/>
    </row>
    <row r="1153" spans="1:17" ht="15.75" customHeight="1" x14ac:dyDescent="0.3">
      <c r="A1153" s="36"/>
      <c r="B1153" s="36"/>
      <c r="C1153" s="36"/>
      <c r="K1153" s="37"/>
      <c r="N1153" s="38"/>
      <c r="Q1153" s="8"/>
    </row>
    <row r="1154" spans="1:17" ht="15.75" customHeight="1" x14ac:dyDescent="0.3">
      <c r="A1154" s="36"/>
      <c r="B1154" s="36"/>
      <c r="C1154" s="36"/>
      <c r="K1154" s="37"/>
      <c r="N1154" s="38"/>
      <c r="Q1154" s="8"/>
    </row>
    <row r="1155" spans="1:17" ht="15.75" customHeight="1" x14ac:dyDescent="0.3">
      <c r="A1155" s="36"/>
      <c r="B1155" s="36"/>
      <c r="C1155" s="36"/>
      <c r="K1155" s="37"/>
      <c r="N1155" s="38"/>
      <c r="Q1155" s="8"/>
    </row>
    <row r="1156" spans="1:17" ht="15.75" customHeight="1" x14ac:dyDescent="0.3">
      <c r="A1156" s="36"/>
      <c r="B1156" s="36"/>
      <c r="C1156" s="36"/>
      <c r="K1156" s="37"/>
      <c r="N1156" s="38"/>
      <c r="Q1156" s="8"/>
    </row>
    <row r="1157" spans="1:17" ht="15.75" customHeight="1" x14ac:dyDescent="0.3">
      <c r="A1157" s="36"/>
      <c r="B1157" s="36"/>
      <c r="C1157" s="36"/>
      <c r="K1157" s="37"/>
      <c r="N1157" s="38"/>
      <c r="Q1157" s="8"/>
    </row>
    <row r="1158" spans="1:17" ht="15.75" customHeight="1" x14ac:dyDescent="0.3">
      <c r="A1158" s="36"/>
      <c r="B1158" s="36"/>
      <c r="C1158" s="36"/>
      <c r="K1158" s="37"/>
      <c r="N1158" s="38"/>
      <c r="Q1158" s="8"/>
    </row>
    <row r="1159" spans="1:17" ht="15.75" customHeight="1" x14ac:dyDescent="0.3">
      <c r="A1159" s="36"/>
      <c r="B1159" s="36"/>
      <c r="C1159" s="36"/>
      <c r="K1159" s="37"/>
      <c r="N1159" s="38"/>
      <c r="Q1159" s="8"/>
    </row>
    <row r="1160" spans="1:17" ht="15.75" customHeight="1" x14ac:dyDescent="0.3">
      <c r="A1160" s="36"/>
      <c r="B1160" s="36"/>
      <c r="C1160" s="36"/>
      <c r="K1160" s="37"/>
      <c r="N1160" s="38"/>
      <c r="Q1160" s="8"/>
    </row>
    <row r="1161" spans="1:17" ht="15.75" customHeight="1" x14ac:dyDescent="0.3">
      <c r="A1161" s="36"/>
      <c r="B1161" s="36"/>
      <c r="C1161" s="36"/>
      <c r="K1161" s="37"/>
      <c r="N1161" s="38"/>
      <c r="Q1161" s="8"/>
    </row>
    <row r="1162" spans="1:17" ht="15.75" customHeight="1" x14ac:dyDescent="0.3">
      <c r="A1162" s="36"/>
      <c r="B1162" s="36"/>
      <c r="C1162" s="36"/>
      <c r="K1162" s="37"/>
      <c r="N1162" s="38"/>
      <c r="Q1162" s="8"/>
    </row>
    <row r="1163" spans="1:17" ht="15.75" customHeight="1" x14ac:dyDescent="0.3">
      <c r="A1163" s="36"/>
      <c r="B1163" s="36"/>
      <c r="C1163" s="36"/>
      <c r="K1163" s="37"/>
      <c r="N1163" s="38"/>
      <c r="Q1163" s="8"/>
    </row>
    <row r="1164" spans="1:17" ht="15.75" customHeight="1" x14ac:dyDescent="0.3">
      <c r="A1164" s="36"/>
      <c r="B1164" s="36"/>
      <c r="C1164" s="36"/>
      <c r="K1164" s="37"/>
      <c r="N1164" s="38"/>
      <c r="Q1164" s="8"/>
    </row>
    <row r="1165" spans="1:17" ht="15.75" customHeight="1" x14ac:dyDescent="0.3">
      <c r="A1165" s="36"/>
      <c r="B1165" s="36"/>
      <c r="C1165" s="36"/>
      <c r="K1165" s="37"/>
      <c r="N1165" s="38"/>
      <c r="Q1165" s="8"/>
    </row>
    <row r="1166" spans="1:17" ht="15.75" customHeight="1" x14ac:dyDescent="0.3">
      <c r="A1166" s="36"/>
      <c r="B1166" s="36"/>
      <c r="C1166" s="36"/>
      <c r="K1166" s="37"/>
      <c r="N1166" s="38"/>
      <c r="Q1166" s="8"/>
    </row>
    <row r="1167" spans="1:17" ht="15.75" customHeight="1" x14ac:dyDescent="0.3">
      <c r="A1167" s="36"/>
      <c r="B1167" s="36"/>
      <c r="C1167" s="36"/>
      <c r="K1167" s="37"/>
      <c r="N1167" s="38"/>
      <c r="Q1167" s="8"/>
    </row>
    <row r="1168" spans="1:17" ht="15.75" customHeight="1" x14ac:dyDescent="0.3">
      <c r="A1168" s="36"/>
      <c r="B1168" s="36"/>
      <c r="C1168" s="36"/>
      <c r="K1168" s="37"/>
      <c r="N1168" s="38"/>
      <c r="Q1168" s="8"/>
    </row>
    <row r="1169" spans="1:17" ht="15.75" customHeight="1" x14ac:dyDescent="0.3">
      <c r="A1169" s="36"/>
      <c r="B1169" s="36"/>
      <c r="C1169" s="36"/>
      <c r="K1169" s="37"/>
      <c r="N1169" s="38"/>
      <c r="Q1169" s="8"/>
    </row>
    <row r="1170" spans="1:17" ht="15.75" customHeight="1" x14ac:dyDescent="0.3">
      <c r="A1170" s="36"/>
      <c r="B1170" s="36"/>
      <c r="C1170" s="36"/>
      <c r="K1170" s="37"/>
      <c r="N1170" s="38"/>
      <c r="Q1170" s="8"/>
    </row>
    <row r="1171" spans="1:17" ht="15.75" customHeight="1" x14ac:dyDescent="0.3">
      <c r="A1171" s="36"/>
      <c r="B1171" s="36"/>
      <c r="C1171" s="36"/>
      <c r="K1171" s="37"/>
      <c r="N1171" s="38"/>
      <c r="Q1171" s="8"/>
    </row>
    <row r="1172" spans="1:17" ht="15.75" customHeight="1" x14ac:dyDescent="0.3">
      <c r="A1172" s="36"/>
      <c r="B1172" s="36"/>
      <c r="C1172" s="36"/>
      <c r="K1172" s="37"/>
      <c r="N1172" s="38"/>
      <c r="Q1172" s="8"/>
    </row>
    <row r="1173" spans="1:17" ht="15.75" customHeight="1" x14ac:dyDescent="0.3">
      <c r="A1173" s="36"/>
      <c r="B1173" s="36"/>
      <c r="C1173" s="36"/>
      <c r="K1173" s="37"/>
      <c r="N1173" s="38"/>
      <c r="Q1173" s="8"/>
    </row>
    <row r="1174" spans="1:17" ht="15.75" customHeight="1" x14ac:dyDescent="0.3">
      <c r="A1174" s="36"/>
      <c r="B1174" s="36"/>
      <c r="C1174" s="36"/>
      <c r="K1174" s="37"/>
      <c r="N1174" s="38"/>
      <c r="Q1174" s="8"/>
    </row>
    <row r="1175" spans="1:17" ht="15.75" customHeight="1" x14ac:dyDescent="0.3">
      <c r="A1175" s="36"/>
      <c r="B1175" s="36"/>
      <c r="C1175" s="36"/>
      <c r="K1175" s="37"/>
      <c r="N1175" s="38"/>
      <c r="Q1175" s="8"/>
    </row>
    <row r="1176" spans="1:17" ht="15.75" customHeight="1" x14ac:dyDescent="0.3">
      <c r="A1176" s="36"/>
      <c r="B1176" s="36"/>
      <c r="C1176" s="36"/>
      <c r="K1176" s="37"/>
      <c r="N1176" s="38"/>
      <c r="Q1176" s="8"/>
    </row>
    <row r="1177" spans="1:17" ht="15.75" customHeight="1" x14ac:dyDescent="0.3">
      <c r="A1177" s="36"/>
      <c r="B1177" s="36"/>
      <c r="C1177" s="36"/>
      <c r="K1177" s="37"/>
      <c r="N1177" s="38"/>
      <c r="Q1177" s="8"/>
    </row>
    <row r="1178" spans="1:17" ht="15.75" customHeight="1" x14ac:dyDescent="0.3">
      <c r="A1178" s="36"/>
      <c r="B1178" s="36"/>
      <c r="C1178" s="36"/>
      <c r="K1178" s="37"/>
      <c r="N1178" s="38"/>
      <c r="Q1178" s="8"/>
    </row>
    <row r="1179" spans="1:17" ht="15.75" customHeight="1" x14ac:dyDescent="0.3">
      <c r="A1179" s="36"/>
      <c r="B1179" s="36"/>
      <c r="C1179" s="36"/>
      <c r="K1179" s="37"/>
      <c r="N1179" s="38"/>
      <c r="Q1179" s="8"/>
    </row>
    <row r="1180" spans="1:17" ht="15.75" customHeight="1" x14ac:dyDescent="0.3">
      <c r="A1180" s="36"/>
      <c r="B1180" s="36"/>
      <c r="C1180" s="36"/>
      <c r="K1180" s="37"/>
      <c r="N1180" s="38"/>
      <c r="Q1180" s="8"/>
    </row>
    <row r="1181" spans="1:17" ht="15.75" customHeight="1" x14ac:dyDescent="0.3">
      <c r="A1181" s="36"/>
      <c r="B1181" s="36"/>
      <c r="C1181" s="36"/>
      <c r="K1181" s="37"/>
      <c r="N1181" s="38"/>
      <c r="Q1181" s="8"/>
    </row>
    <row r="1182" spans="1:17" ht="15.75" customHeight="1" x14ac:dyDescent="0.3">
      <c r="A1182" s="36"/>
      <c r="B1182" s="36"/>
      <c r="C1182" s="36"/>
      <c r="K1182" s="37"/>
      <c r="N1182" s="38"/>
      <c r="Q1182" s="8"/>
    </row>
    <row r="1183" spans="1:17" ht="15.75" customHeight="1" x14ac:dyDescent="0.3">
      <c r="A1183" s="36"/>
      <c r="B1183" s="36"/>
      <c r="C1183" s="36"/>
      <c r="K1183" s="37"/>
      <c r="N1183" s="38"/>
      <c r="Q1183" s="8"/>
    </row>
    <row r="1184" spans="1:17" ht="15.75" customHeight="1" x14ac:dyDescent="0.3">
      <c r="A1184" s="36"/>
      <c r="B1184" s="36"/>
      <c r="C1184" s="36"/>
      <c r="K1184" s="37"/>
      <c r="N1184" s="38"/>
      <c r="Q1184" s="8"/>
    </row>
    <row r="1185" spans="1:17" ht="15.75" customHeight="1" x14ac:dyDescent="0.3">
      <c r="A1185" s="36"/>
      <c r="B1185" s="36"/>
      <c r="C1185" s="36"/>
      <c r="K1185" s="37"/>
      <c r="N1185" s="38"/>
      <c r="Q1185" s="8"/>
    </row>
    <row r="1186" spans="1:17" ht="15.75" customHeight="1" x14ac:dyDescent="0.3">
      <c r="A1186" s="36"/>
      <c r="B1186" s="36"/>
      <c r="C1186" s="36"/>
      <c r="K1186" s="37"/>
      <c r="N1186" s="38"/>
      <c r="Q1186" s="8"/>
    </row>
    <row r="1187" spans="1:17" ht="15.75" customHeight="1" x14ac:dyDescent="0.3">
      <c r="A1187" s="36"/>
      <c r="B1187" s="36"/>
      <c r="C1187" s="36"/>
      <c r="K1187" s="37"/>
      <c r="N1187" s="38"/>
      <c r="Q1187" s="8"/>
    </row>
    <row r="1188" spans="1:17" ht="15.75" customHeight="1" x14ac:dyDescent="0.3">
      <c r="A1188" s="36"/>
      <c r="B1188" s="36"/>
      <c r="C1188" s="36"/>
      <c r="K1188" s="37"/>
      <c r="N1188" s="38"/>
      <c r="Q1188" s="8"/>
    </row>
    <row r="1189" spans="1:17" ht="15.75" customHeight="1" x14ac:dyDescent="0.3">
      <c r="A1189" s="36"/>
      <c r="B1189" s="36"/>
      <c r="C1189" s="36"/>
      <c r="K1189" s="37"/>
      <c r="N1189" s="38"/>
      <c r="Q1189" s="8"/>
    </row>
    <row r="1190" spans="1:17" ht="15.75" customHeight="1" x14ac:dyDescent="0.3">
      <c r="A1190" s="36"/>
      <c r="B1190" s="36"/>
      <c r="C1190" s="36"/>
      <c r="K1190" s="37"/>
      <c r="N1190" s="38"/>
      <c r="Q1190" s="8"/>
    </row>
    <row r="1191" spans="1:17" ht="15.75" customHeight="1" x14ac:dyDescent="0.3">
      <c r="A1191" s="36"/>
      <c r="B1191" s="36"/>
      <c r="C1191" s="36"/>
      <c r="K1191" s="37"/>
      <c r="N1191" s="38"/>
      <c r="Q1191" s="8"/>
    </row>
    <row r="1192" spans="1:17" ht="15.75" customHeight="1" x14ac:dyDescent="0.3">
      <c r="A1192" s="36"/>
      <c r="B1192" s="36"/>
      <c r="C1192" s="36"/>
      <c r="K1192" s="37"/>
      <c r="N1192" s="38"/>
      <c r="Q1192" s="8"/>
    </row>
    <row r="1193" spans="1:17" ht="15.75" customHeight="1" x14ac:dyDescent="0.3">
      <c r="A1193" s="36"/>
      <c r="B1193" s="36"/>
      <c r="C1193" s="36"/>
      <c r="K1193" s="37"/>
      <c r="N1193" s="38"/>
      <c r="Q1193" s="8"/>
    </row>
    <row r="1194" spans="1:17" ht="15.75" customHeight="1" x14ac:dyDescent="0.3">
      <c r="A1194" s="36"/>
      <c r="B1194" s="36"/>
      <c r="C1194" s="36"/>
      <c r="K1194" s="37"/>
      <c r="N1194" s="38"/>
      <c r="Q1194" s="8"/>
    </row>
    <row r="1195" spans="1:17" ht="15.75" customHeight="1" x14ac:dyDescent="0.3">
      <c r="A1195" s="36"/>
      <c r="B1195" s="36"/>
      <c r="C1195" s="36"/>
      <c r="K1195" s="37"/>
      <c r="N1195" s="38"/>
      <c r="Q1195" s="8"/>
    </row>
    <row r="1196" spans="1:17" ht="15.75" customHeight="1" x14ac:dyDescent="0.3">
      <c r="A1196" s="36"/>
      <c r="B1196" s="36"/>
      <c r="C1196" s="36"/>
      <c r="K1196" s="37"/>
      <c r="N1196" s="38"/>
      <c r="Q1196" s="8"/>
    </row>
    <row r="1197" spans="1:17" ht="15.75" customHeight="1" x14ac:dyDescent="0.3">
      <c r="A1197" s="36"/>
      <c r="B1197" s="36"/>
      <c r="C1197" s="36"/>
      <c r="K1197" s="37"/>
      <c r="N1197" s="38"/>
      <c r="Q1197" s="8"/>
    </row>
    <row r="1198" spans="1:17" ht="15.75" customHeight="1" x14ac:dyDescent="0.3">
      <c r="A1198" s="36"/>
      <c r="B1198" s="36"/>
      <c r="C1198" s="36"/>
      <c r="K1198" s="37"/>
      <c r="N1198" s="38"/>
      <c r="Q1198" s="8"/>
    </row>
    <row r="1199" spans="1:17" ht="15.75" customHeight="1" x14ac:dyDescent="0.3">
      <c r="A1199" s="36"/>
      <c r="B1199" s="36"/>
      <c r="C1199" s="36"/>
      <c r="K1199" s="37"/>
      <c r="N1199" s="38"/>
      <c r="Q1199" s="8"/>
    </row>
    <row r="1200" spans="1:17" ht="15.75" customHeight="1" x14ac:dyDescent="0.3">
      <c r="A1200" s="36"/>
      <c r="B1200" s="36"/>
      <c r="C1200" s="36"/>
      <c r="K1200" s="37"/>
      <c r="N1200" s="38"/>
      <c r="Q1200" s="8"/>
    </row>
    <row r="1201" spans="1:17" ht="15.75" customHeight="1" x14ac:dyDescent="0.3">
      <c r="A1201" s="36"/>
      <c r="B1201" s="36"/>
      <c r="C1201" s="36"/>
      <c r="K1201" s="37"/>
      <c r="N1201" s="38"/>
      <c r="Q1201" s="8"/>
    </row>
    <row r="1202" spans="1:17" ht="15.75" customHeight="1" x14ac:dyDescent="0.3">
      <c r="A1202" s="36"/>
      <c r="B1202" s="36"/>
      <c r="C1202" s="36"/>
      <c r="K1202" s="37"/>
      <c r="N1202" s="38"/>
      <c r="Q1202" s="8"/>
    </row>
    <row r="1203" spans="1:17" ht="15.75" customHeight="1" x14ac:dyDescent="0.3">
      <c r="A1203" s="36"/>
      <c r="B1203" s="36"/>
      <c r="C1203" s="36"/>
      <c r="K1203" s="37"/>
      <c r="N1203" s="38"/>
      <c r="Q1203" s="8"/>
    </row>
    <row r="1204" spans="1:17" ht="15.75" customHeight="1" x14ac:dyDescent="0.3">
      <c r="A1204" s="36"/>
      <c r="B1204" s="36"/>
      <c r="C1204" s="36"/>
      <c r="K1204" s="37"/>
      <c r="N1204" s="38"/>
      <c r="Q1204" s="8"/>
    </row>
    <row r="1205" spans="1:17" ht="15.75" customHeight="1" x14ac:dyDescent="0.3">
      <c r="A1205" s="36"/>
      <c r="B1205" s="36"/>
      <c r="C1205" s="36"/>
      <c r="K1205" s="37"/>
      <c r="N1205" s="38"/>
      <c r="Q1205" s="8"/>
    </row>
    <row r="1206" spans="1:17" ht="15.75" customHeight="1" x14ac:dyDescent="0.3">
      <c r="A1206" s="36"/>
      <c r="B1206" s="36"/>
      <c r="C1206" s="36"/>
      <c r="K1206" s="37"/>
      <c r="N1206" s="38"/>
      <c r="Q1206" s="8"/>
    </row>
    <row r="1207" spans="1:17" ht="15.75" customHeight="1" x14ac:dyDescent="0.3">
      <c r="A1207" s="36"/>
      <c r="B1207" s="36"/>
      <c r="C1207" s="36"/>
      <c r="K1207" s="37"/>
      <c r="N1207" s="38"/>
      <c r="Q1207" s="8"/>
    </row>
    <row r="1208" spans="1:17" ht="15.75" customHeight="1" x14ac:dyDescent="0.3">
      <c r="A1208" s="36"/>
      <c r="B1208" s="36"/>
      <c r="C1208" s="36"/>
      <c r="K1208" s="37"/>
      <c r="N1208" s="38"/>
      <c r="Q1208" s="8"/>
    </row>
    <row r="1209" spans="1:17" ht="15.75" customHeight="1" x14ac:dyDescent="0.3">
      <c r="A1209" s="36"/>
      <c r="B1209" s="36"/>
      <c r="C1209" s="36"/>
      <c r="K1209" s="37"/>
      <c r="N1209" s="38"/>
      <c r="Q1209" s="8"/>
    </row>
    <row r="1210" spans="1:17" ht="15.75" customHeight="1" x14ac:dyDescent="0.3">
      <c r="A1210" s="36"/>
      <c r="B1210" s="36"/>
      <c r="C1210" s="36"/>
      <c r="K1210" s="37"/>
      <c r="N1210" s="38"/>
      <c r="Q1210" s="8"/>
    </row>
    <row r="1211" spans="1:17" ht="15.75" customHeight="1" x14ac:dyDescent="0.3">
      <c r="A1211" s="36"/>
      <c r="B1211" s="36"/>
      <c r="C1211" s="36"/>
      <c r="K1211" s="37"/>
      <c r="N1211" s="38"/>
      <c r="Q1211" s="8"/>
    </row>
    <row r="1212" spans="1:17" ht="15.75" customHeight="1" x14ac:dyDescent="0.3">
      <c r="A1212" s="36"/>
      <c r="B1212" s="36"/>
      <c r="C1212" s="36"/>
      <c r="K1212" s="37"/>
      <c r="N1212" s="38"/>
      <c r="Q1212" s="8"/>
    </row>
    <row r="1213" spans="1:17" ht="15.75" customHeight="1" x14ac:dyDescent="0.3">
      <c r="A1213" s="36"/>
      <c r="B1213" s="36"/>
      <c r="C1213" s="36"/>
      <c r="K1213" s="37"/>
      <c r="N1213" s="38"/>
      <c r="Q1213" s="8"/>
    </row>
    <row r="1214" spans="1:17" ht="15.75" customHeight="1" x14ac:dyDescent="0.3">
      <c r="A1214" s="36"/>
      <c r="B1214" s="36"/>
      <c r="C1214" s="36"/>
      <c r="K1214" s="37"/>
      <c r="N1214" s="38"/>
      <c r="Q1214" s="8"/>
    </row>
    <row r="1215" spans="1:17" ht="15.75" customHeight="1" x14ac:dyDescent="0.3">
      <c r="A1215" s="36"/>
      <c r="B1215" s="36"/>
      <c r="C1215" s="36"/>
      <c r="K1215" s="37"/>
      <c r="N1215" s="38"/>
      <c r="Q1215" s="8"/>
    </row>
    <row r="1216" spans="1:17" ht="15.75" customHeight="1" x14ac:dyDescent="0.3">
      <c r="A1216" s="36"/>
      <c r="B1216" s="36"/>
      <c r="C1216" s="36"/>
      <c r="K1216" s="37"/>
      <c r="N1216" s="38"/>
      <c r="Q1216" s="8"/>
    </row>
    <row r="1217" spans="1:17" ht="15.75" customHeight="1" x14ac:dyDescent="0.3">
      <c r="A1217" s="36"/>
      <c r="B1217" s="36"/>
      <c r="C1217" s="36"/>
      <c r="K1217" s="37"/>
      <c r="N1217" s="38"/>
      <c r="Q1217" s="8"/>
    </row>
    <row r="1218" spans="1:17" ht="15.75" customHeight="1" x14ac:dyDescent="0.3">
      <c r="A1218" s="36"/>
      <c r="B1218" s="36"/>
      <c r="C1218" s="36"/>
      <c r="K1218" s="37"/>
      <c r="N1218" s="38"/>
      <c r="Q1218" s="8"/>
    </row>
    <row r="1219" spans="1:17" ht="15.75" customHeight="1" x14ac:dyDescent="0.3">
      <c r="A1219" s="36"/>
      <c r="B1219" s="36"/>
      <c r="C1219" s="36"/>
      <c r="K1219" s="37"/>
      <c r="N1219" s="38"/>
      <c r="Q1219" s="8"/>
    </row>
    <row r="1220" spans="1:17" ht="15.75" customHeight="1" x14ac:dyDescent="0.3">
      <c r="A1220" s="36"/>
      <c r="B1220" s="36"/>
      <c r="C1220" s="36"/>
      <c r="K1220" s="37"/>
      <c r="N1220" s="38"/>
      <c r="Q1220" s="8"/>
    </row>
    <row r="1221" spans="1:17" ht="15.75" customHeight="1" x14ac:dyDescent="0.3">
      <c r="A1221" s="36"/>
      <c r="B1221" s="36"/>
      <c r="C1221" s="36"/>
      <c r="K1221" s="37"/>
      <c r="N1221" s="38"/>
      <c r="Q1221" s="8"/>
    </row>
    <row r="1222" spans="1:17" ht="15.75" customHeight="1" x14ac:dyDescent="0.3">
      <c r="A1222" s="36"/>
      <c r="B1222" s="36"/>
      <c r="C1222" s="36"/>
      <c r="K1222" s="37"/>
      <c r="N1222" s="38"/>
      <c r="Q1222" s="8"/>
    </row>
    <row r="1223" spans="1:17" ht="15.75" customHeight="1" x14ac:dyDescent="0.3">
      <c r="A1223" s="36"/>
      <c r="B1223" s="36"/>
      <c r="C1223" s="36"/>
      <c r="K1223" s="37"/>
      <c r="N1223" s="38"/>
      <c r="Q1223" s="8"/>
    </row>
    <row r="1224" spans="1:17" ht="15.75" customHeight="1" x14ac:dyDescent="0.3">
      <c r="A1224" s="36"/>
      <c r="B1224" s="36"/>
      <c r="C1224" s="36"/>
      <c r="K1224" s="37"/>
      <c r="N1224" s="38"/>
      <c r="Q1224" s="8"/>
    </row>
    <row r="1225" spans="1:17" ht="15.75" customHeight="1" x14ac:dyDescent="0.3">
      <c r="A1225" s="36"/>
      <c r="B1225" s="36"/>
      <c r="C1225" s="36"/>
      <c r="K1225" s="37"/>
      <c r="N1225" s="38"/>
      <c r="Q1225" s="8"/>
    </row>
    <row r="1226" spans="1:17" ht="15.75" customHeight="1" x14ac:dyDescent="0.3">
      <c r="A1226" s="36"/>
      <c r="B1226" s="36"/>
      <c r="C1226" s="36"/>
      <c r="K1226" s="37"/>
      <c r="N1226" s="38"/>
      <c r="Q1226" s="8"/>
    </row>
    <row r="1227" spans="1:17" ht="15.75" customHeight="1" x14ac:dyDescent="0.3">
      <c r="A1227" s="36"/>
      <c r="B1227" s="36"/>
      <c r="C1227" s="36"/>
      <c r="K1227" s="37"/>
      <c r="N1227" s="38"/>
      <c r="Q1227" s="8"/>
    </row>
    <row r="1228" spans="1:17" ht="15.75" customHeight="1" x14ac:dyDescent="0.3">
      <c r="A1228" s="36"/>
      <c r="B1228" s="36"/>
      <c r="C1228" s="36"/>
      <c r="K1228" s="37"/>
      <c r="N1228" s="38"/>
      <c r="Q1228" s="8"/>
    </row>
    <row r="1229" spans="1:17" ht="15.75" customHeight="1" x14ac:dyDescent="0.3">
      <c r="A1229" s="36"/>
      <c r="B1229" s="36"/>
      <c r="C1229" s="36"/>
      <c r="K1229" s="37"/>
      <c r="N1229" s="38"/>
      <c r="Q1229" s="8"/>
    </row>
    <row r="1230" spans="1:17" ht="15.75" customHeight="1" x14ac:dyDescent="0.3">
      <c r="A1230" s="36"/>
      <c r="B1230" s="36"/>
      <c r="C1230" s="36"/>
      <c r="K1230" s="37"/>
      <c r="N1230" s="38"/>
      <c r="Q1230" s="8"/>
    </row>
    <row r="1231" spans="1:17" ht="15.75" customHeight="1" x14ac:dyDescent="0.3">
      <c r="A1231" s="36"/>
      <c r="B1231" s="36"/>
      <c r="C1231" s="36"/>
      <c r="K1231" s="37"/>
      <c r="N1231" s="38"/>
      <c r="Q1231" s="8"/>
    </row>
    <row r="1232" spans="1:17" ht="15.75" customHeight="1" x14ac:dyDescent="0.3">
      <c r="A1232" s="36"/>
      <c r="B1232" s="36"/>
      <c r="C1232" s="36"/>
      <c r="K1232" s="37"/>
      <c r="N1232" s="38"/>
      <c r="Q1232" s="8"/>
    </row>
    <row r="1233" spans="1:17" ht="15.75" customHeight="1" x14ac:dyDescent="0.3">
      <c r="A1233" s="36"/>
      <c r="B1233" s="36"/>
      <c r="C1233" s="36"/>
      <c r="K1233" s="37"/>
      <c r="N1233" s="38"/>
      <c r="Q1233" s="8"/>
    </row>
    <row r="1234" spans="1:17" ht="15.75" customHeight="1" x14ac:dyDescent="0.3">
      <c r="A1234" s="36"/>
      <c r="B1234" s="36"/>
      <c r="C1234" s="36"/>
      <c r="K1234" s="37"/>
      <c r="N1234" s="38"/>
      <c r="Q1234" s="8"/>
    </row>
    <row r="1235" spans="1:17" ht="15.75" customHeight="1" x14ac:dyDescent="0.3">
      <c r="A1235" s="36"/>
      <c r="B1235" s="36"/>
      <c r="C1235" s="36"/>
      <c r="K1235" s="37"/>
      <c r="N1235" s="38"/>
      <c r="Q1235" s="8"/>
    </row>
    <row r="1236" spans="1:17" ht="15.75" customHeight="1" x14ac:dyDescent="0.3">
      <c r="A1236" s="36"/>
      <c r="B1236" s="36"/>
      <c r="C1236" s="36"/>
      <c r="K1236" s="37"/>
      <c r="N1236" s="38"/>
      <c r="Q1236" s="8"/>
    </row>
    <row r="1237" spans="1:17" ht="15.75" customHeight="1" x14ac:dyDescent="0.3">
      <c r="A1237" s="36"/>
      <c r="B1237" s="36"/>
      <c r="C1237" s="36"/>
      <c r="K1237" s="37"/>
      <c r="N1237" s="38"/>
      <c r="Q1237" s="8"/>
    </row>
    <row r="1238" spans="1:17" ht="15.75" customHeight="1" x14ac:dyDescent="0.3">
      <c r="A1238" s="36"/>
      <c r="B1238" s="36"/>
      <c r="C1238" s="36"/>
      <c r="K1238" s="37"/>
      <c r="N1238" s="38"/>
      <c r="Q1238" s="8"/>
    </row>
    <row r="1239" spans="1:17" ht="15.75" customHeight="1" x14ac:dyDescent="0.3">
      <c r="A1239" s="36"/>
      <c r="B1239" s="36"/>
      <c r="C1239" s="36"/>
      <c r="K1239" s="37"/>
      <c r="N1239" s="38"/>
      <c r="Q1239" s="8"/>
    </row>
    <row r="1240" spans="1:17" ht="15.75" customHeight="1" x14ac:dyDescent="0.3">
      <c r="A1240" s="36"/>
      <c r="B1240" s="36"/>
      <c r="C1240" s="36"/>
      <c r="K1240" s="37"/>
      <c r="N1240" s="38"/>
      <c r="Q1240" s="8"/>
    </row>
    <row r="1241" spans="1:17" ht="15.75" customHeight="1" x14ac:dyDescent="0.3">
      <c r="A1241" s="36"/>
      <c r="B1241" s="36"/>
      <c r="C1241" s="36"/>
      <c r="K1241" s="37"/>
      <c r="N1241" s="38"/>
      <c r="Q1241" s="8"/>
    </row>
    <row r="1242" spans="1:17" ht="15.75" customHeight="1" x14ac:dyDescent="0.3">
      <c r="A1242" s="36"/>
      <c r="B1242" s="36"/>
      <c r="C1242" s="36"/>
      <c r="K1242" s="37"/>
      <c r="N1242" s="38"/>
      <c r="Q1242" s="8"/>
    </row>
    <row r="1243" spans="1:17" ht="15.75" customHeight="1" x14ac:dyDescent="0.3">
      <c r="A1243" s="36"/>
      <c r="B1243" s="36"/>
      <c r="C1243" s="36"/>
      <c r="K1243" s="37"/>
      <c r="N1243" s="38"/>
      <c r="Q1243" s="8"/>
    </row>
    <row r="1244" spans="1:17" ht="15.75" customHeight="1" x14ac:dyDescent="0.3">
      <c r="A1244" s="36"/>
      <c r="B1244" s="36"/>
      <c r="C1244" s="36"/>
      <c r="K1244" s="37"/>
      <c r="N1244" s="38"/>
      <c r="Q1244" s="8"/>
    </row>
    <row r="1245" spans="1:17" ht="15.75" customHeight="1" x14ac:dyDescent="0.3">
      <c r="A1245" s="36"/>
      <c r="B1245" s="36"/>
      <c r="C1245" s="36"/>
      <c r="K1245" s="37"/>
      <c r="N1245" s="38"/>
      <c r="Q1245" s="8"/>
    </row>
    <row r="1246" spans="1:17" ht="15.75" customHeight="1" x14ac:dyDescent="0.3">
      <c r="A1246" s="36"/>
      <c r="B1246" s="36"/>
      <c r="C1246" s="36"/>
      <c r="K1246" s="37"/>
      <c r="N1246" s="38"/>
      <c r="Q1246" s="8"/>
    </row>
    <row r="1247" spans="1:17" ht="15.75" customHeight="1" x14ac:dyDescent="0.3">
      <c r="A1247" s="36"/>
      <c r="B1247" s="36"/>
      <c r="C1247" s="36"/>
      <c r="K1247" s="37"/>
      <c r="N1247" s="38"/>
      <c r="Q1247" s="8"/>
    </row>
    <row r="1248" spans="1:17" ht="15.75" customHeight="1" x14ac:dyDescent="0.3">
      <c r="A1248" s="36"/>
      <c r="B1248" s="36"/>
      <c r="C1248" s="36"/>
      <c r="K1248" s="37"/>
      <c r="N1248" s="38"/>
      <c r="Q1248" s="8"/>
    </row>
    <row r="1249" spans="1:17" ht="15.75" customHeight="1" x14ac:dyDescent="0.3">
      <c r="A1249" s="36"/>
      <c r="B1249" s="36"/>
      <c r="C1249" s="36"/>
      <c r="K1249" s="37"/>
      <c r="N1249" s="38"/>
      <c r="Q1249" s="8"/>
    </row>
    <row r="1250" spans="1:17" ht="15.75" customHeight="1" x14ac:dyDescent="0.3">
      <c r="A1250" s="36"/>
      <c r="B1250" s="36"/>
      <c r="C1250" s="36"/>
      <c r="K1250" s="37"/>
      <c r="N1250" s="38"/>
      <c r="Q1250" s="8"/>
    </row>
    <row r="1251" spans="1:17" ht="15.75" customHeight="1" x14ac:dyDescent="0.3">
      <c r="A1251" s="36"/>
      <c r="B1251" s="36"/>
      <c r="C1251" s="36"/>
      <c r="K1251" s="37"/>
      <c r="N1251" s="38"/>
      <c r="Q1251" s="8"/>
    </row>
    <row r="1252" spans="1:17" ht="15.75" customHeight="1" x14ac:dyDescent="0.3">
      <c r="A1252" s="36"/>
      <c r="B1252" s="36"/>
      <c r="C1252" s="36"/>
      <c r="K1252" s="37"/>
      <c r="N1252" s="38"/>
      <c r="Q1252" s="8"/>
    </row>
    <row r="1253" spans="1:17" ht="15.75" customHeight="1" x14ac:dyDescent="0.3">
      <c r="A1253" s="36"/>
      <c r="B1253" s="36"/>
      <c r="C1253" s="36"/>
      <c r="K1253" s="37"/>
      <c r="N1253" s="38"/>
      <c r="Q1253" s="8"/>
    </row>
    <row r="1254" spans="1:17" ht="15.75" customHeight="1" x14ac:dyDescent="0.3">
      <c r="A1254" s="36"/>
      <c r="B1254" s="36"/>
      <c r="C1254" s="36"/>
      <c r="K1254" s="37"/>
      <c r="N1254" s="38"/>
      <c r="Q1254" s="8"/>
    </row>
    <row r="1255" spans="1:17" ht="15.75" customHeight="1" x14ac:dyDescent="0.3">
      <c r="A1255" s="36"/>
      <c r="B1255" s="36"/>
      <c r="C1255" s="36"/>
      <c r="K1255" s="37"/>
      <c r="N1255" s="38"/>
      <c r="Q1255" s="8"/>
    </row>
    <row r="1256" spans="1:17" ht="15.75" customHeight="1" x14ac:dyDescent="0.3">
      <c r="A1256" s="36"/>
      <c r="B1256" s="36"/>
      <c r="C1256" s="36"/>
      <c r="K1256" s="37"/>
      <c r="N1256" s="38"/>
      <c r="Q1256" s="8"/>
    </row>
    <row r="1257" spans="1:17" ht="15.75" customHeight="1" x14ac:dyDescent="0.3">
      <c r="A1257" s="36"/>
      <c r="B1257" s="36"/>
      <c r="C1257" s="36"/>
      <c r="K1257" s="37"/>
      <c r="N1257" s="38"/>
      <c r="Q1257" s="8"/>
    </row>
    <row r="1258" spans="1:17" ht="15.75" customHeight="1" x14ac:dyDescent="0.3">
      <c r="A1258" s="36"/>
      <c r="B1258" s="36"/>
      <c r="C1258" s="36"/>
      <c r="K1258" s="37"/>
      <c r="N1258" s="38"/>
      <c r="Q1258" s="8"/>
    </row>
    <row r="1259" spans="1:17" ht="15.75" customHeight="1" x14ac:dyDescent="0.3">
      <c r="A1259" s="36"/>
      <c r="B1259" s="36"/>
      <c r="C1259" s="36"/>
      <c r="K1259" s="37"/>
      <c r="N1259" s="38"/>
      <c r="Q1259" s="8"/>
    </row>
    <row r="1260" spans="1:17" ht="15.75" customHeight="1" x14ac:dyDescent="0.3">
      <c r="A1260" s="36"/>
      <c r="B1260" s="36"/>
      <c r="C1260" s="36"/>
      <c r="K1260" s="37"/>
      <c r="N1260" s="38"/>
      <c r="Q1260" s="8"/>
    </row>
    <row r="1261" spans="1:17" ht="15.75" customHeight="1" x14ac:dyDescent="0.3">
      <c r="A1261" s="36"/>
      <c r="B1261" s="36"/>
      <c r="C1261" s="36"/>
      <c r="K1261" s="37"/>
      <c r="N1261" s="38"/>
      <c r="Q1261" s="8"/>
    </row>
    <row r="1262" spans="1:17" ht="15.75" customHeight="1" x14ac:dyDescent="0.3">
      <c r="A1262" s="36"/>
      <c r="B1262" s="36"/>
      <c r="C1262" s="36"/>
      <c r="K1262" s="37"/>
      <c r="N1262" s="38"/>
      <c r="Q1262" s="8"/>
    </row>
    <row r="1263" spans="1:17" ht="15.75" customHeight="1" x14ac:dyDescent="0.3">
      <c r="A1263" s="36"/>
      <c r="B1263" s="36"/>
      <c r="C1263" s="36"/>
      <c r="K1263" s="37"/>
      <c r="N1263" s="38"/>
      <c r="Q1263" s="8"/>
    </row>
    <row r="1264" spans="1:17" ht="15.75" customHeight="1" x14ac:dyDescent="0.3">
      <c r="A1264" s="36"/>
      <c r="B1264" s="36"/>
      <c r="C1264" s="36"/>
      <c r="K1264" s="37"/>
      <c r="N1264" s="38"/>
      <c r="Q1264" s="8"/>
    </row>
    <row r="1265" spans="1:17" ht="15.75" customHeight="1" x14ac:dyDescent="0.3">
      <c r="A1265" s="36"/>
      <c r="B1265" s="36"/>
      <c r="C1265" s="36"/>
      <c r="K1265" s="37"/>
      <c r="N1265" s="38"/>
      <c r="Q1265" s="8"/>
    </row>
    <row r="1266" spans="1:17" ht="15.75" customHeight="1" x14ac:dyDescent="0.3">
      <c r="A1266" s="36"/>
      <c r="B1266" s="36"/>
      <c r="C1266" s="36"/>
      <c r="K1266" s="37"/>
      <c r="N1266" s="38"/>
      <c r="Q1266" s="8"/>
    </row>
    <row r="1267" spans="1:17" ht="15.75" customHeight="1" x14ac:dyDescent="0.3">
      <c r="A1267" s="36"/>
      <c r="B1267" s="36"/>
      <c r="C1267" s="36"/>
      <c r="K1267" s="37"/>
      <c r="N1267" s="38"/>
      <c r="Q1267" s="8"/>
    </row>
    <row r="1268" spans="1:17" ht="15.75" customHeight="1" x14ac:dyDescent="0.3">
      <c r="A1268" s="36"/>
      <c r="B1268" s="36"/>
      <c r="C1268" s="36"/>
      <c r="K1268" s="37"/>
      <c r="N1268" s="38"/>
      <c r="Q1268" s="8"/>
    </row>
    <row r="1269" spans="1:17" ht="15.75" customHeight="1" x14ac:dyDescent="0.3">
      <c r="A1269" s="36"/>
      <c r="B1269" s="36"/>
      <c r="C1269" s="36"/>
      <c r="K1269" s="37"/>
      <c r="N1269" s="38"/>
      <c r="Q1269" s="8"/>
    </row>
    <row r="1270" spans="1:17" ht="15.75" customHeight="1" x14ac:dyDescent="0.3">
      <c r="A1270" s="36"/>
      <c r="B1270" s="36"/>
      <c r="C1270" s="36"/>
      <c r="K1270" s="37"/>
      <c r="N1270" s="38"/>
      <c r="Q1270" s="8"/>
    </row>
    <row r="1271" spans="1:17" ht="15.75" customHeight="1" x14ac:dyDescent="0.3">
      <c r="A1271" s="36"/>
      <c r="B1271" s="36"/>
      <c r="C1271" s="36"/>
      <c r="K1271" s="37"/>
      <c r="N1271" s="38"/>
      <c r="Q1271" s="8"/>
    </row>
    <row r="1272" spans="1:17" ht="15.75" customHeight="1" x14ac:dyDescent="0.3">
      <c r="A1272" s="36"/>
      <c r="B1272" s="36"/>
      <c r="C1272" s="36"/>
      <c r="K1272" s="37"/>
      <c r="N1272" s="38"/>
      <c r="Q1272" s="8"/>
    </row>
    <row r="1273" spans="1:17" ht="15.75" customHeight="1" x14ac:dyDescent="0.3">
      <c r="A1273" s="36"/>
      <c r="B1273" s="36"/>
      <c r="C1273" s="36"/>
      <c r="K1273" s="37"/>
      <c r="N1273" s="38"/>
      <c r="Q1273" s="8"/>
    </row>
    <row r="1274" spans="1:17" ht="15.75" customHeight="1" x14ac:dyDescent="0.3">
      <c r="A1274" s="36"/>
      <c r="B1274" s="36"/>
      <c r="C1274" s="36"/>
      <c r="K1274" s="37"/>
      <c r="N1274" s="38"/>
      <c r="Q1274" s="8"/>
    </row>
    <row r="1275" spans="1:17" ht="15.75" customHeight="1" x14ac:dyDescent="0.3">
      <c r="A1275" s="36"/>
      <c r="B1275" s="36"/>
      <c r="C1275" s="36"/>
      <c r="K1275" s="37"/>
      <c r="N1275" s="38"/>
      <c r="Q1275" s="8"/>
    </row>
    <row r="1276" spans="1:17" ht="15.75" customHeight="1" x14ac:dyDescent="0.3">
      <c r="A1276" s="36"/>
      <c r="B1276" s="36"/>
      <c r="C1276" s="36"/>
      <c r="K1276" s="37"/>
      <c r="N1276" s="38"/>
      <c r="Q1276" s="8"/>
    </row>
    <row r="1277" spans="1:17" ht="15.75" customHeight="1" x14ac:dyDescent="0.3">
      <c r="A1277" s="36"/>
      <c r="B1277" s="36"/>
      <c r="C1277" s="36"/>
      <c r="K1277" s="37"/>
      <c r="N1277" s="38"/>
      <c r="Q1277" s="8"/>
    </row>
    <row r="1278" spans="1:17" ht="15.75" customHeight="1" x14ac:dyDescent="0.3">
      <c r="A1278" s="36"/>
      <c r="B1278" s="36"/>
      <c r="C1278" s="36"/>
      <c r="K1278" s="37"/>
      <c r="N1278" s="38"/>
      <c r="Q1278" s="8"/>
    </row>
    <row r="1279" spans="1:17" ht="15.75" customHeight="1" x14ac:dyDescent="0.3">
      <c r="A1279" s="36"/>
      <c r="B1279" s="36"/>
      <c r="C1279" s="36"/>
      <c r="K1279" s="37"/>
      <c r="N1279" s="38"/>
      <c r="Q1279" s="8"/>
    </row>
    <row r="1280" spans="1:17" ht="15.75" customHeight="1" x14ac:dyDescent="0.3">
      <c r="A1280" s="36"/>
      <c r="B1280" s="36"/>
      <c r="C1280" s="36"/>
      <c r="K1280" s="37"/>
      <c r="N1280" s="38"/>
      <c r="Q1280" s="8"/>
    </row>
    <row r="1281" spans="1:17" ht="15.75" customHeight="1" x14ac:dyDescent="0.3">
      <c r="A1281" s="36"/>
      <c r="B1281" s="36"/>
      <c r="C1281" s="36"/>
      <c r="K1281" s="37"/>
      <c r="N1281" s="38"/>
      <c r="Q1281" s="8"/>
    </row>
    <row r="1282" spans="1:17" ht="15.75" customHeight="1" x14ac:dyDescent="0.3">
      <c r="A1282" s="36"/>
      <c r="B1282" s="36"/>
      <c r="C1282" s="36"/>
      <c r="K1282" s="37"/>
      <c r="N1282" s="38"/>
      <c r="Q1282" s="8"/>
    </row>
    <row r="1283" spans="1:17" ht="15.75" customHeight="1" x14ac:dyDescent="0.3">
      <c r="A1283" s="36"/>
      <c r="B1283" s="36"/>
      <c r="C1283" s="36"/>
      <c r="K1283" s="37"/>
      <c r="N1283" s="38"/>
      <c r="Q1283" s="8"/>
    </row>
    <row r="1284" spans="1:17" ht="15.75" customHeight="1" x14ac:dyDescent="0.3">
      <c r="A1284" s="36"/>
      <c r="B1284" s="36"/>
      <c r="C1284" s="36"/>
      <c r="K1284" s="37"/>
      <c r="N1284" s="38"/>
      <c r="Q1284" s="8"/>
    </row>
    <row r="1285" spans="1:17" ht="15.75" customHeight="1" x14ac:dyDescent="0.3">
      <c r="A1285" s="36"/>
      <c r="B1285" s="36"/>
      <c r="C1285" s="36"/>
      <c r="K1285" s="37"/>
      <c r="N1285" s="38"/>
      <c r="Q1285" s="8"/>
    </row>
    <row r="1286" spans="1:17" ht="15.75" customHeight="1" x14ac:dyDescent="0.3">
      <c r="A1286" s="36"/>
      <c r="B1286" s="36"/>
      <c r="C1286" s="36"/>
      <c r="K1286" s="37"/>
      <c r="N1286" s="38"/>
      <c r="Q1286" s="8"/>
    </row>
    <row r="1287" spans="1:17" ht="15.75" customHeight="1" x14ac:dyDescent="0.3">
      <c r="A1287" s="36"/>
      <c r="B1287" s="36"/>
      <c r="C1287" s="36"/>
      <c r="K1287" s="37"/>
      <c r="N1287" s="38"/>
      <c r="Q1287" s="8"/>
    </row>
    <row r="1288" spans="1:17" ht="15.75" customHeight="1" x14ac:dyDescent="0.3">
      <c r="A1288" s="36"/>
      <c r="B1288" s="36"/>
      <c r="C1288" s="36"/>
      <c r="K1288" s="37"/>
      <c r="N1288" s="38"/>
      <c r="Q1288" s="8"/>
    </row>
    <row r="1289" spans="1:17" ht="15.75" customHeight="1" x14ac:dyDescent="0.3">
      <c r="A1289" s="36"/>
      <c r="B1289" s="36"/>
      <c r="C1289" s="36"/>
      <c r="K1289" s="37"/>
      <c r="N1289" s="38"/>
      <c r="Q1289" s="8"/>
    </row>
    <row r="1290" spans="1:17" ht="15.75" customHeight="1" x14ac:dyDescent="0.3">
      <c r="A1290" s="36"/>
      <c r="B1290" s="36"/>
      <c r="C1290" s="36"/>
      <c r="K1290" s="37"/>
      <c r="N1290" s="38"/>
      <c r="Q1290" s="8"/>
    </row>
    <row r="1291" spans="1:17" ht="15.75" customHeight="1" x14ac:dyDescent="0.3">
      <c r="A1291" s="36"/>
      <c r="B1291" s="36"/>
      <c r="C1291" s="36"/>
      <c r="K1291" s="37"/>
      <c r="N1291" s="38"/>
      <c r="Q1291" s="8"/>
    </row>
    <row r="1292" spans="1:17" ht="15.75" customHeight="1" x14ac:dyDescent="0.3">
      <c r="A1292" s="36"/>
      <c r="B1292" s="36"/>
      <c r="C1292" s="36"/>
      <c r="K1292" s="37"/>
      <c r="N1292" s="38"/>
      <c r="Q1292" s="8"/>
    </row>
    <row r="1293" spans="1:17" ht="15.75" customHeight="1" x14ac:dyDescent="0.3">
      <c r="A1293" s="36"/>
      <c r="B1293" s="36"/>
      <c r="C1293" s="36"/>
      <c r="K1293" s="37"/>
      <c r="N1293" s="38"/>
      <c r="Q1293" s="8"/>
    </row>
    <row r="1294" spans="1:17" ht="15.75" customHeight="1" x14ac:dyDescent="0.3">
      <c r="A1294" s="36"/>
      <c r="B1294" s="36"/>
      <c r="C1294" s="36"/>
      <c r="K1294" s="37"/>
      <c r="N1294" s="38"/>
      <c r="Q1294" s="8"/>
    </row>
    <row r="1295" spans="1:17" ht="15.75" customHeight="1" x14ac:dyDescent="0.3">
      <c r="A1295" s="36"/>
      <c r="B1295" s="36"/>
      <c r="C1295" s="36"/>
      <c r="K1295" s="37"/>
      <c r="N1295" s="38"/>
      <c r="Q1295" s="8"/>
    </row>
    <row r="1296" spans="1:17" ht="15.75" customHeight="1" x14ac:dyDescent="0.3">
      <c r="A1296" s="36"/>
      <c r="B1296" s="36"/>
      <c r="C1296" s="36"/>
      <c r="K1296" s="37"/>
      <c r="N1296" s="38"/>
      <c r="Q1296" s="8"/>
    </row>
    <row r="1297" spans="1:17" ht="15.75" customHeight="1" x14ac:dyDescent="0.3">
      <c r="A1297" s="36"/>
      <c r="B1297" s="36"/>
      <c r="C1297" s="36"/>
      <c r="K1297" s="37"/>
      <c r="N1297" s="38"/>
      <c r="Q1297" s="8"/>
    </row>
    <row r="1298" spans="1:17" ht="15.75" customHeight="1" x14ac:dyDescent="0.3">
      <c r="A1298" s="36"/>
      <c r="B1298" s="36"/>
      <c r="C1298" s="36"/>
      <c r="K1298" s="37"/>
      <c r="N1298" s="38"/>
      <c r="Q1298" s="8"/>
    </row>
    <row r="1299" spans="1:17" ht="15.75" customHeight="1" x14ac:dyDescent="0.3">
      <c r="A1299" s="36"/>
      <c r="B1299" s="36"/>
      <c r="C1299" s="36"/>
      <c r="K1299" s="37"/>
      <c r="N1299" s="38"/>
      <c r="Q1299" s="8"/>
    </row>
    <row r="1300" spans="1:17" ht="15.75" customHeight="1" x14ac:dyDescent="0.3">
      <c r="A1300" s="36"/>
      <c r="B1300" s="36"/>
      <c r="C1300" s="36"/>
      <c r="K1300" s="37"/>
      <c r="N1300" s="38"/>
      <c r="Q1300" s="8"/>
    </row>
    <row r="1301" spans="1:17" ht="15.75" customHeight="1" x14ac:dyDescent="0.3">
      <c r="A1301" s="36"/>
      <c r="B1301" s="36"/>
      <c r="C1301" s="36"/>
      <c r="K1301" s="37"/>
      <c r="N1301" s="38"/>
      <c r="Q1301" s="8"/>
    </row>
    <row r="1302" spans="1:17" ht="15.75" customHeight="1" x14ac:dyDescent="0.3">
      <c r="A1302" s="36"/>
      <c r="B1302" s="36"/>
      <c r="C1302" s="36"/>
      <c r="K1302" s="37"/>
      <c r="N1302" s="38"/>
      <c r="Q1302" s="8"/>
    </row>
    <row r="1303" spans="1:17" ht="15.75" customHeight="1" x14ac:dyDescent="0.3">
      <c r="A1303" s="36"/>
      <c r="B1303" s="36"/>
      <c r="C1303" s="36"/>
      <c r="K1303" s="37"/>
      <c r="N1303" s="38"/>
      <c r="Q1303" s="8"/>
    </row>
    <row r="1304" spans="1:17" ht="15.75" customHeight="1" x14ac:dyDescent="0.3">
      <c r="A1304" s="36"/>
      <c r="B1304" s="36"/>
      <c r="C1304" s="36"/>
      <c r="K1304" s="37"/>
      <c r="N1304" s="38"/>
      <c r="Q1304" s="8"/>
    </row>
    <row r="1305" spans="1:17" ht="15.75" customHeight="1" x14ac:dyDescent="0.3">
      <c r="A1305" s="36"/>
      <c r="B1305" s="36"/>
      <c r="C1305" s="36"/>
      <c r="K1305" s="37"/>
      <c r="N1305" s="38"/>
      <c r="Q1305" s="8"/>
    </row>
    <row r="1306" spans="1:17" ht="15.75" customHeight="1" x14ac:dyDescent="0.3">
      <c r="A1306" s="36"/>
      <c r="B1306" s="36"/>
      <c r="C1306" s="36"/>
      <c r="K1306" s="37"/>
      <c r="N1306" s="38"/>
      <c r="Q1306" s="8"/>
    </row>
    <row r="1307" spans="1:17" ht="15.75" customHeight="1" x14ac:dyDescent="0.3">
      <c r="A1307" s="36"/>
      <c r="B1307" s="36"/>
      <c r="C1307" s="36"/>
      <c r="K1307" s="37"/>
      <c r="N1307" s="38"/>
      <c r="Q1307" s="8"/>
    </row>
    <row r="1308" spans="1:17" ht="15.75" customHeight="1" x14ac:dyDescent="0.3">
      <c r="A1308" s="36"/>
      <c r="B1308" s="36"/>
      <c r="C1308" s="36"/>
      <c r="K1308" s="37"/>
      <c r="N1308" s="38"/>
      <c r="Q1308" s="8"/>
    </row>
    <row r="1309" spans="1:17" ht="15.75" customHeight="1" x14ac:dyDescent="0.3">
      <c r="A1309" s="36"/>
      <c r="B1309" s="36"/>
      <c r="C1309" s="36"/>
      <c r="K1309" s="37"/>
      <c r="N1309" s="38"/>
      <c r="Q1309" s="8"/>
    </row>
    <row r="1310" spans="1:17" ht="15.75" customHeight="1" x14ac:dyDescent="0.3">
      <c r="A1310" s="36"/>
      <c r="B1310" s="36"/>
      <c r="C1310" s="36"/>
      <c r="K1310" s="37"/>
      <c r="N1310" s="38"/>
      <c r="Q1310" s="8"/>
    </row>
    <row r="1311" spans="1:17" ht="15.75" customHeight="1" x14ac:dyDescent="0.3">
      <c r="A1311" s="36"/>
      <c r="B1311" s="36"/>
      <c r="C1311" s="36"/>
      <c r="K1311" s="37"/>
      <c r="N1311" s="38"/>
      <c r="Q1311" s="8"/>
    </row>
    <row r="1312" spans="1:17" ht="15.75" customHeight="1" x14ac:dyDescent="0.3">
      <c r="A1312" s="36"/>
      <c r="B1312" s="36"/>
      <c r="C1312" s="36"/>
      <c r="K1312" s="37"/>
      <c r="N1312" s="38"/>
      <c r="Q1312" s="8"/>
    </row>
    <row r="1313" spans="1:17" ht="15.75" customHeight="1" x14ac:dyDescent="0.3">
      <c r="A1313" s="36"/>
      <c r="B1313" s="36"/>
      <c r="C1313" s="36"/>
      <c r="K1313" s="37"/>
      <c r="N1313" s="38"/>
      <c r="Q1313" s="8"/>
    </row>
    <row r="1314" spans="1:17" ht="15.75" customHeight="1" x14ac:dyDescent="0.3">
      <c r="A1314" s="36"/>
      <c r="B1314" s="36"/>
      <c r="C1314" s="36"/>
      <c r="K1314" s="37"/>
      <c r="N1314" s="38"/>
      <c r="Q1314" s="8"/>
    </row>
    <row r="1315" spans="1:17" ht="15.75" customHeight="1" x14ac:dyDescent="0.3">
      <c r="A1315" s="36"/>
      <c r="B1315" s="36"/>
      <c r="C1315" s="36"/>
      <c r="K1315" s="37"/>
      <c r="N1315" s="38"/>
      <c r="Q1315" s="8"/>
    </row>
    <row r="1316" spans="1:17" ht="15.75" customHeight="1" x14ac:dyDescent="0.3">
      <c r="A1316" s="36"/>
      <c r="B1316" s="36"/>
      <c r="C1316" s="36"/>
      <c r="K1316" s="37"/>
      <c r="N1316" s="38"/>
      <c r="Q1316" s="8"/>
    </row>
    <row r="1317" spans="1:17" ht="15.75" customHeight="1" x14ac:dyDescent="0.3">
      <c r="A1317" s="36"/>
      <c r="B1317" s="36"/>
      <c r="C1317" s="36"/>
      <c r="K1317" s="37"/>
      <c r="N1317" s="38"/>
      <c r="Q1317" s="8"/>
    </row>
    <row r="1318" spans="1:17" ht="15.75" customHeight="1" x14ac:dyDescent="0.3">
      <c r="A1318" s="36"/>
      <c r="B1318" s="36"/>
      <c r="C1318" s="36"/>
      <c r="K1318" s="37"/>
      <c r="N1318" s="38"/>
      <c r="Q1318" s="8"/>
    </row>
    <row r="1319" spans="1:17" ht="15.75" customHeight="1" x14ac:dyDescent="0.3">
      <c r="A1319" s="36"/>
      <c r="B1319" s="36"/>
      <c r="C1319" s="36"/>
      <c r="K1319" s="37"/>
      <c r="N1319" s="38"/>
      <c r="Q1319" s="8"/>
    </row>
    <row r="1320" spans="1:17" ht="15.75" customHeight="1" x14ac:dyDescent="0.3">
      <c r="A1320" s="36"/>
      <c r="B1320" s="36"/>
      <c r="C1320" s="36"/>
      <c r="K1320" s="37"/>
      <c r="N1320" s="38"/>
      <c r="Q1320" s="8"/>
    </row>
    <row r="1321" spans="1:17" ht="15.75" customHeight="1" x14ac:dyDescent="0.3">
      <c r="A1321" s="36"/>
      <c r="B1321" s="36"/>
      <c r="C1321" s="36"/>
      <c r="K1321" s="37"/>
      <c r="N1321" s="38"/>
      <c r="Q1321" s="8"/>
    </row>
    <row r="1322" spans="1:17" ht="15.75" customHeight="1" x14ac:dyDescent="0.3">
      <c r="A1322" s="36"/>
      <c r="B1322" s="36"/>
      <c r="C1322" s="36"/>
      <c r="K1322" s="37"/>
      <c r="N1322" s="38"/>
      <c r="Q1322" s="8"/>
    </row>
    <row r="1323" spans="1:17" ht="15.75" customHeight="1" x14ac:dyDescent="0.3">
      <c r="A1323" s="36"/>
      <c r="B1323" s="36"/>
      <c r="C1323" s="36"/>
      <c r="K1323" s="37"/>
      <c r="N1323" s="38"/>
      <c r="Q1323" s="8"/>
    </row>
    <row r="1324" spans="1:17" ht="15.75" customHeight="1" x14ac:dyDescent="0.3">
      <c r="A1324" s="36"/>
      <c r="B1324" s="36"/>
      <c r="C1324" s="36"/>
      <c r="K1324" s="37"/>
      <c r="N1324" s="38"/>
      <c r="Q1324" s="8"/>
    </row>
    <row r="1325" spans="1:17" ht="15.75" customHeight="1" x14ac:dyDescent="0.3">
      <c r="A1325" s="36"/>
      <c r="B1325" s="36"/>
      <c r="C1325" s="36"/>
      <c r="K1325" s="37"/>
      <c r="N1325" s="38"/>
      <c r="Q1325" s="8"/>
    </row>
    <row r="1326" spans="1:17" ht="15.75" customHeight="1" x14ac:dyDescent="0.3">
      <c r="A1326" s="36"/>
      <c r="B1326" s="36"/>
      <c r="C1326" s="36"/>
      <c r="K1326" s="37"/>
      <c r="N1326" s="38"/>
      <c r="Q1326" s="8"/>
    </row>
    <row r="1327" spans="1:17" ht="15.75" customHeight="1" x14ac:dyDescent="0.3">
      <c r="A1327" s="36"/>
      <c r="B1327" s="36"/>
      <c r="C1327" s="36"/>
      <c r="K1327" s="37"/>
      <c r="N1327" s="38"/>
      <c r="Q1327" s="8"/>
    </row>
    <row r="1328" spans="1:17" ht="15.75" customHeight="1" x14ac:dyDescent="0.3">
      <c r="A1328" s="36"/>
      <c r="B1328" s="36"/>
      <c r="C1328" s="36"/>
      <c r="K1328" s="37"/>
      <c r="N1328" s="38"/>
      <c r="Q1328" s="8"/>
    </row>
    <row r="1329" spans="1:17" ht="15.75" customHeight="1" x14ac:dyDescent="0.3">
      <c r="A1329" s="36"/>
      <c r="B1329" s="36"/>
      <c r="C1329" s="36"/>
      <c r="K1329" s="37"/>
      <c r="N1329" s="38"/>
      <c r="Q1329" s="8"/>
    </row>
    <row r="1330" spans="1:17" ht="15.75" customHeight="1" x14ac:dyDescent="0.3">
      <c r="A1330" s="36"/>
      <c r="B1330" s="36"/>
      <c r="C1330" s="36"/>
      <c r="K1330" s="37"/>
      <c r="N1330" s="38"/>
      <c r="Q1330" s="8"/>
    </row>
    <row r="1331" spans="1:17" ht="15.75" customHeight="1" x14ac:dyDescent="0.3">
      <c r="A1331" s="36"/>
      <c r="B1331" s="36"/>
      <c r="C1331" s="36"/>
      <c r="K1331" s="37"/>
      <c r="N1331" s="38"/>
      <c r="Q1331" s="8"/>
    </row>
    <row r="1332" spans="1:17" ht="15.75" customHeight="1" x14ac:dyDescent="0.3">
      <c r="A1332" s="36"/>
      <c r="B1332" s="36"/>
      <c r="C1332" s="36"/>
      <c r="K1332" s="37"/>
      <c r="N1332" s="38"/>
      <c r="Q1332" s="8"/>
    </row>
    <row r="1333" spans="1:17" ht="15.75" customHeight="1" x14ac:dyDescent="0.3">
      <c r="A1333" s="36"/>
      <c r="B1333" s="36"/>
      <c r="C1333" s="36"/>
      <c r="K1333" s="37"/>
      <c r="N1333" s="38"/>
      <c r="Q1333" s="8"/>
    </row>
    <row r="1334" spans="1:17" ht="15.75" customHeight="1" x14ac:dyDescent="0.3">
      <c r="A1334" s="36"/>
      <c r="B1334" s="36"/>
      <c r="C1334" s="36"/>
      <c r="K1334" s="37"/>
      <c r="N1334" s="38"/>
      <c r="Q1334" s="8"/>
    </row>
    <row r="1335" spans="1:17" ht="15.75" customHeight="1" x14ac:dyDescent="0.3">
      <c r="A1335" s="36"/>
      <c r="B1335" s="36"/>
      <c r="C1335" s="36"/>
      <c r="K1335" s="37"/>
      <c r="N1335" s="38"/>
      <c r="Q1335" s="8"/>
    </row>
    <row r="1336" spans="1:17" ht="15.75" customHeight="1" x14ac:dyDescent="0.3">
      <c r="A1336" s="36"/>
      <c r="B1336" s="36"/>
      <c r="C1336" s="36"/>
      <c r="K1336" s="37"/>
      <c r="N1336" s="38"/>
      <c r="Q1336" s="8"/>
    </row>
    <row r="1337" spans="1:17" ht="15.75" customHeight="1" x14ac:dyDescent="0.3">
      <c r="A1337" s="36"/>
      <c r="B1337" s="36"/>
      <c r="C1337" s="36"/>
      <c r="K1337" s="37"/>
      <c r="N1337" s="38"/>
      <c r="Q1337" s="8"/>
    </row>
    <row r="1338" spans="1:17" ht="15.75" customHeight="1" x14ac:dyDescent="0.3">
      <c r="A1338" s="36"/>
      <c r="B1338" s="36"/>
      <c r="C1338" s="36"/>
      <c r="K1338" s="37"/>
      <c r="N1338" s="38"/>
      <c r="Q1338" s="8"/>
    </row>
    <row r="1339" spans="1:17" ht="15.75" customHeight="1" x14ac:dyDescent="0.3">
      <c r="A1339" s="36"/>
      <c r="B1339" s="36"/>
      <c r="C1339" s="36"/>
      <c r="K1339" s="37"/>
      <c r="N1339" s="38"/>
      <c r="Q1339" s="8"/>
    </row>
    <row r="1340" spans="1:17" ht="15.75" customHeight="1" x14ac:dyDescent="0.3">
      <c r="A1340" s="36"/>
      <c r="B1340" s="36"/>
      <c r="C1340" s="36"/>
      <c r="K1340" s="37"/>
      <c r="N1340" s="38"/>
      <c r="Q1340" s="8"/>
    </row>
    <row r="1341" spans="1:17" ht="15.75" customHeight="1" x14ac:dyDescent="0.3">
      <c r="A1341" s="36"/>
      <c r="B1341" s="36"/>
      <c r="C1341" s="36"/>
      <c r="K1341" s="37"/>
      <c r="N1341" s="38"/>
      <c r="Q1341" s="8"/>
    </row>
    <row r="1342" spans="1:17" ht="15.75" customHeight="1" x14ac:dyDescent="0.3">
      <c r="A1342" s="36"/>
      <c r="B1342" s="36"/>
      <c r="C1342" s="36"/>
      <c r="K1342" s="37"/>
      <c r="N1342" s="38"/>
      <c r="Q1342" s="8"/>
    </row>
    <row r="1343" spans="1:17" ht="15.75" customHeight="1" x14ac:dyDescent="0.3">
      <c r="A1343" s="36"/>
      <c r="B1343" s="36"/>
      <c r="C1343" s="36"/>
      <c r="K1343" s="37"/>
      <c r="N1343" s="38"/>
      <c r="Q1343" s="8"/>
    </row>
    <row r="1344" spans="1:17" ht="15.75" customHeight="1" x14ac:dyDescent="0.3">
      <c r="A1344" s="36"/>
      <c r="B1344" s="36"/>
      <c r="C1344" s="36"/>
      <c r="K1344" s="37"/>
      <c r="N1344" s="38"/>
      <c r="Q1344" s="8"/>
    </row>
    <row r="1345" spans="1:17" ht="15.75" customHeight="1" x14ac:dyDescent="0.3">
      <c r="A1345" s="36"/>
      <c r="B1345" s="36"/>
      <c r="C1345" s="36"/>
      <c r="K1345" s="37"/>
      <c r="N1345" s="38"/>
      <c r="Q1345" s="8"/>
    </row>
    <row r="1346" spans="1:17" ht="15.75" customHeight="1" x14ac:dyDescent="0.3">
      <c r="A1346" s="36"/>
      <c r="B1346" s="36"/>
      <c r="C1346" s="36"/>
      <c r="K1346" s="37"/>
      <c r="N1346" s="38"/>
      <c r="Q1346" s="8"/>
    </row>
    <row r="1347" spans="1:17" ht="15.75" customHeight="1" x14ac:dyDescent="0.3">
      <c r="A1347" s="36"/>
      <c r="B1347" s="36"/>
      <c r="C1347" s="36"/>
      <c r="K1347" s="37"/>
      <c r="N1347" s="38"/>
      <c r="Q1347" s="8"/>
    </row>
    <row r="1348" spans="1:17" ht="15.75" customHeight="1" x14ac:dyDescent="0.3">
      <c r="A1348" s="36"/>
      <c r="B1348" s="36"/>
      <c r="C1348" s="36"/>
      <c r="K1348" s="37"/>
      <c r="N1348" s="38"/>
      <c r="Q1348" s="8"/>
    </row>
    <row r="1349" spans="1:17" ht="15.75" customHeight="1" x14ac:dyDescent="0.3">
      <c r="A1349" s="36"/>
      <c r="B1349" s="36"/>
      <c r="C1349" s="36"/>
      <c r="K1349" s="37"/>
      <c r="N1349" s="38"/>
      <c r="Q1349" s="8"/>
    </row>
    <row r="1350" spans="1:17" ht="15.75" customHeight="1" x14ac:dyDescent="0.3">
      <c r="A1350" s="36"/>
      <c r="B1350" s="36"/>
      <c r="C1350" s="36"/>
      <c r="K1350" s="37"/>
      <c r="N1350" s="38"/>
      <c r="Q1350" s="8"/>
    </row>
    <row r="1351" spans="1:17" ht="15.75" customHeight="1" x14ac:dyDescent="0.3">
      <c r="A1351" s="36"/>
      <c r="B1351" s="36"/>
      <c r="C1351" s="36"/>
      <c r="K1351" s="37"/>
      <c r="N1351" s="38"/>
      <c r="Q1351" s="8"/>
    </row>
    <row r="1352" spans="1:17" ht="15.75" customHeight="1" x14ac:dyDescent="0.3">
      <c r="A1352" s="36"/>
      <c r="B1352" s="36"/>
      <c r="C1352" s="36"/>
      <c r="K1352" s="37"/>
      <c r="N1352" s="38"/>
      <c r="Q1352" s="8"/>
    </row>
    <row r="1353" spans="1:17" ht="15.75" customHeight="1" x14ac:dyDescent="0.3">
      <c r="A1353" s="36"/>
      <c r="B1353" s="36"/>
      <c r="C1353" s="36"/>
      <c r="K1353" s="37"/>
      <c r="N1353" s="38"/>
      <c r="Q1353" s="8"/>
    </row>
    <row r="1354" spans="1:17" ht="15.75" customHeight="1" x14ac:dyDescent="0.3">
      <c r="A1354" s="36"/>
      <c r="B1354" s="36"/>
      <c r="C1354" s="36"/>
      <c r="K1354" s="37"/>
      <c r="N1354" s="38"/>
      <c r="Q1354" s="8"/>
    </row>
    <row r="1355" spans="1:17" ht="15.75" customHeight="1" x14ac:dyDescent="0.3">
      <c r="A1355" s="36"/>
      <c r="B1355" s="36"/>
      <c r="C1355" s="36"/>
      <c r="K1355" s="37"/>
      <c r="N1355" s="38"/>
      <c r="Q1355" s="8"/>
    </row>
    <row r="1356" spans="1:17" ht="15.75" customHeight="1" x14ac:dyDescent="0.3">
      <c r="A1356" s="36"/>
      <c r="B1356" s="36"/>
      <c r="C1356" s="36"/>
      <c r="K1356" s="37"/>
      <c r="N1356" s="38"/>
      <c r="Q1356" s="8"/>
    </row>
    <row r="1357" spans="1:17" ht="15.75" customHeight="1" x14ac:dyDescent="0.3">
      <c r="A1357" s="36"/>
      <c r="B1357" s="36"/>
      <c r="C1357" s="36"/>
      <c r="K1357" s="37"/>
      <c r="N1357" s="38"/>
      <c r="Q1357" s="8"/>
    </row>
    <row r="1358" spans="1:17" ht="15.75" customHeight="1" x14ac:dyDescent="0.3">
      <c r="A1358" s="36"/>
      <c r="B1358" s="36"/>
      <c r="C1358" s="36"/>
      <c r="K1358" s="37"/>
      <c r="N1358" s="38"/>
      <c r="Q1358" s="8"/>
    </row>
    <row r="1359" spans="1:17" ht="15.75" customHeight="1" x14ac:dyDescent="0.3">
      <c r="A1359" s="36"/>
      <c r="B1359" s="36"/>
      <c r="C1359" s="36"/>
      <c r="K1359" s="37"/>
      <c r="N1359" s="38"/>
      <c r="Q1359" s="8"/>
    </row>
    <row r="1360" spans="1:17" ht="15.75" customHeight="1" x14ac:dyDescent="0.3">
      <c r="A1360" s="36"/>
      <c r="B1360" s="36"/>
      <c r="C1360" s="36"/>
      <c r="K1360" s="37"/>
      <c r="N1360" s="38"/>
      <c r="Q1360" s="8"/>
    </row>
    <row r="1361" spans="1:17" ht="15.75" customHeight="1" x14ac:dyDescent="0.3">
      <c r="A1361" s="36"/>
      <c r="B1361" s="36"/>
      <c r="C1361" s="36"/>
      <c r="K1361" s="37"/>
      <c r="N1361" s="38"/>
      <c r="Q1361" s="8"/>
    </row>
    <row r="1362" spans="1:17" ht="15.75" customHeight="1" x14ac:dyDescent="0.3">
      <c r="A1362" s="36"/>
      <c r="B1362" s="36"/>
      <c r="C1362" s="36"/>
      <c r="K1362" s="37"/>
      <c r="N1362" s="38"/>
      <c r="Q1362" s="8"/>
    </row>
    <row r="1363" spans="1:17" ht="15.75" customHeight="1" x14ac:dyDescent="0.3">
      <c r="A1363" s="36"/>
      <c r="B1363" s="36"/>
      <c r="C1363" s="36"/>
      <c r="K1363" s="37"/>
      <c r="N1363" s="38"/>
      <c r="Q1363" s="8"/>
    </row>
    <row r="1364" spans="1:17" ht="15.75" customHeight="1" x14ac:dyDescent="0.3">
      <c r="A1364" s="36"/>
      <c r="B1364" s="36"/>
      <c r="C1364" s="36"/>
      <c r="K1364" s="37"/>
      <c r="N1364" s="38"/>
      <c r="Q1364" s="8"/>
    </row>
    <row r="1365" spans="1:17" ht="15.75" customHeight="1" x14ac:dyDescent="0.3">
      <c r="A1365" s="36"/>
      <c r="B1365" s="36"/>
      <c r="C1365" s="36"/>
      <c r="K1365" s="37"/>
      <c r="N1365" s="38"/>
      <c r="Q1365" s="8"/>
    </row>
    <row r="1366" spans="1:17" ht="15.75" customHeight="1" x14ac:dyDescent="0.3">
      <c r="A1366" s="36"/>
      <c r="B1366" s="36"/>
      <c r="C1366" s="36"/>
      <c r="K1366" s="37"/>
      <c r="N1366" s="38"/>
      <c r="Q1366" s="8"/>
    </row>
    <row r="1367" spans="1:17" ht="15.75" customHeight="1" x14ac:dyDescent="0.3">
      <c r="A1367" s="36"/>
      <c r="B1367" s="36"/>
      <c r="C1367" s="36"/>
      <c r="K1367" s="37"/>
      <c r="N1367" s="38"/>
      <c r="Q1367" s="8"/>
    </row>
    <row r="1368" spans="1:17" ht="15.75" customHeight="1" x14ac:dyDescent="0.3">
      <c r="A1368" s="36"/>
      <c r="B1368" s="36"/>
      <c r="C1368" s="36"/>
      <c r="K1368" s="37"/>
      <c r="N1368" s="38"/>
      <c r="Q1368" s="8"/>
    </row>
    <row r="1369" spans="1:17" ht="15.75" customHeight="1" x14ac:dyDescent="0.3">
      <c r="A1369" s="36"/>
      <c r="B1369" s="36"/>
      <c r="C1369" s="36"/>
      <c r="K1369" s="37"/>
      <c r="N1369" s="38"/>
      <c r="Q1369" s="8"/>
    </row>
    <row r="1370" spans="1:17" ht="15.75" customHeight="1" x14ac:dyDescent="0.3">
      <c r="A1370" s="36"/>
      <c r="B1370" s="36"/>
      <c r="C1370" s="36"/>
      <c r="K1370" s="37"/>
      <c r="N1370" s="38"/>
      <c r="Q1370" s="8"/>
    </row>
    <row r="1371" spans="1:17" ht="15.75" customHeight="1" x14ac:dyDescent="0.3">
      <c r="A1371" s="36"/>
      <c r="B1371" s="36"/>
      <c r="C1371" s="36"/>
      <c r="K1371" s="37"/>
      <c r="N1371" s="38"/>
      <c r="Q1371" s="8"/>
    </row>
    <row r="1372" spans="1:17" ht="15.75" customHeight="1" x14ac:dyDescent="0.3">
      <c r="A1372" s="36"/>
      <c r="B1372" s="36"/>
      <c r="C1372" s="36"/>
      <c r="K1372" s="37"/>
      <c r="N1372" s="38"/>
      <c r="Q1372" s="8"/>
    </row>
    <row r="1373" spans="1:17" ht="15.75" customHeight="1" x14ac:dyDescent="0.3">
      <c r="A1373" s="36"/>
      <c r="B1373" s="36"/>
      <c r="C1373" s="36"/>
      <c r="K1373" s="37"/>
      <c r="N1373" s="38"/>
      <c r="Q1373" s="8"/>
    </row>
    <row r="1374" spans="1:17" ht="15.75" customHeight="1" x14ac:dyDescent="0.3">
      <c r="A1374" s="36"/>
      <c r="B1374" s="36"/>
      <c r="C1374" s="36"/>
      <c r="K1374" s="37"/>
      <c r="N1374" s="38"/>
      <c r="Q1374" s="8"/>
    </row>
    <row r="1375" spans="1:17" ht="15.75" customHeight="1" x14ac:dyDescent="0.3">
      <c r="A1375" s="36"/>
      <c r="B1375" s="36"/>
      <c r="C1375" s="36"/>
      <c r="K1375" s="37"/>
      <c r="N1375" s="38"/>
      <c r="Q1375" s="8"/>
    </row>
    <row r="1376" spans="1:17" ht="15.75" customHeight="1" x14ac:dyDescent="0.3">
      <c r="A1376" s="36"/>
      <c r="B1376" s="36"/>
      <c r="C1376" s="36"/>
      <c r="K1376" s="37"/>
      <c r="N1376" s="38"/>
      <c r="Q1376" s="8"/>
    </row>
    <row r="1377" spans="1:17" ht="15.75" customHeight="1" x14ac:dyDescent="0.3">
      <c r="A1377" s="36"/>
      <c r="B1377" s="36"/>
      <c r="C1377" s="36"/>
      <c r="K1377" s="37"/>
      <c r="N1377" s="38"/>
      <c r="Q1377" s="8"/>
    </row>
    <row r="1378" spans="1:17" ht="15.75" customHeight="1" x14ac:dyDescent="0.3">
      <c r="A1378" s="36"/>
      <c r="B1378" s="36"/>
      <c r="C1378" s="36"/>
      <c r="K1378" s="37"/>
      <c r="N1378" s="38"/>
      <c r="Q1378" s="8"/>
    </row>
    <row r="1379" spans="1:17" ht="15.75" customHeight="1" x14ac:dyDescent="0.3">
      <c r="A1379" s="36"/>
      <c r="B1379" s="36"/>
      <c r="C1379" s="36"/>
      <c r="K1379" s="37"/>
      <c r="N1379" s="38"/>
      <c r="Q1379" s="8"/>
    </row>
    <row r="1380" spans="1:17" ht="15.75" customHeight="1" x14ac:dyDescent="0.3">
      <c r="A1380" s="36"/>
      <c r="B1380" s="36"/>
      <c r="C1380" s="36"/>
      <c r="K1380" s="37"/>
      <c r="N1380" s="38"/>
      <c r="Q1380" s="8"/>
    </row>
    <row r="1381" spans="1:17" ht="15.75" customHeight="1" x14ac:dyDescent="0.3">
      <c r="A1381" s="36"/>
      <c r="B1381" s="36"/>
      <c r="C1381" s="36"/>
      <c r="K1381" s="37"/>
      <c r="N1381" s="38"/>
      <c r="Q1381" s="8"/>
    </row>
    <row r="1382" spans="1:17" ht="15.75" customHeight="1" x14ac:dyDescent="0.3">
      <c r="A1382" s="36"/>
      <c r="B1382" s="36"/>
      <c r="C1382" s="36"/>
      <c r="K1382" s="37"/>
      <c r="N1382" s="38"/>
      <c r="Q1382" s="8"/>
    </row>
    <row r="1383" spans="1:17" ht="15.75" customHeight="1" x14ac:dyDescent="0.3">
      <c r="A1383" s="36"/>
      <c r="B1383" s="36"/>
      <c r="C1383" s="36"/>
      <c r="K1383" s="37"/>
      <c r="N1383" s="38"/>
      <c r="Q1383" s="8"/>
    </row>
    <row r="1384" spans="1:17" ht="15.75" customHeight="1" x14ac:dyDescent="0.3">
      <c r="A1384" s="36"/>
      <c r="B1384" s="36"/>
      <c r="C1384" s="36"/>
      <c r="K1384" s="37"/>
      <c r="N1384" s="38"/>
      <c r="Q1384" s="8"/>
    </row>
    <row r="1385" spans="1:17" ht="15.75" customHeight="1" x14ac:dyDescent="0.3">
      <c r="A1385" s="36"/>
      <c r="B1385" s="36"/>
      <c r="C1385" s="36"/>
      <c r="K1385" s="37"/>
      <c r="N1385" s="38"/>
      <c r="Q1385" s="8"/>
    </row>
    <row r="1386" spans="1:17" ht="15.75" customHeight="1" x14ac:dyDescent="0.3">
      <c r="A1386" s="36"/>
      <c r="B1386" s="36"/>
      <c r="C1386" s="36"/>
      <c r="K1386" s="37"/>
      <c r="N1386" s="38"/>
      <c r="Q1386" s="8"/>
    </row>
    <row r="1387" spans="1:17" ht="15.75" customHeight="1" x14ac:dyDescent="0.3">
      <c r="A1387" s="36"/>
      <c r="B1387" s="36"/>
      <c r="C1387" s="36"/>
      <c r="K1387" s="37"/>
      <c r="N1387" s="38"/>
      <c r="Q1387" s="8"/>
    </row>
    <row r="1388" spans="1:17" ht="15.75" customHeight="1" x14ac:dyDescent="0.3">
      <c r="A1388" s="36"/>
      <c r="B1388" s="36"/>
      <c r="C1388" s="36"/>
      <c r="K1388" s="37"/>
      <c r="N1388" s="38"/>
      <c r="Q1388" s="8"/>
    </row>
    <row r="1389" spans="1:17" ht="15.75" customHeight="1" x14ac:dyDescent="0.3">
      <c r="A1389" s="36"/>
      <c r="B1389" s="36"/>
      <c r="C1389" s="36"/>
      <c r="K1389" s="37"/>
      <c r="N1389" s="38"/>
      <c r="Q1389" s="8"/>
    </row>
    <row r="1390" spans="1:17" ht="15.75" customHeight="1" x14ac:dyDescent="0.3">
      <c r="A1390" s="36"/>
      <c r="B1390" s="36"/>
      <c r="C1390" s="36"/>
      <c r="K1390" s="37"/>
      <c r="N1390" s="38"/>
      <c r="Q1390" s="8"/>
    </row>
    <row r="1391" spans="1:17" ht="15.75" customHeight="1" x14ac:dyDescent="0.3">
      <c r="A1391" s="36"/>
      <c r="B1391" s="36"/>
      <c r="C1391" s="36"/>
      <c r="K1391" s="37"/>
      <c r="N1391" s="38"/>
      <c r="Q1391" s="8"/>
    </row>
    <row r="1392" spans="1:17" ht="15.75" customHeight="1" x14ac:dyDescent="0.3">
      <c r="A1392" s="36"/>
      <c r="B1392" s="36"/>
      <c r="C1392" s="36"/>
      <c r="K1392" s="37"/>
      <c r="N1392" s="38"/>
      <c r="Q1392" s="8"/>
    </row>
    <row r="1393" spans="1:17" ht="15.75" customHeight="1" x14ac:dyDescent="0.3">
      <c r="A1393" s="36"/>
      <c r="B1393" s="36"/>
      <c r="C1393" s="36"/>
      <c r="K1393" s="37"/>
      <c r="N1393" s="38"/>
      <c r="Q1393" s="8"/>
    </row>
    <row r="1394" spans="1:17" ht="15.75" customHeight="1" x14ac:dyDescent="0.3">
      <c r="A1394" s="36"/>
      <c r="B1394" s="36"/>
      <c r="C1394" s="36"/>
      <c r="K1394" s="37"/>
      <c r="N1394" s="38"/>
      <c r="Q1394" s="8"/>
    </row>
    <row r="1395" spans="1:17" ht="15.75" customHeight="1" x14ac:dyDescent="0.3">
      <c r="A1395" s="36"/>
      <c r="B1395" s="36"/>
      <c r="C1395" s="36"/>
      <c r="K1395" s="37"/>
      <c r="N1395" s="38"/>
      <c r="Q1395" s="8"/>
    </row>
    <row r="1396" spans="1:17" ht="15.75" customHeight="1" x14ac:dyDescent="0.3">
      <c r="A1396" s="36"/>
      <c r="B1396" s="36"/>
      <c r="C1396" s="36"/>
      <c r="K1396" s="37"/>
      <c r="N1396" s="38"/>
      <c r="Q1396" s="8"/>
    </row>
    <row r="1397" spans="1:17" ht="15.75" customHeight="1" x14ac:dyDescent="0.3">
      <c r="A1397" s="36"/>
      <c r="B1397" s="36"/>
      <c r="C1397" s="36"/>
      <c r="K1397" s="37"/>
      <c r="N1397" s="38"/>
      <c r="Q1397" s="8"/>
    </row>
    <row r="1398" spans="1:17" ht="15.75" customHeight="1" x14ac:dyDescent="0.3">
      <c r="A1398" s="36"/>
      <c r="B1398" s="36"/>
      <c r="C1398" s="36"/>
      <c r="K1398" s="37"/>
      <c r="N1398" s="38"/>
      <c r="Q1398" s="8"/>
    </row>
    <row r="1399" spans="1:17" ht="15.75" customHeight="1" x14ac:dyDescent="0.3">
      <c r="A1399" s="36"/>
      <c r="B1399" s="36"/>
      <c r="C1399" s="36"/>
      <c r="K1399" s="37"/>
      <c r="N1399" s="38"/>
      <c r="Q1399" s="8"/>
    </row>
    <row r="1400" spans="1:17" ht="15.75" customHeight="1" x14ac:dyDescent="0.3">
      <c r="A1400" s="36"/>
      <c r="B1400" s="36"/>
      <c r="C1400" s="36"/>
      <c r="K1400" s="37"/>
      <c r="N1400" s="38"/>
      <c r="Q1400" s="8"/>
    </row>
    <row r="1401" spans="1:17" ht="15.75" customHeight="1" x14ac:dyDescent="0.3">
      <c r="A1401" s="36"/>
      <c r="B1401" s="36"/>
      <c r="C1401" s="36"/>
      <c r="K1401" s="37"/>
      <c r="N1401" s="38"/>
      <c r="Q1401" s="8"/>
    </row>
    <row r="1402" spans="1:17" ht="15.75" customHeight="1" x14ac:dyDescent="0.3">
      <c r="A1402" s="36"/>
      <c r="B1402" s="36"/>
      <c r="C1402" s="36"/>
      <c r="K1402" s="37"/>
      <c r="N1402" s="38"/>
      <c r="Q1402" s="8"/>
    </row>
    <row r="1403" spans="1:17" ht="15.75" customHeight="1" x14ac:dyDescent="0.3">
      <c r="A1403" s="36"/>
      <c r="B1403" s="36"/>
      <c r="C1403" s="36"/>
      <c r="K1403" s="37"/>
      <c r="N1403" s="38"/>
      <c r="Q1403" s="8"/>
    </row>
    <row r="1404" spans="1:17" ht="15.75" customHeight="1" x14ac:dyDescent="0.3">
      <c r="A1404" s="36"/>
      <c r="B1404" s="36"/>
      <c r="C1404" s="36"/>
      <c r="K1404" s="37"/>
      <c r="N1404" s="38"/>
      <c r="Q1404" s="8"/>
    </row>
    <row r="1405" spans="1:17" ht="15.75" customHeight="1" x14ac:dyDescent="0.3">
      <c r="A1405" s="36"/>
      <c r="B1405" s="36"/>
      <c r="C1405" s="36"/>
      <c r="K1405" s="37"/>
      <c r="N1405" s="38"/>
      <c r="Q1405" s="8"/>
    </row>
    <row r="1406" spans="1:17" ht="15.75" customHeight="1" x14ac:dyDescent="0.3">
      <c r="A1406" s="36"/>
      <c r="B1406" s="36"/>
      <c r="C1406" s="36"/>
      <c r="K1406" s="37"/>
      <c r="N1406" s="38"/>
      <c r="Q1406" s="8"/>
    </row>
    <row r="1407" spans="1:17" ht="15.75" customHeight="1" x14ac:dyDescent="0.3">
      <c r="A1407" s="36"/>
      <c r="B1407" s="36"/>
      <c r="C1407" s="36"/>
      <c r="K1407" s="37"/>
      <c r="N1407" s="38"/>
      <c r="Q1407" s="8"/>
    </row>
    <row r="1408" spans="1:17" ht="15.75" customHeight="1" x14ac:dyDescent="0.3">
      <c r="A1408" s="36"/>
      <c r="B1408" s="36"/>
      <c r="C1408" s="36"/>
      <c r="K1408" s="37"/>
      <c r="N1408" s="38"/>
      <c r="Q1408" s="8"/>
    </row>
    <row r="1409" spans="1:17" ht="15.75" customHeight="1" x14ac:dyDescent="0.3">
      <c r="A1409" s="36"/>
      <c r="B1409" s="36"/>
      <c r="C1409" s="36"/>
      <c r="K1409" s="37"/>
      <c r="N1409" s="38"/>
      <c r="Q1409" s="8"/>
    </row>
    <row r="1410" spans="1:17" ht="15.75" customHeight="1" x14ac:dyDescent="0.3">
      <c r="A1410" s="36"/>
      <c r="B1410" s="36"/>
      <c r="C1410" s="36"/>
      <c r="K1410" s="37"/>
      <c r="N1410" s="38"/>
      <c r="Q1410" s="8"/>
    </row>
    <row r="1411" spans="1:17" ht="15.75" customHeight="1" x14ac:dyDescent="0.3">
      <c r="A1411" s="36"/>
      <c r="B1411" s="36"/>
      <c r="C1411" s="36"/>
      <c r="K1411" s="37"/>
      <c r="N1411" s="38"/>
      <c r="Q1411" s="8"/>
    </row>
    <row r="1412" spans="1:17" ht="15.75" customHeight="1" x14ac:dyDescent="0.3">
      <c r="A1412" s="36"/>
      <c r="B1412" s="36"/>
      <c r="C1412" s="36"/>
      <c r="K1412" s="37"/>
      <c r="N1412" s="38"/>
      <c r="Q1412" s="8"/>
    </row>
    <row r="1413" spans="1:17" ht="14.4" x14ac:dyDescent="0.3">
      <c r="K1413" s="37"/>
    </row>
    <row r="1414" spans="1:17" ht="14.4" x14ac:dyDescent="0.3">
      <c r="K1414" s="37"/>
    </row>
    <row r="1415" spans="1:17" ht="14.4" x14ac:dyDescent="0.3">
      <c r="K1415" s="37"/>
    </row>
    <row r="1416" spans="1:17" ht="14.4" x14ac:dyDescent="0.3">
      <c r="K1416" s="37"/>
    </row>
    <row r="1417" spans="1:17" ht="14.4" x14ac:dyDescent="0.3">
      <c r="K1417" s="37"/>
    </row>
  </sheetData>
  <autoFilter ref="A1:AD838" xr:uid="{00000000-0001-0000-0100-000000000000}"/>
  <mergeCells count="1">
    <mergeCell ref="M390:M392"/>
  </mergeCells>
  <pageMargins left="0.7" right="0.7" top="0.75" bottom="0.75" header="0" footer="0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F71E-11D8-4E4C-88EF-2F6B27725F78}">
  <dimension ref="A1:AJ1341"/>
  <sheetViews>
    <sheetView showGridLines="0" zoomScale="110" zoomScaleNormal="110" workbookViewId="0">
      <pane xSplit="6" ySplit="1" topLeftCell="T1015" activePane="bottomRight" state="frozen"/>
      <selection pane="topRight" activeCell="G1" sqref="G1"/>
      <selection pane="bottomLeft" activeCell="A2" sqref="A2"/>
      <selection pane="bottomRight"/>
    </sheetView>
  </sheetViews>
  <sheetFormatPr baseColWidth="10" defaultColWidth="11.44140625" defaultRowHeight="13.8" x14ac:dyDescent="0.3"/>
  <cols>
    <col min="1" max="1" width="8.88671875" style="48" bestFit="1" customWidth="1"/>
    <col min="2" max="2" width="10.88671875" style="195" bestFit="1" customWidth="1"/>
    <col min="3" max="3" width="10.44140625" style="48" bestFit="1" customWidth="1"/>
    <col min="4" max="4" width="10.44140625" style="50" customWidth="1"/>
    <col min="5" max="5" width="17.33203125" style="50" bestFit="1" customWidth="1"/>
    <col min="6" max="6" width="56.44140625" style="196" customWidth="1"/>
    <col min="7" max="7" width="13.6640625" style="49" bestFit="1" customWidth="1"/>
    <col min="8" max="8" width="11.88671875" style="48" bestFit="1" customWidth="1"/>
    <col min="9" max="9" width="10.88671875" style="197" bestFit="1" customWidth="1"/>
    <col min="10" max="10" width="13.5546875" style="197" bestFit="1" customWidth="1"/>
    <col min="11" max="11" width="8.88671875" style="233" bestFit="1" customWidth="1"/>
    <col min="12" max="13" width="12.33203125" style="232" customWidth="1"/>
    <col min="14" max="14" width="35.44140625" style="50" customWidth="1"/>
    <col min="15" max="15" width="30.5546875" style="49" customWidth="1"/>
    <col min="16" max="16" width="11" style="49" customWidth="1"/>
    <col min="17" max="17" width="17.109375" style="199" customWidth="1"/>
    <col min="18" max="18" width="20.88671875" style="49" customWidth="1"/>
    <col min="19" max="19" width="40.5546875" style="50" customWidth="1"/>
    <col min="20" max="20" width="16.88671875" style="50" customWidth="1"/>
    <col min="21" max="21" width="50.88671875" style="50" customWidth="1"/>
    <col min="22" max="22" width="42.5546875" style="196" customWidth="1"/>
    <col min="23" max="23" width="39.6640625" style="50" customWidth="1"/>
    <col min="24" max="24" width="13.44140625" style="50" customWidth="1"/>
    <col min="25" max="16384" width="11.44140625" style="50"/>
  </cols>
  <sheetData>
    <row r="1" spans="1:36" s="63" customFormat="1" ht="14.4" x14ac:dyDescent="0.3">
      <c r="A1" s="127" t="s">
        <v>842</v>
      </c>
      <c r="B1" s="127" t="s">
        <v>1612</v>
      </c>
      <c r="C1" s="127" t="s">
        <v>1</v>
      </c>
      <c r="D1" s="128" t="s">
        <v>1830</v>
      </c>
      <c r="E1" s="190" t="s">
        <v>4</v>
      </c>
      <c r="F1" s="129" t="s">
        <v>5</v>
      </c>
      <c r="G1" s="127" t="s">
        <v>2014</v>
      </c>
      <c r="H1" s="127" t="s">
        <v>2015</v>
      </c>
      <c r="I1" s="191" t="s">
        <v>2721</v>
      </c>
      <c r="J1" s="192" t="s">
        <v>2722</v>
      </c>
      <c r="K1" s="191" t="s">
        <v>2133</v>
      </c>
      <c r="L1" s="191" t="s">
        <v>10</v>
      </c>
      <c r="M1" s="193" t="s">
        <v>1614</v>
      </c>
      <c r="N1" s="127" t="s">
        <v>6</v>
      </c>
      <c r="O1" s="127" t="s">
        <v>1246</v>
      </c>
      <c r="P1" s="127" t="s">
        <v>8</v>
      </c>
      <c r="Q1" s="127" t="s">
        <v>1613</v>
      </c>
      <c r="R1" s="127" t="s">
        <v>9</v>
      </c>
      <c r="S1" s="127" t="s">
        <v>12</v>
      </c>
      <c r="T1" s="127" t="s">
        <v>1615</v>
      </c>
      <c r="U1" s="127" t="s">
        <v>13</v>
      </c>
      <c r="V1" s="127" t="s">
        <v>14</v>
      </c>
      <c r="W1" s="127" t="s">
        <v>1616</v>
      </c>
      <c r="X1" s="127" t="s">
        <v>2134</v>
      </c>
      <c r="Y1" s="194"/>
    </row>
    <row r="2" spans="1:36" customFormat="1" ht="15.75" customHeight="1" x14ac:dyDescent="0.3">
      <c r="A2" s="48">
        <f t="shared" ref="A2:A65" si="0">WEEKNUM(B2)</f>
        <v>1</v>
      </c>
      <c r="B2" s="195">
        <v>46023</v>
      </c>
      <c r="C2" s="48" t="str">
        <f>TEXT(B2,"MMMM")</f>
        <v>enero</v>
      </c>
      <c r="D2" s="48" t="s">
        <v>2135</v>
      </c>
      <c r="E2" s="50" t="s">
        <v>827</v>
      </c>
      <c r="F2" s="196" t="s">
        <v>2723</v>
      </c>
      <c r="G2" s="49">
        <v>1</v>
      </c>
      <c r="H2" s="48" t="s">
        <v>2138</v>
      </c>
      <c r="I2" s="197">
        <v>1200</v>
      </c>
      <c r="J2" s="197">
        <v>1200</v>
      </c>
      <c r="K2" s="197">
        <v>0</v>
      </c>
      <c r="L2" s="198">
        <v>1200</v>
      </c>
      <c r="M2" s="198">
        <v>0</v>
      </c>
      <c r="N2" s="48" t="s">
        <v>1617</v>
      </c>
      <c r="O2" s="49" t="s">
        <v>1855</v>
      </c>
      <c r="P2" s="49" t="s">
        <v>1321</v>
      </c>
      <c r="Q2" s="199" t="s">
        <v>245</v>
      </c>
      <c r="R2" s="48" t="s">
        <v>369</v>
      </c>
      <c r="S2" s="50" t="s">
        <v>2724</v>
      </c>
      <c r="T2" s="50"/>
      <c r="U2" s="50"/>
      <c r="V2" s="196"/>
      <c r="W2" s="50" t="s">
        <v>1617</v>
      </c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t="s">
        <v>1705</v>
      </c>
    </row>
    <row r="3" spans="1:36" customFormat="1" ht="15.75" customHeight="1" x14ac:dyDescent="0.3">
      <c r="A3" s="48">
        <f t="shared" si="0"/>
        <v>1</v>
      </c>
      <c r="B3" s="195">
        <v>46023</v>
      </c>
      <c r="C3" s="48" t="str">
        <f t="shared" ref="C3:C66" si="1">TEXT(B3,"MMMM")</f>
        <v>enero</v>
      </c>
      <c r="D3" s="48" t="s">
        <v>2135</v>
      </c>
      <c r="E3" s="50" t="s">
        <v>827</v>
      </c>
      <c r="F3" s="196" t="s">
        <v>2723</v>
      </c>
      <c r="G3" s="49">
        <v>1</v>
      </c>
      <c r="H3" s="48" t="s">
        <v>2138</v>
      </c>
      <c r="I3" s="197">
        <v>1200</v>
      </c>
      <c r="J3" s="197">
        <v>1200</v>
      </c>
      <c r="K3" s="197">
        <v>0</v>
      </c>
      <c r="L3" s="198">
        <v>1200</v>
      </c>
      <c r="M3" s="198">
        <v>0</v>
      </c>
      <c r="N3" s="48" t="s">
        <v>1617</v>
      </c>
      <c r="O3" s="49" t="s">
        <v>1679</v>
      </c>
      <c r="P3" s="49" t="s">
        <v>1321</v>
      </c>
      <c r="Q3" s="199" t="s">
        <v>245</v>
      </c>
      <c r="R3" s="48" t="s">
        <v>369</v>
      </c>
      <c r="S3" s="50" t="s">
        <v>2724</v>
      </c>
      <c r="T3" s="50"/>
      <c r="U3" s="50"/>
      <c r="V3" s="196"/>
      <c r="W3" s="50" t="s">
        <v>1617</v>
      </c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t="s">
        <v>2016</v>
      </c>
    </row>
    <row r="4" spans="1:36" customFormat="1" ht="15.75" customHeight="1" x14ac:dyDescent="0.3">
      <c r="A4" s="48">
        <f t="shared" si="0"/>
        <v>1</v>
      </c>
      <c r="B4" s="195">
        <v>46023</v>
      </c>
      <c r="C4" s="48" t="str">
        <f t="shared" si="1"/>
        <v>enero</v>
      </c>
      <c r="D4" s="48" t="s">
        <v>2135</v>
      </c>
      <c r="E4" s="50" t="s">
        <v>827</v>
      </c>
      <c r="F4" s="196" t="s">
        <v>2723</v>
      </c>
      <c r="G4" s="49">
        <v>1</v>
      </c>
      <c r="H4" s="48" t="s">
        <v>2138</v>
      </c>
      <c r="I4" s="197">
        <v>1200</v>
      </c>
      <c r="J4" s="197">
        <v>1200</v>
      </c>
      <c r="K4" s="197">
        <v>0</v>
      </c>
      <c r="L4" s="198">
        <v>1200</v>
      </c>
      <c r="M4" s="198">
        <v>0</v>
      </c>
      <c r="N4" s="48" t="s">
        <v>1617</v>
      </c>
      <c r="O4" s="49" t="s">
        <v>2031</v>
      </c>
      <c r="P4" s="49" t="s">
        <v>1321</v>
      </c>
      <c r="Q4" s="199" t="s">
        <v>245</v>
      </c>
      <c r="R4" s="48" t="s">
        <v>369</v>
      </c>
      <c r="S4" s="50" t="s">
        <v>2724</v>
      </c>
      <c r="T4" s="50"/>
      <c r="U4" s="50"/>
      <c r="V4" s="196"/>
      <c r="W4" s="50" t="s">
        <v>1617</v>
      </c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t="s">
        <v>2017</v>
      </c>
    </row>
    <row r="5" spans="1:36" customFormat="1" ht="15.75" customHeight="1" x14ac:dyDescent="0.3">
      <c r="A5" s="48">
        <f t="shared" si="0"/>
        <v>1</v>
      </c>
      <c r="B5" s="195">
        <v>46023</v>
      </c>
      <c r="C5" s="48" t="str">
        <f t="shared" si="1"/>
        <v>enero</v>
      </c>
      <c r="D5" s="48" t="s">
        <v>2135</v>
      </c>
      <c r="E5" s="50" t="s">
        <v>827</v>
      </c>
      <c r="F5" s="196" t="s">
        <v>2723</v>
      </c>
      <c r="G5" s="49">
        <v>1</v>
      </c>
      <c r="H5" s="48" t="s">
        <v>2138</v>
      </c>
      <c r="I5" s="197">
        <v>1200</v>
      </c>
      <c r="J5" s="197">
        <v>1200</v>
      </c>
      <c r="K5" s="197">
        <v>0</v>
      </c>
      <c r="L5" s="198">
        <v>1200</v>
      </c>
      <c r="M5" s="198">
        <v>0</v>
      </c>
      <c r="N5" s="48" t="s">
        <v>1617</v>
      </c>
      <c r="O5" s="49" t="s">
        <v>2033</v>
      </c>
      <c r="P5" s="49" t="s">
        <v>1321</v>
      </c>
      <c r="Q5" s="199" t="s">
        <v>245</v>
      </c>
      <c r="R5" s="48" t="s">
        <v>369</v>
      </c>
      <c r="S5" s="50" t="s">
        <v>2724</v>
      </c>
      <c r="T5" s="50"/>
      <c r="U5" s="50"/>
      <c r="V5" s="196"/>
      <c r="W5" s="50" t="s">
        <v>1617</v>
      </c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t="s">
        <v>2138</v>
      </c>
    </row>
    <row r="6" spans="1:36" customFormat="1" ht="15.75" customHeight="1" x14ac:dyDescent="0.3">
      <c r="A6" s="48">
        <f t="shared" si="0"/>
        <v>1</v>
      </c>
      <c r="B6" s="195">
        <v>46023</v>
      </c>
      <c r="C6" s="48" t="str">
        <f t="shared" si="1"/>
        <v>enero</v>
      </c>
      <c r="D6" s="48" t="s">
        <v>2135</v>
      </c>
      <c r="E6" s="50" t="s">
        <v>827</v>
      </c>
      <c r="F6" s="196" t="s">
        <v>2723</v>
      </c>
      <c r="G6" s="49">
        <v>1</v>
      </c>
      <c r="H6" s="48" t="s">
        <v>2138</v>
      </c>
      <c r="I6" s="197">
        <v>1200</v>
      </c>
      <c r="J6" s="197">
        <v>1200</v>
      </c>
      <c r="K6" s="197">
        <v>0</v>
      </c>
      <c r="L6" s="198">
        <v>1200</v>
      </c>
      <c r="M6" s="198">
        <v>0</v>
      </c>
      <c r="N6" s="48" t="s">
        <v>1617</v>
      </c>
      <c r="O6" s="49" t="s">
        <v>1359</v>
      </c>
      <c r="P6" s="49" t="s">
        <v>1321</v>
      </c>
      <c r="Q6" s="199" t="s">
        <v>245</v>
      </c>
      <c r="R6" s="48" t="s">
        <v>369</v>
      </c>
      <c r="S6" s="50" t="s">
        <v>2724</v>
      </c>
      <c r="T6" s="50"/>
      <c r="U6" s="50"/>
      <c r="V6" s="196"/>
      <c r="W6" s="50" t="s">
        <v>1617</v>
      </c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t="s">
        <v>2139</v>
      </c>
    </row>
    <row r="7" spans="1:36" customFormat="1" ht="15.75" customHeight="1" x14ac:dyDescent="0.3">
      <c r="A7" s="48">
        <f t="shared" si="0"/>
        <v>1</v>
      </c>
      <c r="B7" s="113">
        <v>46024</v>
      </c>
      <c r="C7" s="48" t="str">
        <f t="shared" si="1"/>
        <v>enero</v>
      </c>
      <c r="D7" s="48" t="s">
        <v>2135</v>
      </c>
      <c r="E7" s="42" t="s">
        <v>422</v>
      </c>
      <c r="F7" s="47" t="s">
        <v>2136</v>
      </c>
      <c r="G7" s="48">
        <v>1</v>
      </c>
      <c r="H7" s="48" t="s">
        <v>1705</v>
      </c>
      <c r="I7" s="197">
        <v>1850</v>
      </c>
      <c r="J7" s="197">
        <f>+G7*I7</f>
        <v>1850</v>
      </c>
      <c r="K7" s="197">
        <v>0</v>
      </c>
      <c r="L7" s="198">
        <f>+J7</f>
        <v>1850</v>
      </c>
      <c r="M7" s="198">
        <v>0</v>
      </c>
      <c r="N7" s="48" t="s">
        <v>1617</v>
      </c>
      <c r="O7" s="48" t="s">
        <v>1464</v>
      </c>
      <c r="P7" s="48" t="s">
        <v>25</v>
      </c>
      <c r="Q7" s="48" t="s">
        <v>1921</v>
      </c>
      <c r="R7" s="48" t="s">
        <v>369</v>
      </c>
      <c r="S7" s="48" t="s">
        <v>1618</v>
      </c>
      <c r="T7" s="114" t="s">
        <v>20</v>
      </c>
      <c r="U7" s="48" t="s">
        <v>530</v>
      </c>
      <c r="V7" s="48" t="s">
        <v>2725</v>
      </c>
      <c r="W7" s="41"/>
      <c r="X7" s="41"/>
    </row>
    <row r="8" spans="1:36" customFormat="1" ht="15.75" customHeight="1" x14ac:dyDescent="0.3">
      <c r="A8" s="48">
        <f t="shared" si="0"/>
        <v>1</v>
      </c>
      <c r="B8" s="113">
        <v>46024</v>
      </c>
      <c r="C8" s="48" t="str">
        <f t="shared" si="1"/>
        <v>enero</v>
      </c>
      <c r="D8" s="48" t="s">
        <v>2135</v>
      </c>
      <c r="E8" s="42" t="s">
        <v>422</v>
      </c>
      <c r="F8" s="47" t="s">
        <v>2136</v>
      </c>
      <c r="G8" s="48">
        <v>1</v>
      </c>
      <c r="H8" s="48" t="s">
        <v>1705</v>
      </c>
      <c r="I8" s="197">
        <v>1850</v>
      </c>
      <c r="J8" s="197">
        <f t="shared" ref="J8:J16" si="2">+G8*I8</f>
        <v>1850</v>
      </c>
      <c r="K8" s="197">
        <v>0</v>
      </c>
      <c r="L8" s="198">
        <f t="shared" ref="L8:L16" si="3">+J8</f>
        <v>1850</v>
      </c>
      <c r="M8" s="198">
        <v>0</v>
      </c>
      <c r="N8" s="48" t="s">
        <v>1617</v>
      </c>
      <c r="O8" s="48" t="s">
        <v>1586</v>
      </c>
      <c r="P8" s="48" t="s">
        <v>25</v>
      </c>
      <c r="Q8" s="48" t="s">
        <v>1921</v>
      </c>
      <c r="R8" s="48" t="s">
        <v>369</v>
      </c>
      <c r="S8" s="48" t="s">
        <v>1618</v>
      </c>
      <c r="T8" s="114" t="s">
        <v>20</v>
      </c>
      <c r="U8" s="48" t="s">
        <v>530</v>
      </c>
      <c r="V8" s="48" t="s">
        <v>2725</v>
      </c>
      <c r="W8" s="41"/>
      <c r="X8" s="41"/>
    </row>
    <row r="9" spans="1:36" customFormat="1" ht="15.75" customHeight="1" x14ac:dyDescent="0.3">
      <c r="A9" s="48">
        <f t="shared" si="0"/>
        <v>1</v>
      </c>
      <c r="B9" s="113">
        <v>46024</v>
      </c>
      <c r="C9" s="48" t="str">
        <f t="shared" si="1"/>
        <v>enero</v>
      </c>
      <c r="D9" s="48" t="s">
        <v>2135</v>
      </c>
      <c r="E9" s="42" t="s">
        <v>422</v>
      </c>
      <c r="F9" s="47" t="s">
        <v>2136</v>
      </c>
      <c r="G9" s="48">
        <v>1</v>
      </c>
      <c r="H9" s="48" t="s">
        <v>1705</v>
      </c>
      <c r="I9" s="197">
        <v>1850</v>
      </c>
      <c r="J9" s="197">
        <f t="shared" si="2"/>
        <v>1850</v>
      </c>
      <c r="K9" s="197">
        <v>0</v>
      </c>
      <c r="L9" s="198">
        <f t="shared" si="3"/>
        <v>1850</v>
      </c>
      <c r="M9" s="198">
        <v>0</v>
      </c>
      <c r="N9" s="48" t="s">
        <v>1617</v>
      </c>
      <c r="O9" s="48" t="s">
        <v>1443</v>
      </c>
      <c r="P9" s="48" t="s">
        <v>25</v>
      </c>
      <c r="Q9" s="48" t="s">
        <v>1921</v>
      </c>
      <c r="R9" s="48" t="s">
        <v>369</v>
      </c>
      <c r="S9" s="48" t="s">
        <v>1618</v>
      </c>
      <c r="T9" s="114" t="s">
        <v>20</v>
      </c>
      <c r="U9" s="48" t="s">
        <v>530</v>
      </c>
      <c r="V9" s="48" t="s">
        <v>2725</v>
      </c>
      <c r="W9" s="41"/>
      <c r="X9" s="41"/>
    </row>
    <row r="10" spans="1:36" customFormat="1" ht="15.75" customHeight="1" x14ac:dyDescent="0.3">
      <c r="A10" s="48">
        <f t="shared" si="0"/>
        <v>1</v>
      </c>
      <c r="B10" s="113">
        <v>46024</v>
      </c>
      <c r="C10" s="48" t="str">
        <f t="shared" si="1"/>
        <v>enero</v>
      </c>
      <c r="D10" s="48" t="s">
        <v>2135</v>
      </c>
      <c r="E10" s="42" t="s">
        <v>422</v>
      </c>
      <c r="F10" s="47" t="s">
        <v>2136</v>
      </c>
      <c r="G10" s="48">
        <v>1</v>
      </c>
      <c r="H10" s="48" t="s">
        <v>1705</v>
      </c>
      <c r="I10" s="197">
        <v>1850</v>
      </c>
      <c r="J10" s="197">
        <f t="shared" si="2"/>
        <v>1850</v>
      </c>
      <c r="K10" s="197">
        <v>0</v>
      </c>
      <c r="L10" s="198">
        <f t="shared" si="3"/>
        <v>1850</v>
      </c>
      <c r="M10" s="198">
        <v>0</v>
      </c>
      <c r="N10" s="48" t="s">
        <v>1617</v>
      </c>
      <c r="O10" s="48" t="s">
        <v>1429</v>
      </c>
      <c r="P10" s="48" t="s">
        <v>25</v>
      </c>
      <c r="Q10" s="48" t="s">
        <v>1921</v>
      </c>
      <c r="R10" s="48" t="s">
        <v>369</v>
      </c>
      <c r="S10" s="48" t="s">
        <v>1618</v>
      </c>
      <c r="T10" s="114" t="s">
        <v>20</v>
      </c>
      <c r="U10" s="48" t="s">
        <v>530</v>
      </c>
      <c r="V10" s="48" t="s">
        <v>2725</v>
      </c>
      <c r="W10" s="41"/>
      <c r="X10" s="41"/>
    </row>
    <row r="11" spans="1:36" customFormat="1" ht="15.75" customHeight="1" x14ac:dyDescent="0.3">
      <c r="A11" s="48">
        <f t="shared" si="0"/>
        <v>1</v>
      </c>
      <c r="B11" s="113">
        <v>46024</v>
      </c>
      <c r="C11" s="48" t="str">
        <f t="shared" si="1"/>
        <v>enero</v>
      </c>
      <c r="D11" s="48" t="s">
        <v>2135</v>
      </c>
      <c r="E11" s="42" t="s">
        <v>422</v>
      </c>
      <c r="F11" s="47" t="s">
        <v>2136</v>
      </c>
      <c r="G11" s="48">
        <v>1</v>
      </c>
      <c r="H11" s="48" t="s">
        <v>1705</v>
      </c>
      <c r="I11" s="197">
        <v>1850</v>
      </c>
      <c r="J11" s="197">
        <f t="shared" si="2"/>
        <v>1850</v>
      </c>
      <c r="K11" s="197">
        <v>0</v>
      </c>
      <c r="L11" s="198">
        <f t="shared" si="3"/>
        <v>1850</v>
      </c>
      <c r="M11" s="198">
        <v>0</v>
      </c>
      <c r="N11" s="48" t="s">
        <v>1617</v>
      </c>
      <c r="O11" s="48" t="s">
        <v>2149</v>
      </c>
      <c r="P11" s="48" t="s">
        <v>25</v>
      </c>
      <c r="Q11" s="48" t="s">
        <v>1921</v>
      </c>
      <c r="R11" s="48" t="s">
        <v>369</v>
      </c>
      <c r="S11" s="48" t="s">
        <v>1618</v>
      </c>
      <c r="T11" s="114" t="s">
        <v>20</v>
      </c>
      <c r="U11" s="48" t="s">
        <v>530</v>
      </c>
      <c r="V11" s="48" t="s">
        <v>2725</v>
      </c>
      <c r="W11" s="41"/>
      <c r="X11" s="41"/>
    </row>
    <row r="12" spans="1:36" customFormat="1" ht="15.75" customHeight="1" x14ac:dyDescent="0.3">
      <c r="A12" s="48">
        <f t="shared" si="0"/>
        <v>1</v>
      </c>
      <c r="B12" s="113">
        <v>46024</v>
      </c>
      <c r="C12" s="48" t="str">
        <f t="shared" si="1"/>
        <v>enero</v>
      </c>
      <c r="D12" s="48" t="s">
        <v>2135</v>
      </c>
      <c r="E12" s="42" t="s">
        <v>422</v>
      </c>
      <c r="F12" s="47" t="s">
        <v>2136</v>
      </c>
      <c r="G12" s="48">
        <v>1</v>
      </c>
      <c r="H12" s="48" t="s">
        <v>1705</v>
      </c>
      <c r="I12" s="197">
        <v>1850</v>
      </c>
      <c r="J12" s="197">
        <f t="shared" si="2"/>
        <v>1850</v>
      </c>
      <c r="K12" s="197">
        <v>0</v>
      </c>
      <c r="L12" s="198">
        <f t="shared" si="3"/>
        <v>1850</v>
      </c>
      <c r="M12" s="198">
        <v>0</v>
      </c>
      <c r="N12" s="48" t="s">
        <v>1617</v>
      </c>
      <c r="O12" s="48" t="s">
        <v>1439</v>
      </c>
      <c r="P12" s="48" t="s">
        <v>25</v>
      </c>
      <c r="Q12" s="48" t="s">
        <v>1921</v>
      </c>
      <c r="R12" s="48" t="s">
        <v>369</v>
      </c>
      <c r="S12" s="48" t="s">
        <v>1618</v>
      </c>
      <c r="T12" s="114" t="s">
        <v>20</v>
      </c>
      <c r="U12" s="48" t="s">
        <v>530</v>
      </c>
      <c r="V12" s="48" t="s">
        <v>2725</v>
      </c>
      <c r="W12" s="41"/>
      <c r="X12" s="41"/>
    </row>
    <row r="13" spans="1:36" customFormat="1" ht="15.75" customHeight="1" x14ac:dyDescent="0.3">
      <c r="A13" s="48">
        <f t="shared" si="0"/>
        <v>1</v>
      </c>
      <c r="B13" s="113">
        <v>46024</v>
      </c>
      <c r="C13" s="48" t="str">
        <f t="shared" si="1"/>
        <v>enero</v>
      </c>
      <c r="D13" s="48" t="s">
        <v>2135</v>
      </c>
      <c r="E13" s="42" t="s">
        <v>422</v>
      </c>
      <c r="F13" s="47" t="s">
        <v>2136</v>
      </c>
      <c r="G13" s="48">
        <v>1</v>
      </c>
      <c r="H13" s="48" t="s">
        <v>1705</v>
      </c>
      <c r="I13" s="197">
        <v>1850</v>
      </c>
      <c r="J13" s="197">
        <f t="shared" si="2"/>
        <v>1850</v>
      </c>
      <c r="K13" s="197">
        <v>0</v>
      </c>
      <c r="L13" s="198">
        <f t="shared" si="3"/>
        <v>1850</v>
      </c>
      <c r="M13" s="198">
        <v>0</v>
      </c>
      <c r="N13" s="48" t="s">
        <v>1617</v>
      </c>
      <c r="O13" s="48" t="s">
        <v>1855</v>
      </c>
      <c r="P13" s="48" t="s">
        <v>1321</v>
      </c>
      <c r="Q13" s="48" t="s">
        <v>1921</v>
      </c>
      <c r="R13" s="48" t="s">
        <v>369</v>
      </c>
      <c r="S13" s="48" t="s">
        <v>1618</v>
      </c>
      <c r="T13" s="114" t="s">
        <v>20</v>
      </c>
      <c r="U13" s="48" t="s">
        <v>530</v>
      </c>
      <c r="V13" s="48" t="s">
        <v>2725</v>
      </c>
      <c r="W13" s="41"/>
      <c r="X13" s="41"/>
    </row>
    <row r="14" spans="1:36" customFormat="1" ht="15.75" customHeight="1" x14ac:dyDescent="0.3">
      <c r="A14" s="48">
        <f t="shared" si="0"/>
        <v>1</v>
      </c>
      <c r="B14" s="113">
        <v>46024</v>
      </c>
      <c r="C14" s="48" t="str">
        <f t="shared" si="1"/>
        <v>enero</v>
      </c>
      <c r="D14" s="48" t="s">
        <v>2135</v>
      </c>
      <c r="E14" s="42" t="s">
        <v>422</v>
      </c>
      <c r="F14" s="47" t="s">
        <v>2136</v>
      </c>
      <c r="G14" s="48">
        <v>1</v>
      </c>
      <c r="H14" s="48" t="s">
        <v>1705</v>
      </c>
      <c r="I14" s="197">
        <v>1850</v>
      </c>
      <c r="J14" s="197">
        <f t="shared" si="2"/>
        <v>1850</v>
      </c>
      <c r="K14" s="197">
        <v>0</v>
      </c>
      <c r="L14" s="198">
        <f t="shared" si="3"/>
        <v>1850</v>
      </c>
      <c r="M14" s="198">
        <v>0</v>
      </c>
      <c r="N14" s="48" t="s">
        <v>1617</v>
      </c>
      <c r="O14" s="48" t="s">
        <v>1679</v>
      </c>
      <c r="P14" s="48" t="s">
        <v>1321</v>
      </c>
      <c r="Q14" s="48" t="s">
        <v>1921</v>
      </c>
      <c r="R14" s="48" t="s">
        <v>369</v>
      </c>
      <c r="S14" s="48" t="s">
        <v>1618</v>
      </c>
      <c r="T14" s="114" t="s">
        <v>20</v>
      </c>
      <c r="U14" s="48" t="s">
        <v>530</v>
      </c>
      <c r="V14" s="48" t="s">
        <v>2725</v>
      </c>
      <c r="W14" s="41"/>
      <c r="X14" s="41"/>
    </row>
    <row r="15" spans="1:36" customFormat="1" ht="15.75" customHeight="1" x14ac:dyDescent="0.3">
      <c r="A15" s="48">
        <f t="shared" si="0"/>
        <v>1</v>
      </c>
      <c r="B15" s="113">
        <v>46024</v>
      </c>
      <c r="C15" s="48" t="str">
        <f t="shared" si="1"/>
        <v>enero</v>
      </c>
      <c r="D15" s="48" t="s">
        <v>2135</v>
      </c>
      <c r="E15" s="42" t="s">
        <v>422</v>
      </c>
      <c r="F15" s="47" t="s">
        <v>2136</v>
      </c>
      <c r="G15" s="48">
        <v>1</v>
      </c>
      <c r="H15" s="48" t="s">
        <v>1705</v>
      </c>
      <c r="I15" s="197">
        <v>1850</v>
      </c>
      <c r="J15" s="197">
        <f t="shared" si="2"/>
        <v>1850</v>
      </c>
      <c r="K15" s="197">
        <v>0</v>
      </c>
      <c r="L15" s="198">
        <f t="shared" si="3"/>
        <v>1850</v>
      </c>
      <c r="M15" s="198">
        <v>0</v>
      </c>
      <c r="N15" s="48" t="s">
        <v>1617</v>
      </c>
      <c r="O15" s="48" t="s">
        <v>2031</v>
      </c>
      <c r="P15" s="48" t="s">
        <v>1321</v>
      </c>
      <c r="Q15" s="48" t="s">
        <v>1921</v>
      </c>
      <c r="R15" s="48" t="s">
        <v>369</v>
      </c>
      <c r="S15" s="48" t="s">
        <v>1618</v>
      </c>
      <c r="T15" s="114" t="s">
        <v>20</v>
      </c>
      <c r="U15" s="48" t="s">
        <v>530</v>
      </c>
      <c r="V15" s="48" t="s">
        <v>2725</v>
      </c>
      <c r="W15" s="41"/>
      <c r="X15" s="41"/>
    </row>
    <row r="16" spans="1:36" customFormat="1" ht="15.75" customHeight="1" x14ac:dyDescent="0.3">
      <c r="A16" s="48">
        <f t="shared" si="0"/>
        <v>1</v>
      </c>
      <c r="B16" s="113">
        <v>46024</v>
      </c>
      <c r="C16" s="48" t="str">
        <f t="shared" si="1"/>
        <v>enero</v>
      </c>
      <c r="D16" s="48" t="s">
        <v>2135</v>
      </c>
      <c r="E16" s="42" t="s">
        <v>422</v>
      </c>
      <c r="F16" s="47" t="s">
        <v>2136</v>
      </c>
      <c r="G16" s="48">
        <v>1</v>
      </c>
      <c r="H16" s="48" t="s">
        <v>1705</v>
      </c>
      <c r="I16" s="197">
        <v>1850</v>
      </c>
      <c r="J16" s="197">
        <f t="shared" si="2"/>
        <v>1850</v>
      </c>
      <c r="K16" s="197">
        <v>0</v>
      </c>
      <c r="L16" s="198">
        <f t="shared" si="3"/>
        <v>1850</v>
      </c>
      <c r="M16" s="198">
        <v>0</v>
      </c>
      <c r="N16" s="48" t="s">
        <v>1617</v>
      </c>
      <c r="O16" s="48" t="s">
        <v>2033</v>
      </c>
      <c r="P16" s="48" t="s">
        <v>1321</v>
      </c>
      <c r="Q16" s="48" t="s">
        <v>1921</v>
      </c>
      <c r="R16" s="48" t="s">
        <v>369</v>
      </c>
      <c r="S16" s="48" t="s">
        <v>1618</v>
      </c>
      <c r="T16" s="114" t="s">
        <v>20</v>
      </c>
      <c r="U16" s="48" t="s">
        <v>530</v>
      </c>
      <c r="V16" s="48" t="s">
        <v>2725</v>
      </c>
      <c r="W16" s="41"/>
      <c r="X16" s="41"/>
    </row>
    <row r="17" spans="1:25" customFormat="1" ht="15.75" customHeight="1" x14ac:dyDescent="0.3">
      <c r="A17" s="48">
        <f t="shared" si="0"/>
        <v>1</v>
      </c>
      <c r="B17" s="113">
        <v>46024</v>
      </c>
      <c r="C17" s="48" t="str">
        <f t="shared" si="1"/>
        <v>enero</v>
      </c>
      <c r="D17" s="48" t="s">
        <v>2135</v>
      </c>
      <c r="E17" s="42" t="s">
        <v>356</v>
      </c>
      <c r="F17" s="47" t="s">
        <v>127</v>
      </c>
      <c r="G17" s="48">
        <v>1</v>
      </c>
      <c r="H17" s="48" t="s">
        <v>2138</v>
      </c>
      <c r="I17" s="197">
        <v>250</v>
      </c>
      <c r="J17" s="197">
        <v>215.51724137931035</v>
      </c>
      <c r="K17" s="197">
        <v>34.482758620689658</v>
      </c>
      <c r="L17" s="198">
        <v>250</v>
      </c>
      <c r="M17" s="198">
        <v>0</v>
      </c>
      <c r="N17" s="48" t="s">
        <v>311</v>
      </c>
      <c r="O17" s="48" t="s">
        <v>1316</v>
      </c>
      <c r="P17" s="48" t="s">
        <v>25</v>
      </c>
      <c r="Q17" s="48" t="s">
        <v>535</v>
      </c>
      <c r="R17" s="48" t="s">
        <v>2726</v>
      </c>
      <c r="S17" s="48" t="s">
        <v>1619</v>
      </c>
      <c r="T17" s="114" t="s">
        <v>20</v>
      </c>
      <c r="U17" s="48" t="s">
        <v>20</v>
      </c>
      <c r="V17" s="48" t="s">
        <v>2725</v>
      </c>
      <c r="W17" s="41"/>
      <c r="X17" s="41"/>
      <c r="Y17" s="50"/>
    </row>
    <row r="18" spans="1:25" customFormat="1" ht="15.75" customHeight="1" x14ac:dyDescent="0.3">
      <c r="A18" s="48">
        <f t="shared" si="0"/>
        <v>1</v>
      </c>
      <c r="B18" s="113">
        <v>46024</v>
      </c>
      <c r="C18" s="48" t="str">
        <f t="shared" si="1"/>
        <v>enero</v>
      </c>
      <c r="D18" s="48" t="s">
        <v>2135</v>
      </c>
      <c r="E18" s="42" t="s">
        <v>356</v>
      </c>
      <c r="F18" s="47" t="s">
        <v>127</v>
      </c>
      <c r="G18" s="48">
        <v>1</v>
      </c>
      <c r="H18" s="48" t="s">
        <v>2138</v>
      </c>
      <c r="I18" s="197">
        <v>250</v>
      </c>
      <c r="J18" s="197">
        <v>215.51724137931035</v>
      </c>
      <c r="K18" s="197">
        <v>34.482758620689658</v>
      </c>
      <c r="L18" s="198">
        <v>250</v>
      </c>
      <c r="M18" s="198">
        <v>0</v>
      </c>
      <c r="N18" s="48" t="s">
        <v>311</v>
      </c>
      <c r="O18" s="48" t="s">
        <v>1328</v>
      </c>
      <c r="P18" s="48" t="s">
        <v>25</v>
      </c>
      <c r="Q18" s="48" t="s">
        <v>535</v>
      </c>
      <c r="R18" s="48" t="s">
        <v>2727</v>
      </c>
      <c r="S18" s="48" t="s">
        <v>1619</v>
      </c>
      <c r="T18" s="114" t="s">
        <v>20</v>
      </c>
      <c r="U18" s="48" t="s">
        <v>20</v>
      </c>
      <c r="V18" s="48" t="s">
        <v>2725</v>
      </c>
      <c r="W18" s="41"/>
      <c r="X18" s="41"/>
      <c r="Y18" s="50"/>
    </row>
    <row r="19" spans="1:25" customFormat="1" ht="15.75" customHeight="1" x14ac:dyDescent="0.3">
      <c r="A19" s="48">
        <f t="shared" si="0"/>
        <v>1</v>
      </c>
      <c r="B19" s="113">
        <v>46024</v>
      </c>
      <c r="C19" s="48" t="str">
        <f t="shared" si="1"/>
        <v>enero</v>
      </c>
      <c r="D19" s="48" t="s">
        <v>2135</v>
      </c>
      <c r="E19" s="42" t="s">
        <v>477</v>
      </c>
      <c r="F19" s="47" t="s">
        <v>559</v>
      </c>
      <c r="G19" s="48">
        <v>1</v>
      </c>
      <c r="H19" s="48" t="s">
        <v>2138</v>
      </c>
      <c r="I19" s="197">
        <v>1154</v>
      </c>
      <c r="J19" s="197">
        <v>994.82758620689663</v>
      </c>
      <c r="K19" s="197">
        <v>159.17241379310346</v>
      </c>
      <c r="L19" s="198">
        <v>1154</v>
      </c>
      <c r="M19" s="198">
        <v>0</v>
      </c>
      <c r="N19" s="48" t="s">
        <v>311</v>
      </c>
      <c r="O19" s="48" t="s">
        <v>1316</v>
      </c>
      <c r="P19" s="48" t="s">
        <v>25</v>
      </c>
      <c r="Q19" s="48" t="s">
        <v>1766</v>
      </c>
      <c r="R19" s="48" t="s">
        <v>2726</v>
      </c>
      <c r="S19" s="48" t="s">
        <v>560</v>
      </c>
      <c r="T19" s="114" t="s">
        <v>20</v>
      </c>
      <c r="U19" s="48" t="s">
        <v>20</v>
      </c>
      <c r="V19" s="48" t="s">
        <v>2725</v>
      </c>
      <c r="W19" s="41"/>
      <c r="X19" s="41"/>
      <c r="Y19" s="50"/>
    </row>
    <row r="20" spans="1:25" customFormat="1" ht="15.75" customHeight="1" x14ac:dyDescent="0.3">
      <c r="A20" s="48">
        <f t="shared" si="0"/>
        <v>1</v>
      </c>
      <c r="B20" s="113">
        <v>46024</v>
      </c>
      <c r="C20" s="48" t="str">
        <f t="shared" si="1"/>
        <v>enero</v>
      </c>
      <c r="D20" s="48" t="s">
        <v>2135</v>
      </c>
      <c r="E20" s="42" t="s">
        <v>477</v>
      </c>
      <c r="F20" s="47" t="s">
        <v>559</v>
      </c>
      <c r="G20" s="48">
        <v>1</v>
      </c>
      <c r="H20" s="48" t="s">
        <v>2138</v>
      </c>
      <c r="I20" s="197">
        <v>1154</v>
      </c>
      <c r="J20" s="197">
        <v>994.82758620689663</v>
      </c>
      <c r="K20" s="197">
        <v>159.17241379310346</v>
      </c>
      <c r="L20" s="198">
        <v>1154</v>
      </c>
      <c r="M20" s="198">
        <v>0</v>
      </c>
      <c r="N20" s="48" t="s">
        <v>311</v>
      </c>
      <c r="O20" s="48" t="s">
        <v>1328</v>
      </c>
      <c r="P20" s="48" t="s">
        <v>25</v>
      </c>
      <c r="Q20" s="48" t="s">
        <v>1766</v>
      </c>
      <c r="R20" s="48" t="s">
        <v>2727</v>
      </c>
      <c r="S20" s="48" t="s">
        <v>560</v>
      </c>
      <c r="T20" s="114" t="s">
        <v>20</v>
      </c>
      <c r="U20" s="48" t="s">
        <v>20</v>
      </c>
      <c r="V20" s="48" t="s">
        <v>2725</v>
      </c>
      <c r="W20" s="41"/>
      <c r="X20" s="41"/>
      <c r="Y20" s="50"/>
    </row>
    <row r="21" spans="1:25" customFormat="1" ht="15.75" customHeight="1" x14ac:dyDescent="0.3">
      <c r="A21" s="48">
        <f t="shared" si="0"/>
        <v>1</v>
      </c>
      <c r="B21" s="113">
        <v>46025</v>
      </c>
      <c r="C21" s="48" t="str">
        <f t="shared" si="1"/>
        <v>enero</v>
      </c>
      <c r="D21" s="48" t="s">
        <v>2135</v>
      </c>
      <c r="E21" s="42" t="s">
        <v>2728</v>
      </c>
      <c r="F21" s="47" t="s">
        <v>662</v>
      </c>
      <c r="G21" s="48">
        <v>1</v>
      </c>
      <c r="H21" s="48" t="s">
        <v>1705</v>
      </c>
      <c r="I21" s="197">
        <v>853.96</v>
      </c>
      <c r="J21" s="197">
        <v>853.96</v>
      </c>
      <c r="K21" s="197">
        <v>0</v>
      </c>
      <c r="L21" s="197">
        <v>853.96</v>
      </c>
      <c r="M21" s="198">
        <v>0</v>
      </c>
      <c r="N21" s="48" t="s">
        <v>874</v>
      </c>
      <c r="O21" s="48" t="s">
        <v>100</v>
      </c>
      <c r="P21" s="48" t="s">
        <v>25</v>
      </c>
      <c r="Q21" s="48" t="s">
        <v>535</v>
      </c>
      <c r="R21" s="48" t="s">
        <v>2726</v>
      </c>
      <c r="S21" s="48" t="s">
        <v>800</v>
      </c>
      <c r="T21" s="114" t="s">
        <v>1620</v>
      </c>
      <c r="U21" s="48" t="s">
        <v>20</v>
      </c>
      <c r="V21" s="48" t="s">
        <v>2725</v>
      </c>
      <c r="W21" s="41"/>
      <c r="X21" s="41"/>
      <c r="Y21" s="50"/>
    </row>
    <row r="22" spans="1:25" customFormat="1" ht="15.75" customHeight="1" x14ac:dyDescent="0.3">
      <c r="A22" s="48">
        <f t="shared" si="0"/>
        <v>1</v>
      </c>
      <c r="B22" s="113">
        <v>46025</v>
      </c>
      <c r="C22" s="48" t="str">
        <f t="shared" si="1"/>
        <v>enero</v>
      </c>
      <c r="D22" s="48" t="s">
        <v>2135</v>
      </c>
      <c r="E22" s="42" t="s">
        <v>2728</v>
      </c>
      <c r="F22" s="47" t="s">
        <v>1621</v>
      </c>
      <c r="G22" s="48">
        <v>1</v>
      </c>
      <c r="H22" s="48" t="s">
        <v>1705</v>
      </c>
      <c r="I22" s="197">
        <v>437.72</v>
      </c>
      <c r="J22" s="197">
        <v>437.72</v>
      </c>
      <c r="K22" s="197">
        <v>0</v>
      </c>
      <c r="L22" s="197">
        <v>437.72</v>
      </c>
      <c r="M22" s="198">
        <v>0</v>
      </c>
      <c r="N22" s="48" t="s">
        <v>311</v>
      </c>
      <c r="O22" s="48" t="s">
        <v>645</v>
      </c>
      <c r="P22" s="48" t="s">
        <v>25</v>
      </c>
      <c r="Q22" s="48" t="s">
        <v>535</v>
      </c>
      <c r="R22" s="48" t="s">
        <v>2726</v>
      </c>
      <c r="S22" s="48" t="s">
        <v>800</v>
      </c>
      <c r="T22" s="114" t="s">
        <v>1622</v>
      </c>
      <c r="U22" s="48" t="s">
        <v>20</v>
      </c>
      <c r="V22" s="48" t="s">
        <v>2725</v>
      </c>
      <c r="W22" s="41"/>
      <c r="X22" s="41"/>
      <c r="Y22" s="50"/>
    </row>
    <row r="23" spans="1:25" customFormat="1" ht="15.75" customHeight="1" x14ac:dyDescent="0.3">
      <c r="A23" s="48">
        <f t="shared" si="0"/>
        <v>1</v>
      </c>
      <c r="B23" s="113">
        <v>46025</v>
      </c>
      <c r="C23" s="48" t="str">
        <f t="shared" si="1"/>
        <v>enero</v>
      </c>
      <c r="D23" s="48" t="s">
        <v>2135</v>
      </c>
      <c r="E23" s="42" t="s">
        <v>2728</v>
      </c>
      <c r="F23" s="47" t="s">
        <v>219</v>
      </c>
      <c r="G23" s="48">
        <v>1</v>
      </c>
      <c r="H23" s="48" t="s">
        <v>1705</v>
      </c>
      <c r="I23" s="197">
        <v>550</v>
      </c>
      <c r="J23" s="197">
        <v>550</v>
      </c>
      <c r="K23" s="197">
        <v>0</v>
      </c>
      <c r="L23" s="197">
        <v>550</v>
      </c>
      <c r="M23" s="198">
        <v>0</v>
      </c>
      <c r="N23" s="48" t="s">
        <v>1121</v>
      </c>
      <c r="O23" s="48" t="s">
        <v>150</v>
      </c>
      <c r="P23" s="48" t="s">
        <v>25</v>
      </c>
      <c r="Q23" s="48" t="s">
        <v>535</v>
      </c>
      <c r="R23" s="48" t="s">
        <v>2726</v>
      </c>
      <c r="S23" s="48" t="s">
        <v>1623</v>
      </c>
      <c r="T23" s="114" t="s">
        <v>1624</v>
      </c>
      <c r="U23" s="48" t="s">
        <v>1625</v>
      </c>
      <c r="V23" s="48" t="s">
        <v>2725</v>
      </c>
      <c r="W23" s="41"/>
      <c r="X23" s="41"/>
      <c r="Y23" s="50"/>
    </row>
    <row r="24" spans="1:25" customFormat="1" ht="15.75" customHeight="1" x14ac:dyDescent="0.3">
      <c r="A24" s="48">
        <f t="shared" si="0"/>
        <v>1</v>
      </c>
      <c r="B24" s="113">
        <v>46025</v>
      </c>
      <c r="C24" s="48" t="str">
        <f t="shared" si="1"/>
        <v>enero</v>
      </c>
      <c r="D24" s="48" t="s">
        <v>2135</v>
      </c>
      <c r="E24" s="42" t="s">
        <v>2728</v>
      </c>
      <c r="F24" s="47" t="s">
        <v>1626</v>
      </c>
      <c r="G24" s="48">
        <v>1</v>
      </c>
      <c r="H24" s="48" t="s">
        <v>1705</v>
      </c>
      <c r="I24" s="197">
        <v>2100</v>
      </c>
      <c r="J24" s="197">
        <v>2100</v>
      </c>
      <c r="K24" s="197">
        <v>0</v>
      </c>
      <c r="L24" s="197">
        <v>2100</v>
      </c>
      <c r="M24" s="198">
        <v>0</v>
      </c>
      <c r="N24" s="48" t="s">
        <v>742</v>
      </c>
      <c r="O24" s="48" t="s">
        <v>573</v>
      </c>
      <c r="P24" s="48" t="s">
        <v>25</v>
      </c>
      <c r="Q24" s="48" t="s">
        <v>535</v>
      </c>
      <c r="R24" s="48" t="s">
        <v>364</v>
      </c>
      <c r="S24" s="48" t="s">
        <v>503</v>
      </c>
      <c r="T24" s="114" t="s">
        <v>1627</v>
      </c>
      <c r="U24" s="48" t="s">
        <v>1628</v>
      </c>
      <c r="V24" s="48" t="s">
        <v>2725</v>
      </c>
      <c r="W24" s="41"/>
      <c r="X24" s="41"/>
      <c r="Y24" s="50"/>
    </row>
    <row r="25" spans="1:25" customFormat="1" ht="15.75" customHeight="1" x14ac:dyDescent="0.3">
      <c r="A25" s="48">
        <f t="shared" si="0"/>
        <v>1</v>
      </c>
      <c r="B25" s="113">
        <v>46025</v>
      </c>
      <c r="C25" s="48" t="str">
        <f t="shared" si="1"/>
        <v>enero</v>
      </c>
      <c r="D25" s="48" t="s">
        <v>2135</v>
      </c>
      <c r="E25" s="42" t="s">
        <v>2728</v>
      </c>
      <c r="F25" s="47" t="s">
        <v>1629</v>
      </c>
      <c r="G25" s="48">
        <v>1</v>
      </c>
      <c r="H25" s="48" t="s">
        <v>2138</v>
      </c>
      <c r="I25" s="197">
        <v>250</v>
      </c>
      <c r="J25" s="197">
        <v>250</v>
      </c>
      <c r="K25" s="197">
        <v>0</v>
      </c>
      <c r="L25" s="197">
        <v>250</v>
      </c>
      <c r="M25" s="198">
        <v>0</v>
      </c>
      <c r="N25" s="48" t="s">
        <v>742</v>
      </c>
      <c r="O25" s="48" t="s">
        <v>573</v>
      </c>
      <c r="P25" s="48" t="s">
        <v>25</v>
      </c>
      <c r="Q25" s="48" t="s">
        <v>535</v>
      </c>
      <c r="R25" s="48" t="s">
        <v>364</v>
      </c>
      <c r="S25" s="48" t="s">
        <v>20</v>
      </c>
      <c r="T25" s="114" t="s">
        <v>20</v>
      </c>
      <c r="U25" s="48" t="s">
        <v>1628</v>
      </c>
      <c r="V25" s="48" t="s">
        <v>2725</v>
      </c>
      <c r="W25" s="41"/>
      <c r="X25" s="41"/>
      <c r="Y25" s="50"/>
    </row>
    <row r="26" spans="1:25" customFormat="1" ht="15.75" customHeight="1" x14ac:dyDescent="0.3">
      <c r="A26" s="48">
        <f t="shared" si="0"/>
        <v>1</v>
      </c>
      <c r="B26" s="113">
        <v>46025</v>
      </c>
      <c r="C26" s="48" t="str">
        <f t="shared" si="1"/>
        <v>enero</v>
      </c>
      <c r="D26" s="48" t="s">
        <v>2135</v>
      </c>
      <c r="E26" s="42" t="s">
        <v>2728</v>
      </c>
      <c r="F26" s="47" t="s">
        <v>1630</v>
      </c>
      <c r="G26" s="48">
        <v>4</v>
      </c>
      <c r="H26" s="48" t="s">
        <v>1705</v>
      </c>
      <c r="I26" s="197">
        <v>7.5</v>
      </c>
      <c r="J26" s="197">
        <v>30</v>
      </c>
      <c r="K26" s="197">
        <v>0</v>
      </c>
      <c r="L26" s="197">
        <v>30</v>
      </c>
      <c r="M26" s="198">
        <v>0</v>
      </c>
      <c r="N26" s="48" t="s">
        <v>1617</v>
      </c>
      <c r="O26" s="48" t="s">
        <v>62</v>
      </c>
      <c r="P26" s="48" t="s">
        <v>25</v>
      </c>
      <c r="Q26" s="48" t="s">
        <v>535</v>
      </c>
      <c r="R26" s="48" t="s">
        <v>364</v>
      </c>
      <c r="S26" s="48" t="s">
        <v>20</v>
      </c>
      <c r="T26" s="114" t="s">
        <v>20</v>
      </c>
      <c r="U26" s="48" t="s">
        <v>1628</v>
      </c>
      <c r="V26" s="48" t="s">
        <v>2725</v>
      </c>
      <c r="W26" s="41"/>
      <c r="X26" s="41"/>
    </row>
    <row r="27" spans="1:25" customFormat="1" ht="15.75" customHeight="1" x14ac:dyDescent="0.3">
      <c r="A27" s="48">
        <f t="shared" si="0"/>
        <v>1</v>
      </c>
      <c r="B27" s="113">
        <v>46025</v>
      </c>
      <c r="C27" s="48" t="str">
        <f t="shared" si="1"/>
        <v>enero</v>
      </c>
      <c r="D27" s="48" t="s">
        <v>2135</v>
      </c>
      <c r="E27" s="42" t="s">
        <v>356</v>
      </c>
      <c r="F27" s="47" t="s">
        <v>824</v>
      </c>
      <c r="G27" s="48">
        <v>1</v>
      </c>
      <c r="H27" s="48" t="s">
        <v>2139</v>
      </c>
      <c r="I27" s="197">
        <v>100</v>
      </c>
      <c r="J27" s="197">
        <v>100</v>
      </c>
      <c r="K27" s="197">
        <v>0</v>
      </c>
      <c r="L27" s="197">
        <v>100</v>
      </c>
      <c r="M27" s="198">
        <v>0</v>
      </c>
      <c r="N27" s="48" t="s">
        <v>1617</v>
      </c>
      <c r="O27" s="48" t="s">
        <v>118</v>
      </c>
      <c r="P27" s="48" t="s">
        <v>25</v>
      </c>
      <c r="Q27" s="48"/>
      <c r="R27" s="48" t="s">
        <v>364</v>
      </c>
      <c r="S27" s="48" t="s">
        <v>2140</v>
      </c>
      <c r="T27" s="114" t="s">
        <v>2141</v>
      </c>
      <c r="U27" s="48" t="s">
        <v>1628</v>
      </c>
      <c r="V27" s="48" t="s">
        <v>2729</v>
      </c>
      <c r="W27" s="19" t="s">
        <v>1617</v>
      </c>
      <c r="X27" s="50"/>
    </row>
    <row r="28" spans="1:25" customFormat="1" ht="15.75" customHeight="1" x14ac:dyDescent="0.3">
      <c r="A28" s="48">
        <f t="shared" si="0"/>
        <v>1</v>
      </c>
      <c r="B28" s="113">
        <v>46025</v>
      </c>
      <c r="C28" s="48" t="str">
        <f t="shared" si="1"/>
        <v>enero</v>
      </c>
      <c r="D28" s="48" t="s">
        <v>2135</v>
      </c>
      <c r="E28" s="50" t="s">
        <v>127</v>
      </c>
      <c r="F28" s="47" t="s">
        <v>1631</v>
      </c>
      <c r="G28" s="48">
        <v>1</v>
      </c>
      <c r="H28" s="48" t="s">
        <v>2139</v>
      </c>
      <c r="I28" s="197">
        <v>1500</v>
      </c>
      <c r="J28" s="197">
        <v>1500</v>
      </c>
      <c r="K28" s="197">
        <v>0</v>
      </c>
      <c r="L28" s="197">
        <v>1500</v>
      </c>
      <c r="M28" s="198">
        <v>0</v>
      </c>
      <c r="N28" s="48" t="s">
        <v>1617</v>
      </c>
      <c r="O28" s="48" t="s">
        <v>116</v>
      </c>
      <c r="P28" s="48" t="s">
        <v>25</v>
      </c>
      <c r="Q28" s="48" t="s">
        <v>245</v>
      </c>
      <c r="R28" s="48" t="s">
        <v>369</v>
      </c>
      <c r="S28" s="48" t="s">
        <v>1632</v>
      </c>
      <c r="T28" s="114" t="s">
        <v>1617</v>
      </c>
      <c r="U28" s="48" t="s">
        <v>1633</v>
      </c>
      <c r="V28" s="48"/>
      <c r="W28" s="41" t="s">
        <v>1617</v>
      </c>
      <c r="X28" s="41"/>
    </row>
    <row r="29" spans="1:25" customFormat="1" ht="15.75" customHeight="1" x14ac:dyDescent="0.3">
      <c r="A29" s="48">
        <f t="shared" si="0"/>
        <v>2</v>
      </c>
      <c r="B29" s="113">
        <v>46027</v>
      </c>
      <c r="C29" s="48" t="str">
        <f t="shared" si="1"/>
        <v>enero</v>
      </c>
      <c r="D29" s="48" t="s">
        <v>2135</v>
      </c>
      <c r="E29" s="42" t="s">
        <v>2728</v>
      </c>
      <c r="F29" s="47" t="s">
        <v>1634</v>
      </c>
      <c r="G29" s="48">
        <v>1</v>
      </c>
      <c r="H29" s="48" t="s">
        <v>1705</v>
      </c>
      <c r="I29" s="197">
        <v>764.64879999999994</v>
      </c>
      <c r="J29" s="197">
        <v>764.64879999999994</v>
      </c>
      <c r="K29" s="197">
        <v>0</v>
      </c>
      <c r="L29" s="197">
        <v>764.64879999999994</v>
      </c>
      <c r="M29" s="198">
        <v>0</v>
      </c>
      <c r="N29" s="48" t="s">
        <v>1304</v>
      </c>
      <c r="O29" s="48" t="s">
        <v>183</v>
      </c>
      <c r="P29" s="48" t="s">
        <v>25</v>
      </c>
      <c r="Q29" s="48" t="s">
        <v>535</v>
      </c>
      <c r="R29" s="48" t="s">
        <v>2727</v>
      </c>
      <c r="S29" s="48" t="s">
        <v>800</v>
      </c>
      <c r="T29" s="114" t="s">
        <v>1620</v>
      </c>
      <c r="U29" s="48" t="s">
        <v>358</v>
      </c>
      <c r="V29" s="48" t="s">
        <v>2725</v>
      </c>
      <c r="W29" s="41"/>
      <c r="X29" s="41"/>
      <c r="Y29" s="50"/>
    </row>
    <row r="30" spans="1:25" customFormat="1" ht="15.75" customHeight="1" x14ac:dyDescent="0.3">
      <c r="A30" s="48">
        <f t="shared" si="0"/>
        <v>2</v>
      </c>
      <c r="B30" s="113">
        <v>46027</v>
      </c>
      <c r="C30" s="48" t="str">
        <f t="shared" si="1"/>
        <v>enero</v>
      </c>
      <c r="D30" s="48" t="s">
        <v>2135</v>
      </c>
      <c r="E30" s="42" t="s">
        <v>2728</v>
      </c>
      <c r="F30" s="47" t="s">
        <v>1635</v>
      </c>
      <c r="G30" s="48">
        <v>1</v>
      </c>
      <c r="H30" s="48" t="s">
        <v>1705</v>
      </c>
      <c r="I30" s="197">
        <v>508.50920000000002</v>
      </c>
      <c r="J30" s="197">
        <v>508.50920000000002</v>
      </c>
      <c r="K30" s="197">
        <v>0</v>
      </c>
      <c r="L30" s="197">
        <v>508.50920000000002</v>
      </c>
      <c r="M30" s="198">
        <v>0</v>
      </c>
      <c r="N30" s="48" t="s">
        <v>1304</v>
      </c>
      <c r="O30" s="48" t="s">
        <v>183</v>
      </c>
      <c r="P30" s="48" t="s">
        <v>25</v>
      </c>
      <c r="Q30" s="48" t="s">
        <v>535</v>
      </c>
      <c r="R30" s="48" t="s">
        <v>2727</v>
      </c>
      <c r="S30" s="48" t="s">
        <v>800</v>
      </c>
      <c r="T30" s="114" t="s">
        <v>1636</v>
      </c>
      <c r="U30" s="48" t="s">
        <v>358</v>
      </c>
      <c r="V30" s="48" t="s">
        <v>2725</v>
      </c>
      <c r="W30" s="41"/>
      <c r="X30" s="41"/>
      <c r="Y30" s="50"/>
    </row>
    <row r="31" spans="1:25" customFormat="1" ht="15.75" customHeight="1" x14ac:dyDescent="0.3">
      <c r="A31" s="48">
        <f t="shared" si="0"/>
        <v>2</v>
      </c>
      <c r="B31" s="113">
        <v>46027</v>
      </c>
      <c r="C31" s="48" t="str">
        <f t="shared" si="1"/>
        <v>enero</v>
      </c>
      <c r="D31" s="48" t="s">
        <v>2135</v>
      </c>
      <c r="E31" s="42" t="s">
        <v>2728</v>
      </c>
      <c r="F31" s="47" t="s">
        <v>799</v>
      </c>
      <c r="G31" s="48">
        <v>1</v>
      </c>
      <c r="H31" s="48" t="s">
        <v>1705</v>
      </c>
      <c r="I31" s="197">
        <v>537.52080000000001</v>
      </c>
      <c r="J31" s="197">
        <v>537.52080000000001</v>
      </c>
      <c r="K31" s="197">
        <v>0</v>
      </c>
      <c r="L31" s="197">
        <v>537.52080000000001</v>
      </c>
      <c r="M31" s="198">
        <v>0</v>
      </c>
      <c r="N31" s="48" t="s">
        <v>1304</v>
      </c>
      <c r="O31" s="48" t="s">
        <v>183</v>
      </c>
      <c r="P31" s="48" t="s">
        <v>25</v>
      </c>
      <c r="Q31" s="48" t="s">
        <v>535</v>
      </c>
      <c r="R31" s="48" t="s">
        <v>2727</v>
      </c>
      <c r="S31" s="48" t="s">
        <v>800</v>
      </c>
      <c r="T31" s="114" t="s">
        <v>1637</v>
      </c>
      <c r="U31" s="48" t="s">
        <v>358</v>
      </c>
      <c r="V31" s="48" t="s">
        <v>2725</v>
      </c>
      <c r="W31" s="41"/>
      <c r="X31" s="41"/>
      <c r="Y31" s="50"/>
    </row>
    <row r="32" spans="1:25" customFormat="1" ht="15.75" customHeight="1" x14ac:dyDescent="0.3">
      <c r="A32" s="48">
        <f t="shared" si="0"/>
        <v>2</v>
      </c>
      <c r="B32" s="113">
        <v>46027</v>
      </c>
      <c r="C32" s="48" t="str">
        <f t="shared" si="1"/>
        <v>enero</v>
      </c>
      <c r="D32" s="48" t="s">
        <v>2135</v>
      </c>
      <c r="E32" s="42" t="s">
        <v>2728</v>
      </c>
      <c r="F32" s="47" t="s">
        <v>801</v>
      </c>
      <c r="G32" s="48">
        <v>1</v>
      </c>
      <c r="H32" s="48" t="s">
        <v>1705</v>
      </c>
      <c r="I32" s="197">
        <v>537.52080000000001</v>
      </c>
      <c r="J32" s="197">
        <v>537.52080000000001</v>
      </c>
      <c r="K32" s="197">
        <v>0</v>
      </c>
      <c r="L32" s="197">
        <v>537.52080000000001</v>
      </c>
      <c r="M32" s="198">
        <v>0</v>
      </c>
      <c r="N32" s="48" t="s">
        <v>1304</v>
      </c>
      <c r="O32" s="48" t="s">
        <v>183</v>
      </c>
      <c r="P32" s="48" t="s">
        <v>25</v>
      </c>
      <c r="Q32" s="48" t="s">
        <v>535</v>
      </c>
      <c r="R32" s="48" t="s">
        <v>2727</v>
      </c>
      <c r="S32" s="48" t="s">
        <v>800</v>
      </c>
      <c r="T32" s="114" t="s">
        <v>1637</v>
      </c>
      <c r="U32" s="48" t="s">
        <v>358</v>
      </c>
      <c r="V32" s="48" t="s">
        <v>2725</v>
      </c>
      <c r="W32" s="41"/>
      <c r="X32" s="41"/>
      <c r="Y32" s="50"/>
    </row>
    <row r="33" spans="1:25" customFormat="1" ht="15.75" customHeight="1" x14ac:dyDescent="0.3">
      <c r="A33" s="48">
        <f t="shared" si="0"/>
        <v>2</v>
      </c>
      <c r="B33" s="113">
        <v>46027</v>
      </c>
      <c r="C33" s="48" t="str">
        <f t="shared" si="1"/>
        <v>enero</v>
      </c>
      <c r="D33" s="48" t="s">
        <v>2135</v>
      </c>
      <c r="E33" s="42" t="s">
        <v>2728</v>
      </c>
      <c r="F33" s="47" t="s">
        <v>163</v>
      </c>
      <c r="G33" s="48">
        <v>2</v>
      </c>
      <c r="H33" s="48" t="s">
        <v>1705</v>
      </c>
      <c r="I33" s="197">
        <v>484.91500000000002</v>
      </c>
      <c r="J33" s="197">
        <v>969.83</v>
      </c>
      <c r="K33" s="197">
        <v>0</v>
      </c>
      <c r="L33" s="197">
        <v>969.82959999999991</v>
      </c>
      <c r="M33" s="198">
        <v>0</v>
      </c>
      <c r="N33" s="48" t="s">
        <v>311</v>
      </c>
      <c r="O33" s="48" t="s">
        <v>774</v>
      </c>
      <c r="P33" s="48" t="s">
        <v>25</v>
      </c>
      <c r="Q33" s="48" t="s">
        <v>535</v>
      </c>
      <c r="R33" s="48" t="s">
        <v>2727</v>
      </c>
      <c r="S33" s="48" t="s">
        <v>800</v>
      </c>
      <c r="T33" s="114" t="s">
        <v>1638</v>
      </c>
      <c r="U33" s="48" t="s">
        <v>358</v>
      </c>
      <c r="V33" s="48" t="s">
        <v>2725</v>
      </c>
      <c r="W33" s="41"/>
      <c r="X33" s="41"/>
      <c r="Y33" s="50"/>
    </row>
    <row r="34" spans="1:25" customFormat="1" ht="15.75" customHeight="1" x14ac:dyDescent="0.3">
      <c r="A34" s="48">
        <f t="shared" si="0"/>
        <v>2</v>
      </c>
      <c r="B34" s="113">
        <v>46027</v>
      </c>
      <c r="C34" s="48" t="str">
        <f t="shared" si="1"/>
        <v>enero</v>
      </c>
      <c r="D34" s="48" t="s">
        <v>2135</v>
      </c>
      <c r="E34" s="42" t="s">
        <v>2728</v>
      </c>
      <c r="F34" s="47" t="s">
        <v>133</v>
      </c>
      <c r="G34" s="48">
        <v>1</v>
      </c>
      <c r="H34" s="48" t="s">
        <v>1705</v>
      </c>
      <c r="I34" s="197">
        <v>500</v>
      </c>
      <c r="J34" s="197">
        <v>500</v>
      </c>
      <c r="K34" s="197">
        <v>0</v>
      </c>
      <c r="L34" s="197">
        <v>500</v>
      </c>
      <c r="M34" s="198">
        <v>0</v>
      </c>
      <c r="N34" s="48" t="s">
        <v>1307</v>
      </c>
      <c r="O34" s="48" t="s">
        <v>150</v>
      </c>
      <c r="P34" s="48" t="s">
        <v>25</v>
      </c>
      <c r="Q34" s="48" t="s">
        <v>535</v>
      </c>
      <c r="R34" s="48" t="s">
        <v>364</v>
      </c>
      <c r="S34" s="48" t="s">
        <v>1639</v>
      </c>
      <c r="T34" s="114" t="s">
        <v>20</v>
      </c>
      <c r="U34" s="48" t="s">
        <v>1633</v>
      </c>
      <c r="V34" s="48" t="s">
        <v>2725</v>
      </c>
      <c r="W34" s="41"/>
      <c r="X34" s="41"/>
      <c r="Y34" s="50"/>
    </row>
    <row r="35" spans="1:25" customFormat="1" ht="15.75" customHeight="1" x14ac:dyDescent="0.3">
      <c r="A35" s="48">
        <f t="shared" si="0"/>
        <v>2</v>
      </c>
      <c r="B35" s="113">
        <v>46027</v>
      </c>
      <c r="C35" s="48" t="str">
        <f t="shared" si="1"/>
        <v>enero</v>
      </c>
      <c r="D35" s="48" t="s">
        <v>2135</v>
      </c>
      <c r="E35" s="42" t="s">
        <v>2728</v>
      </c>
      <c r="F35" s="47" t="s">
        <v>683</v>
      </c>
      <c r="G35" s="48">
        <v>1</v>
      </c>
      <c r="H35" s="48" t="s">
        <v>2138</v>
      </c>
      <c r="I35" s="197">
        <v>380</v>
      </c>
      <c r="J35" s="197">
        <v>380</v>
      </c>
      <c r="K35" s="197">
        <v>0</v>
      </c>
      <c r="L35" s="197">
        <v>380</v>
      </c>
      <c r="M35" s="198">
        <v>0</v>
      </c>
      <c r="N35" s="48" t="s">
        <v>874</v>
      </c>
      <c r="O35" s="48" t="s">
        <v>100</v>
      </c>
      <c r="P35" s="48" t="s">
        <v>25</v>
      </c>
      <c r="Q35" s="48" t="s">
        <v>535</v>
      </c>
      <c r="R35" s="48" t="s">
        <v>364</v>
      </c>
      <c r="S35" s="48" t="s">
        <v>454</v>
      </c>
      <c r="T35" s="114" t="s">
        <v>20</v>
      </c>
      <c r="U35" s="48" t="s">
        <v>1633</v>
      </c>
      <c r="V35" s="48" t="s">
        <v>2725</v>
      </c>
      <c r="W35" s="41"/>
      <c r="X35" s="41"/>
      <c r="Y35" s="50"/>
    </row>
    <row r="36" spans="1:25" customFormat="1" ht="15.75" customHeight="1" x14ac:dyDescent="0.3">
      <c r="A36" s="48">
        <f t="shared" si="0"/>
        <v>2</v>
      </c>
      <c r="B36" s="113">
        <v>46027</v>
      </c>
      <c r="C36" s="48" t="str">
        <f t="shared" si="1"/>
        <v>enero</v>
      </c>
      <c r="D36" s="48" t="s">
        <v>2135</v>
      </c>
      <c r="E36" s="42" t="s">
        <v>2728</v>
      </c>
      <c r="F36" s="47" t="s">
        <v>1640</v>
      </c>
      <c r="G36" s="48">
        <v>2</v>
      </c>
      <c r="H36" s="48" t="s">
        <v>1705</v>
      </c>
      <c r="I36" s="197">
        <v>0</v>
      </c>
      <c r="J36" s="197">
        <v>0</v>
      </c>
      <c r="K36" s="197">
        <v>0</v>
      </c>
      <c r="L36" s="197">
        <v>0</v>
      </c>
      <c r="M36" s="198">
        <v>0</v>
      </c>
      <c r="N36" s="48" t="s">
        <v>874</v>
      </c>
      <c r="O36" s="48" t="s">
        <v>100</v>
      </c>
      <c r="P36" s="48" t="s">
        <v>25</v>
      </c>
      <c r="Q36" s="48" t="s">
        <v>535</v>
      </c>
      <c r="R36" s="48" t="s">
        <v>364</v>
      </c>
      <c r="S36" s="48" t="s">
        <v>454</v>
      </c>
      <c r="T36" s="114" t="s">
        <v>20</v>
      </c>
      <c r="U36" s="48" t="s">
        <v>1633</v>
      </c>
      <c r="V36" s="39" t="s">
        <v>2730</v>
      </c>
      <c r="W36" s="41"/>
      <c r="X36" s="41"/>
      <c r="Y36" s="50"/>
    </row>
    <row r="37" spans="1:25" customFormat="1" ht="15.75" customHeight="1" x14ac:dyDescent="0.3">
      <c r="A37" s="48">
        <f t="shared" si="0"/>
        <v>2</v>
      </c>
      <c r="B37" s="113">
        <v>46027</v>
      </c>
      <c r="C37" s="48" t="str">
        <f t="shared" si="1"/>
        <v>enero</v>
      </c>
      <c r="D37" s="48" t="s">
        <v>2135</v>
      </c>
      <c r="E37" s="42" t="s">
        <v>356</v>
      </c>
      <c r="F37" s="47" t="s">
        <v>127</v>
      </c>
      <c r="G37" s="48">
        <v>1</v>
      </c>
      <c r="H37" s="48" t="s">
        <v>2138</v>
      </c>
      <c r="I37" s="197">
        <v>100</v>
      </c>
      <c r="J37" s="197">
        <v>100</v>
      </c>
      <c r="K37" s="197">
        <v>0</v>
      </c>
      <c r="L37" s="197">
        <v>100</v>
      </c>
      <c r="M37" s="198">
        <v>0</v>
      </c>
      <c r="N37" s="48" t="s">
        <v>1013</v>
      </c>
      <c r="O37" s="48" t="s">
        <v>101</v>
      </c>
      <c r="P37" s="48" t="s">
        <v>25</v>
      </c>
      <c r="Q37" s="48" t="s">
        <v>535</v>
      </c>
      <c r="R37" s="48" t="s">
        <v>2726</v>
      </c>
      <c r="S37" s="48" t="s">
        <v>1641</v>
      </c>
      <c r="T37" s="114" t="s">
        <v>20</v>
      </c>
      <c r="U37" s="48" t="s">
        <v>397</v>
      </c>
      <c r="V37" s="48" t="s">
        <v>2725</v>
      </c>
      <c r="W37" s="41"/>
      <c r="X37" s="41"/>
      <c r="Y37" s="50"/>
    </row>
    <row r="38" spans="1:25" customFormat="1" ht="15.75" customHeight="1" x14ac:dyDescent="0.3">
      <c r="A38" s="48">
        <f t="shared" si="0"/>
        <v>2</v>
      </c>
      <c r="B38" s="113">
        <v>46028</v>
      </c>
      <c r="C38" s="48" t="str">
        <f t="shared" si="1"/>
        <v>enero</v>
      </c>
      <c r="D38" s="48" t="s">
        <v>2135</v>
      </c>
      <c r="E38" s="42" t="s">
        <v>2728</v>
      </c>
      <c r="F38" s="47" t="s">
        <v>111</v>
      </c>
      <c r="G38" s="48">
        <v>1</v>
      </c>
      <c r="H38" s="48" t="s">
        <v>2138</v>
      </c>
      <c r="I38" s="197">
        <v>0</v>
      </c>
      <c r="J38" s="197">
        <v>0</v>
      </c>
      <c r="K38" s="197">
        <v>0</v>
      </c>
      <c r="L38" s="197">
        <v>0</v>
      </c>
      <c r="M38" s="198">
        <v>0</v>
      </c>
      <c r="N38" s="48" t="s">
        <v>1304</v>
      </c>
      <c r="O38" s="48" t="s">
        <v>183</v>
      </c>
      <c r="P38" s="48" t="s">
        <v>25</v>
      </c>
      <c r="Q38" s="48" t="s">
        <v>535</v>
      </c>
      <c r="R38" s="48"/>
      <c r="S38" s="48"/>
      <c r="T38" s="114"/>
      <c r="U38" s="48" t="s">
        <v>1633</v>
      </c>
      <c r="V38" s="48" t="s">
        <v>2725</v>
      </c>
      <c r="W38" s="41"/>
      <c r="X38" s="41"/>
      <c r="Y38" s="50"/>
    </row>
    <row r="39" spans="1:25" customFormat="1" ht="15.75" customHeight="1" x14ac:dyDescent="0.3">
      <c r="A39" s="48">
        <f t="shared" si="0"/>
        <v>2</v>
      </c>
      <c r="B39" s="113">
        <v>46028</v>
      </c>
      <c r="C39" s="48" t="str">
        <f t="shared" si="1"/>
        <v>enero</v>
      </c>
      <c r="D39" s="48" t="s">
        <v>2135</v>
      </c>
      <c r="E39" s="42" t="s">
        <v>2728</v>
      </c>
      <c r="F39" s="47" t="s">
        <v>111</v>
      </c>
      <c r="G39" s="48">
        <v>1</v>
      </c>
      <c r="H39" s="48" t="s">
        <v>2138</v>
      </c>
      <c r="I39" s="197">
        <v>0</v>
      </c>
      <c r="J39" s="197">
        <v>0</v>
      </c>
      <c r="K39" s="197">
        <v>0</v>
      </c>
      <c r="L39" s="197">
        <v>0</v>
      </c>
      <c r="M39" s="198">
        <v>0</v>
      </c>
      <c r="N39" s="48"/>
      <c r="O39" s="48" t="s">
        <v>118</v>
      </c>
      <c r="P39" s="48" t="s">
        <v>25</v>
      </c>
      <c r="Q39" s="48" t="s">
        <v>535</v>
      </c>
      <c r="R39" s="48"/>
      <c r="S39" s="48"/>
      <c r="T39" s="114"/>
      <c r="U39" s="48" t="s">
        <v>1633</v>
      </c>
      <c r="V39" s="48" t="s">
        <v>2725</v>
      </c>
      <c r="W39" s="41"/>
      <c r="X39" s="41"/>
    </row>
    <row r="40" spans="1:25" customFormat="1" ht="15.75" customHeight="1" x14ac:dyDescent="0.3">
      <c r="A40" s="48">
        <f t="shared" si="0"/>
        <v>2</v>
      </c>
      <c r="B40" s="113">
        <v>46028</v>
      </c>
      <c r="C40" s="48" t="str">
        <f t="shared" si="1"/>
        <v>enero</v>
      </c>
      <c r="D40" s="48" t="s">
        <v>2135</v>
      </c>
      <c r="E40" s="42" t="s">
        <v>2728</v>
      </c>
      <c r="F40" s="47" t="s">
        <v>111</v>
      </c>
      <c r="G40" s="48">
        <v>1</v>
      </c>
      <c r="H40" s="48" t="s">
        <v>2138</v>
      </c>
      <c r="I40" s="197">
        <v>0</v>
      </c>
      <c r="J40" s="197">
        <v>0</v>
      </c>
      <c r="K40" s="197">
        <v>0</v>
      </c>
      <c r="L40" s="197">
        <v>0</v>
      </c>
      <c r="M40" s="198">
        <v>0</v>
      </c>
      <c r="N40" s="48"/>
      <c r="O40" s="48" t="s">
        <v>118</v>
      </c>
      <c r="P40" s="48" t="s">
        <v>25</v>
      </c>
      <c r="Q40" s="48" t="s">
        <v>535</v>
      </c>
      <c r="R40" s="48"/>
      <c r="S40" s="48"/>
      <c r="T40" s="114"/>
      <c r="U40" s="48" t="s">
        <v>1633</v>
      </c>
      <c r="V40" s="48" t="s">
        <v>2725</v>
      </c>
      <c r="W40" s="41"/>
      <c r="X40" s="41"/>
    </row>
    <row r="41" spans="1:25" customFormat="1" ht="15.75" customHeight="1" x14ac:dyDescent="0.3">
      <c r="A41" s="48">
        <f t="shared" si="0"/>
        <v>2</v>
      </c>
      <c r="B41" s="113">
        <v>46028</v>
      </c>
      <c r="C41" s="48" t="str">
        <f t="shared" si="1"/>
        <v>enero</v>
      </c>
      <c r="D41" s="48" t="s">
        <v>2135</v>
      </c>
      <c r="E41" s="42" t="s">
        <v>477</v>
      </c>
      <c r="F41" s="47" t="s">
        <v>559</v>
      </c>
      <c r="G41" s="48">
        <v>1</v>
      </c>
      <c r="H41" s="48" t="s">
        <v>1705</v>
      </c>
      <c r="I41" s="197">
        <v>0</v>
      </c>
      <c r="J41" s="197">
        <v>0</v>
      </c>
      <c r="K41" s="197">
        <v>0</v>
      </c>
      <c r="L41" s="197">
        <v>0</v>
      </c>
      <c r="M41" s="198">
        <v>0</v>
      </c>
      <c r="N41" s="48" t="s">
        <v>515</v>
      </c>
      <c r="O41" s="48" t="s">
        <v>645</v>
      </c>
      <c r="P41" s="48" t="s">
        <v>25</v>
      </c>
      <c r="Q41" s="48" t="s">
        <v>1766</v>
      </c>
      <c r="R41" s="48"/>
      <c r="S41" s="48"/>
      <c r="T41" s="114"/>
      <c r="U41" s="48" t="s">
        <v>1633</v>
      </c>
      <c r="V41" s="39" t="s">
        <v>2731</v>
      </c>
      <c r="W41" s="41" t="s">
        <v>1642</v>
      </c>
      <c r="X41" s="41"/>
      <c r="Y41" s="50"/>
    </row>
    <row r="42" spans="1:25" customFormat="1" ht="15.75" customHeight="1" x14ac:dyDescent="0.3">
      <c r="A42" s="48">
        <f t="shared" si="0"/>
        <v>2</v>
      </c>
      <c r="B42" s="113">
        <v>46028</v>
      </c>
      <c r="C42" s="48" t="str">
        <f t="shared" si="1"/>
        <v>enero</v>
      </c>
      <c r="D42" s="48" t="s">
        <v>2135</v>
      </c>
      <c r="E42" s="42" t="s">
        <v>2732</v>
      </c>
      <c r="F42" s="47" t="s">
        <v>1644</v>
      </c>
      <c r="G42" s="48">
        <v>1</v>
      </c>
      <c r="H42" s="48" t="s">
        <v>1705</v>
      </c>
      <c r="I42" s="197">
        <v>228</v>
      </c>
      <c r="J42" s="197">
        <v>228</v>
      </c>
      <c r="K42" s="197">
        <v>0</v>
      </c>
      <c r="L42" s="197">
        <v>228</v>
      </c>
      <c r="M42" s="198">
        <v>0</v>
      </c>
      <c r="N42" s="48" t="s">
        <v>1617</v>
      </c>
      <c r="O42" s="48" t="s">
        <v>116</v>
      </c>
      <c r="P42" s="48" t="s">
        <v>25</v>
      </c>
      <c r="Q42" s="48" t="s">
        <v>1921</v>
      </c>
      <c r="R42" s="48" t="s">
        <v>2726</v>
      </c>
      <c r="S42" s="48" t="s">
        <v>424</v>
      </c>
      <c r="T42" s="114" t="s">
        <v>1617</v>
      </c>
      <c r="U42" s="48" t="s">
        <v>1645</v>
      </c>
      <c r="V42" s="48" t="s">
        <v>2725</v>
      </c>
      <c r="W42" s="41"/>
      <c r="X42" s="41"/>
    </row>
    <row r="43" spans="1:25" customFormat="1" ht="15.75" customHeight="1" x14ac:dyDescent="0.3">
      <c r="A43" s="48">
        <f t="shared" si="0"/>
        <v>2</v>
      </c>
      <c r="B43" s="113">
        <v>46028</v>
      </c>
      <c r="C43" s="48" t="str">
        <f t="shared" si="1"/>
        <v>enero</v>
      </c>
      <c r="D43" s="48" t="s">
        <v>2135</v>
      </c>
      <c r="E43" s="42" t="s">
        <v>356</v>
      </c>
      <c r="F43" s="47" t="s">
        <v>127</v>
      </c>
      <c r="G43" s="48">
        <v>1</v>
      </c>
      <c r="H43" s="48" t="s">
        <v>2138</v>
      </c>
      <c r="I43" s="197">
        <v>250</v>
      </c>
      <c r="J43" s="197">
        <v>250</v>
      </c>
      <c r="K43" s="197">
        <v>0</v>
      </c>
      <c r="L43" s="197">
        <v>250</v>
      </c>
      <c r="M43" s="198">
        <v>0</v>
      </c>
      <c r="N43" s="48" t="s">
        <v>1643</v>
      </c>
      <c r="O43" s="48" t="s">
        <v>118</v>
      </c>
      <c r="P43" s="48" t="s">
        <v>25</v>
      </c>
      <c r="Q43" s="48" t="s">
        <v>535</v>
      </c>
      <c r="R43" s="48" t="s">
        <v>2727</v>
      </c>
      <c r="S43" s="48" t="s">
        <v>1619</v>
      </c>
      <c r="T43" s="114" t="s">
        <v>20</v>
      </c>
      <c r="U43" s="48" t="s">
        <v>1625</v>
      </c>
      <c r="V43" s="39" t="s">
        <v>2733</v>
      </c>
      <c r="W43" s="41"/>
      <c r="X43" s="41"/>
    </row>
    <row r="44" spans="1:25" customFormat="1" ht="15.75" customHeight="1" x14ac:dyDescent="0.3">
      <c r="A44" s="48">
        <f t="shared" si="0"/>
        <v>2</v>
      </c>
      <c r="B44" s="113">
        <v>46028</v>
      </c>
      <c r="C44" s="48" t="str">
        <f t="shared" si="1"/>
        <v>enero</v>
      </c>
      <c r="D44" s="48" t="s">
        <v>2135</v>
      </c>
      <c r="E44" s="42" t="s">
        <v>422</v>
      </c>
      <c r="F44" s="47" t="s">
        <v>1646</v>
      </c>
      <c r="G44" s="48">
        <v>1</v>
      </c>
      <c r="H44" s="48" t="s">
        <v>1705</v>
      </c>
      <c r="I44" s="197">
        <v>200</v>
      </c>
      <c r="J44" s="197">
        <v>200</v>
      </c>
      <c r="K44" s="197">
        <v>0</v>
      </c>
      <c r="L44" s="197">
        <v>200</v>
      </c>
      <c r="M44" s="198">
        <v>0</v>
      </c>
      <c r="N44" s="48" t="s">
        <v>874</v>
      </c>
      <c r="O44" s="48" t="s">
        <v>100</v>
      </c>
      <c r="P44" s="48" t="s">
        <v>25</v>
      </c>
      <c r="Q44" s="48" t="s">
        <v>535</v>
      </c>
      <c r="R44" s="48"/>
      <c r="S44" s="48" t="s">
        <v>1618</v>
      </c>
      <c r="T44" s="114"/>
      <c r="U44" s="48" t="s">
        <v>1647</v>
      </c>
      <c r="V44" s="48" t="s">
        <v>2725</v>
      </c>
      <c r="W44" s="41"/>
      <c r="X44" s="41"/>
      <c r="Y44" s="50"/>
    </row>
    <row r="45" spans="1:25" customFormat="1" ht="15.75" customHeight="1" x14ac:dyDescent="0.3">
      <c r="A45" s="48">
        <f t="shared" si="0"/>
        <v>2</v>
      </c>
      <c r="B45" s="113">
        <v>46028</v>
      </c>
      <c r="C45" s="48" t="str">
        <f t="shared" si="1"/>
        <v>enero</v>
      </c>
      <c r="D45" s="48" t="s">
        <v>2135</v>
      </c>
      <c r="E45" s="42" t="s">
        <v>2728</v>
      </c>
      <c r="F45" s="47" t="s">
        <v>801</v>
      </c>
      <c r="G45" s="48">
        <v>1</v>
      </c>
      <c r="H45" s="48" t="s">
        <v>1705</v>
      </c>
      <c r="I45" s="197">
        <v>360.45</v>
      </c>
      <c r="J45" s="197">
        <v>360.45</v>
      </c>
      <c r="K45" s="197">
        <v>0</v>
      </c>
      <c r="L45" s="197">
        <v>360.45</v>
      </c>
      <c r="M45" s="198">
        <v>0</v>
      </c>
      <c r="N45" s="48" t="s">
        <v>1106</v>
      </c>
      <c r="O45" s="48" t="s">
        <v>36</v>
      </c>
      <c r="P45" s="48" t="s">
        <v>25</v>
      </c>
      <c r="Q45" s="48" t="s">
        <v>535</v>
      </c>
      <c r="R45" s="48" t="s">
        <v>2727</v>
      </c>
      <c r="S45" s="48" t="s">
        <v>800</v>
      </c>
      <c r="T45" s="114" t="s">
        <v>1637</v>
      </c>
      <c r="U45" s="48"/>
      <c r="V45" s="48" t="s">
        <v>2725</v>
      </c>
      <c r="W45" s="41"/>
      <c r="X45" s="41"/>
      <c r="Y45" s="50"/>
    </row>
    <row r="46" spans="1:25" customFormat="1" ht="15.75" customHeight="1" x14ac:dyDescent="0.3">
      <c r="A46" s="48">
        <f t="shared" si="0"/>
        <v>2</v>
      </c>
      <c r="B46" s="113">
        <v>46028</v>
      </c>
      <c r="C46" s="48" t="str">
        <f t="shared" si="1"/>
        <v>enero</v>
      </c>
      <c r="D46" s="48" t="s">
        <v>2135</v>
      </c>
      <c r="E46" s="42" t="s">
        <v>2728</v>
      </c>
      <c r="F46" s="47" t="s">
        <v>1648</v>
      </c>
      <c r="G46" s="48">
        <v>1</v>
      </c>
      <c r="H46" s="48" t="s">
        <v>1705</v>
      </c>
      <c r="I46" s="197">
        <v>507.76</v>
      </c>
      <c r="J46" s="197">
        <v>507.76</v>
      </c>
      <c r="K46" s="197">
        <v>0</v>
      </c>
      <c r="L46" s="197">
        <v>507.76</v>
      </c>
      <c r="M46" s="198">
        <v>0</v>
      </c>
      <c r="N46" s="48" t="s">
        <v>1106</v>
      </c>
      <c r="O46" s="48" t="s">
        <v>36</v>
      </c>
      <c r="P46" s="48" t="s">
        <v>25</v>
      </c>
      <c r="Q46" s="48" t="s">
        <v>535</v>
      </c>
      <c r="R46" s="48" t="s">
        <v>2727</v>
      </c>
      <c r="S46" s="48" t="s">
        <v>800</v>
      </c>
      <c r="T46" s="114" t="s">
        <v>1622</v>
      </c>
      <c r="U46" s="48"/>
      <c r="V46" s="48" t="s">
        <v>2725</v>
      </c>
      <c r="W46" s="41"/>
      <c r="X46" s="41"/>
      <c r="Y46" s="50"/>
    </row>
    <row r="47" spans="1:25" customFormat="1" ht="14.4" x14ac:dyDescent="0.3">
      <c r="A47" s="48">
        <f t="shared" si="0"/>
        <v>2</v>
      </c>
      <c r="B47" s="113">
        <v>46028</v>
      </c>
      <c r="C47" s="48" t="str">
        <f t="shared" si="1"/>
        <v>enero</v>
      </c>
      <c r="D47" s="48" t="s">
        <v>2135</v>
      </c>
      <c r="E47" s="42" t="s">
        <v>477</v>
      </c>
      <c r="F47" s="47" t="s">
        <v>559</v>
      </c>
      <c r="G47" s="48">
        <v>1</v>
      </c>
      <c r="H47" s="48" t="s">
        <v>1705</v>
      </c>
      <c r="I47" s="197">
        <v>588</v>
      </c>
      <c r="J47" s="197">
        <v>588</v>
      </c>
      <c r="K47" s="197">
        <v>0</v>
      </c>
      <c r="L47" s="197">
        <v>588</v>
      </c>
      <c r="M47" s="198">
        <v>0</v>
      </c>
      <c r="N47" s="48" t="s">
        <v>515</v>
      </c>
      <c r="O47" s="48" t="s">
        <v>645</v>
      </c>
      <c r="P47" s="48" t="s">
        <v>25</v>
      </c>
      <c r="Q47" s="48" t="s">
        <v>1766</v>
      </c>
      <c r="R47" s="48" t="s">
        <v>2727</v>
      </c>
      <c r="S47" s="48" t="s">
        <v>560</v>
      </c>
      <c r="T47" s="114" t="s">
        <v>20</v>
      </c>
      <c r="U47" s="48"/>
      <c r="V47" s="48" t="s">
        <v>2725</v>
      </c>
      <c r="W47" s="41"/>
      <c r="X47" s="41"/>
      <c r="Y47" s="50"/>
    </row>
    <row r="48" spans="1:25" customFormat="1" ht="14.4" x14ac:dyDescent="0.3">
      <c r="A48" s="48">
        <f t="shared" si="0"/>
        <v>2</v>
      </c>
      <c r="B48" s="113">
        <v>46028</v>
      </c>
      <c r="C48" s="48" t="str">
        <f t="shared" si="1"/>
        <v>enero</v>
      </c>
      <c r="D48" s="48" t="s">
        <v>2135</v>
      </c>
      <c r="E48" s="42" t="s">
        <v>325</v>
      </c>
      <c r="F48" s="47" t="s">
        <v>325</v>
      </c>
      <c r="G48" s="48">
        <v>1</v>
      </c>
      <c r="H48" s="48" t="s">
        <v>2138</v>
      </c>
      <c r="I48" s="197">
        <v>150</v>
      </c>
      <c r="J48" s="197">
        <v>150</v>
      </c>
      <c r="K48" s="197">
        <v>0</v>
      </c>
      <c r="L48" s="197">
        <v>150</v>
      </c>
      <c r="M48" s="198">
        <v>0</v>
      </c>
      <c r="N48" s="48" t="s">
        <v>1643</v>
      </c>
      <c r="O48" s="48" t="s">
        <v>118</v>
      </c>
      <c r="P48" s="48" t="s">
        <v>25</v>
      </c>
      <c r="Q48" s="48"/>
      <c r="R48" s="48" t="s">
        <v>2727</v>
      </c>
      <c r="S48" s="48"/>
      <c r="T48" s="114"/>
      <c r="U48" s="48" t="s">
        <v>1649</v>
      </c>
      <c r="V48" s="48" t="s">
        <v>2725</v>
      </c>
      <c r="W48" s="41"/>
      <c r="X48" s="41"/>
    </row>
    <row r="49" spans="1:25" customFormat="1" ht="14.4" x14ac:dyDescent="0.3">
      <c r="A49" s="48">
        <f t="shared" si="0"/>
        <v>2</v>
      </c>
      <c r="B49" s="113">
        <v>46028</v>
      </c>
      <c r="C49" s="48" t="str">
        <f t="shared" si="1"/>
        <v>enero</v>
      </c>
      <c r="D49" s="48" t="s">
        <v>2135</v>
      </c>
      <c r="E49" s="42" t="s">
        <v>325</v>
      </c>
      <c r="F49" s="47" t="s">
        <v>1650</v>
      </c>
      <c r="G49" s="48">
        <v>1</v>
      </c>
      <c r="H49" s="48" t="s">
        <v>1705</v>
      </c>
      <c r="I49" s="197">
        <v>285</v>
      </c>
      <c r="J49" s="197">
        <v>285</v>
      </c>
      <c r="K49" s="197">
        <v>0</v>
      </c>
      <c r="L49" s="197">
        <v>285</v>
      </c>
      <c r="M49" s="198">
        <v>0</v>
      </c>
      <c r="N49" s="48" t="s">
        <v>1643</v>
      </c>
      <c r="O49" s="48" t="s">
        <v>118</v>
      </c>
      <c r="P49" s="48" t="s">
        <v>2734</v>
      </c>
      <c r="Q49" s="48" t="s">
        <v>535</v>
      </c>
      <c r="R49" s="48" t="s">
        <v>2735</v>
      </c>
      <c r="S49" s="48"/>
      <c r="T49" s="114"/>
      <c r="U49" s="48" t="s">
        <v>1649</v>
      </c>
      <c r="V49" s="48" t="s">
        <v>2725</v>
      </c>
      <c r="W49" s="41"/>
      <c r="X49" s="41"/>
    </row>
    <row r="50" spans="1:25" customFormat="1" ht="14.4" x14ac:dyDescent="0.3">
      <c r="A50" s="48">
        <f t="shared" si="0"/>
        <v>2</v>
      </c>
      <c r="B50" s="113">
        <v>46029</v>
      </c>
      <c r="C50" s="48" t="str">
        <f t="shared" si="1"/>
        <v>enero</v>
      </c>
      <c r="D50" s="48" t="s">
        <v>2135</v>
      </c>
      <c r="E50" s="42" t="s">
        <v>2728</v>
      </c>
      <c r="F50" s="47" t="s">
        <v>1651</v>
      </c>
      <c r="G50" s="48">
        <v>1</v>
      </c>
      <c r="H50" s="48" t="s">
        <v>2139</v>
      </c>
      <c r="I50" s="197">
        <v>680</v>
      </c>
      <c r="J50" s="197">
        <v>680</v>
      </c>
      <c r="K50" s="197">
        <v>108.8</v>
      </c>
      <c r="L50" s="197">
        <v>788.8</v>
      </c>
      <c r="M50" s="198">
        <v>0</v>
      </c>
      <c r="N50" s="48" t="s">
        <v>612</v>
      </c>
      <c r="O50" s="48" t="s">
        <v>36</v>
      </c>
      <c r="P50" s="48" t="s">
        <v>25</v>
      </c>
      <c r="Q50" s="48" t="s">
        <v>535</v>
      </c>
      <c r="R50" s="48" t="s">
        <v>369</v>
      </c>
      <c r="S50" s="48" t="s">
        <v>1652</v>
      </c>
      <c r="T50" s="114" t="s">
        <v>1617</v>
      </c>
      <c r="U50" s="48" t="s">
        <v>1653</v>
      </c>
      <c r="V50" s="48"/>
      <c r="W50" s="41"/>
      <c r="X50" s="41" t="s">
        <v>2736</v>
      </c>
      <c r="Y50" s="50"/>
    </row>
    <row r="51" spans="1:25" customFormat="1" ht="14.4" x14ac:dyDescent="0.3">
      <c r="A51" s="48">
        <f t="shared" si="0"/>
        <v>2</v>
      </c>
      <c r="B51" s="113">
        <v>46029</v>
      </c>
      <c r="C51" s="48" t="str">
        <f t="shared" si="1"/>
        <v>enero</v>
      </c>
      <c r="D51" s="48" t="s">
        <v>2135</v>
      </c>
      <c r="E51" s="42" t="s">
        <v>2728</v>
      </c>
      <c r="F51" s="47" t="s">
        <v>1654</v>
      </c>
      <c r="G51" s="48">
        <v>1</v>
      </c>
      <c r="H51" s="48" t="s">
        <v>2138</v>
      </c>
      <c r="I51" s="197">
        <v>1168.53</v>
      </c>
      <c r="J51" s="197">
        <v>1168.53</v>
      </c>
      <c r="K51" s="197">
        <v>0</v>
      </c>
      <c r="L51" s="197">
        <v>1168.53</v>
      </c>
      <c r="M51" s="198">
        <v>0</v>
      </c>
      <c r="N51" s="48" t="s">
        <v>1643</v>
      </c>
      <c r="O51" s="48" t="s">
        <v>118</v>
      </c>
      <c r="P51" s="48" t="s">
        <v>25</v>
      </c>
      <c r="Q51" s="48" t="s">
        <v>535</v>
      </c>
      <c r="R51" s="48" t="s">
        <v>2727</v>
      </c>
      <c r="S51" s="48" t="s">
        <v>800</v>
      </c>
      <c r="T51" s="114"/>
      <c r="U51" s="48" t="s">
        <v>1649</v>
      </c>
      <c r="V51" s="48" t="s">
        <v>2725</v>
      </c>
      <c r="W51" s="41"/>
      <c r="X51" s="41"/>
    </row>
    <row r="52" spans="1:25" customFormat="1" ht="14.4" x14ac:dyDescent="0.3">
      <c r="A52" s="48">
        <f t="shared" si="0"/>
        <v>2</v>
      </c>
      <c r="B52" s="113">
        <v>46029</v>
      </c>
      <c r="C52" s="48" t="str">
        <f t="shared" si="1"/>
        <v>enero</v>
      </c>
      <c r="D52" s="48" t="s">
        <v>2135</v>
      </c>
      <c r="E52" s="42" t="s">
        <v>2728</v>
      </c>
      <c r="F52" s="47" t="s">
        <v>1655</v>
      </c>
      <c r="G52" s="48">
        <v>1</v>
      </c>
      <c r="H52" s="48" t="s">
        <v>1705</v>
      </c>
      <c r="I52" s="197">
        <v>1206.3699999999999</v>
      </c>
      <c r="J52" s="197">
        <v>1206.3699999999999</v>
      </c>
      <c r="K52" s="197">
        <v>0</v>
      </c>
      <c r="L52" s="197">
        <v>1206.3699999999999</v>
      </c>
      <c r="M52" s="198">
        <v>0</v>
      </c>
      <c r="N52" s="48" t="s">
        <v>1643</v>
      </c>
      <c r="O52" s="48" t="s">
        <v>118</v>
      </c>
      <c r="P52" s="48" t="s">
        <v>25</v>
      </c>
      <c r="Q52" s="48" t="s">
        <v>535</v>
      </c>
      <c r="R52" s="48" t="s">
        <v>2726</v>
      </c>
      <c r="S52" s="48" t="s">
        <v>800</v>
      </c>
      <c r="T52" s="114"/>
      <c r="U52" s="48" t="s">
        <v>1649</v>
      </c>
      <c r="V52" s="48" t="s">
        <v>2725</v>
      </c>
      <c r="W52" s="41"/>
      <c r="X52" s="41"/>
    </row>
    <row r="53" spans="1:25" customFormat="1" ht="14.4" x14ac:dyDescent="0.3">
      <c r="A53" s="48">
        <f t="shared" si="0"/>
        <v>2</v>
      </c>
      <c r="B53" s="113">
        <v>46029</v>
      </c>
      <c r="C53" s="48" t="str">
        <f t="shared" si="1"/>
        <v>enero</v>
      </c>
      <c r="D53" s="48" t="s">
        <v>2135</v>
      </c>
      <c r="E53" s="42" t="s">
        <v>2728</v>
      </c>
      <c r="F53" s="47" t="s">
        <v>1656</v>
      </c>
      <c r="G53" s="48">
        <v>1</v>
      </c>
      <c r="H53" s="48" t="s">
        <v>1705</v>
      </c>
      <c r="I53" s="197">
        <v>223.28</v>
      </c>
      <c r="J53" s="197">
        <v>223.28</v>
      </c>
      <c r="K53" s="197">
        <v>0</v>
      </c>
      <c r="L53" s="197">
        <v>223.28</v>
      </c>
      <c r="M53" s="198">
        <v>0</v>
      </c>
      <c r="N53" s="48" t="s">
        <v>1643</v>
      </c>
      <c r="O53" s="48" t="s">
        <v>118</v>
      </c>
      <c r="P53" s="48" t="s">
        <v>2734</v>
      </c>
      <c r="Q53" s="48" t="s">
        <v>535</v>
      </c>
      <c r="R53" s="48"/>
      <c r="S53" s="48" t="s">
        <v>800</v>
      </c>
      <c r="T53" s="114"/>
      <c r="U53" s="48" t="s">
        <v>1649</v>
      </c>
      <c r="V53" s="48" t="s">
        <v>2725</v>
      </c>
      <c r="W53" s="41"/>
      <c r="X53" s="50"/>
    </row>
    <row r="54" spans="1:25" customFormat="1" ht="14.4" x14ac:dyDescent="0.3">
      <c r="A54" s="48">
        <f t="shared" si="0"/>
        <v>2</v>
      </c>
      <c r="B54" s="113">
        <v>46029</v>
      </c>
      <c r="C54" s="48" t="str">
        <f t="shared" si="1"/>
        <v>enero</v>
      </c>
      <c r="D54" s="48" t="s">
        <v>2135</v>
      </c>
      <c r="E54" s="42" t="s">
        <v>2728</v>
      </c>
      <c r="F54" s="47" t="s">
        <v>1657</v>
      </c>
      <c r="G54" s="48">
        <v>1</v>
      </c>
      <c r="H54" s="48" t="s">
        <v>1705</v>
      </c>
      <c r="I54" s="197">
        <v>3973.24</v>
      </c>
      <c r="J54" s="197">
        <v>3973.24</v>
      </c>
      <c r="K54" s="197">
        <v>0</v>
      </c>
      <c r="L54" s="197">
        <v>3973.24</v>
      </c>
      <c r="M54" s="198">
        <v>0</v>
      </c>
      <c r="N54" s="48" t="s">
        <v>1643</v>
      </c>
      <c r="O54" s="48" t="s">
        <v>118</v>
      </c>
      <c r="P54" s="48" t="s">
        <v>2734</v>
      </c>
      <c r="Q54" s="48" t="s">
        <v>535</v>
      </c>
      <c r="R54" s="48"/>
      <c r="S54" s="48" t="s">
        <v>631</v>
      </c>
      <c r="T54" s="114"/>
      <c r="U54" s="48" t="s">
        <v>1649</v>
      </c>
      <c r="V54" s="48" t="s">
        <v>2725</v>
      </c>
      <c r="W54" s="41"/>
      <c r="X54" s="50"/>
    </row>
    <row r="55" spans="1:25" customFormat="1" ht="14.4" x14ac:dyDescent="0.3">
      <c r="A55" s="48">
        <f t="shared" si="0"/>
        <v>2</v>
      </c>
      <c r="B55" s="113">
        <v>46029</v>
      </c>
      <c r="C55" s="48" t="str">
        <f t="shared" si="1"/>
        <v>enero</v>
      </c>
      <c r="D55" s="48" t="s">
        <v>2135</v>
      </c>
      <c r="E55" s="42" t="s">
        <v>2728</v>
      </c>
      <c r="F55" s="47" t="s">
        <v>1658</v>
      </c>
      <c r="G55" s="48">
        <v>1</v>
      </c>
      <c r="H55" s="48" t="s">
        <v>1705</v>
      </c>
      <c r="I55" s="197">
        <v>105</v>
      </c>
      <c r="J55" s="197">
        <v>105</v>
      </c>
      <c r="K55" s="197">
        <v>0</v>
      </c>
      <c r="L55" s="197">
        <v>105</v>
      </c>
      <c r="M55" s="198">
        <v>0</v>
      </c>
      <c r="N55" s="48" t="s">
        <v>1643</v>
      </c>
      <c r="O55" s="48" t="s">
        <v>118</v>
      </c>
      <c r="P55" s="48" t="s">
        <v>2734</v>
      </c>
      <c r="Q55" s="48" t="s">
        <v>535</v>
      </c>
      <c r="R55" s="48"/>
      <c r="S55" s="48" t="s">
        <v>1659</v>
      </c>
      <c r="T55" s="114"/>
      <c r="U55" s="48" t="s">
        <v>1649</v>
      </c>
      <c r="V55" s="48" t="s">
        <v>2725</v>
      </c>
      <c r="W55" s="41"/>
      <c r="X55" s="50"/>
    </row>
    <row r="56" spans="1:25" customFormat="1" ht="14.4" x14ac:dyDescent="0.3">
      <c r="A56" s="48">
        <f t="shared" si="0"/>
        <v>2</v>
      </c>
      <c r="B56" s="113">
        <v>46030</v>
      </c>
      <c r="C56" s="48" t="str">
        <f t="shared" si="1"/>
        <v>enero</v>
      </c>
      <c r="D56" s="48" t="s">
        <v>2135</v>
      </c>
      <c r="E56" s="42" t="s">
        <v>356</v>
      </c>
      <c r="F56" s="47" t="s">
        <v>127</v>
      </c>
      <c r="G56" s="48">
        <v>1</v>
      </c>
      <c r="H56" s="48" t="s">
        <v>2138</v>
      </c>
      <c r="I56" s="197">
        <v>250</v>
      </c>
      <c r="J56" s="197">
        <v>250</v>
      </c>
      <c r="K56" s="197">
        <v>0</v>
      </c>
      <c r="L56" s="197">
        <v>250</v>
      </c>
      <c r="M56" s="198">
        <v>0</v>
      </c>
      <c r="N56" s="48" t="s">
        <v>311</v>
      </c>
      <c r="O56" s="48" t="s">
        <v>1855</v>
      </c>
      <c r="P56" s="49" t="s">
        <v>1321</v>
      </c>
      <c r="Q56" s="48" t="s">
        <v>535</v>
      </c>
      <c r="R56" s="48" t="s">
        <v>2727</v>
      </c>
      <c r="S56" s="48" t="s">
        <v>1619</v>
      </c>
      <c r="T56" s="114" t="s">
        <v>20</v>
      </c>
      <c r="U56" s="48"/>
      <c r="V56" s="48" t="s">
        <v>2725</v>
      </c>
      <c r="W56" s="41"/>
      <c r="X56" s="50"/>
      <c r="Y56" s="50"/>
    </row>
    <row r="57" spans="1:25" customFormat="1" ht="14.4" x14ac:dyDescent="0.3">
      <c r="A57" s="48">
        <f t="shared" si="0"/>
        <v>2</v>
      </c>
      <c r="B57" s="113">
        <v>46030</v>
      </c>
      <c r="C57" s="48" t="str">
        <f t="shared" si="1"/>
        <v>enero</v>
      </c>
      <c r="D57" s="48" t="s">
        <v>2135</v>
      </c>
      <c r="E57" s="42" t="s">
        <v>356</v>
      </c>
      <c r="F57" s="47" t="s">
        <v>127</v>
      </c>
      <c r="G57" s="48">
        <v>1</v>
      </c>
      <c r="H57" s="48" t="s">
        <v>2138</v>
      </c>
      <c r="I57" s="197">
        <v>844.47</v>
      </c>
      <c r="J57" s="197">
        <v>844.47</v>
      </c>
      <c r="K57" s="197">
        <v>0</v>
      </c>
      <c r="L57" s="197">
        <v>844.47</v>
      </c>
      <c r="M57" s="198">
        <v>0</v>
      </c>
      <c r="N57" s="48" t="s">
        <v>1360</v>
      </c>
      <c r="O57" s="48" t="s">
        <v>1679</v>
      </c>
      <c r="P57" s="49" t="s">
        <v>1321</v>
      </c>
      <c r="Q57" s="48" t="s">
        <v>535</v>
      </c>
      <c r="R57" s="48" t="s">
        <v>2727</v>
      </c>
      <c r="S57" s="48" t="s">
        <v>1619</v>
      </c>
      <c r="T57" s="114" t="s">
        <v>20</v>
      </c>
      <c r="U57" s="48"/>
      <c r="V57" s="48" t="s">
        <v>2725</v>
      </c>
      <c r="W57" s="41"/>
      <c r="X57" s="50"/>
      <c r="Y57" s="50"/>
    </row>
    <row r="58" spans="1:25" customFormat="1" ht="14.4" x14ac:dyDescent="0.3">
      <c r="A58" s="48">
        <f t="shared" si="0"/>
        <v>2</v>
      </c>
      <c r="B58" s="113">
        <v>46030</v>
      </c>
      <c r="C58" s="48" t="str">
        <f t="shared" si="1"/>
        <v>enero</v>
      </c>
      <c r="D58" s="48" t="s">
        <v>2135</v>
      </c>
      <c r="E58" s="42" t="s">
        <v>2732</v>
      </c>
      <c r="F58" s="47" t="s">
        <v>1660</v>
      </c>
      <c r="G58" s="48">
        <v>1</v>
      </c>
      <c r="H58" s="48" t="s">
        <v>2138</v>
      </c>
      <c r="I58" s="197">
        <v>502</v>
      </c>
      <c r="J58" s="197">
        <v>502</v>
      </c>
      <c r="K58" s="197">
        <v>0</v>
      </c>
      <c r="L58" s="197">
        <v>502</v>
      </c>
      <c r="M58" s="198">
        <v>0</v>
      </c>
      <c r="N58" s="48" t="s">
        <v>1617</v>
      </c>
      <c r="O58" s="48" t="s">
        <v>116</v>
      </c>
      <c r="P58" s="48" t="s">
        <v>25</v>
      </c>
      <c r="Q58" s="48" t="s">
        <v>1921</v>
      </c>
      <c r="R58" s="48" t="s">
        <v>2727</v>
      </c>
      <c r="S58" s="48" t="s">
        <v>1661</v>
      </c>
      <c r="T58" s="114" t="s">
        <v>20</v>
      </c>
      <c r="U58" s="48"/>
      <c r="V58" s="48" t="s">
        <v>2725</v>
      </c>
      <c r="W58" s="41"/>
      <c r="X58" s="50"/>
    </row>
    <row r="59" spans="1:25" customFormat="1" ht="14.4" x14ac:dyDescent="0.3">
      <c r="A59" s="48">
        <f t="shared" si="0"/>
        <v>2</v>
      </c>
      <c r="B59" s="113">
        <v>46030</v>
      </c>
      <c r="C59" s="48" t="str">
        <f t="shared" si="1"/>
        <v>enero</v>
      </c>
      <c r="D59" s="48" t="s">
        <v>2135</v>
      </c>
      <c r="E59" s="42" t="s">
        <v>2732</v>
      </c>
      <c r="F59" s="47" t="s">
        <v>1662</v>
      </c>
      <c r="G59" s="48">
        <v>1</v>
      </c>
      <c r="H59" s="48" t="s">
        <v>2138</v>
      </c>
      <c r="I59" s="197">
        <v>45</v>
      </c>
      <c r="J59" s="197">
        <v>45</v>
      </c>
      <c r="K59" s="197">
        <v>0</v>
      </c>
      <c r="L59" s="197">
        <v>45</v>
      </c>
      <c r="M59" s="198">
        <v>0</v>
      </c>
      <c r="N59" s="48" t="s">
        <v>1617</v>
      </c>
      <c r="O59" s="48" t="s">
        <v>116</v>
      </c>
      <c r="P59" s="48" t="s">
        <v>25</v>
      </c>
      <c r="Q59" s="48" t="s">
        <v>1921</v>
      </c>
      <c r="R59" s="48" t="s">
        <v>2727</v>
      </c>
      <c r="S59" s="48" t="s">
        <v>1663</v>
      </c>
      <c r="T59" s="114" t="s">
        <v>20</v>
      </c>
      <c r="U59" s="48"/>
      <c r="V59" s="48" t="s">
        <v>2725</v>
      </c>
      <c r="W59" s="41"/>
      <c r="X59" s="50"/>
    </row>
    <row r="60" spans="1:25" customFormat="1" ht="14.4" x14ac:dyDescent="0.3">
      <c r="A60" s="48">
        <f t="shared" si="0"/>
        <v>2</v>
      </c>
      <c r="B60" s="113">
        <v>46030</v>
      </c>
      <c r="C60" s="48" t="str">
        <f t="shared" si="1"/>
        <v>enero</v>
      </c>
      <c r="D60" s="48" t="s">
        <v>2135</v>
      </c>
      <c r="E60" s="42" t="s">
        <v>2728</v>
      </c>
      <c r="F60" s="47" t="s">
        <v>1657</v>
      </c>
      <c r="G60" s="48">
        <v>1</v>
      </c>
      <c r="H60" s="48" t="s">
        <v>1705</v>
      </c>
      <c r="I60" s="197">
        <v>2715.44</v>
      </c>
      <c r="J60" s="197">
        <v>2715.44</v>
      </c>
      <c r="K60" s="197">
        <v>0</v>
      </c>
      <c r="L60" s="197">
        <v>2715.44</v>
      </c>
      <c r="M60" s="198">
        <v>0</v>
      </c>
      <c r="N60" s="48" t="s">
        <v>1643</v>
      </c>
      <c r="O60" s="48" t="s">
        <v>118</v>
      </c>
      <c r="P60" s="48" t="s">
        <v>2734</v>
      </c>
      <c r="Q60" s="48" t="s">
        <v>535</v>
      </c>
      <c r="R60" s="48"/>
      <c r="S60" s="48" t="s">
        <v>631</v>
      </c>
      <c r="T60" s="114"/>
      <c r="U60" s="48" t="s">
        <v>1649</v>
      </c>
      <c r="V60" s="48" t="s">
        <v>2725</v>
      </c>
      <c r="W60" s="41"/>
      <c r="X60" s="50"/>
    </row>
    <row r="61" spans="1:25" customFormat="1" ht="14.4" x14ac:dyDescent="0.3">
      <c r="A61" s="48">
        <f t="shared" si="0"/>
        <v>2</v>
      </c>
      <c r="B61" s="113">
        <v>46030</v>
      </c>
      <c r="C61" s="48" t="str">
        <f t="shared" si="1"/>
        <v>enero</v>
      </c>
      <c r="D61" s="48" t="s">
        <v>2135</v>
      </c>
      <c r="E61" s="42" t="s">
        <v>2728</v>
      </c>
      <c r="F61" s="47" t="s">
        <v>683</v>
      </c>
      <c r="G61" s="48">
        <v>1</v>
      </c>
      <c r="H61" s="48" t="s">
        <v>2138</v>
      </c>
      <c r="I61" s="197">
        <v>400</v>
      </c>
      <c r="J61" s="197">
        <v>400</v>
      </c>
      <c r="K61" s="197">
        <v>0</v>
      </c>
      <c r="L61" s="197">
        <v>400</v>
      </c>
      <c r="M61" s="198">
        <v>0</v>
      </c>
      <c r="N61" s="48" t="s">
        <v>1643</v>
      </c>
      <c r="O61" s="48" t="s">
        <v>118</v>
      </c>
      <c r="P61" s="48" t="s">
        <v>2734</v>
      </c>
      <c r="Q61" s="48" t="s">
        <v>535</v>
      </c>
      <c r="R61" s="48"/>
      <c r="S61" s="48" t="s">
        <v>454</v>
      </c>
      <c r="T61" s="114"/>
      <c r="U61" s="48" t="s">
        <v>1649</v>
      </c>
      <c r="V61" s="48" t="s">
        <v>2725</v>
      </c>
      <c r="W61" s="41"/>
      <c r="X61" s="50"/>
    </row>
    <row r="62" spans="1:25" customFormat="1" ht="14.4" x14ac:dyDescent="0.3">
      <c r="A62" s="48">
        <f t="shared" si="0"/>
        <v>2</v>
      </c>
      <c r="B62" s="113">
        <v>46030</v>
      </c>
      <c r="C62" s="48" t="str">
        <f t="shared" si="1"/>
        <v>enero</v>
      </c>
      <c r="D62" s="48" t="s">
        <v>2135</v>
      </c>
      <c r="E62" s="42" t="s">
        <v>2728</v>
      </c>
      <c r="F62" s="47" t="s">
        <v>659</v>
      </c>
      <c r="G62" s="48">
        <v>1</v>
      </c>
      <c r="H62" s="48" t="s">
        <v>1705</v>
      </c>
      <c r="I62" s="197">
        <v>848.94</v>
      </c>
      <c r="J62" s="197">
        <v>848.94</v>
      </c>
      <c r="K62" s="197">
        <v>0</v>
      </c>
      <c r="L62" s="200">
        <v>848.94</v>
      </c>
      <c r="M62" s="198">
        <v>0</v>
      </c>
      <c r="N62" s="48" t="s">
        <v>1617</v>
      </c>
      <c r="O62" s="48" t="s">
        <v>118</v>
      </c>
      <c r="P62" s="48" t="s">
        <v>25</v>
      </c>
      <c r="Q62" s="48" t="s">
        <v>325</v>
      </c>
      <c r="R62" s="48" t="s">
        <v>2735</v>
      </c>
      <c r="S62" s="48" t="s">
        <v>1838</v>
      </c>
      <c r="T62" s="114" t="s">
        <v>1617</v>
      </c>
      <c r="U62" s="48" t="s">
        <v>1839</v>
      </c>
      <c r="V62" s="39"/>
      <c r="W62" s="41" t="s">
        <v>1617</v>
      </c>
      <c r="X62" s="41" t="s">
        <v>2737</v>
      </c>
    </row>
    <row r="63" spans="1:25" customFormat="1" ht="14.4" x14ac:dyDescent="0.3">
      <c r="A63" s="48">
        <f t="shared" si="0"/>
        <v>2</v>
      </c>
      <c r="B63" s="113">
        <v>46030</v>
      </c>
      <c r="C63" s="48" t="str">
        <f t="shared" si="1"/>
        <v>enero</v>
      </c>
      <c r="D63" s="48" t="s">
        <v>2135</v>
      </c>
      <c r="E63" s="42" t="s">
        <v>2728</v>
      </c>
      <c r="F63" s="47" t="s">
        <v>2738</v>
      </c>
      <c r="G63" s="48">
        <v>1</v>
      </c>
      <c r="H63" s="48" t="s">
        <v>1705</v>
      </c>
      <c r="I63" s="197">
        <v>826.27</v>
      </c>
      <c r="J63" s="197">
        <v>826.27</v>
      </c>
      <c r="K63" s="197">
        <v>0</v>
      </c>
      <c r="L63" s="200">
        <v>826.27</v>
      </c>
      <c r="M63" s="198">
        <v>0</v>
      </c>
      <c r="N63" s="48" t="s">
        <v>1617</v>
      </c>
      <c r="O63" s="48" t="s">
        <v>118</v>
      </c>
      <c r="P63" s="48" t="s">
        <v>25</v>
      </c>
      <c r="Q63" s="48" t="s">
        <v>325</v>
      </c>
      <c r="R63" s="48" t="s">
        <v>2735</v>
      </c>
      <c r="S63" s="48" t="s">
        <v>1838</v>
      </c>
      <c r="T63" s="114" t="s">
        <v>1617</v>
      </c>
      <c r="U63" s="48" t="s">
        <v>1839</v>
      </c>
      <c r="V63" s="39" t="s">
        <v>2739</v>
      </c>
      <c r="W63" s="41" t="s">
        <v>1617</v>
      </c>
      <c r="X63" s="41" t="s">
        <v>2737</v>
      </c>
    </row>
    <row r="64" spans="1:25" customFormat="1" ht="14.4" x14ac:dyDescent="0.3">
      <c r="A64" s="48">
        <f t="shared" si="0"/>
        <v>2</v>
      </c>
      <c r="B64" s="113">
        <v>46030</v>
      </c>
      <c r="C64" s="48" t="str">
        <f t="shared" si="1"/>
        <v>enero</v>
      </c>
      <c r="D64" s="48" t="s">
        <v>2135</v>
      </c>
      <c r="E64" s="42" t="s">
        <v>2728</v>
      </c>
      <c r="F64" s="47" t="s">
        <v>2740</v>
      </c>
      <c r="G64" s="48">
        <v>4</v>
      </c>
      <c r="H64" s="48" t="s">
        <v>1705</v>
      </c>
      <c r="I64" s="197">
        <v>117.5</v>
      </c>
      <c r="J64" s="197">
        <v>470</v>
      </c>
      <c r="K64" s="197">
        <v>0</v>
      </c>
      <c r="L64" s="197">
        <v>470</v>
      </c>
      <c r="M64" s="198">
        <v>0</v>
      </c>
      <c r="N64" s="48" t="s">
        <v>1304</v>
      </c>
      <c r="O64" s="48" t="s">
        <v>183</v>
      </c>
      <c r="P64" s="48" t="s">
        <v>25</v>
      </c>
      <c r="Q64" s="48" t="s">
        <v>535</v>
      </c>
      <c r="R64" s="48" t="s">
        <v>2726</v>
      </c>
      <c r="S64" s="48" t="s">
        <v>1664</v>
      </c>
      <c r="T64" s="114" t="s">
        <v>1617</v>
      </c>
      <c r="U64" s="48"/>
      <c r="V64" s="39"/>
      <c r="W64" s="41" t="s">
        <v>1617</v>
      </c>
      <c r="X64" s="41" t="s">
        <v>2741</v>
      </c>
      <c r="Y64" s="50"/>
    </row>
    <row r="65" spans="1:25" customFormat="1" ht="14.4" x14ac:dyDescent="0.3">
      <c r="A65" s="48">
        <f t="shared" si="0"/>
        <v>2</v>
      </c>
      <c r="B65" s="113">
        <v>46031</v>
      </c>
      <c r="C65" s="48" t="str">
        <f t="shared" si="1"/>
        <v>enero</v>
      </c>
      <c r="D65" s="48" t="s">
        <v>2135</v>
      </c>
      <c r="E65" s="42" t="s">
        <v>2728</v>
      </c>
      <c r="F65" s="47" t="s">
        <v>97</v>
      </c>
      <c r="G65" s="48">
        <v>1</v>
      </c>
      <c r="H65" s="48" t="s">
        <v>2016</v>
      </c>
      <c r="I65" s="197">
        <v>466.72</v>
      </c>
      <c r="J65" s="197">
        <v>466.72</v>
      </c>
      <c r="K65" s="197">
        <v>74.675200000000004</v>
      </c>
      <c r="L65" s="201">
        <v>541.39520000000005</v>
      </c>
      <c r="M65" s="198">
        <v>0</v>
      </c>
      <c r="N65" s="48" t="s">
        <v>1617</v>
      </c>
      <c r="O65" s="48" t="s">
        <v>798</v>
      </c>
      <c r="P65" s="48" t="s">
        <v>39</v>
      </c>
      <c r="Q65" s="48" t="s">
        <v>535</v>
      </c>
      <c r="R65" s="48" t="s">
        <v>2726</v>
      </c>
      <c r="S65" s="48" t="s">
        <v>800</v>
      </c>
      <c r="T65" s="114" t="s">
        <v>2742</v>
      </c>
      <c r="U65" s="48" t="s">
        <v>20</v>
      </c>
      <c r="V65" s="39"/>
      <c r="W65" s="41"/>
      <c r="X65" s="41" t="s">
        <v>2743</v>
      </c>
      <c r="Y65" s="50"/>
    </row>
    <row r="66" spans="1:25" customFormat="1" ht="14.4" x14ac:dyDescent="0.3">
      <c r="A66" s="48">
        <f t="shared" ref="A66:A93" si="4">WEEKNUM(B66)</f>
        <v>2</v>
      </c>
      <c r="B66" s="113">
        <v>46031</v>
      </c>
      <c r="C66" s="48" t="str">
        <f t="shared" si="1"/>
        <v>enero</v>
      </c>
      <c r="D66" s="48" t="s">
        <v>2135</v>
      </c>
      <c r="E66" s="42" t="s">
        <v>2728</v>
      </c>
      <c r="F66" s="47" t="s">
        <v>98</v>
      </c>
      <c r="G66" s="48">
        <v>1</v>
      </c>
      <c r="H66" s="48" t="s">
        <v>2016</v>
      </c>
      <c r="I66" s="197">
        <v>236.18</v>
      </c>
      <c r="J66" s="197">
        <v>236.18</v>
      </c>
      <c r="K66" s="197">
        <v>37.788800000000002</v>
      </c>
      <c r="L66" s="201">
        <v>273.96879999999999</v>
      </c>
      <c r="M66" s="198">
        <v>0</v>
      </c>
      <c r="N66" s="48" t="s">
        <v>1617</v>
      </c>
      <c r="O66" s="48" t="s">
        <v>798</v>
      </c>
      <c r="P66" s="48" t="s">
        <v>39</v>
      </c>
      <c r="Q66" s="48" t="s">
        <v>535</v>
      </c>
      <c r="R66" s="48" t="s">
        <v>2726</v>
      </c>
      <c r="S66" s="48" t="s">
        <v>800</v>
      </c>
      <c r="T66" s="114" t="s">
        <v>2744</v>
      </c>
      <c r="U66" s="48" t="s">
        <v>20</v>
      </c>
      <c r="V66" s="39" t="s">
        <v>2745</v>
      </c>
      <c r="W66" s="41"/>
      <c r="X66" s="41" t="s">
        <v>2743</v>
      </c>
      <c r="Y66" s="50"/>
    </row>
    <row r="67" spans="1:25" customFormat="1" ht="14.4" x14ac:dyDescent="0.3">
      <c r="A67" s="48">
        <f t="shared" si="4"/>
        <v>2</v>
      </c>
      <c r="B67" s="113">
        <v>46031</v>
      </c>
      <c r="C67" s="48" t="str">
        <f t="shared" ref="C67:C130" si="5">TEXT(B67,"MMMM")</f>
        <v>enero</v>
      </c>
      <c r="D67" s="48" t="s">
        <v>2135</v>
      </c>
      <c r="E67" s="42" t="s">
        <v>2728</v>
      </c>
      <c r="F67" s="47" t="s">
        <v>2188</v>
      </c>
      <c r="G67" s="48">
        <v>4</v>
      </c>
      <c r="H67" s="48" t="s">
        <v>1705</v>
      </c>
      <c r="I67" s="197">
        <v>108.38</v>
      </c>
      <c r="J67" s="197">
        <v>433.52</v>
      </c>
      <c r="K67" s="197">
        <v>69.363199999999992</v>
      </c>
      <c r="L67" s="200">
        <v>502.88319999999999</v>
      </c>
      <c r="M67" s="198">
        <v>0</v>
      </c>
      <c r="N67" s="48" t="s">
        <v>1617</v>
      </c>
      <c r="O67" s="48" t="s">
        <v>798</v>
      </c>
      <c r="P67" s="48" t="s">
        <v>39</v>
      </c>
      <c r="Q67" s="48" t="s">
        <v>535</v>
      </c>
      <c r="R67" s="48" t="s">
        <v>2726</v>
      </c>
      <c r="S67" s="48" t="s">
        <v>800</v>
      </c>
      <c r="T67" s="114" t="s">
        <v>1638</v>
      </c>
      <c r="U67" s="48"/>
      <c r="V67" s="39"/>
      <c r="W67" s="41"/>
      <c r="X67" s="41" t="s">
        <v>2746</v>
      </c>
      <c r="Y67" s="50"/>
    </row>
    <row r="68" spans="1:25" customFormat="1" ht="14.4" x14ac:dyDescent="0.3">
      <c r="A68" s="48">
        <f t="shared" si="4"/>
        <v>2</v>
      </c>
      <c r="B68" s="113">
        <v>46031</v>
      </c>
      <c r="C68" s="48" t="str">
        <f t="shared" si="5"/>
        <v>enero</v>
      </c>
      <c r="D68" s="48" t="s">
        <v>2135</v>
      </c>
      <c r="E68" s="42" t="s">
        <v>2728</v>
      </c>
      <c r="F68" s="47" t="s">
        <v>330</v>
      </c>
      <c r="G68" s="48">
        <v>2</v>
      </c>
      <c r="H68" s="48" t="s">
        <v>2016</v>
      </c>
      <c r="I68" s="197">
        <v>181.8</v>
      </c>
      <c r="J68" s="197">
        <v>363.6</v>
      </c>
      <c r="K68" s="197">
        <v>58.176000000000002</v>
      </c>
      <c r="L68" s="200">
        <v>421.77600000000001</v>
      </c>
      <c r="M68" s="198">
        <v>0</v>
      </c>
      <c r="N68" s="48" t="s">
        <v>1617</v>
      </c>
      <c r="O68" s="48" t="s">
        <v>798</v>
      </c>
      <c r="P68" s="48" t="s">
        <v>39</v>
      </c>
      <c r="Q68" s="48" t="s">
        <v>535</v>
      </c>
      <c r="R68" s="48" t="s">
        <v>2726</v>
      </c>
      <c r="S68" s="48" t="s">
        <v>800</v>
      </c>
      <c r="T68" s="114" t="s">
        <v>2747</v>
      </c>
      <c r="U68" s="48"/>
      <c r="V68" s="39"/>
      <c r="W68" s="41"/>
      <c r="X68" s="41" t="s">
        <v>2746</v>
      </c>
      <c r="Y68" s="50"/>
    </row>
    <row r="69" spans="1:25" customFormat="1" ht="14.4" x14ac:dyDescent="0.3">
      <c r="A69" s="48">
        <f t="shared" si="4"/>
        <v>2</v>
      </c>
      <c r="B69" s="113">
        <v>46031</v>
      </c>
      <c r="C69" s="48" t="str">
        <f t="shared" si="5"/>
        <v>enero</v>
      </c>
      <c r="D69" s="48" t="s">
        <v>2135</v>
      </c>
      <c r="E69" s="42" t="s">
        <v>2728</v>
      </c>
      <c r="F69" s="47" t="s">
        <v>2748</v>
      </c>
      <c r="G69" s="48">
        <v>1</v>
      </c>
      <c r="H69" s="48" t="s">
        <v>1705</v>
      </c>
      <c r="I69" s="197">
        <v>35.700000000000003</v>
      </c>
      <c r="J69" s="197">
        <v>35.700000000000003</v>
      </c>
      <c r="K69" s="197">
        <v>5.7120000000000006</v>
      </c>
      <c r="L69" s="200">
        <v>41.412000000000006</v>
      </c>
      <c r="M69" s="198">
        <v>0</v>
      </c>
      <c r="N69" s="48" t="s">
        <v>1617</v>
      </c>
      <c r="O69" s="48" t="s">
        <v>798</v>
      </c>
      <c r="P69" s="48" t="s">
        <v>39</v>
      </c>
      <c r="Q69" s="48" t="s">
        <v>535</v>
      </c>
      <c r="R69" s="48" t="s">
        <v>2726</v>
      </c>
      <c r="S69" s="48" t="s">
        <v>800</v>
      </c>
      <c r="T69" s="114" t="s">
        <v>1617</v>
      </c>
      <c r="U69" s="48"/>
      <c r="V69" s="39"/>
      <c r="W69" s="41"/>
      <c r="X69" s="41" t="s">
        <v>2746</v>
      </c>
      <c r="Y69" s="50"/>
    </row>
    <row r="70" spans="1:25" customFormat="1" ht="14.4" x14ac:dyDescent="0.3">
      <c r="A70" s="48">
        <f t="shared" si="4"/>
        <v>2</v>
      </c>
      <c r="B70" s="113">
        <v>46031</v>
      </c>
      <c r="C70" s="48" t="str">
        <f t="shared" si="5"/>
        <v>enero</v>
      </c>
      <c r="D70" s="48" t="s">
        <v>2135</v>
      </c>
      <c r="E70" s="42" t="s">
        <v>2728</v>
      </c>
      <c r="F70" s="47" t="s">
        <v>2239</v>
      </c>
      <c r="G70" s="48">
        <v>1</v>
      </c>
      <c r="H70" s="48" t="s">
        <v>1705</v>
      </c>
      <c r="I70" s="197">
        <v>48.09</v>
      </c>
      <c r="J70" s="197">
        <v>48.09</v>
      </c>
      <c r="K70" s="197">
        <v>7.6944000000000008</v>
      </c>
      <c r="L70" s="200">
        <v>55.784400000000005</v>
      </c>
      <c r="M70" s="198">
        <v>0</v>
      </c>
      <c r="N70" s="48" t="s">
        <v>311</v>
      </c>
      <c r="O70" s="48" t="s">
        <v>798</v>
      </c>
      <c r="P70" s="48" t="s">
        <v>39</v>
      </c>
      <c r="Q70" s="48" t="s">
        <v>535</v>
      </c>
      <c r="R70" s="48" t="s">
        <v>2726</v>
      </c>
      <c r="S70" s="48" t="s">
        <v>800</v>
      </c>
      <c r="T70" s="114" t="s">
        <v>2749</v>
      </c>
      <c r="U70" s="48"/>
      <c r="V70" s="39"/>
      <c r="W70" s="41"/>
      <c r="X70" s="41" t="s">
        <v>2746</v>
      </c>
      <c r="Y70" s="50"/>
    </row>
    <row r="71" spans="1:25" customFormat="1" ht="14.4" x14ac:dyDescent="0.3">
      <c r="A71" s="48">
        <f t="shared" si="4"/>
        <v>2</v>
      </c>
      <c r="B71" s="113">
        <v>46031</v>
      </c>
      <c r="C71" s="48" t="str">
        <f t="shared" si="5"/>
        <v>enero</v>
      </c>
      <c r="D71" s="48" t="s">
        <v>2135</v>
      </c>
      <c r="E71" s="42" t="s">
        <v>2728</v>
      </c>
      <c r="F71" s="47" t="s">
        <v>2204</v>
      </c>
      <c r="G71" s="48">
        <v>1</v>
      </c>
      <c r="H71" s="48" t="s">
        <v>1705</v>
      </c>
      <c r="I71" s="197">
        <v>900.25</v>
      </c>
      <c r="J71" s="197">
        <v>900.25</v>
      </c>
      <c r="K71" s="197">
        <v>144.04</v>
      </c>
      <c r="L71" s="200">
        <v>1044.29</v>
      </c>
      <c r="M71" s="198">
        <v>0</v>
      </c>
      <c r="N71" s="48" t="s">
        <v>311</v>
      </c>
      <c r="O71" s="48" t="s">
        <v>798</v>
      </c>
      <c r="P71" s="48" t="s">
        <v>39</v>
      </c>
      <c r="Q71" s="48" t="s">
        <v>535</v>
      </c>
      <c r="R71" s="48" t="s">
        <v>2726</v>
      </c>
      <c r="S71" s="48" t="s">
        <v>800</v>
      </c>
      <c r="T71" s="114" t="s">
        <v>2750</v>
      </c>
      <c r="U71" s="48"/>
      <c r="V71" s="39" t="s">
        <v>2751</v>
      </c>
      <c r="W71" s="41"/>
      <c r="X71" s="41" t="s">
        <v>2746</v>
      </c>
      <c r="Y71" s="50"/>
    </row>
    <row r="72" spans="1:25" customFormat="1" ht="14.4" x14ac:dyDescent="0.3">
      <c r="A72" s="48">
        <f t="shared" si="4"/>
        <v>2</v>
      </c>
      <c r="B72" s="113">
        <v>46031</v>
      </c>
      <c r="C72" s="48" t="str">
        <f t="shared" si="5"/>
        <v>enero</v>
      </c>
      <c r="D72" s="48" t="s">
        <v>2135</v>
      </c>
      <c r="E72" s="42" t="s">
        <v>2728</v>
      </c>
      <c r="F72" s="47" t="s">
        <v>1674</v>
      </c>
      <c r="G72" s="48">
        <v>1</v>
      </c>
      <c r="H72" s="48" t="s">
        <v>1705</v>
      </c>
      <c r="I72" s="197">
        <v>100</v>
      </c>
      <c r="J72" s="197">
        <v>100</v>
      </c>
      <c r="K72" s="197">
        <v>0</v>
      </c>
      <c r="L72" s="197">
        <v>100</v>
      </c>
      <c r="M72" s="198">
        <v>0</v>
      </c>
      <c r="N72" s="48" t="s">
        <v>1617</v>
      </c>
      <c r="O72" s="48" t="s">
        <v>798</v>
      </c>
      <c r="P72" s="48" t="s">
        <v>39</v>
      </c>
      <c r="Q72" s="48" t="s">
        <v>535</v>
      </c>
      <c r="R72" s="48" t="s">
        <v>2727</v>
      </c>
      <c r="S72" s="48" t="s">
        <v>2752</v>
      </c>
      <c r="T72" s="114" t="s">
        <v>1617</v>
      </c>
      <c r="U72" s="48"/>
      <c r="V72" s="39"/>
      <c r="W72" s="41"/>
      <c r="X72" s="41" t="s">
        <v>2753</v>
      </c>
      <c r="Y72" s="50"/>
    </row>
    <row r="73" spans="1:25" customFormat="1" ht="14.4" x14ac:dyDescent="0.3">
      <c r="A73" s="48">
        <f t="shared" si="4"/>
        <v>2</v>
      </c>
      <c r="B73" s="113">
        <v>46031</v>
      </c>
      <c r="C73" s="48" t="str">
        <f t="shared" si="5"/>
        <v>enero</v>
      </c>
      <c r="D73" s="48" t="s">
        <v>2135</v>
      </c>
      <c r="E73" s="42" t="s">
        <v>2728</v>
      </c>
      <c r="F73" s="47" t="s">
        <v>330</v>
      </c>
      <c r="G73" s="48">
        <v>1</v>
      </c>
      <c r="H73" s="48" t="s">
        <v>2016</v>
      </c>
      <c r="I73" s="197">
        <v>474.1379</v>
      </c>
      <c r="J73" s="197">
        <v>474.1379</v>
      </c>
      <c r="K73" s="197">
        <v>75.862064000000004</v>
      </c>
      <c r="L73" s="197">
        <v>549.99996399999998</v>
      </c>
      <c r="M73" s="198">
        <v>0</v>
      </c>
      <c r="N73" s="48" t="s">
        <v>1010</v>
      </c>
      <c r="O73" s="48" t="s">
        <v>51</v>
      </c>
      <c r="P73" s="48" t="s">
        <v>25</v>
      </c>
      <c r="Q73" s="48" t="s">
        <v>535</v>
      </c>
      <c r="R73" s="48" t="s">
        <v>2735</v>
      </c>
      <c r="S73" s="48" t="s">
        <v>1672</v>
      </c>
      <c r="T73" s="114" t="s">
        <v>1673</v>
      </c>
      <c r="U73" s="48" t="s">
        <v>1670</v>
      </c>
      <c r="V73" s="39"/>
      <c r="W73" s="41"/>
      <c r="X73" s="41" t="s">
        <v>2754</v>
      </c>
      <c r="Y73" s="50"/>
    </row>
    <row r="74" spans="1:25" customFormat="1" ht="14.4" x14ac:dyDescent="0.3">
      <c r="A74" s="48">
        <f t="shared" si="4"/>
        <v>2</v>
      </c>
      <c r="B74" s="113">
        <v>46031</v>
      </c>
      <c r="C74" s="48" t="str">
        <f t="shared" si="5"/>
        <v>enero</v>
      </c>
      <c r="D74" s="48" t="s">
        <v>2135</v>
      </c>
      <c r="E74" s="42" t="s">
        <v>2728</v>
      </c>
      <c r="F74" s="47" t="s">
        <v>2755</v>
      </c>
      <c r="G74" s="48">
        <v>1</v>
      </c>
      <c r="H74" s="48" t="s">
        <v>1705</v>
      </c>
      <c r="I74" s="197">
        <v>689.35</v>
      </c>
      <c r="J74" s="197">
        <v>689.35</v>
      </c>
      <c r="K74" s="197">
        <v>110.29600000000001</v>
      </c>
      <c r="L74" s="201">
        <v>799.64600000000007</v>
      </c>
      <c r="M74" s="198">
        <v>0</v>
      </c>
      <c r="N74" s="48" t="s">
        <v>311</v>
      </c>
      <c r="O74" s="48" t="s">
        <v>798</v>
      </c>
      <c r="P74" s="48" t="s">
        <v>39</v>
      </c>
      <c r="Q74" s="48" t="s">
        <v>535</v>
      </c>
      <c r="R74" s="48" t="s">
        <v>2727</v>
      </c>
      <c r="S74" s="48" t="s">
        <v>650</v>
      </c>
      <c r="T74" s="114" t="s">
        <v>1617</v>
      </c>
      <c r="U74" s="48"/>
      <c r="V74" s="39"/>
      <c r="W74" s="41"/>
      <c r="X74" s="41" t="s">
        <v>2756</v>
      </c>
      <c r="Y74" s="50"/>
    </row>
    <row r="75" spans="1:25" customFormat="1" ht="14.4" x14ac:dyDescent="0.3">
      <c r="A75" s="48">
        <f t="shared" si="4"/>
        <v>2</v>
      </c>
      <c r="B75" s="113">
        <v>46031</v>
      </c>
      <c r="C75" s="48" t="str">
        <f t="shared" si="5"/>
        <v>enero</v>
      </c>
      <c r="D75" s="48" t="s">
        <v>2135</v>
      </c>
      <c r="E75" s="42" t="s">
        <v>2728</v>
      </c>
      <c r="F75" s="47" t="s">
        <v>2757</v>
      </c>
      <c r="G75" s="48">
        <v>1</v>
      </c>
      <c r="H75" s="48" t="s">
        <v>1705</v>
      </c>
      <c r="I75" s="197">
        <v>689.35</v>
      </c>
      <c r="J75" s="197">
        <v>689.35</v>
      </c>
      <c r="K75" s="197">
        <v>110.29600000000001</v>
      </c>
      <c r="L75" s="201">
        <v>799.64600000000007</v>
      </c>
      <c r="M75" s="198">
        <v>0</v>
      </c>
      <c r="N75" s="48" t="s">
        <v>311</v>
      </c>
      <c r="O75" s="48" t="s">
        <v>798</v>
      </c>
      <c r="P75" s="48" t="s">
        <v>39</v>
      </c>
      <c r="Q75" s="48" t="s">
        <v>535</v>
      </c>
      <c r="R75" s="48" t="s">
        <v>2727</v>
      </c>
      <c r="S75" s="48" t="s">
        <v>650</v>
      </c>
      <c r="T75" s="114" t="s">
        <v>1617</v>
      </c>
      <c r="U75" s="48"/>
      <c r="V75" s="39" t="s">
        <v>2758</v>
      </c>
      <c r="W75" s="41"/>
      <c r="X75" s="41" t="s">
        <v>2756</v>
      </c>
      <c r="Y75" s="50"/>
    </row>
    <row r="76" spans="1:25" customFormat="1" ht="14.4" x14ac:dyDescent="0.3">
      <c r="A76" s="48">
        <f t="shared" si="4"/>
        <v>2</v>
      </c>
      <c r="B76" s="113">
        <v>46031</v>
      </c>
      <c r="C76" s="48" t="str">
        <f t="shared" si="5"/>
        <v>enero</v>
      </c>
      <c r="D76" s="48" t="s">
        <v>2135</v>
      </c>
      <c r="E76" s="42" t="s">
        <v>2728</v>
      </c>
      <c r="F76" s="47" t="s">
        <v>1667</v>
      </c>
      <c r="G76" s="48">
        <v>1</v>
      </c>
      <c r="H76" s="48" t="s">
        <v>1705</v>
      </c>
      <c r="I76" s="197">
        <v>100</v>
      </c>
      <c r="J76" s="197">
        <v>100</v>
      </c>
      <c r="K76" s="197">
        <v>0</v>
      </c>
      <c r="L76" s="197">
        <v>100</v>
      </c>
      <c r="M76" s="198">
        <v>0</v>
      </c>
      <c r="N76" s="48" t="s">
        <v>1617</v>
      </c>
      <c r="O76" s="48" t="s">
        <v>798</v>
      </c>
      <c r="P76" s="48" t="s">
        <v>39</v>
      </c>
      <c r="Q76" s="48" t="s">
        <v>535</v>
      </c>
      <c r="R76" s="48" t="s">
        <v>364</v>
      </c>
      <c r="S76" s="48" t="s">
        <v>1668</v>
      </c>
      <c r="T76" s="114" t="s">
        <v>1669</v>
      </c>
      <c r="U76" s="48" t="s">
        <v>1670</v>
      </c>
      <c r="V76" s="39"/>
      <c r="W76" s="41"/>
      <c r="X76" s="41" t="s">
        <v>2759</v>
      </c>
      <c r="Y76" s="50"/>
    </row>
    <row r="77" spans="1:25" customFormat="1" ht="14.4" x14ac:dyDescent="0.3">
      <c r="A77" s="48">
        <f t="shared" si="4"/>
        <v>2</v>
      </c>
      <c r="B77" s="113">
        <v>46031</v>
      </c>
      <c r="C77" s="48" t="str">
        <f t="shared" si="5"/>
        <v>enero</v>
      </c>
      <c r="D77" s="48" t="s">
        <v>2135</v>
      </c>
      <c r="E77" s="42" t="s">
        <v>2728</v>
      </c>
      <c r="F77" s="47" t="s">
        <v>786</v>
      </c>
      <c r="G77" s="48">
        <v>1</v>
      </c>
      <c r="H77" s="48" t="s">
        <v>1705</v>
      </c>
      <c r="I77" s="197">
        <v>1400</v>
      </c>
      <c r="J77" s="197">
        <v>1400</v>
      </c>
      <c r="K77" s="197">
        <v>224</v>
      </c>
      <c r="L77" s="197">
        <v>1624</v>
      </c>
      <c r="M77" s="198">
        <v>0</v>
      </c>
      <c r="N77" s="48" t="s">
        <v>311</v>
      </c>
      <c r="O77" s="48" t="s">
        <v>798</v>
      </c>
      <c r="P77" s="48" t="s">
        <v>39</v>
      </c>
      <c r="Q77" s="48" t="s">
        <v>535</v>
      </c>
      <c r="R77" s="48" t="s">
        <v>369</v>
      </c>
      <c r="S77" s="48" t="s">
        <v>1671</v>
      </c>
      <c r="T77" s="114" t="s">
        <v>1617</v>
      </c>
      <c r="U77" s="48" t="s">
        <v>587</v>
      </c>
      <c r="V77" s="39"/>
      <c r="W77" s="41"/>
      <c r="X77" s="41" t="s">
        <v>2760</v>
      </c>
      <c r="Y77" s="50"/>
    </row>
    <row r="78" spans="1:25" customFormat="1" ht="14.4" x14ac:dyDescent="0.3">
      <c r="A78" s="48">
        <f t="shared" si="4"/>
        <v>2</v>
      </c>
      <c r="B78" s="113">
        <v>46031</v>
      </c>
      <c r="C78" s="48" t="str">
        <f t="shared" si="5"/>
        <v>enero</v>
      </c>
      <c r="D78" s="48" t="s">
        <v>2135</v>
      </c>
      <c r="E78" s="42" t="s">
        <v>2728</v>
      </c>
      <c r="F78" s="47" t="s">
        <v>2761</v>
      </c>
      <c r="G78" s="48">
        <v>2</v>
      </c>
      <c r="H78" s="48" t="s">
        <v>1705</v>
      </c>
      <c r="I78" s="197">
        <v>150</v>
      </c>
      <c r="J78" s="197">
        <v>300</v>
      </c>
      <c r="K78" s="197">
        <v>0</v>
      </c>
      <c r="L78" s="200">
        <v>300</v>
      </c>
      <c r="M78" s="198">
        <v>0</v>
      </c>
      <c r="N78" s="48" t="s">
        <v>311</v>
      </c>
      <c r="O78" s="48" t="s">
        <v>798</v>
      </c>
      <c r="P78" s="48" t="s">
        <v>39</v>
      </c>
      <c r="Q78" s="48" t="s">
        <v>535</v>
      </c>
      <c r="R78" s="48" t="s">
        <v>369</v>
      </c>
      <c r="S78" s="48" t="s">
        <v>639</v>
      </c>
      <c r="T78" s="114" t="s">
        <v>1617</v>
      </c>
      <c r="U78" s="48" t="s">
        <v>587</v>
      </c>
      <c r="V78" s="39"/>
      <c r="W78" s="41"/>
      <c r="X78" s="41" t="s">
        <v>2762</v>
      </c>
      <c r="Y78" s="50"/>
    </row>
    <row r="79" spans="1:25" customFormat="1" ht="14.4" x14ac:dyDescent="0.3">
      <c r="A79" s="48">
        <f t="shared" si="4"/>
        <v>2</v>
      </c>
      <c r="B79" s="113">
        <v>46031</v>
      </c>
      <c r="C79" s="48" t="str">
        <f t="shared" si="5"/>
        <v>enero</v>
      </c>
      <c r="D79" s="48" t="s">
        <v>2135</v>
      </c>
      <c r="E79" s="42" t="s">
        <v>2728</v>
      </c>
      <c r="F79" s="47" t="s">
        <v>2763</v>
      </c>
      <c r="G79" s="48">
        <v>1</v>
      </c>
      <c r="H79" s="48" t="s">
        <v>1705</v>
      </c>
      <c r="I79" s="197">
        <v>150</v>
      </c>
      <c r="J79" s="197">
        <v>150</v>
      </c>
      <c r="K79" s="197">
        <v>0</v>
      </c>
      <c r="L79" s="200">
        <v>150</v>
      </c>
      <c r="M79" s="198">
        <v>0</v>
      </c>
      <c r="N79" s="48" t="s">
        <v>311</v>
      </c>
      <c r="O79" s="48" t="s">
        <v>798</v>
      </c>
      <c r="P79" s="48" t="s">
        <v>39</v>
      </c>
      <c r="Q79" s="48" t="s">
        <v>535</v>
      </c>
      <c r="R79" s="48" t="s">
        <v>369</v>
      </c>
      <c r="S79" s="48" t="s">
        <v>639</v>
      </c>
      <c r="T79" s="114" t="s">
        <v>1617</v>
      </c>
      <c r="U79" s="48" t="s">
        <v>587</v>
      </c>
      <c r="V79" s="39" t="s">
        <v>2562</v>
      </c>
      <c r="W79" s="41"/>
      <c r="X79" s="41" t="s">
        <v>2762</v>
      </c>
      <c r="Y79" s="50"/>
    </row>
    <row r="80" spans="1:25" customFormat="1" ht="14.4" x14ac:dyDescent="0.3">
      <c r="A80" s="48">
        <f t="shared" si="4"/>
        <v>2</v>
      </c>
      <c r="B80" s="113">
        <v>46031</v>
      </c>
      <c r="C80" s="48" t="str">
        <f t="shared" si="5"/>
        <v>enero</v>
      </c>
      <c r="D80" s="48" t="s">
        <v>2135</v>
      </c>
      <c r="E80" s="42" t="s">
        <v>2728</v>
      </c>
      <c r="F80" s="47" t="s">
        <v>168</v>
      </c>
      <c r="G80" s="48">
        <v>1</v>
      </c>
      <c r="H80" s="48" t="s">
        <v>1705</v>
      </c>
      <c r="I80" s="197">
        <v>2248.27</v>
      </c>
      <c r="J80" s="197">
        <v>2248.27</v>
      </c>
      <c r="K80" s="197">
        <v>359.72320000000002</v>
      </c>
      <c r="L80" s="201">
        <v>2607.9931999999999</v>
      </c>
      <c r="M80" s="198">
        <v>0</v>
      </c>
      <c r="N80" s="48" t="s">
        <v>1304</v>
      </c>
      <c r="O80" s="48" t="s">
        <v>183</v>
      </c>
      <c r="P80" s="48" t="s">
        <v>25</v>
      </c>
      <c r="Q80" s="48" t="s">
        <v>535</v>
      </c>
      <c r="R80" s="48" t="s">
        <v>2727</v>
      </c>
      <c r="S80" s="48" t="s">
        <v>1665</v>
      </c>
      <c r="T80" s="114" t="s">
        <v>1666</v>
      </c>
      <c r="U80" s="48"/>
      <c r="V80" s="39"/>
      <c r="W80" s="41"/>
      <c r="X80" s="41" t="s">
        <v>2764</v>
      </c>
      <c r="Y80" s="50"/>
    </row>
    <row r="81" spans="1:25" customFormat="1" ht="14.4" x14ac:dyDescent="0.3">
      <c r="A81" s="48">
        <f t="shared" si="4"/>
        <v>2</v>
      </c>
      <c r="B81" s="113">
        <v>46031</v>
      </c>
      <c r="C81" s="48" t="str">
        <f t="shared" si="5"/>
        <v>enero</v>
      </c>
      <c r="D81" s="48" t="s">
        <v>2135</v>
      </c>
      <c r="E81" s="42" t="s">
        <v>2728</v>
      </c>
      <c r="F81" s="47" t="s">
        <v>2765</v>
      </c>
      <c r="G81" s="48">
        <v>1</v>
      </c>
      <c r="H81" s="48" t="s">
        <v>1705</v>
      </c>
      <c r="I81" s="197">
        <v>3.3</v>
      </c>
      <c r="J81" s="197">
        <v>3.3</v>
      </c>
      <c r="K81" s="197">
        <v>0.52800000000000002</v>
      </c>
      <c r="L81" s="201">
        <v>3.8279999999999998</v>
      </c>
      <c r="M81" s="198">
        <v>0</v>
      </c>
      <c r="N81" s="48" t="s">
        <v>1304</v>
      </c>
      <c r="O81" s="48" t="s">
        <v>183</v>
      </c>
      <c r="P81" s="48" t="s">
        <v>25</v>
      </c>
      <c r="Q81" s="48" t="s">
        <v>535</v>
      </c>
      <c r="R81" s="48" t="s">
        <v>2727</v>
      </c>
      <c r="S81" s="48" t="s">
        <v>1665</v>
      </c>
      <c r="T81" s="114" t="s">
        <v>1666</v>
      </c>
      <c r="U81" s="48"/>
      <c r="V81" s="39" t="s">
        <v>2766</v>
      </c>
      <c r="W81" s="41"/>
      <c r="X81" s="41" t="s">
        <v>2764</v>
      </c>
      <c r="Y81" s="50"/>
    </row>
    <row r="82" spans="1:25" customFormat="1" ht="14.4" x14ac:dyDescent="0.3">
      <c r="A82" s="48">
        <f t="shared" si="4"/>
        <v>2</v>
      </c>
      <c r="B82" s="113">
        <v>46031</v>
      </c>
      <c r="C82" s="48" t="str">
        <f t="shared" si="5"/>
        <v>enero</v>
      </c>
      <c r="D82" s="48" t="s">
        <v>2135</v>
      </c>
      <c r="E82" s="42" t="s">
        <v>2728</v>
      </c>
      <c r="F82" s="47" t="s">
        <v>325</v>
      </c>
      <c r="G82" s="48">
        <v>1</v>
      </c>
      <c r="H82" s="48" t="s">
        <v>2138</v>
      </c>
      <c r="I82" s="197">
        <v>3875</v>
      </c>
      <c r="J82" s="197">
        <v>3875</v>
      </c>
      <c r="K82" s="197">
        <v>0</v>
      </c>
      <c r="L82" s="197">
        <v>3875</v>
      </c>
      <c r="M82" s="198">
        <v>0</v>
      </c>
      <c r="N82" s="48" t="s">
        <v>1617</v>
      </c>
      <c r="O82" s="48" t="s">
        <v>118</v>
      </c>
      <c r="P82" s="48" t="s">
        <v>25</v>
      </c>
      <c r="Q82" s="48" t="s">
        <v>325</v>
      </c>
      <c r="R82" s="48" t="s">
        <v>2727</v>
      </c>
      <c r="S82" s="48" t="s">
        <v>1717</v>
      </c>
      <c r="T82" s="114"/>
      <c r="U82" s="48" t="s">
        <v>1845</v>
      </c>
      <c r="V82" s="39" t="s">
        <v>2725</v>
      </c>
      <c r="W82" s="41" t="s">
        <v>1617</v>
      </c>
      <c r="X82" s="50"/>
    </row>
    <row r="83" spans="1:25" customFormat="1" ht="14.4" x14ac:dyDescent="0.3">
      <c r="A83" s="48">
        <f t="shared" si="4"/>
        <v>2</v>
      </c>
      <c r="B83" s="113">
        <v>46032</v>
      </c>
      <c r="C83" s="48" t="str">
        <f t="shared" si="5"/>
        <v>enero</v>
      </c>
      <c r="D83" s="48" t="s">
        <v>2135</v>
      </c>
      <c r="E83" s="42" t="s">
        <v>356</v>
      </c>
      <c r="F83" s="47" t="s">
        <v>2142</v>
      </c>
      <c r="G83" s="48">
        <v>1</v>
      </c>
      <c r="H83" s="48" t="s">
        <v>2139</v>
      </c>
      <c r="I83" s="197">
        <v>182.08</v>
      </c>
      <c r="J83" s="197">
        <v>182.08</v>
      </c>
      <c r="K83" s="197">
        <v>0</v>
      </c>
      <c r="L83" s="197">
        <v>182.08</v>
      </c>
      <c r="M83" s="198">
        <v>0</v>
      </c>
      <c r="N83" s="48" t="s">
        <v>1617</v>
      </c>
      <c r="O83" s="48" t="s">
        <v>118</v>
      </c>
      <c r="P83" s="48" t="s">
        <v>2734</v>
      </c>
      <c r="Q83" s="48" t="s">
        <v>1921</v>
      </c>
      <c r="R83" s="48" t="s">
        <v>2735</v>
      </c>
      <c r="S83" s="48" t="s">
        <v>866</v>
      </c>
      <c r="T83" s="114" t="s">
        <v>2143</v>
      </c>
      <c r="U83" s="48" t="s">
        <v>2767</v>
      </c>
      <c r="V83" s="39"/>
      <c r="W83" s="41" t="s">
        <v>1617</v>
      </c>
      <c r="X83" s="50"/>
    </row>
    <row r="84" spans="1:25" customFormat="1" ht="14.4" x14ac:dyDescent="0.3">
      <c r="A84" s="48">
        <f t="shared" si="4"/>
        <v>2</v>
      </c>
      <c r="B84" s="113">
        <v>46032</v>
      </c>
      <c r="C84" s="48" t="str">
        <f t="shared" si="5"/>
        <v>enero</v>
      </c>
      <c r="D84" s="48" t="s">
        <v>2135</v>
      </c>
      <c r="E84" s="42" t="s">
        <v>356</v>
      </c>
      <c r="F84" s="47" t="s">
        <v>127</v>
      </c>
      <c r="G84" s="48">
        <v>9.9819999999999993</v>
      </c>
      <c r="H84" s="48" t="s">
        <v>2017</v>
      </c>
      <c r="I84" s="197">
        <v>20.594799999999999</v>
      </c>
      <c r="J84" s="197">
        <v>205.57729359999999</v>
      </c>
      <c r="K84" s="197">
        <v>32.892366975999998</v>
      </c>
      <c r="L84" s="197">
        <v>238.469660576</v>
      </c>
      <c r="M84" s="198">
        <v>0</v>
      </c>
      <c r="N84" s="48" t="s">
        <v>1617</v>
      </c>
      <c r="O84" s="48" t="s">
        <v>798</v>
      </c>
      <c r="P84" s="48" t="s">
        <v>39</v>
      </c>
      <c r="Q84" s="48" t="s">
        <v>535</v>
      </c>
      <c r="R84" s="48" t="s">
        <v>2726</v>
      </c>
      <c r="S84" s="48" t="s">
        <v>1641</v>
      </c>
      <c r="T84" s="114" t="s">
        <v>2100</v>
      </c>
      <c r="U84" s="48"/>
      <c r="V84" s="39"/>
      <c r="W84" s="41"/>
      <c r="X84" s="41" t="s">
        <v>2768</v>
      </c>
      <c r="Y84" s="50"/>
    </row>
    <row r="85" spans="1:25" customFormat="1" ht="14.4" x14ac:dyDescent="0.3">
      <c r="A85" s="48">
        <f t="shared" si="4"/>
        <v>2</v>
      </c>
      <c r="B85" s="113">
        <v>46032</v>
      </c>
      <c r="C85" s="48" t="str">
        <f t="shared" si="5"/>
        <v>enero</v>
      </c>
      <c r="D85" s="48" t="s">
        <v>2135</v>
      </c>
      <c r="E85" s="42" t="s">
        <v>356</v>
      </c>
      <c r="F85" s="47" t="s">
        <v>127</v>
      </c>
      <c r="G85" s="48">
        <v>10.42</v>
      </c>
      <c r="H85" s="48" t="s">
        <v>2017</v>
      </c>
      <c r="I85" s="197">
        <v>20.683</v>
      </c>
      <c r="J85" s="197">
        <v>215.51686000000001</v>
      </c>
      <c r="K85" s="197">
        <v>34.482697600000002</v>
      </c>
      <c r="L85" s="197">
        <v>249.9995576</v>
      </c>
      <c r="M85" s="198">
        <v>0</v>
      </c>
      <c r="N85" s="48" t="s">
        <v>1357</v>
      </c>
      <c r="O85" s="48" t="s">
        <v>2031</v>
      </c>
      <c r="P85" s="49" t="s">
        <v>1321</v>
      </c>
      <c r="Q85" s="48" t="s">
        <v>535</v>
      </c>
      <c r="R85" s="48" t="s">
        <v>2727</v>
      </c>
      <c r="S85" s="48" t="s">
        <v>1691</v>
      </c>
      <c r="T85" s="114" t="s">
        <v>2025</v>
      </c>
      <c r="U85" s="48"/>
      <c r="V85" s="39"/>
      <c r="W85" s="41"/>
      <c r="X85" s="41" t="s">
        <v>2769</v>
      </c>
      <c r="Y85" s="50"/>
    </row>
    <row r="86" spans="1:25" customFormat="1" ht="14.4" x14ac:dyDescent="0.3">
      <c r="A86" s="48">
        <f t="shared" si="4"/>
        <v>2</v>
      </c>
      <c r="B86" s="113">
        <v>46032</v>
      </c>
      <c r="C86" s="48" t="str">
        <f t="shared" si="5"/>
        <v>enero</v>
      </c>
      <c r="D86" s="48" t="s">
        <v>2135</v>
      </c>
      <c r="E86" s="42" t="s">
        <v>356</v>
      </c>
      <c r="F86" s="47" t="s">
        <v>1676</v>
      </c>
      <c r="G86" s="125">
        <v>12.04</v>
      </c>
      <c r="H86" s="48" t="s">
        <v>2017</v>
      </c>
      <c r="I86" s="197">
        <v>20.594799999999999</v>
      </c>
      <c r="J86" s="197">
        <v>247.96139199999996</v>
      </c>
      <c r="K86" s="197">
        <v>39.673822719999997</v>
      </c>
      <c r="L86" s="197">
        <v>287.63521471999996</v>
      </c>
      <c r="M86" s="198">
        <v>0</v>
      </c>
      <c r="N86" s="48" t="s">
        <v>1617</v>
      </c>
      <c r="O86" s="48" t="s">
        <v>118</v>
      </c>
      <c r="P86" s="48" t="s">
        <v>25</v>
      </c>
      <c r="Q86" s="48" t="s">
        <v>535</v>
      </c>
      <c r="R86" s="48" t="s">
        <v>2726</v>
      </c>
      <c r="S86" s="48" t="s">
        <v>388</v>
      </c>
      <c r="T86" s="114" t="s">
        <v>2372</v>
      </c>
      <c r="U86" s="48"/>
      <c r="V86" s="39"/>
      <c r="W86" s="41"/>
      <c r="X86" s="41" t="s">
        <v>2770</v>
      </c>
    </row>
    <row r="87" spans="1:25" customFormat="1" ht="14.4" x14ac:dyDescent="0.3">
      <c r="A87" s="48">
        <f t="shared" si="4"/>
        <v>2</v>
      </c>
      <c r="B87" s="113">
        <v>46032</v>
      </c>
      <c r="C87" s="48" t="str">
        <f t="shared" si="5"/>
        <v>enero</v>
      </c>
      <c r="D87" s="48" t="s">
        <v>2135</v>
      </c>
      <c r="E87" s="42" t="s">
        <v>2728</v>
      </c>
      <c r="F87" s="47" t="s">
        <v>1677</v>
      </c>
      <c r="G87" s="48">
        <v>2</v>
      </c>
      <c r="H87" s="48" t="s">
        <v>1705</v>
      </c>
      <c r="I87" s="197">
        <v>258.62060000000002</v>
      </c>
      <c r="J87" s="197">
        <v>517.24120000000005</v>
      </c>
      <c r="K87" s="197">
        <v>82.758592000000007</v>
      </c>
      <c r="L87" s="197">
        <v>599.99979200000007</v>
      </c>
      <c r="M87" s="198">
        <v>0</v>
      </c>
      <c r="N87" s="48" t="s">
        <v>311</v>
      </c>
      <c r="O87" s="48" t="s">
        <v>798</v>
      </c>
      <c r="P87" s="48" t="s">
        <v>39</v>
      </c>
      <c r="Q87" s="48" t="s">
        <v>535</v>
      </c>
      <c r="R87" s="48" t="s">
        <v>2726</v>
      </c>
      <c r="S87" s="48" t="s">
        <v>1678</v>
      </c>
      <c r="T87" s="114" t="s">
        <v>2771</v>
      </c>
      <c r="U87" s="48"/>
      <c r="V87" s="39"/>
      <c r="W87" s="41"/>
      <c r="X87" s="41" t="s">
        <v>2772</v>
      </c>
      <c r="Y87" s="50"/>
    </row>
    <row r="88" spans="1:25" customFormat="1" ht="14.4" x14ac:dyDescent="0.3">
      <c r="A88" s="48">
        <f t="shared" si="4"/>
        <v>2</v>
      </c>
      <c r="B88" s="113">
        <v>46032</v>
      </c>
      <c r="C88" s="48" t="str">
        <f t="shared" si="5"/>
        <v>enero</v>
      </c>
      <c r="D88" s="48" t="s">
        <v>2135</v>
      </c>
      <c r="E88" s="42" t="s">
        <v>2728</v>
      </c>
      <c r="F88" s="47" t="s">
        <v>2773</v>
      </c>
      <c r="G88" s="48">
        <v>1</v>
      </c>
      <c r="H88" s="48" t="s">
        <v>1705</v>
      </c>
      <c r="I88" s="197">
        <v>1680</v>
      </c>
      <c r="J88" s="197">
        <v>1680</v>
      </c>
      <c r="K88" s="197">
        <v>0</v>
      </c>
      <c r="L88" s="197">
        <v>1680</v>
      </c>
      <c r="M88" s="198">
        <v>0</v>
      </c>
      <c r="N88" s="48" t="s">
        <v>1617</v>
      </c>
      <c r="O88" s="48" t="s">
        <v>774</v>
      </c>
      <c r="P88" s="48" t="s">
        <v>25</v>
      </c>
      <c r="Q88" s="48" t="s">
        <v>535</v>
      </c>
      <c r="R88" s="48" t="s">
        <v>364</v>
      </c>
      <c r="S88" s="48" t="s">
        <v>1681</v>
      </c>
      <c r="T88" s="114"/>
      <c r="U88" s="48" t="s">
        <v>1670</v>
      </c>
      <c r="V88" s="39"/>
      <c r="W88" s="41"/>
      <c r="X88" s="41" t="s">
        <v>2774</v>
      </c>
      <c r="Y88" s="50"/>
    </row>
    <row r="89" spans="1:25" customFormat="1" ht="14.4" x14ac:dyDescent="0.3">
      <c r="A89" s="48">
        <f t="shared" si="4"/>
        <v>2</v>
      </c>
      <c r="B89" s="113">
        <v>46032</v>
      </c>
      <c r="C89" s="48" t="str">
        <f t="shared" si="5"/>
        <v>enero</v>
      </c>
      <c r="D89" s="48" t="s">
        <v>2135</v>
      </c>
      <c r="E89" s="42" t="s">
        <v>2728</v>
      </c>
      <c r="F89" s="47" t="s">
        <v>1918</v>
      </c>
      <c r="G89" s="48">
        <v>4</v>
      </c>
      <c r="H89" s="48" t="s">
        <v>1705</v>
      </c>
      <c r="I89" s="197">
        <v>839.13</v>
      </c>
      <c r="J89" s="197">
        <v>3356.52</v>
      </c>
      <c r="K89" s="197">
        <v>537.04319999999996</v>
      </c>
      <c r="L89" s="197">
        <v>3893.5632000000001</v>
      </c>
      <c r="M89" s="198">
        <v>0</v>
      </c>
      <c r="N89" s="48" t="s">
        <v>1617</v>
      </c>
      <c r="O89" s="48" t="s">
        <v>798</v>
      </c>
      <c r="P89" s="48" t="s">
        <v>39</v>
      </c>
      <c r="Q89" s="48" t="s">
        <v>535</v>
      </c>
      <c r="R89" s="48" t="s">
        <v>2727</v>
      </c>
      <c r="S89" s="48" t="s">
        <v>1756</v>
      </c>
      <c r="T89" s="114" t="s">
        <v>1617</v>
      </c>
      <c r="U89" s="48" t="s">
        <v>1757</v>
      </c>
      <c r="V89" s="39"/>
      <c r="W89" s="41" t="s">
        <v>1762</v>
      </c>
      <c r="X89" s="41" t="s">
        <v>2775</v>
      </c>
      <c r="Y89" s="50"/>
    </row>
    <row r="90" spans="1:25" customFormat="1" ht="14.4" x14ac:dyDescent="0.3">
      <c r="A90" s="48">
        <f t="shared" si="4"/>
        <v>2</v>
      </c>
      <c r="B90" s="113">
        <v>46032</v>
      </c>
      <c r="C90" s="48" t="str">
        <f t="shared" si="5"/>
        <v>enero</v>
      </c>
      <c r="D90" s="48" t="s">
        <v>2135</v>
      </c>
      <c r="E90" s="42" t="s">
        <v>477</v>
      </c>
      <c r="F90" s="47" t="s">
        <v>559</v>
      </c>
      <c r="G90" s="48">
        <v>1</v>
      </c>
      <c r="H90" s="48" t="s">
        <v>2138</v>
      </c>
      <c r="I90" s="197">
        <v>1154</v>
      </c>
      <c r="J90" s="197">
        <v>1154</v>
      </c>
      <c r="K90" s="197">
        <v>0</v>
      </c>
      <c r="L90" s="197">
        <v>1154</v>
      </c>
      <c r="M90" s="198">
        <v>0</v>
      </c>
      <c r="N90" s="48" t="s">
        <v>1360</v>
      </c>
      <c r="O90" s="48" t="s">
        <v>1679</v>
      </c>
      <c r="P90" s="49" t="s">
        <v>1321</v>
      </c>
      <c r="Q90" s="48" t="s">
        <v>1766</v>
      </c>
      <c r="R90" s="48" t="s">
        <v>2727</v>
      </c>
      <c r="S90" s="48" t="s">
        <v>560</v>
      </c>
      <c r="T90" s="114"/>
      <c r="U90" s="48" t="s">
        <v>1680</v>
      </c>
      <c r="V90" s="39"/>
      <c r="W90" s="41"/>
      <c r="X90" s="50"/>
      <c r="Y90" s="50"/>
    </row>
    <row r="91" spans="1:25" customFormat="1" ht="14.4" x14ac:dyDescent="0.3">
      <c r="A91" s="48">
        <f t="shared" si="4"/>
        <v>2</v>
      </c>
      <c r="B91" s="113">
        <v>46032</v>
      </c>
      <c r="C91" s="48" t="str">
        <f t="shared" si="5"/>
        <v>enero</v>
      </c>
      <c r="D91" s="48" t="s">
        <v>2135</v>
      </c>
      <c r="E91" s="42" t="s">
        <v>477</v>
      </c>
      <c r="F91" s="47" t="s">
        <v>559</v>
      </c>
      <c r="G91" s="48">
        <v>1</v>
      </c>
      <c r="H91" s="48" t="s">
        <v>1705</v>
      </c>
      <c r="I91" s="197">
        <v>1154</v>
      </c>
      <c r="J91" s="197">
        <v>1154</v>
      </c>
      <c r="K91" s="197">
        <v>0</v>
      </c>
      <c r="L91" s="197">
        <v>1154</v>
      </c>
      <c r="M91" s="198">
        <v>0</v>
      </c>
      <c r="N91" s="48" t="s">
        <v>1312</v>
      </c>
      <c r="O91" s="48" t="s">
        <v>347</v>
      </c>
      <c r="P91" s="48" t="s">
        <v>25</v>
      </c>
      <c r="Q91" s="48" t="s">
        <v>1766</v>
      </c>
      <c r="R91" s="48" t="s">
        <v>2727</v>
      </c>
      <c r="S91" s="48" t="s">
        <v>560</v>
      </c>
      <c r="T91" s="114"/>
      <c r="U91" s="48" t="s">
        <v>1680</v>
      </c>
      <c r="V91" s="39"/>
      <c r="W91" s="41"/>
      <c r="X91" s="50"/>
      <c r="Y91" s="50"/>
    </row>
    <row r="92" spans="1:25" customFormat="1" ht="14.4" x14ac:dyDescent="0.3">
      <c r="A92" s="48">
        <f t="shared" si="4"/>
        <v>3</v>
      </c>
      <c r="B92" s="113">
        <v>46034</v>
      </c>
      <c r="C92" s="48" t="str">
        <f t="shared" si="5"/>
        <v>enero</v>
      </c>
      <c r="D92" s="48" t="s">
        <v>2135</v>
      </c>
      <c r="E92" s="42" t="s">
        <v>356</v>
      </c>
      <c r="F92" s="47" t="s">
        <v>2144</v>
      </c>
      <c r="G92" s="48">
        <v>1</v>
      </c>
      <c r="H92" s="48" t="s">
        <v>2139</v>
      </c>
      <c r="I92" s="197">
        <v>189.93</v>
      </c>
      <c r="J92" s="197">
        <v>189.93</v>
      </c>
      <c r="K92" s="197">
        <v>0</v>
      </c>
      <c r="L92" s="197">
        <v>189.93</v>
      </c>
      <c r="M92" s="198">
        <v>0</v>
      </c>
      <c r="N92" s="48" t="s">
        <v>1617</v>
      </c>
      <c r="O92" s="48" t="s">
        <v>118</v>
      </c>
      <c r="P92" s="48" t="s">
        <v>2734</v>
      </c>
      <c r="Q92" s="48" t="s">
        <v>1889</v>
      </c>
      <c r="R92" s="48" t="s">
        <v>2735</v>
      </c>
      <c r="S92" s="48" t="s">
        <v>866</v>
      </c>
      <c r="T92" s="114" t="s">
        <v>2143</v>
      </c>
      <c r="U92" s="48" t="s">
        <v>2767</v>
      </c>
      <c r="V92" s="39"/>
      <c r="W92" s="41" t="s">
        <v>1617</v>
      </c>
      <c r="X92" s="50"/>
    </row>
    <row r="93" spans="1:25" customFormat="1" ht="14.4" x14ac:dyDescent="0.3">
      <c r="A93" s="48">
        <f t="shared" si="4"/>
        <v>3</v>
      </c>
      <c r="B93" s="113">
        <v>46034</v>
      </c>
      <c r="C93" s="48" t="str">
        <f t="shared" si="5"/>
        <v>enero</v>
      </c>
      <c r="D93" s="48" t="s">
        <v>2135</v>
      </c>
      <c r="E93" s="42" t="s">
        <v>356</v>
      </c>
      <c r="F93" s="47" t="s">
        <v>2776</v>
      </c>
      <c r="G93" s="48">
        <v>1</v>
      </c>
      <c r="H93" s="48" t="s">
        <v>2139</v>
      </c>
      <c r="I93" s="197">
        <v>157.44999999999999</v>
      </c>
      <c r="J93" s="197">
        <v>157.44999999999999</v>
      </c>
      <c r="K93" s="197">
        <v>0</v>
      </c>
      <c r="L93" s="197">
        <v>157.44999999999999</v>
      </c>
      <c r="M93" s="198">
        <v>0</v>
      </c>
      <c r="N93" s="48" t="s">
        <v>1617</v>
      </c>
      <c r="O93" s="48" t="s">
        <v>118</v>
      </c>
      <c r="P93" s="48" t="s">
        <v>2734</v>
      </c>
      <c r="Q93" s="48" t="s">
        <v>1889</v>
      </c>
      <c r="R93" s="48" t="s">
        <v>2735</v>
      </c>
      <c r="S93" s="48" t="s">
        <v>866</v>
      </c>
      <c r="T93" s="114" t="s">
        <v>2143</v>
      </c>
      <c r="U93" s="48" t="s">
        <v>2767</v>
      </c>
      <c r="V93" s="39"/>
      <c r="W93" s="41" t="s">
        <v>1617</v>
      </c>
      <c r="X93" s="50"/>
    </row>
    <row r="94" spans="1:25" customFormat="1" ht="14.4" x14ac:dyDescent="0.3">
      <c r="A94" s="48">
        <v>3</v>
      </c>
      <c r="B94" s="113">
        <v>46034</v>
      </c>
      <c r="C94" s="48" t="str">
        <f t="shared" si="5"/>
        <v>enero</v>
      </c>
      <c r="D94" s="48" t="s">
        <v>2135</v>
      </c>
      <c r="E94" s="42" t="s">
        <v>477</v>
      </c>
      <c r="F94" s="47" t="s">
        <v>559</v>
      </c>
      <c r="G94" s="48">
        <v>1</v>
      </c>
      <c r="H94" s="48" t="s">
        <v>2138</v>
      </c>
      <c r="I94" s="197">
        <v>740</v>
      </c>
      <c r="J94" s="197">
        <v>740</v>
      </c>
      <c r="K94" s="197">
        <v>0</v>
      </c>
      <c r="L94" s="197">
        <v>740</v>
      </c>
      <c r="M94" s="198">
        <v>0</v>
      </c>
      <c r="N94" s="48" t="s">
        <v>1407</v>
      </c>
      <c r="O94" s="48" t="s">
        <v>183</v>
      </c>
      <c r="P94" s="48" t="s">
        <v>25</v>
      </c>
      <c r="Q94" s="48" t="s">
        <v>1766</v>
      </c>
      <c r="R94" s="48" t="s">
        <v>2735</v>
      </c>
      <c r="S94" s="48" t="s">
        <v>1683</v>
      </c>
      <c r="T94" s="114" t="s">
        <v>1617</v>
      </c>
      <c r="U94" s="48" t="s">
        <v>2777</v>
      </c>
      <c r="V94" s="39"/>
      <c r="W94" s="41"/>
      <c r="X94" s="41" t="s">
        <v>2778</v>
      </c>
      <c r="Y94" s="50"/>
    </row>
    <row r="95" spans="1:25" customFormat="1" ht="14.4" x14ac:dyDescent="0.3">
      <c r="A95" s="48">
        <f t="shared" ref="A95:A168" si="6">WEEKNUM(B95)</f>
        <v>3</v>
      </c>
      <c r="B95" s="113">
        <v>46034</v>
      </c>
      <c r="C95" s="48" t="str">
        <f t="shared" si="5"/>
        <v>enero</v>
      </c>
      <c r="D95" s="48" t="s">
        <v>2135</v>
      </c>
      <c r="E95" s="42" t="s">
        <v>2728</v>
      </c>
      <c r="F95" s="47" t="s">
        <v>2779</v>
      </c>
      <c r="G95" s="48">
        <v>1</v>
      </c>
      <c r="H95" s="48" t="s">
        <v>1705</v>
      </c>
      <c r="I95" s="197">
        <v>54</v>
      </c>
      <c r="J95" s="197">
        <v>54</v>
      </c>
      <c r="K95" s="197">
        <v>0</v>
      </c>
      <c r="L95" s="197">
        <v>54</v>
      </c>
      <c r="M95" s="198">
        <v>0</v>
      </c>
      <c r="N95" s="48" t="s">
        <v>1401</v>
      </c>
      <c r="O95" s="48" t="s">
        <v>347</v>
      </c>
      <c r="P95" s="48" t="s">
        <v>25</v>
      </c>
      <c r="Q95" s="48" t="s">
        <v>488</v>
      </c>
      <c r="R95" s="48" t="s">
        <v>2727</v>
      </c>
      <c r="S95" s="48" t="s">
        <v>1682</v>
      </c>
      <c r="T95" s="114" t="s">
        <v>1669</v>
      </c>
      <c r="U95" s="48"/>
      <c r="V95" s="39"/>
      <c r="W95" s="41"/>
      <c r="X95" s="41" t="s">
        <v>2780</v>
      </c>
      <c r="Y95" s="50"/>
    </row>
    <row r="96" spans="1:25" customFormat="1" ht="14.4" x14ac:dyDescent="0.3">
      <c r="A96" s="48">
        <f t="shared" si="6"/>
        <v>3</v>
      </c>
      <c r="B96" s="113">
        <v>46034</v>
      </c>
      <c r="C96" s="48" t="str">
        <f t="shared" si="5"/>
        <v>enero</v>
      </c>
      <c r="D96" s="48" t="s">
        <v>2135</v>
      </c>
      <c r="E96" s="42" t="s">
        <v>2728</v>
      </c>
      <c r="F96" s="47" t="s">
        <v>1685</v>
      </c>
      <c r="G96" s="48">
        <v>1</v>
      </c>
      <c r="H96" s="48" t="s">
        <v>1705</v>
      </c>
      <c r="I96" s="197">
        <v>75</v>
      </c>
      <c r="J96" s="197">
        <v>75</v>
      </c>
      <c r="K96" s="197">
        <v>0</v>
      </c>
      <c r="L96" s="197">
        <v>75</v>
      </c>
      <c r="M96" s="198">
        <v>0</v>
      </c>
      <c r="N96" s="48" t="s">
        <v>1403</v>
      </c>
      <c r="O96" s="48" t="s">
        <v>195</v>
      </c>
      <c r="P96" s="48" t="s">
        <v>39</v>
      </c>
      <c r="Q96" s="48" t="s">
        <v>241</v>
      </c>
      <c r="R96" s="48" t="s">
        <v>364</v>
      </c>
      <c r="S96" s="48" t="s">
        <v>1617</v>
      </c>
      <c r="T96" s="114" t="s">
        <v>1617</v>
      </c>
      <c r="U96" s="48" t="s">
        <v>1684</v>
      </c>
      <c r="V96" s="39" t="s">
        <v>1686</v>
      </c>
      <c r="W96" s="41"/>
      <c r="X96" s="41" t="s">
        <v>2781</v>
      </c>
      <c r="Y96" s="50"/>
    </row>
    <row r="97" spans="1:25" customFormat="1" ht="14.4" x14ac:dyDescent="0.3">
      <c r="A97" s="48">
        <f t="shared" si="6"/>
        <v>3</v>
      </c>
      <c r="B97" s="113">
        <v>46034</v>
      </c>
      <c r="C97" s="48" t="str">
        <f t="shared" si="5"/>
        <v>enero</v>
      </c>
      <c r="D97" s="48" t="s">
        <v>2135</v>
      </c>
      <c r="E97" s="42" t="s">
        <v>2728</v>
      </c>
      <c r="F97" s="47" t="s">
        <v>2782</v>
      </c>
      <c r="G97" s="48">
        <v>2</v>
      </c>
      <c r="H97" s="48" t="s">
        <v>1705</v>
      </c>
      <c r="I97" s="197">
        <v>40</v>
      </c>
      <c r="J97" s="197">
        <v>80</v>
      </c>
      <c r="K97" s="197">
        <v>0</v>
      </c>
      <c r="L97" s="197">
        <v>80</v>
      </c>
      <c r="M97" s="198">
        <v>0</v>
      </c>
      <c r="N97" s="48" t="s">
        <v>1407</v>
      </c>
      <c r="O97" s="48" t="s">
        <v>183</v>
      </c>
      <c r="P97" s="48" t="s">
        <v>25</v>
      </c>
      <c r="Q97" s="48" t="s">
        <v>488</v>
      </c>
      <c r="R97" s="48" t="s">
        <v>364</v>
      </c>
      <c r="S97" s="48" t="s">
        <v>1659</v>
      </c>
      <c r="T97" s="114" t="s">
        <v>1617</v>
      </c>
      <c r="U97" s="48" t="s">
        <v>1684</v>
      </c>
      <c r="V97" s="39"/>
      <c r="W97" s="41"/>
      <c r="X97" s="41" t="s">
        <v>2783</v>
      </c>
      <c r="Y97" s="50"/>
    </row>
    <row r="98" spans="1:25" customFormat="1" ht="14.4" x14ac:dyDescent="0.3">
      <c r="A98" s="48">
        <f t="shared" si="6"/>
        <v>3</v>
      </c>
      <c r="B98" s="113">
        <v>46034</v>
      </c>
      <c r="C98" s="48" t="str">
        <f t="shared" si="5"/>
        <v>enero</v>
      </c>
      <c r="D98" s="48" t="s">
        <v>2135</v>
      </c>
      <c r="E98" s="42" t="s">
        <v>477</v>
      </c>
      <c r="F98" s="47" t="s">
        <v>559</v>
      </c>
      <c r="G98" s="48">
        <v>1</v>
      </c>
      <c r="H98" s="48" t="s">
        <v>2138</v>
      </c>
      <c r="I98" s="197">
        <v>588</v>
      </c>
      <c r="J98" s="197">
        <v>588</v>
      </c>
      <c r="K98" s="197">
        <v>0</v>
      </c>
      <c r="L98" s="197">
        <v>588</v>
      </c>
      <c r="M98" s="198">
        <v>0</v>
      </c>
      <c r="N98" s="48" t="s">
        <v>1401</v>
      </c>
      <c r="O98" s="48" t="s">
        <v>347</v>
      </c>
      <c r="P98" s="48" t="s">
        <v>25</v>
      </c>
      <c r="Q98" s="48" t="s">
        <v>1766</v>
      </c>
      <c r="R98" s="48" t="s">
        <v>2727</v>
      </c>
      <c r="S98" s="48" t="s">
        <v>560</v>
      </c>
      <c r="T98" s="114" t="s">
        <v>1617</v>
      </c>
      <c r="U98" s="48"/>
      <c r="V98" s="39"/>
      <c r="W98" s="41"/>
      <c r="X98" s="50"/>
      <c r="Y98" s="50"/>
    </row>
    <row r="99" spans="1:25" customFormat="1" ht="14.4" x14ac:dyDescent="0.3">
      <c r="A99" s="48">
        <f t="shared" si="6"/>
        <v>3</v>
      </c>
      <c r="B99" s="113">
        <v>46034</v>
      </c>
      <c r="C99" s="48" t="str">
        <f t="shared" si="5"/>
        <v>enero</v>
      </c>
      <c r="D99" s="48" t="s">
        <v>2135</v>
      </c>
      <c r="E99" s="42" t="s">
        <v>477</v>
      </c>
      <c r="F99" s="47" t="s">
        <v>559</v>
      </c>
      <c r="G99" s="48">
        <v>1</v>
      </c>
      <c r="H99" s="48" t="s">
        <v>2138</v>
      </c>
      <c r="I99" s="202">
        <v>610</v>
      </c>
      <c r="J99" s="197">
        <v>610</v>
      </c>
      <c r="K99" s="197">
        <v>0</v>
      </c>
      <c r="L99" s="197">
        <v>610</v>
      </c>
      <c r="M99" s="198">
        <v>0</v>
      </c>
      <c r="N99" s="48" t="s">
        <v>1617</v>
      </c>
      <c r="O99" s="48" t="s">
        <v>2033</v>
      </c>
      <c r="P99" s="49" t="s">
        <v>1321</v>
      </c>
      <c r="Q99" s="48" t="s">
        <v>1766</v>
      </c>
      <c r="R99" s="48" t="s">
        <v>364</v>
      </c>
      <c r="S99" s="48" t="s">
        <v>1827</v>
      </c>
      <c r="T99" s="114" t="s">
        <v>1617</v>
      </c>
      <c r="U99" s="38"/>
      <c r="V99" s="49" t="s">
        <v>2145</v>
      </c>
      <c r="X99" s="50"/>
      <c r="Y99" s="50"/>
    </row>
    <row r="100" spans="1:25" customFormat="1" ht="14.4" x14ac:dyDescent="0.3">
      <c r="A100" s="48">
        <f t="shared" si="6"/>
        <v>3</v>
      </c>
      <c r="B100" s="113">
        <v>46035</v>
      </c>
      <c r="C100" s="48" t="str">
        <f t="shared" si="5"/>
        <v>enero</v>
      </c>
      <c r="D100" s="48" t="s">
        <v>2135</v>
      </c>
      <c r="E100" s="42" t="s">
        <v>2728</v>
      </c>
      <c r="F100" s="47" t="s">
        <v>1687</v>
      </c>
      <c r="G100" s="48">
        <v>1</v>
      </c>
      <c r="H100" s="48" t="s">
        <v>1705</v>
      </c>
      <c r="I100" s="197">
        <v>350</v>
      </c>
      <c r="J100" s="197">
        <v>350</v>
      </c>
      <c r="K100" s="197">
        <v>0</v>
      </c>
      <c r="L100" s="197">
        <v>350</v>
      </c>
      <c r="M100" s="198">
        <v>0</v>
      </c>
      <c r="N100" s="48" t="s">
        <v>1403</v>
      </c>
      <c r="O100" s="48" t="s">
        <v>195</v>
      </c>
      <c r="P100" s="48" t="s">
        <v>39</v>
      </c>
      <c r="Q100" s="48" t="s">
        <v>241</v>
      </c>
      <c r="R100" s="48" t="s">
        <v>364</v>
      </c>
      <c r="S100" s="48" t="s">
        <v>1688</v>
      </c>
      <c r="T100" s="114" t="s">
        <v>1617</v>
      </c>
      <c r="U100" s="48" t="s">
        <v>1689</v>
      </c>
      <c r="V100" s="39"/>
      <c r="W100" s="41"/>
      <c r="X100" s="41" t="s">
        <v>2784</v>
      </c>
      <c r="Y100" s="50"/>
    </row>
    <row r="101" spans="1:25" customFormat="1" ht="14.4" x14ac:dyDescent="0.3">
      <c r="A101" s="48">
        <f t="shared" si="6"/>
        <v>3</v>
      </c>
      <c r="B101" s="113">
        <v>46035</v>
      </c>
      <c r="C101" s="48" t="str">
        <f t="shared" si="5"/>
        <v>enero</v>
      </c>
      <c r="D101" s="48" t="s">
        <v>2135</v>
      </c>
      <c r="E101" s="42" t="s">
        <v>2728</v>
      </c>
      <c r="F101" s="47" t="s">
        <v>2785</v>
      </c>
      <c r="G101" s="48">
        <v>1</v>
      </c>
      <c r="H101" s="48" t="s">
        <v>1705</v>
      </c>
      <c r="I101" s="197">
        <v>1399.6120000000001</v>
      </c>
      <c r="J101" s="197">
        <v>1399.6120000000001</v>
      </c>
      <c r="K101" s="197">
        <v>223.93792000000002</v>
      </c>
      <c r="L101" s="200">
        <v>1623.5499200000002</v>
      </c>
      <c r="M101" s="198">
        <v>0</v>
      </c>
      <c r="N101" s="48" t="s">
        <v>1617</v>
      </c>
      <c r="O101" s="48" t="s">
        <v>1409</v>
      </c>
      <c r="P101" s="48" t="s">
        <v>25</v>
      </c>
      <c r="Q101" s="48" t="s">
        <v>241</v>
      </c>
      <c r="R101" s="48" t="s">
        <v>364</v>
      </c>
      <c r="S101" s="48" t="s">
        <v>1847</v>
      </c>
      <c r="T101" s="114" t="s">
        <v>1848</v>
      </c>
      <c r="U101" s="48" t="s">
        <v>1839</v>
      </c>
      <c r="V101" s="45" t="s">
        <v>2786</v>
      </c>
      <c r="W101" s="41" t="s">
        <v>1617</v>
      </c>
      <c r="X101" s="41" t="s">
        <v>2787</v>
      </c>
      <c r="Y101" s="50"/>
    </row>
    <row r="102" spans="1:25" customFormat="1" ht="14.4" x14ac:dyDescent="0.3">
      <c r="A102" s="48">
        <f t="shared" si="6"/>
        <v>3</v>
      </c>
      <c r="B102" s="113">
        <v>46035</v>
      </c>
      <c r="C102" s="48" t="str">
        <f t="shared" si="5"/>
        <v>enero</v>
      </c>
      <c r="D102" s="48" t="s">
        <v>2135</v>
      </c>
      <c r="E102" s="42" t="s">
        <v>2728</v>
      </c>
      <c r="F102" s="47" t="s">
        <v>280</v>
      </c>
      <c r="G102" s="48">
        <v>1</v>
      </c>
      <c r="H102" s="48" t="s">
        <v>1705</v>
      </c>
      <c r="I102" s="197">
        <v>619.95680000000004</v>
      </c>
      <c r="J102" s="197">
        <v>619.95680000000004</v>
      </c>
      <c r="K102" s="197">
        <v>99.193088000000003</v>
      </c>
      <c r="L102" s="200">
        <v>719.14988800000003</v>
      </c>
      <c r="M102" s="198">
        <v>0</v>
      </c>
      <c r="N102" s="48" t="s">
        <v>1617</v>
      </c>
      <c r="O102" s="48" t="s">
        <v>1409</v>
      </c>
      <c r="P102" s="48" t="s">
        <v>25</v>
      </c>
      <c r="Q102" s="48" t="s">
        <v>241</v>
      </c>
      <c r="R102" s="48" t="s">
        <v>364</v>
      </c>
      <c r="S102" s="48" t="s">
        <v>1847</v>
      </c>
      <c r="T102" s="114" t="s">
        <v>1848</v>
      </c>
      <c r="U102" s="48" t="s">
        <v>1839</v>
      </c>
      <c r="V102" s="45" t="s">
        <v>2786</v>
      </c>
      <c r="W102" s="41" t="s">
        <v>1617</v>
      </c>
      <c r="X102" s="41" t="s">
        <v>2787</v>
      </c>
      <c r="Y102" s="50"/>
    </row>
    <row r="103" spans="1:25" customFormat="1" ht="14.4" x14ac:dyDescent="0.3">
      <c r="A103" s="48">
        <f t="shared" si="6"/>
        <v>3</v>
      </c>
      <c r="B103" s="113">
        <v>46035</v>
      </c>
      <c r="C103" s="48" t="str">
        <f t="shared" si="5"/>
        <v>enero</v>
      </c>
      <c r="D103" s="48" t="s">
        <v>2135</v>
      </c>
      <c r="E103" s="42" t="s">
        <v>2728</v>
      </c>
      <c r="F103" s="47" t="s">
        <v>2788</v>
      </c>
      <c r="G103" s="48">
        <v>1</v>
      </c>
      <c r="H103" s="48" t="s">
        <v>1705</v>
      </c>
      <c r="I103" s="197">
        <v>604.39649999999995</v>
      </c>
      <c r="J103" s="197">
        <v>604.39649999999995</v>
      </c>
      <c r="K103" s="197">
        <v>96.703440000000001</v>
      </c>
      <c r="L103" s="200">
        <v>701.09993999999995</v>
      </c>
      <c r="M103" s="198">
        <v>0</v>
      </c>
      <c r="N103" s="48" t="s">
        <v>1617</v>
      </c>
      <c r="O103" s="48" t="s">
        <v>1409</v>
      </c>
      <c r="P103" s="48" t="s">
        <v>25</v>
      </c>
      <c r="Q103" s="48" t="s">
        <v>241</v>
      </c>
      <c r="R103" s="48" t="s">
        <v>364</v>
      </c>
      <c r="S103" s="48" t="s">
        <v>1847</v>
      </c>
      <c r="T103" s="114" t="s">
        <v>1848</v>
      </c>
      <c r="U103" s="48" t="s">
        <v>1839</v>
      </c>
      <c r="V103" s="45" t="s">
        <v>2786</v>
      </c>
      <c r="W103" s="41" t="s">
        <v>1617</v>
      </c>
      <c r="X103" s="41" t="s">
        <v>2787</v>
      </c>
      <c r="Y103" s="50"/>
    </row>
    <row r="104" spans="1:25" customFormat="1" ht="14.4" x14ac:dyDescent="0.3">
      <c r="A104" s="48">
        <f t="shared" si="6"/>
        <v>3</v>
      </c>
      <c r="B104" s="113">
        <v>46035</v>
      </c>
      <c r="C104" s="48" t="str">
        <f t="shared" si="5"/>
        <v>enero</v>
      </c>
      <c r="D104" s="48" t="s">
        <v>2135</v>
      </c>
      <c r="E104" s="42" t="s">
        <v>2728</v>
      </c>
      <c r="F104" s="47" t="s">
        <v>2789</v>
      </c>
      <c r="G104" s="48">
        <v>1</v>
      </c>
      <c r="H104" s="48" t="s">
        <v>1705</v>
      </c>
      <c r="I104" s="197">
        <v>435.68959999999998</v>
      </c>
      <c r="J104" s="197">
        <v>435.68959999999998</v>
      </c>
      <c r="K104" s="197">
        <v>69.710335999999998</v>
      </c>
      <c r="L104" s="200">
        <v>505.39993599999997</v>
      </c>
      <c r="M104" s="198">
        <v>0</v>
      </c>
      <c r="N104" s="48" t="s">
        <v>1617</v>
      </c>
      <c r="O104" s="48" t="s">
        <v>1409</v>
      </c>
      <c r="P104" s="48" t="s">
        <v>25</v>
      </c>
      <c r="Q104" s="48" t="s">
        <v>241</v>
      </c>
      <c r="R104" s="48" t="s">
        <v>364</v>
      </c>
      <c r="S104" s="48" t="s">
        <v>1847</v>
      </c>
      <c r="T104" s="114" t="s">
        <v>1848</v>
      </c>
      <c r="U104" s="48" t="s">
        <v>1839</v>
      </c>
      <c r="V104" s="45" t="s">
        <v>2786</v>
      </c>
      <c r="W104" s="41" t="s">
        <v>1617</v>
      </c>
      <c r="X104" s="41" t="s">
        <v>2787</v>
      </c>
      <c r="Y104" s="50"/>
    </row>
    <row r="105" spans="1:25" customFormat="1" ht="14.4" x14ac:dyDescent="0.3">
      <c r="A105" s="48">
        <f t="shared" si="6"/>
        <v>3</v>
      </c>
      <c r="B105" s="113">
        <v>46035</v>
      </c>
      <c r="C105" s="48" t="str">
        <f t="shared" si="5"/>
        <v>enero</v>
      </c>
      <c r="D105" s="48" t="s">
        <v>2135</v>
      </c>
      <c r="E105" s="42" t="s">
        <v>2728</v>
      </c>
      <c r="F105" s="47" t="s">
        <v>2790</v>
      </c>
      <c r="G105" s="48">
        <v>1</v>
      </c>
      <c r="H105" s="48" t="s">
        <v>1705</v>
      </c>
      <c r="I105" s="197">
        <v>217.84479999999999</v>
      </c>
      <c r="J105" s="197">
        <v>217.84479999999999</v>
      </c>
      <c r="K105" s="197">
        <v>34.855167999999999</v>
      </c>
      <c r="L105" s="200">
        <v>252.69996799999998</v>
      </c>
      <c r="M105" s="198">
        <v>0</v>
      </c>
      <c r="N105" s="48" t="s">
        <v>1617</v>
      </c>
      <c r="O105" s="48" t="s">
        <v>1409</v>
      </c>
      <c r="P105" s="48" t="s">
        <v>25</v>
      </c>
      <c r="Q105" s="48" t="s">
        <v>241</v>
      </c>
      <c r="R105" s="48" t="s">
        <v>364</v>
      </c>
      <c r="S105" s="48" t="s">
        <v>1847</v>
      </c>
      <c r="T105" s="114" t="s">
        <v>1848</v>
      </c>
      <c r="U105" s="48" t="s">
        <v>1839</v>
      </c>
      <c r="V105" s="45" t="s">
        <v>2786</v>
      </c>
      <c r="W105" s="41" t="s">
        <v>1617</v>
      </c>
      <c r="X105" s="41" t="s">
        <v>2787</v>
      </c>
      <c r="Y105" s="50"/>
    </row>
    <row r="106" spans="1:25" customFormat="1" ht="14.4" x14ac:dyDescent="0.3">
      <c r="A106" s="48">
        <f t="shared" si="6"/>
        <v>3</v>
      </c>
      <c r="B106" s="113">
        <v>46035</v>
      </c>
      <c r="C106" s="48" t="str">
        <f t="shared" si="5"/>
        <v>enero</v>
      </c>
      <c r="D106" s="48" t="s">
        <v>2135</v>
      </c>
      <c r="E106" s="42" t="s">
        <v>2728</v>
      </c>
      <c r="F106" s="47" t="s">
        <v>2791</v>
      </c>
      <c r="G106" s="48">
        <v>1</v>
      </c>
      <c r="H106" s="48" t="s">
        <v>1705</v>
      </c>
      <c r="I106" s="197">
        <v>217.84479999999999</v>
      </c>
      <c r="J106" s="197">
        <v>217.84479999999999</v>
      </c>
      <c r="K106" s="197">
        <v>34.855167999999999</v>
      </c>
      <c r="L106" s="200">
        <v>252.69996799999998</v>
      </c>
      <c r="M106" s="198">
        <v>0</v>
      </c>
      <c r="N106" s="48" t="s">
        <v>1617</v>
      </c>
      <c r="O106" s="48" t="s">
        <v>1409</v>
      </c>
      <c r="P106" s="48" t="s">
        <v>25</v>
      </c>
      <c r="Q106" s="48" t="s">
        <v>241</v>
      </c>
      <c r="R106" s="48" t="s">
        <v>364</v>
      </c>
      <c r="S106" s="48" t="s">
        <v>1847</v>
      </c>
      <c r="T106" s="114" t="s">
        <v>1848</v>
      </c>
      <c r="U106" s="48" t="s">
        <v>1839</v>
      </c>
      <c r="V106" s="45" t="s">
        <v>2786</v>
      </c>
      <c r="W106" s="41" t="s">
        <v>1617</v>
      </c>
      <c r="X106" s="41" t="s">
        <v>2787</v>
      </c>
      <c r="Y106" s="50"/>
    </row>
    <row r="107" spans="1:25" customFormat="1" ht="14.4" x14ac:dyDescent="0.3">
      <c r="A107" s="48">
        <f t="shared" si="6"/>
        <v>3</v>
      </c>
      <c r="B107" s="113">
        <v>46035</v>
      </c>
      <c r="C107" s="48" t="str">
        <f t="shared" si="5"/>
        <v>enero</v>
      </c>
      <c r="D107" s="48" t="s">
        <v>2135</v>
      </c>
      <c r="E107" s="42" t="s">
        <v>2728</v>
      </c>
      <c r="F107" s="47" t="s">
        <v>1812</v>
      </c>
      <c r="G107" s="48">
        <v>2</v>
      </c>
      <c r="H107" s="48" t="s">
        <v>1705</v>
      </c>
      <c r="I107" s="197">
        <v>703.49130000000002</v>
      </c>
      <c r="J107" s="197">
        <v>1406.9826</v>
      </c>
      <c r="K107" s="197">
        <v>225.11721600000001</v>
      </c>
      <c r="L107" s="200">
        <v>1632.0998160000001</v>
      </c>
      <c r="M107" s="198">
        <v>0</v>
      </c>
      <c r="N107" s="48" t="s">
        <v>1617</v>
      </c>
      <c r="O107" s="48" t="s">
        <v>1409</v>
      </c>
      <c r="P107" s="48" t="s">
        <v>25</v>
      </c>
      <c r="Q107" s="48" t="s">
        <v>241</v>
      </c>
      <c r="R107" s="48" t="s">
        <v>364</v>
      </c>
      <c r="S107" s="48" t="s">
        <v>1847</v>
      </c>
      <c r="T107" s="114" t="s">
        <v>1848</v>
      </c>
      <c r="U107" s="48" t="s">
        <v>1839</v>
      </c>
      <c r="V107" s="45" t="s">
        <v>2786</v>
      </c>
      <c r="W107" s="41" t="s">
        <v>1617</v>
      </c>
      <c r="X107" s="41" t="s">
        <v>2787</v>
      </c>
      <c r="Y107" s="50"/>
    </row>
    <row r="108" spans="1:25" customFormat="1" ht="14.4" x14ac:dyDescent="0.3">
      <c r="A108" s="48">
        <f t="shared" si="6"/>
        <v>3</v>
      </c>
      <c r="B108" s="113">
        <v>46035</v>
      </c>
      <c r="C108" s="48" t="str">
        <f t="shared" si="5"/>
        <v>enero</v>
      </c>
      <c r="D108" s="48" t="s">
        <v>2135</v>
      </c>
      <c r="E108" s="42" t="s">
        <v>2728</v>
      </c>
      <c r="F108" s="47" t="s">
        <v>2792</v>
      </c>
      <c r="G108" s="48">
        <v>1</v>
      </c>
      <c r="H108" s="48" t="s">
        <v>1705</v>
      </c>
      <c r="I108" s="197">
        <v>384.91370000000001</v>
      </c>
      <c r="J108" s="197">
        <v>384.91370000000001</v>
      </c>
      <c r="K108" s="197">
        <v>61.586192000000004</v>
      </c>
      <c r="L108" s="200">
        <v>446.49989199999999</v>
      </c>
      <c r="M108" s="198">
        <v>0</v>
      </c>
      <c r="N108" s="48" t="s">
        <v>1617</v>
      </c>
      <c r="O108" s="48" t="s">
        <v>1409</v>
      </c>
      <c r="P108" s="48" t="s">
        <v>25</v>
      </c>
      <c r="Q108" s="48" t="s">
        <v>241</v>
      </c>
      <c r="R108" s="48" t="s">
        <v>364</v>
      </c>
      <c r="S108" s="48" t="s">
        <v>1847</v>
      </c>
      <c r="T108" s="114" t="s">
        <v>1848</v>
      </c>
      <c r="U108" s="48" t="s">
        <v>1839</v>
      </c>
      <c r="V108" s="45" t="s">
        <v>2786</v>
      </c>
      <c r="W108" s="41" t="s">
        <v>1617</v>
      </c>
      <c r="X108" s="41" t="s">
        <v>2787</v>
      </c>
      <c r="Y108" s="50"/>
    </row>
    <row r="109" spans="1:25" customFormat="1" ht="14.4" x14ac:dyDescent="0.3">
      <c r="A109" s="48">
        <f t="shared" si="6"/>
        <v>3</v>
      </c>
      <c r="B109" s="113">
        <v>46035</v>
      </c>
      <c r="C109" s="48" t="str">
        <f t="shared" si="5"/>
        <v>enero</v>
      </c>
      <c r="D109" s="48" t="s">
        <v>2135</v>
      </c>
      <c r="E109" s="42" t="s">
        <v>2728</v>
      </c>
      <c r="F109" s="47" t="s">
        <v>2793</v>
      </c>
      <c r="G109" s="48">
        <v>1</v>
      </c>
      <c r="H109" s="48" t="s">
        <v>1705</v>
      </c>
      <c r="I109" s="197">
        <v>251.42240000000001</v>
      </c>
      <c r="J109" s="197">
        <v>251.42240000000001</v>
      </c>
      <c r="K109" s="197">
        <v>40.227584</v>
      </c>
      <c r="L109" s="200">
        <v>291.64998400000002</v>
      </c>
      <c r="M109" s="198">
        <v>0</v>
      </c>
      <c r="N109" s="48" t="s">
        <v>1617</v>
      </c>
      <c r="O109" s="48" t="s">
        <v>1409</v>
      </c>
      <c r="P109" s="48" t="s">
        <v>25</v>
      </c>
      <c r="Q109" s="48" t="s">
        <v>241</v>
      </c>
      <c r="R109" s="48" t="s">
        <v>364</v>
      </c>
      <c r="S109" s="48" t="s">
        <v>1847</v>
      </c>
      <c r="T109" s="114" t="s">
        <v>1848</v>
      </c>
      <c r="U109" s="48" t="s">
        <v>1839</v>
      </c>
      <c r="V109" s="45" t="s">
        <v>2786</v>
      </c>
      <c r="W109" s="41" t="s">
        <v>1617</v>
      </c>
      <c r="X109" s="41" t="s">
        <v>2787</v>
      </c>
      <c r="Y109" s="50"/>
    </row>
    <row r="110" spans="1:25" customFormat="1" ht="14.4" x14ac:dyDescent="0.3">
      <c r="A110" s="48">
        <f t="shared" si="6"/>
        <v>3</v>
      </c>
      <c r="B110" s="113">
        <v>46035</v>
      </c>
      <c r="C110" s="48" t="str">
        <f t="shared" si="5"/>
        <v>enero</v>
      </c>
      <c r="D110" s="48" t="s">
        <v>2135</v>
      </c>
      <c r="E110" s="42" t="s">
        <v>2728</v>
      </c>
      <c r="F110" s="47" t="s">
        <v>2794</v>
      </c>
      <c r="G110" s="48">
        <v>1</v>
      </c>
      <c r="H110" s="48" t="s">
        <v>1705</v>
      </c>
      <c r="I110" s="197">
        <v>1205.5172</v>
      </c>
      <c r="J110" s="197">
        <v>1205.5172</v>
      </c>
      <c r="K110" s="197">
        <v>192.88275200000001</v>
      </c>
      <c r="L110" s="200">
        <v>1398.399952</v>
      </c>
      <c r="M110" s="198">
        <v>0</v>
      </c>
      <c r="N110" s="48" t="s">
        <v>1617</v>
      </c>
      <c r="O110" s="48" t="s">
        <v>1409</v>
      </c>
      <c r="P110" s="48" t="s">
        <v>25</v>
      </c>
      <c r="Q110" s="48" t="s">
        <v>241</v>
      </c>
      <c r="R110" s="48" t="s">
        <v>364</v>
      </c>
      <c r="S110" s="48" t="s">
        <v>1847</v>
      </c>
      <c r="T110" s="114" t="s">
        <v>1848</v>
      </c>
      <c r="U110" s="48" t="s">
        <v>1839</v>
      </c>
      <c r="V110" s="45" t="s">
        <v>2786</v>
      </c>
      <c r="W110" s="41" t="s">
        <v>1617</v>
      </c>
      <c r="X110" s="41" t="s">
        <v>2787</v>
      </c>
      <c r="Y110" s="50"/>
    </row>
    <row r="111" spans="1:25" customFormat="1" ht="14.4" x14ac:dyDescent="0.3">
      <c r="A111" s="48">
        <f t="shared" si="6"/>
        <v>3</v>
      </c>
      <c r="B111" s="113">
        <v>46035</v>
      </c>
      <c r="C111" s="48" t="str">
        <f t="shared" si="5"/>
        <v>enero</v>
      </c>
      <c r="D111" s="48" t="s">
        <v>2135</v>
      </c>
      <c r="E111" s="42" t="s">
        <v>2728</v>
      </c>
      <c r="F111" s="47" t="s">
        <v>2795</v>
      </c>
      <c r="G111" s="48">
        <v>1</v>
      </c>
      <c r="H111" s="48" t="s">
        <v>1705</v>
      </c>
      <c r="I111" s="197">
        <v>580.64649999999995</v>
      </c>
      <c r="J111" s="197">
        <v>580.64649999999995</v>
      </c>
      <c r="K111" s="197">
        <v>92.903439999999989</v>
      </c>
      <c r="L111" s="200">
        <v>673.54993999999988</v>
      </c>
      <c r="M111" s="198">
        <v>0</v>
      </c>
      <c r="N111" s="48" t="s">
        <v>1617</v>
      </c>
      <c r="O111" s="48" t="s">
        <v>1409</v>
      </c>
      <c r="P111" s="48" t="s">
        <v>25</v>
      </c>
      <c r="Q111" s="48" t="s">
        <v>241</v>
      </c>
      <c r="R111" s="48" t="s">
        <v>364</v>
      </c>
      <c r="S111" s="48" t="s">
        <v>1847</v>
      </c>
      <c r="T111" s="114" t="s">
        <v>1848</v>
      </c>
      <c r="U111" s="48" t="s">
        <v>1839</v>
      </c>
      <c r="V111" s="45" t="s">
        <v>2786</v>
      </c>
      <c r="W111" s="41" t="s">
        <v>1617</v>
      </c>
      <c r="X111" s="41" t="s">
        <v>2787</v>
      </c>
      <c r="Y111" s="50"/>
    </row>
    <row r="112" spans="1:25" customFormat="1" ht="14.4" x14ac:dyDescent="0.3">
      <c r="A112" s="48">
        <f t="shared" si="6"/>
        <v>3</v>
      </c>
      <c r="B112" s="113">
        <v>46035</v>
      </c>
      <c r="C112" s="48" t="str">
        <f t="shared" si="5"/>
        <v>enero</v>
      </c>
      <c r="D112" s="48" t="s">
        <v>2135</v>
      </c>
      <c r="E112" s="42" t="s">
        <v>2728</v>
      </c>
      <c r="F112" s="47" t="s">
        <v>2796</v>
      </c>
      <c r="G112" s="48">
        <v>1</v>
      </c>
      <c r="H112" s="48" t="s">
        <v>1705</v>
      </c>
      <c r="I112" s="197">
        <v>301.3793</v>
      </c>
      <c r="J112" s="197">
        <v>301.3793</v>
      </c>
      <c r="K112" s="197">
        <v>48.220688000000003</v>
      </c>
      <c r="L112" s="200">
        <v>349.599988</v>
      </c>
      <c r="M112" s="198">
        <v>0</v>
      </c>
      <c r="N112" s="48" t="s">
        <v>1617</v>
      </c>
      <c r="O112" s="48" t="s">
        <v>1409</v>
      </c>
      <c r="P112" s="48" t="s">
        <v>25</v>
      </c>
      <c r="Q112" s="48" t="s">
        <v>241</v>
      </c>
      <c r="R112" s="48" t="s">
        <v>364</v>
      </c>
      <c r="S112" s="48" t="s">
        <v>1847</v>
      </c>
      <c r="T112" s="114" t="s">
        <v>1848</v>
      </c>
      <c r="U112" s="48" t="s">
        <v>1839</v>
      </c>
      <c r="V112" s="45" t="s">
        <v>2786</v>
      </c>
      <c r="W112" s="41" t="s">
        <v>1617</v>
      </c>
      <c r="X112" s="41" t="s">
        <v>2787</v>
      </c>
      <c r="Y112" s="50"/>
    </row>
    <row r="113" spans="1:25" customFormat="1" ht="14.4" x14ac:dyDescent="0.3">
      <c r="A113" s="48">
        <f t="shared" si="6"/>
        <v>3</v>
      </c>
      <c r="B113" s="113">
        <v>46035</v>
      </c>
      <c r="C113" s="48" t="str">
        <f t="shared" si="5"/>
        <v>enero</v>
      </c>
      <c r="D113" s="48" t="s">
        <v>2135</v>
      </c>
      <c r="E113" s="42" t="s">
        <v>2728</v>
      </c>
      <c r="F113" s="47" t="s">
        <v>2797</v>
      </c>
      <c r="G113" s="48">
        <v>1</v>
      </c>
      <c r="H113" s="48" t="s">
        <v>1705</v>
      </c>
      <c r="I113" s="197">
        <v>204.7413</v>
      </c>
      <c r="J113" s="197">
        <v>204.7413</v>
      </c>
      <c r="K113" s="197">
        <v>32.758608000000002</v>
      </c>
      <c r="L113" s="200">
        <v>237.499908</v>
      </c>
      <c r="M113" s="198">
        <v>0</v>
      </c>
      <c r="N113" s="48" t="s">
        <v>1617</v>
      </c>
      <c r="O113" s="48" t="s">
        <v>1409</v>
      </c>
      <c r="P113" s="48" t="s">
        <v>25</v>
      </c>
      <c r="Q113" s="48" t="s">
        <v>241</v>
      </c>
      <c r="R113" s="48" t="s">
        <v>364</v>
      </c>
      <c r="S113" s="48" t="s">
        <v>1847</v>
      </c>
      <c r="T113" s="114" t="s">
        <v>1848</v>
      </c>
      <c r="U113" s="48" t="s">
        <v>1839</v>
      </c>
      <c r="V113" s="45" t="s">
        <v>2786</v>
      </c>
      <c r="W113" s="41" t="s">
        <v>1617</v>
      </c>
      <c r="X113" s="41" t="s">
        <v>2787</v>
      </c>
      <c r="Y113" s="50"/>
    </row>
    <row r="114" spans="1:25" customFormat="1" ht="14.4" x14ac:dyDescent="0.3">
      <c r="A114" s="48">
        <f t="shared" si="6"/>
        <v>3</v>
      </c>
      <c r="B114" s="113">
        <v>46035</v>
      </c>
      <c r="C114" s="48" t="str">
        <f t="shared" si="5"/>
        <v>enero</v>
      </c>
      <c r="D114" s="48" t="s">
        <v>2135</v>
      </c>
      <c r="E114" s="42" t="s">
        <v>2728</v>
      </c>
      <c r="F114" s="47" t="s">
        <v>2798</v>
      </c>
      <c r="G114" s="48">
        <v>2</v>
      </c>
      <c r="H114" s="48" t="s">
        <v>1705</v>
      </c>
      <c r="I114" s="197">
        <v>47.500000000000007</v>
      </c>
      <c r="J114" s="197">
        <v>95.000000000000014</v>
      </c>
      <c r="K114" s="197">
        <v>15.200000000000001</v>
      </c>
      <c r="L114" s="200">
        <v>110.2</v>
      </c>
      <c r="M114" s="198">
        <v>0</v>
      </c>
      <c r="N114" s="48" t="s">
        <v>1617</v>
      </c>
      <c r="O114" s="48" t="s">
        <v>1409</v>
      </c>
      <c r="P114" s="48" t="s">
        <v>25</v>
      </c>
      <c r="Q114" s="48" t="s">
        <v>241</v>
      </c>
      <c r="R114" s="48" t="s">
        <v>364</v>
      </c>
      <c r="S114" s="48" t="s">
        <v>1847</v>
      </c>
      <c r="T114" s="114" t="s">
        <v>1848</v>
      </c>
      <c r="U114" s="48" t="s">
        <v>2799</v>
      </c>
      <c r="V114" s="45" t="s">
        <v>2800</v>
      </c>
      <c r="W114" s="41" t="s">
        <v>1617</v>
      </c>
      <c r="X114" s="41" t="s">
        <v>2787</v>
      </c>
      <c r="Y114" s="50"/>
    </row>
    <row r="115" spans="1:25" customFormat="1" ht="14.4" x14ac:dyDescent="0.3">
      <c r="A115" s="48">
        <f t="shared" si="6"/>
        <v>3</v>
      </c>
      <c r="B115" s="113">
        <v>46035</v>
      </c>
      <c r="C115" s="48" t="str">
        <f t="shared" si="5"/>
        <v>enero</v>
      </c>
      <c r="D115" s="48" t="s">
        <v>2135</v>
      </c>
      <c r="E115" s="42" t="s">
        <v>2728</v>
      </c>
      <c r="F115" s="47" t="s">
        <v>2757</v>
      </c>
      <c r="G115" s="48">
        <v>1</v>
      </c>
      <c r="H115" s="48" t="s">
        <v>1705</v>
      </c>
      <c r="I115" s="197">
        <v>826.27</v>
      </c>
      <c r="J115" s="197">
        <v>826.27</v>
      </c>
      <c r="K115" s="197">
        <v>0</v>
      </c>
      <c r="L115" s="201">
        <v>826.27</v>
      </c>
      <c r="M115" s="198">
        <v>0</v>
      </c>
      <c r="N115" s="48" t="s">
        <v>1088</v>
      </c>
      <c r="O115" s="48" t="s">
        <v>257</v>
      </c>
      <c r="P115" s="48" t="s">
        <v>25</v>
      </c>
      <c r="Q115" s="48" t="s">
        <v>241</v>
      </c>
      <c r="R115" s="48" t="s">
        <v>2801</v>
      </c>
      <c r="S115" s="48" t="s">
        <v>631</v>
      </c>
      <c r="T115" s="114" t="s">
        <v>1617</v>
      </c>
      <c r="U115" s="48"/>
      <c r="V115" s="39"/>
      <c r="W115" s="41"/>
      <c r="X115" s="41" t="s">
        <v>2802</v>
      </c>
      <c r="Y115" s="50"/>
    </row>
    <row r="116" spans="1:25" customFormat="1" ht="14.4" x14ac:dyDescent="0.3">
      <c r="A116" s="48">
        <f t="shared" si="6"/>
        <v>3</v>
      </c>
      <c r="B116" s="113">
        <v>46035</v>
      </c>
      <c r="C116" s="48" t="str">
        <f t="shared" si="5"/>
        <v>enero</v>
      </c>
      <c r="D116" s="48" t="s">
        <v>2135</v>
      </c>
      <c r="E116" s="42" t="s">
        <v>2728</v>
      </c>
      <c r="F116" s="47" t="s">
        <v>2755</v>
      </c>
      <c r="G116" s="48">
        <v>1</v>
      </c>
      <c r="H116" s="48" t="s">
        <v>1705</v>
      </c>
      <c r="I116" s="197">
        <v>826.27</v>
      </c>
      <c r="J116" s="197">
        <v>826.27</v>
      </c>
      <c r="K116" s="197">
        <v>0</v>
      </c>
      <c r="L116" s="201">
        <v>826.27</v>
      </c>
      <c r="M116" s="198">
        <v>0</v>
      </c>
      <c r="N116" s="48" t="s">
        <v>1088</v>
      </c>
      <c r="O116" s="48" t="s">
        <v>257</v>
      </c>
      <c r="P116" s="48" t="s">
        <v>25</v>
      </c>
      <c r="Q116" s="48" t="s">
        <v>241</v>
      </c>
      <c r="R116" s="48" t="s">
        <v>2801</v>
      </c>
      <c r="S116" s="48" t="s">
        <v>631</v>
      </c>
      <c r="T116" s="114" t="s">
        <v>1617</v>
      </c>
      <c r="U116" s="48"/>
      <c r="V116" s="39" t="s">
        <v>2803</v>
      </c>
      <c r="W116" s="41"/>
      <c r="X116" s="41" t="s">
        <v>2802</v>
      </c>
      <c r="Y116" s="50"/>
    </row>
    <row r="117" spans="1:25" customFormat="1" ht="14.4" x14ac:dyDescent="0.3">
      <c r="A117" s="48">
        <f t="shared" si="6"/>
        <v>3</v>
      </c>
      <c r="B117" s="113">
        <v>46035</v>
      </c>
      <c r="C117" s="48" t="str">
        <f t="shared" si="5"/>
        <v>enero</v>
      </c>
      <c r="D117" s="48" t="s">
        <v>2135</v>
      </c>
      <c r="E117" s="42" t="s">
        <v>2728</v>
      </c>
      <c r="F117" s="47" t="s">
        <v>2804</v>
      </c>
      <c r="G117" s="48">
        <v>10</v>
      </c>
      <c r="H117" s="48" t="s">
        <v>1705</v>
      </c>
      <c r="I117" s="197">
        <v>2.343</v>
      </c>
      <c r="J117" s="197">
        <v>23.43</v>
      </c>
      <c r="K117" s="197">
        <v>0</v>
      </c>
      <c r="L117" s="197">
        <v>23.43</v>
      </c>
      <c r="M117" s="198">
        <v>0</v>
      </c>
      <c r="N117" s="48" t="s">
        <v>1401</v>
      </c>
      <c r="O117" s="48" t="s">
        <v>347</v>
      </c>
      <c r="P117" s="48" t="s">
        <v>25</v>
      </c>
      <c r="Q117" s="48" t="s">
        <v>241</v>
      </c>
      <c r="R117" s="48" t="s">
        <v>2727</v>
      </c>
      <c r="S117" s="48" t="s">
        <v>1665</v>
      </c>
      <c r="T117" s="114" t="s">
        <v>1669</v>
      </c>
      <c r="U117" s="48"/>
      <c r="V117" s="39"/>
      <c r="W117" s="41"/>
      <c r="X117" s="41" t="s">
        <v>2805</v>
      </c>
      <c r="Y117" s="50"/>
    </row>
    <row r="118" spans="1:25" customFormat="1" ht="14.4" x14ac:dyDescent="0.3">
      <c r="A118" s="48">
        <f t="shared" si="6"/>
        <v>3</v>
      </c>
      <c r="B118" s="113">
        <v>46035</v>
      </c>
      <c r="C118" s="48" t="str">
        <f t="shared" si="5"/>
        <v>enero</v>
      </c>
      <c r="D118" s="48" t="s">
        <v>2135</v>
      </c>
      <c r="E118" s="42" t="s">
        <v>356</v>
      </c>
      <c r="F118" s="47" t="s">
        <v>127</v>
      </c>
      <c r="G118" s="48">
        <v>8.3079166666666655</v>
      </c>
      <c r="H118" s="48" t="s">
        <v>2017</v>
      </c>
      <c r="I118" s="197">
        <v>20.76</v>
      </c>
      <c r="J118" s="197">
        <f>+G118*I118</f>
        <v>172.47234999999998</v>
      </c>
      <c r="K118" s="197">
        <f>+J118*0.16</f>
        <v>27.595575999999998</v>
      </c>
      <c r="L118" s="197">
        <f>1200.407556/6</f>
        <v>200.06792600000003</v>
      </c>
      <c r="M118" s="198">
        <v>0</v>
      </c>
      <c r="N118" s="48" t="s">
        <v>1617</v>
      </c>
      <c r="O118" s="48" t="s">
        <v>2020</v>
      </c>
      <c r="P118" s="48" t="s">
        <v>1321</v>
      </c>
      <c r="Q118" s="48" t="s">
        <v>245</v>
      </c>
      <c r="R118" s="48" t="s">
        <v>2806</v>
      </c>
      <c r="S118" s="48" t="s">
        <v>1691</v>
      </c>
      <c r="T118" s="114" t="s">
        <v>2025</v>
      </c>
      <c r="U118" s="48"/>
      <c r="V118" s="39"/>
      <c r="W118" s="41"/>
      <c r="X118" s="41" t="s">
        <v>2807</v>
      </c>
      <c r="Y118" s="50"/>
    </row>
    <row r="119" spans="1:25" customFormat="1" ht="14.4" x14ac:dyDescent="0.3">
      <c r="A119" s="48">
        <f t="shared" si="6"/>
        <v>3</v>
      </c>
      <c r="B119" s="113">
        <v>46035</v>
      </c>
      <c r="C119" s="48" t="str">
        <f t="shared" si="5"/>
        <v>enero</v>
      </c>
      <c r="D119" s="48" t="s">
        <v>2135</v>
      </c>
      <c r="E119" s="42" t="s">
        <v>356</v>
      </c>
      <c r="F119" s="47" t="s">
        <v>127</v>
      </c>
      <c r="G119" s="48">
        <v>8.3079166666666655</v>
      </c>
      <c r="H119" s="48" t="s">
        <v>2017</v>
      </c>
      <c r="I119" s="197">
        <v>20.76</v>
      </c>
      <c r="J119" s="197">
        <f t="shared" ref="J119:J123" si="7">+G119*I119</f>
        <v>172.47234999999998</v>
      </c>
      <c r="K119" s="197">
        <f>+J119*0.16</f>
        <v>27.595575999999998</v>
      </c>
      <c r="L119" s="197">
        <f t="shared" ref="L119:L123" si="8">1200.407556/6</f>
        <v>200.06792600000003</v>
      </c>
      <c r="M119" s="198">
        <v>0</v>
      </c>
      <c r="N119" s="48" t="s">
        <v>1617</v>
      </c>
      <c r="O119" s="48" t="s">
        <v>1736</v>
      </c>
      <c r="P119" s="48" t="s">
        <v>1321</v>
      </c>
      <c r="Q119" s="48" t="s">
        <v>245</v>
      </c>
      <c r="R119" s="48" t="s">
        <v>2806</v>
      </c>
      <c r="S119" s="48" t="s">
        <v>1691</v>
      </c>
      <c r="T119" s="114" t="s">
        <v>2025</v>
      </c>
      <c r="U119" s="48"/>
      <c r="V119" s="39"/>
      <c r="W119" s="41"/>
      <c r="X119" s="41" t="s">
        <v>2807</v>
      </c>
      <c r="Y119" s="50"/>
    </row>
    <row r="120" spans="1:25" customFormat="1" ht="14.4" x14ac:dyDescent="0.3">
      <c r="A120" s="48">
        <f t="shared" si="6"/>
        <v>3</v>
      </c>
      <c r="B120" s="113">
        <v>46035</v>
      </c>
      <c r="C120" s="48" t="str">
        <f t="shared" si="5"/>
        <v>enero</v>
      </c>
      <c r="D120" s="48" t="s">
        <v>2135</v>
      </c>
      <c r="E120" s="42" t="s">
        <v>356</v>
      </c>
      <c r="F120" s="47" t="s">
        <v>127</v>
      </c>
      <c r="G120" s="48">
        <v>8.3079166666666655</v>
      </c>
      <c r="H120" s="48" t="s">
        <v>2017</v>
      </c>
      <c r="I120" s="197">
        <v>20.76</v>
      </c>
      <c r="J120" s="197">
        <f t="shared" si="7"/>
        <v>172.47234999999998</v>
      </c>
      <c r="K120" s="197">
        <f t="shared" ref="K120:K123" si="9">+J120*0.16</f>
        <v>27.595575999999998</v>
      </c>
      <c r="L120" s="197">
        <f t="shared" si="8"/>
        <v>200.06792600000003</v>
      </c>
      <c r="M120" s="198">
        <v>0</v>
      </c>
      <c r="N120" s="48" t="s">
        <v>1617</v>
      </c>
      <c r="O120" s="48" t="s">
        <v>2022</v>
      </c>
      <c r="P120" s="48" t="s">
        <v>1321</v>
      </c>
      <c r="Q120" s="48" t="s">
        <v>245</v>
      </c>
      <c r="R120" s="48" t="s">
        <v>2806</v>
      </c>
      <c r="S120" s="48" t="s">
        <v>1691</v>
      </c>
      <c r="T120" s="114" t="s">
        <v>2025</v>
      </c>
      <c r="U120" s="48"/>
      <c r="V120" s="39"/>
      <c r="W120" s="41"/>
      <c r="X120" s="41" t="s">
        <v>2807</v>
      </c>
      <c r="Y120" s="50"/>
    </row>
    <row r="121" spans="1:25" customFormat="1" ht="14.4" x14ac:dyDescent="0.3">
      <c r="A121" s="48">
        <f t="shared" si="6"/>
        <v>3</v>
      </c>
      <c r="B121" s="113">
        <v>46035</v>
      </c>
      <c r="C121" s="48" t="str">
        <f t="shared" si="5"/>
        <v>enero</v>
      </c>
      <c r="D121" s="48" t="s">
        <v>2135</v>
      </c>
      <c r="E121" s="42" t="s">
        <v>356</v>
      </c>
      <c r="F121" s="47" t="s">
        <v>127</v>
      </c>
      <c r="G121" s="48">
        <v>8.3079166666666655</v>
      </c>
      <c r="H121" s="48" t="s">
        <v>2017</v>
      </c>
      <c r="I121" s="197">
        <v>20.76</v>
      </c>
      <c r="J121" s="197">
        <f t="shared" si="7"/>
        <v>172.47234999999998</v>
      </c>
      <c r="K121" s="197">
        <f t="shared" si="9"/>
        <v>27.595575999999998</v>
      </c>
      <c r="L121" s="197">
        <f t="shared" si="8"/>
        <v>200.06792600000003</v>
      </c>
      <c r="M121" s="198">
        <v>0</v>
      </c>
      <c r="N121" s="48" t="s">
        <v>1617</v>
      </c>
      <c r="O121" s="48" t="s">
        <v>1823</v>
      </c>
      <c r="P121" s="48" t="s">
        <v>1321</v>
      </c>
      <c r="Q121" s="48" t="s">
        <v>245</v>
      </c>
      <c r="R121" s="48" t="s">
        <v>2806</v>
      </c>
      <c r="S121" s="48" t="s">
        <v>1691</v>
      </c>
      <c r="T121" s="114" t="s">
        <v>2025</v>
      </c>
      <c r="U121" s="48"/>
      <c r="V121" s="39"/>
      <c r="W121" s="41"/>
      <c r="X121" s="41" t="s">
        <v>2807</v>
      </c>
      <c r="Y121" s="50"/>
    </row>
    <row r="122" spans="1:25" customFormat="1" ht="14.4" x14ac:dyDescent="0.3">
      <c r="A122" s="48">
        <f t="shared" si="6"/>
        <v>3</v>
      </c>
      <c r="B122" s="113">
        <v>46035</v>
      </c>
      <c r="C122" s="48" t="str">
        <f t="shared" si="5"/>
        <v>enero</v>
      </c>
      <c r="D122" s="48" t="s">
        <v>2135</v>
      </c>
      <c r="E122" s="42" t="s">
        <v>356</v>
      </c>
      <c r="F122" s="47" t="s">
        <v>127</v>
      </c>
      <c r="G122" s="48">
        <v>8.3079166666666655</v>
      </c>
      <c r="H122" s="48" t="s">
        <v>2017</v>
      </c>
      <c r="I122" s="197">
        <v>20.76</v>
      </c>
      <c r="J122" s="197">
        <f t="shared" si="7"/>
        <v>172.47234999999998</v>
      </c>
      <c r="K122" s="197">
        <f t="shared" si="9"/>
        <v>27.595575999999998</v>
      </c>
      <c r="L122" s="197">
        <f t="shared" si="8"/>
        <v>200.06792600000003</v>
      </c>
      <c r="M122" s="198">
        <v>0</v>
      </c>
      <c r="N122" s="48" t="s">
        <v>1617</v>
      </c>
      <c r="O122" s="48" t="s">
        <v>1819</v>
      </c>
      <c r="P122" s="48" t="s">
        <v>1321</v>
      </c>
      <c r="Q122" s="48" t="s">
        <v>245</v>
      </c>
      <c r="R122" s="48" t="s">
        <v>2806</v>
      </c>
      <c r="S122" s="48" t="s">
        <v>1691</v>
      </c>
      <c r="T122" s="114" t="s">
        <v>2025</v>
      </c>
      <c r="U122" s="48"/>
      <c r="V122" s="39"/>
      <c r="W122" s="41"/>
      <c r="X122" s="41" t="s">
        <v>2807</v>
      </c>
      <c r="Y122" s="50"/>
    </row>
    <row r="123" spans="1:25" customFormat="1" ht="14.4" x14ac:dyDescent="0.3">
      <c r="A123" s="48">
        <f t="shared" si="6"/>
        <v>3</v>
      </c>
      <c r="B123" s="113">
        <v>46035</v>
      </c>
      <c r="C123" s="48" t="str">
        <f t="shared" si="5"/>
        <v>enero</v>
      </c>
      <c r="D123" s="48" t="s">
        <v>2135</v>
      </c>
      <c r="E123" s="42" t="s">
        <v>356</v>
      </c>
      <c r="F123" s="47" t="s">
        <v>127</v>
      </c>
      <c r="G123" s="48">
        <v>8.3079166666666655</v>
      </c>
      <c r="H123" s="48" t="s">
        <v>2017</v>
      </c>
      <c r="I123" s="197">
        <v>20.76</v>
      </c>
      <c r="J123" s="197">
        <f t="shared" si="7"/>
        <v>172.47234999999998</v>
      </c>
      <c r="K123" s="197">
        <f t="shared" si="9"/>
        <v>27.595575999999998</v>
      </c>
      <c r="L123" s="197">
        <f t="shared" si="8"/>
        <v>200.06792600000003</v>
      </c>
      <c r="M123" s="198">
        <v>0</v>
      </c>
      <c r="N123" s="48" t="s">
        <v>1617</v>
      </c>
      <c r="O123" s="48" t="s">
        <v>2023</v>
      </c>
      <c r="P123" s="48" t="s">
        <v>1321</v>
      </c>
      <c r="Q123" s="48" t="s">
        <v>245</v>
      </c>
      <c r="R123" s="48" t="s">
        <v>2806</v>
      </c>
      <c r="S123" s="48" t="s">
        <v>1691</v>
      </c>
      <c r="T123" s="114" t="s">
        <v>2025</v>
      </c>
      <c r="U123" s="48"/>
      <c r="V123" s="39"/>
      <c r="W123" s="41"/>
      <c r="X123" s="41" t="s">
        <v>2807</v>
      </c>
      <c r="Y123" s="50"/>
    </row>
    <row r="124" spans="1:25" customFormat="1" ht="14.4" x14ac:dyDescent="0.3">
      <c r="A124" s="48">
        <f t="shared" si="6"/>
        <v>3</v>
      </c>
      <c r="B124" s="113">
        <v>46035</v>
      </c>
      <c r="C124" s="48" t="str">
        <f t="shared" si="5"/>
        <v>enero</v>
      </c>
      <c r="D124" s="48" t="s">
        <v>2135</v>
      </c>
      <c r="E124" s="42" t="s">
        <v>2728</v>
      </c>
      <c r="F124" s="47" t="s">
        <v>2808</v>
      </c>
      <c r="G124" s="48">
        <v>2</v>
      </c>
      <c r="H124" s="48" t="s">
        <v>1705</v>
      </c>
      <c r="I124" s="197">
        <v>312</v>
      </c>
      <c r="J124" s="197">
        <v>624</v>
      </c>
      <c r="K124" s="197">
        <v>99.84</v>
      </c>
      <c r="L124" s="197">
        <v>723.84</v>
      </c>
      <c r="M124" s="198">
        <v>0</v>
      </c>
      <c r="N124" s="48" t="s">
        <v>1617</v>
      </c>
      <c r="O124" s="48" t="s">
        <v>798</v>
      </c>
      <c r="P124" s="48" t="s">
        <v>39</v>
      </c>
      <c r="Q124" s="48" t="s">
        <v>241</v>
      </c>
      <c r="R124" s="48" t="s">
        <v>2727</v>
      </c>
      <c r="S124" s="48" t="s">
        <v>631</v>
      </c>
      <c r="T124" s="114" t="s">
        <v>1675</v>
      </c>
      <c r="U124" s="48"/>
      <c r="V124" s="39"/>
      <c r="W124" s="41"/>
      <c r="X124" s="41" t="s">
        <v>2809</v>
      </c>
      <c r="Y124" s="50"/>
    </row>
    <row r="125" spans="1:25" customFormat="1" ht="14.4" x14ac:dyDescent="0.3">
      <c r="A125" s="48">
        <f t="shared" si="6"/>
        <v>3</v>
      </c>
      <c r="B125" s="113">
        <v>46035</v>
      </c>
      <c r="C125" s="48" t="str">
        <f t="shared" si="5"/>
        <v>enero</v>
      </c>
      <c r="D125" s="48" t="s">
        <v>2135</v>
      </c>
      <c r="E125" s="42" t="s">
        <v>2728</v>
      </c>
      <c r="F125" s="47" t="s">
        <v>795</v>
      </c>
      <c r="G125" s="48">
        <v>1</v>
      </c>
      <c r="H125" s="48" t="s">
        <v>1705</v>
      </c>
      <c r="I125" s="197">
        <v>1336.23</v>
      </c>
      <c r="J125" s="197">
        <v>1336.23</v>
      </c>
      <c r="K125" s="197">
        <v>0</v>
      </c>
      <c r="L125" s="197">
        <v>1336.23</v>
      </c>
      <c r="M125" s="198">
        <v>0</v>
      </c>
      <c r="N125" s="48" t="s">
        <v>1401</v>
      </c>
      <c r="O125" s="48" t="s">
        <v>347</v>
      </c>
      <c r="P125" s="48" t="s">
        <v>25</v>
      </c>
      <c r="Q125" s="48" t="s">
        <v>241</v>
      </c>
      <c r="R125" s="48" t="s">
        <v>2801</v>
      </c>
      <c r="S125" s="48" t="s">
        <v>1665</v>
      </c>
      <c r="T125" s="114" t="s">
        <v>1617</v>
      </c>
      <c r="U125" s="48"/>
      <c r="V125" s="39"/>
      <c r="W125" s="41"/>
      <c r="X125" s="41" t="s">
        <v>2810</v>
      </c>
      <c r="Y125" s="50"/>
    </row>
    <row r="126" spans="1:25" customFormat="1" ht="14.4" x14ac:dyDescent="0.3">
      <c r="A126" s="48">
        <f t="shared" si="6"/>
        <v>3</v>
      </c>
      <c r="B126" s="113">
        <v>46035</v>
      </c>
      <c r="C126" s="48" t="str">
        <f t="shared" si="5"/>
        <v>enero</v>
      </c>
      <c r="D126" s="48" t="s">
        <v>2135</v>
      </c>
      <c r="E126" s="42" t="s">
        <v>477</v>
      </c>
      <c r="F126" s="47" t="s">
        <v>1690</v>
      </c>
      <c r="G126" s="48">
        <v>1</v>
      </c>
      <c r="H126" s="48" t="s">
        <v>1705</v>
      </c>
      <c r="I126" s="197">
        <v>433</v>
      </c>
      <c r="J126" s="197">
        <v>433</v>
      </c>
      <c r="K126" s="197">
        <v>0</v>
      </c>
      <c r="L126" s="197">
        <v>433</v>
      </c>
      <c r="M126" s="198">
        <v>0</v>
      </c>
      <c r="N126" s="48" t="s">
        <v>872</v>
      </c>
      <c r="O126" s="48" t="s">
        <v>256</v>
      </c>
      <c r="P126" s="48" t="s">
        <v>39</v>
      </c>
      <c r="Q126" s="48" t="s">
        <v>1766</v>
      </c>
      <c r="R126" s="48" t="s">
        <v>364</v>
      </c>
      <c r="S126" s="48" t="s">
        <v>424</v>
      </c>
      <c r="T126" s="114" t="s">
        <v>1617</v>
      </c>
      <c r="U126" s="48" t="s">
        <v>1684</v>
      </c>
      <c r="V126" s="39" t="s">
        <v>2725</v>
      </c>
      <c r="W126" s="41"/>
      <c r="X126" s="50"/>
      <c r="Y126" s="50"/>
    </row>
    <row r="127" spans="1:25" customFormat="1" ht="14.4" x14ac:dyDescent="0.3">
      <c r="A127" s="48">
        <f t="shared" si="6"/>
        <v>3</v>
      </c>
      <c r="B127" s="113">
        <v>46036</v>
      </c>
      <c r="C127" s="48" t="str">
        <f t="shared" si="5"/>
        <v>enero</v>
      </c>
      <c r="D127" s="48" t="s">
        <v>2135</v>
      </c>
      <c r="E127" s="42" t="s">
        <v>356</v>
      </c>
      <c r="F127" s="47" t="s">
        <v>127</v>
      </c>
      <c r="G127" s="48">
        <v>6.25</v>
      </c>
      <c r="H127" s="48" t="s">
        <v>2017</v>
      </c>
      <c r="I127" s="197">
        <v>20.689</v>
      </c>
      <c r="J127" s="197">
        <v>129.30625000000001</v>
      </c>
      <c r="K127" s="197">
        <v>20.689</v>
      </c>
      <c r="L127" s="197">
        <v>149.99525</v>
      </c>
      <c r="M127" s="198">
        <v>0</v>
      </c>
      <c r="N127" s="48" t="s">
        <v>1617</v>
      </c>
      <c r="O127" s="48" t="s">
        <v>1443</v>
      </c>
      <c r="P127" s="48" t="s">
        <v>25</v>
      </c>
      <c r="Q127" s="48" t="s">
        <v>241</v>
      </c>
      <c r="R127" s="48" t="s">
        <v>2735</v>
      </c>
      <c r="S127" s="48" t="s">
        <v>388</v>
      </c>
      <c r="T127" s="114" t="s">
        <v>2811</v>
      </c>
      <c r="U127" s="48" t="s">
        <v>1695</v>
      </c>
      <c r="V127" s="46" t="s">
        <v>2812</v>
      </c>
      <c r="W127" s="41"/>
      <c r="X127" s="41" t="s">
        <v>2813</v>
      </c>
      <c r="Y127" s="50"/>
    </row>
    <row r="128" spans="1:25" customFormat="1" ht="14.4" x14ac:dyDescent="0.3">
      <c r="A128" s="48">
        <f t="shared" si="6"/>
        <v>3</v>
      </c>
      <c r="B128" s="113">
        <v>46036</v>
      </c>
      <c r="C128" s="48" t="str">
        <f t="shared" si="5"/>
        <v>enero</v>
      </c>
      <c r="D128" s="48" t="s">
        <v>2135</v>
      </c>
      <c r="E128" s="42" t="s">
        <v>2728</v>
      </c>
      <c r="F128" s="47" t="s">
        <v>2214</v>
      </c>
      <c r="G128" s="48">
        <v>1</v>
      </c>
      <c r="H128" s="48" t="s">
        <v>2016</v>
      </c>
      <c r="I128" s="197">
        <v>591.12</v>
      </c>
      <c r="J128" s="197">
        <v>591.12</v>
      </c>
      <c r="K128" s="197">
        <v>94.5792</v>
      </c>
      <c r="L128" s="197">
        <v>685.69920000000002</v>
      </c>
      <c r="M128" s="198">
        <v>0</v>
      </c>
      <c r="N128" s="48" t="s">
        <v>1297</v>
      </c>
      <c r="O128" s="48" t="s">
        <v>426</v>
      </c>
      <c r="P128" s="48" t="s">
        <v>25</v>
      </c>
      <c r="Q128" s="48" t="s">
        <v>241</v>
      </c>
      <c r="R128" s="48" t="s">
        <v>2727</v>
      </c>
      <c r="S128" s="48" t="s">
        <v>1665</v>
      </c>
      <c r="T128" s="114" t="s">
        <v>1617</v>
      </c>
      <c r="U128" s="48"/>
      <c r="V128" s="39"/>
      <c r="W128" s="41"/>
      <c r="X128" s="41" t="s">
        <v>2814</v>
      </c>
      <c r="Y128" s="50"/>
    </row>
    <row r="129" spans="1:25" customFormat="1" ht="14.4" x14ac:dyDescent="0.3">
      <c r="A129" s="48">
        <f t="shared" si="6"/>
        <v>3</v>
      </c>
      <c r="B129" s="113">
        <v>46036</v>
      </c>
      <c r="C129" s="48" t="str">
        <f t="shared" si="5"/>
        <v>enero</v>
      </c>
      <c r="D129" s="48" t="s">
        <v>2135</v>
      </c>
      <c r="E129" s="42" t="s">
        <v>2728</v>
      </c>
      <c r="F129" s="47" t="s">
        <v>1696</v>
      </c>
      <c r="G129" s="48">
        <v>2</v>
      </c>
      <c r="H129" s="48" t="s">
        <v>1705</v>
      </c>
      <c r="I129" s="197">
        <v>738.79499999999996</v>
      </c>
      <c r="J129" s="197">
        <v>1477.59</v>
      </c>
      <c r="K129" s="197">
        <v>236.4144</v>
      </c>
      <c r="L129" s="197">
        <v>1714.0043999999998</v>
      </c>
      <c r="M129" s="198">
        <v>0</v>
      </c>
      <c r="N129" s="48" t="s">
        <v>1297</v>
      </c>
      <c r="O129" s="48" t="s">
        <v>426</v>
      </c>
      <c r="P129" s="48" t="s">
        <v>25</v>
      </c>
      <c r="Q129" s="48" t="s">
        <v>241</v>
      </c>
      <c r="R129" s="48" t="s">
        <v>2727</v>
      </c>
      <c r="S129" s="48" t="s">
        <v>574</v>
      </c>
      <c r="T129" s="114" t="s">
        <v>1617</v>
      </c>
      <c r="U129" s="48"/>
      <c r="V129" s="39"/>
      <c r="W129" s="41"/>
      <c r="X129" s="41" t="s">
        <v>2815</v>
      </c>
      <c r="Y129" s="50"/>
    </row>
    <row r="130" spans="1:25" customFormat="1" ht="14.4" x14ac:dyDescent="0.3">
      <c r="A130" s="48">
        <f t="shared" si="6"/>
        <v>3</v>
      </c>
      <c r="B130" s="113">
        <v>46036</v>
      </c>
      <c r="C130" s="48" t="str">
        <f t="shared" si="5"/>
        <v>enero</v>
      </c>
      <c r="D130" s="48" t="s">
        <v>2135</v>
      </c>
      <c r="E130" s="42" t="s">
        <v>2728</v>
      </c>
      <c r="F130" s="47" t="s">
        <v>2816</v>
      </c>
      <c r="G130" s="48">
        <v>1</v>
      </c>
      <c r="H130" s="48" t="s">
        <v>1705</v>
      </c>
      <c r="I130" s="197">
        <v>172.41</v>
      </c>
      <c r="J130" s="197">
        <v>172.41</v>
      </c>
      <c r="K130" s="197">
        <v>27.585599999999999</v>
      </c>
      <c r="L130" s="197">
        <v>199.9956</v>
      </c>
      <c r="M130" s="198">
        <v>0</v>
      </c>
      <c r="N130" s="48" t="s">
        <v>1407</v>
      </c>
      <c r="O130" s="48" t="s">
        <v>183</v>
      </c>
      <c r="P130" s="48" t="s">
        <v>25</v>
      </c>
      <c r="Q130" s="48" t="s">
        <v>241</v>
      </c>
      <c r="R130" s="48" t="s">
        <v>2727</v>
      </c>
      <c r="S130" s="48" t="s">
        <v>1678</v>
      </c>
      <c r="T130" s="114" t="s">
        <v>1617</v>
      </c>
      <c r="U130" s="48"/>
      <c r="V130" s="39"/>
      <c r="W130" s="41"/>
      <c r="X130" s="41" t="s">
        <v>2817</v>
      </c>
      <c r="Y130" s="50"/>
    </row>
    <row r="131" spans="1:25" customFormat="1" ht="14.4" x14ac:dyDescent="0.3">
      <c r="A131" s="48">
        <f t="shared" si="6"/>
        <v>3</v>
      </c>
      <c r="B131" s="113">
        <v>46036</v>
      </c>
      <c r="C131" s="48" t="str">
        <f t="shared" ref="C131:C194" si="10">TEXT(B131,"MMMM")</f>
        <v>enero</v>
      </c>
      <c r="D131" s="48" t="s">
        <v>2135</v>
      </c>
      <c r="E131" s="42" t="s">
        <v>2728</v>
      </c>
      <c r="F131" s="47" t="s">
        <v>1698</v>
      </c>
      <c r="G131" s="48">
        <v>2</v>
      </c>
      <c r="H131" s="48" t="s">
        <v>1705</v>
      </c>
      <c r="I131" s="197">
        <v>295</v>
      </c>
      <c r="J131" s="197">
        <v>590</v>
      </c>
      <c r="K131" s="197">
        <v>94.4</v>
      </c>
      <c r="L131" s="197">
        <v>684.4</v>
      </c>
      <c r="M131" s="198">
        <v>0</v>
      </c>
      <c r="N131" s="48" t="s">
        <v>1407</v>
      </c>
      <c r="O131" s="48" t="s">
        <v>183</v>
      </c>
      <c r="P131" s="48" t="s">
        <v>25</v>
      </c>
      <c r="Q131" s="48" t="s">
        <v>241</v>
      </c>
      <c r="R131" s="48" t="s">
        <v>2727</v>
      </c>
      <c r="S131" s="48" t="s">
        <v>631</v>
      </c>
      <c r="T131" s="114" t="s">
        <v>1617</v>
      </c>
      <c r="U131" s="48"/>
      <c r="V131" s="39"/>
      <c r="W131" s="41"/>
      <c r="X131" s="41" t="s">
        <v>2818</v>
      </c>
      <c r="Y131" s="50"/>
    </row>
    <row r="132" spans="1:25" customFormat="1" ht="14.4" x14ac:dyDescent="0.3">
      <c r="A132" s="48">
        <f t="shared" si="6"/>
        <v>3</v>
      </c>
      <c r="B132" s="113">
        <v>46036</v>
      </c>
      <c r="C132" s="48" t="str">
        <f t="shared" si="10"/>
        <v>enero</v>
      </c>
      <c r="D132" s="48" t="s">
        <v>2135</v>
      </c>
      <c r="E132" s="42" t="s">
        <v>2728</v>
      </c>
      <c r="F132" s="47" t="s">
        <v>1693</v>
      </c>
      <c r="G132" s="48">
        <v>1</v>
      </c>
      <c r="H132" s="48" t="s">
        <v>1705</v>
      </c>
      <c r="I132" s="197">
        <v>1160</v>
      </c>
      <c r="J132" s="197">
        <v>1160</v>
      </c>
      <c r="K132" s="197">
        <v>0</v>
      </c>
      <c r="L132" s="197">
        <v>1160</v>
      </c>
      <c r="M132" s="198">
        <v>0</v>
      </c>
      <c r="N132" s="48" t="s">
        <v>1297</v>
      </c>
      <c r="O132" s="48" t="s">
        <v>426</v>
      </c>
      <c r="P132" s="48" t="s">
        <v>25</v>
      </c>
      <c r="Q132" s="48" t="s">
        <v>241</v>
      </c>
      <c r="R132" s="48" t="s">
        <v>2727</v>
      </c>
      <c r="S132" s="48" t="s">
        <v>1694</v>
      </c>
      <c r="T132" s="114" t="s">
        <v>1617</v>
      </c>
      <c r="U132" s="48"/>
      <c r="V132" s="39"/>
      <c r="W132" s="41"/>
      <c r="X132" s="41" t="s">
        <v>2819</v>
      </c>
      <c r="Y132" s="50"/>
    </row>
    <row r="133" spans="1:25" customFormat="1" ht="14.4" x14ac:dyDescent="0.3">
      <c r="A133" s="48">
        <f t="shared" si="6"/>
        <v>3</v>
      </c>
      <c r="B133" s="113">
        <v>46036</v>
      </c>
      <c r="C133" s="48" t="str">
        <f t="shared" si="10"/>
        <v>enero</v>
      </c>
      <c r="D133" s="48" t="s">
        <v>2135</v>
      </c>
      <c r="E133" s="42" t="s">
        <v>2728</v>
      </c>
      <c r="F133" s="47" t="s">
        <v>1699</v>
      </c>
      <c r="G133" s="48">
        <v>1</v>
      </c>
      <c r="H133" s="48" t="s">
        <v>1705</v>
      </c>
      <c r="I133" s="197">
        <v>2839.6550999999999</v>
      </c>
      <c r="J133" s="197">
        <v>2839.6550999999999</v>
      </c>
      <c r="K133" s="197">
        <v>454.34481599999998</v>
      </c>
      <c r="L133" s="197">
        <v>3293.9999159999998</v>
      </c>
      <c r="M133" s="198">
        <v>0</v>
      </c>
      <c r="N133" s="48" t="s">
        <v>1297</v>
      </c>
      <c r="O133" s="48" t="s">
        <v>426</v>
      </c>
      <c r="P133" s="48" t="s">
        <v>25</v>
      </c>
      <c r="Q133" s="48" t="s">
        <v>241</v>
      </c>
      <c r="R133" s="48" t="s">
        <v>2727</v>
      </c>
      <c r="S133" s="48" t="s">
        <v>1700</v>
      </c>
      <c r="T133" s="114" t="s">
        <v>1701</v>
      </c>
      <c r="U133" s="48"/>
      <c r="V133" s="39"/>
      <c r="W133" s="41"/>
      <c r="X133" s="41" t="s">
        <v>2820</v>
      </c>
      <c r="Y133" s="50"/>
    </row>
    <row r="134" spans="1:25" customFormat="1" ht="14.4" x14ac:dyDescent="0.3">
      <c r="A134" s="48">
        <f t="shared" si="6"/>
        <v>3</v>
      </c>
      <c r="B134" s="113">
        <v>46036</v>
      </c>
      <c r="C134" s="48" t="str">
        <f t="shared" si="10"/>
        <v>enero</v>
      </c>
      <c r="D134" s="48" t="s">
        <v>2135</v>
      </c>
      <c r="E134" s="42" t="s">
        <v>477</v>
      </c>
      <c r="F134" s="47" t="s">
        <v>1692</v>
      </c>
      <c r="G134" s="48">
        <v>1</v>
      </c>
      <c r="H134" s="48" t="s">
        <v>2138</v>
      </c>
      <c r="I134" s="197">
        <v>0</v>
      </c>
      <c r="J134" s="197">
        <v>0</v>
      </c>
      <c r="K134" s="197">
        <v>0</v>
      </c>
      <c r="L134" s="197">
        <v>0</v>
      </c>
      <c r="M134" s="198">
        <v>0</v>
      </c>
      <c r="N134" s="48" t="s">
        <v>872</v>
      </c>
      <c r="O134" s="48" t="s">
        <v>256</v>
      </c>
      <c r="P134" s="48" t="s">
        <v>39</v>
      </c>
      <c r="Q134" s="48" t="s">
        <v>1766</v>
      </c>
      <c r="R134" s="48" t="s">
        <v>364</v>
      </c>
      <c r="S134" s="48" t="s">
        <v>424</v>
      </c>
      <c r="T134" s="114" t="s">
        <v>20</v>
      </c>
      <c r="U134" s="48" t="s">
        <v>1684</v>
      </c>
      <c r="V134" s="39"/>
      <c r="W134" s="41"/>
      <c r="X134" s="50"/>
      <c r="Y134" s="50"/>
    </row>
    <row r="135" spans="1:25" customFormat="1" ht="14.4" x14ac:dyDescent="0.3">
      <c r="A135" s="48">
        <f t="shared" si="6"/>
        <v>3</v>
      </c>
      <c r="B135" s="113">
        <v>46037</v>
      </c>
      <c r="C135" s="48" t="str">
        <f t="shared" si="10"/>
        <v>enero</v>
      </c>
      <c r="D135" s="48" t="s">
        <v>2135</v>
      </c>
      <c r="E135" s="42" t="s">
        <v>356</v>
      </c>
      <c r="F135" s="47" t="s">
        <v>127</v>
      </c>
      <c r="G135" s="48">
        <v>10.421666666666667</v>
      </c>
      <c r="H135" s="48" t="s">
        <v>2017</v>
      </c>
      <c r="I135" s="197">
        <v>20.6797</v>
      </c>
      <c r="J135" s="197">
        <f>+G135*I135</f>
        <v>215.51694016666667</v>
      </c>
      <c r="K135" s="197">
        <v>34.482758620689658</v>
      </c>
      <c r="L135" s="197">
        <v>250</v>
      </c>
      <c r="M135" s="198">
        <v>0</v>
      </c>
      <c r="N135" s="48" t="s">
        <v>1617</v>
      </c>
      <c r="O135" s="48" t="s">
        <v>1464</v>
      </c>
      <c r="P135" s="48" t="s">
        <v>25</v>
      </c>
      <c r="Q135" s="48" t="s">
        <v>241</v>
      </c>
      <c r="R135" s="48" t="s">
        <v>2821</v>
      </c>
      <c r="S135" s="48" t="s">
        <v>1619</v>
      </c>
      <c r="T135" s="114" t="s">
        <v>2025</v>
      </c>
      <c r="U135" s="48" t="s">
        <v>1695</v>
      </c>
      <c r="V135" s="131" t="s">
        <v>2146</v>
      </c>
      <c r="W135" s="41"/>
      <c r="X135" s="41" t="s">
        <v>2822</v>
      </c>
      <c r="Y135" s="50"/>
    </row>
    <row r="136" spans="1:25" customFormat="1" ht="14.4" x14ac:dyDescent="0.3">
      <c r="A136" s="48">
        <f t="shared" si="6"/>
        <v>3</v>
      </c>
      <c r="B136" s="113">
        <v>46037</v>
      </c>
      <c r="C136" s="48" t="str">
        <f t="shared" si="10"/>
        <v>enero</v>
      </c>
      <c r="D136" s="48" t="s">
        <v>2135</v>
      </c>
      <c r="E136" s="42" t="s">
        <v>356</v>
      </c>
      <c r="F136" s="47" t="s">
        <v>127</v>
      </c>
      <c r="G136" s="48">
        <v>10.421666666666667</v>
      </c>
      <c r="H136" s="48" t="s">
        <v>2017</v>
      </c>
      <c r="I136" s="197">
        <v>20.6797</v>
      </c>
      <c r="J136" s="197">
        <f t="shared" ref="J136:J140" si="11">+G136*I136</f>
        <v>215.51694016666667</v>
      </c>
      <c r="K136" s="197">
        <v>34.482758620689658</v>
      </c>
      <c r="L136" s="197">
        <v>250</v>
      </c>
      <c r="M136" s="198">
        <v>0</v>
      </c>
      <c r="N136" s="48" t="s">
        <v>1617</v>
      </c>
      <c r="O136" s="48" t="s">
        <v>1586</v>
      </c>
      <c r="P136" s="48" t="s">
        <v>25</v>
      </c>
      <c r="Q136" s="48" t="s">
        <v>241</v>
      </c>
      <c r="R136" s="48" t="s">
        <v>2821</v>
      </c>
      <c r="S136" s="48" t="s">
        <v>1619</v>
      </c>
      <c r="T136" s="114" t="s">
        <v>2025</v>
      </c>
      <c r="U136" s="48" t="s">
        <v>1695</v>
      </c>
      <c r="V136" s="131" t="s">
        <v>2146</v>
      </c>
      <c r="W136" s="41"/>
      <c r="X136" s="41" t="s">
        <v>2822</v>
      </c>
      <c r="Y136" s="50"/>
    </row>
    <row r="137" spans="1:25" customFormat="1" ht="14.4" x14ac:dyDescent="0.3">
      <c r="A137" s="48">
        <f t="shared" si="6"/>
        <v>3</v>
      </c>
      <c r="B137" s="113">
        <v>46037</v>
      </c>
      <c r="C137" s="48" t="str">
        <f t="shared" si="10"/>
        <v>enero</v>
      </c>
      <c r="D137" s="48" t="s">
        <v>2135</v>
      </c>
      <c r="E137" s="42" t="s">
        <v>356</v>
      </c>
      <c r="F137" s="47" t="s">
        <v>127</v>
      </c>
      <c r="G137" s="48">
        <v>10.421666666666667</v>
      </c>
      <c r="H137" s="48" t="s">
        <v>2017</v>
      </c>
      <c r="I137" s="197">
        <v>20.6797</v>
      </c>
      <c r="J137" s="197">
        <f t="shared" si="11"/>
        <v>215.51694016666667</v>
      </c>
      <c r="K137" s="197">
        <v>34.482758620689658</v>
      </c>
      <c r="L137" s="197">
        <v>250</v>
      </c>
      <c r="M137" s="198">
        <v>0</v>
      </c>
      <c r="N137" s="48" t="s">
        <v>1617</v>
      </c>
      <c r="O137" s="48" t="s">
        <v>1443</v>
      </c>
      <c r="P137" s="48" t="s">
        <v>25</v>
      </c>
      <c r="Q137" s="48" t="s">
        <v>241</v>
      </c>
      <c r="R137" s="48" t="s">
        <v>2821</v>
      </c>
      <c r="S137" s="48" t="s">
        <v>1619</v>
      </c>
      <c r="T137" s="114" t="s">
        <v>2025</v>
      </c>
      <c r="U137" s="48" t="s">
        <v>1695</v>
      </c>
      <c r="V137" s="131" t="s">
        <v>2146</v>
      </c>
      <c r="W137" s="41"/>
      <c r="X137" s="41" t="s">
        <v>2822</v>
      </c>
      <c r="Y137" s="50"/>
    </row>
    <row r="138" spans="1:25" customFormat="1" ht="14.4" x14ac:dyDescent="0.3">
      <c r="A138" s="48">
        <f t="shared" si="6"/>
        <v>3</v>
      </c>
      <c r="B138" s="113">
        <v>46037</v>
      </c>
      <c r="C138" s="48" t="str">
        <f t="shared" si="10"/>
        <v>enero</v>
      </c>
      <c r="D138" s="48" t="s">
        <v>2135</v>
      </c>
      <c r="E138" s="42" t="s">
        <v>356</v>
      </c>
      <c r="F138" s="47" t="s">
        <v>127</v>
      </c>
      <c r="G138" s="48">
        <v>10.421666666666667</v>
      </c>
      <c r="H138" s="48" t="s">
        <v>2017</v>
      </c>
      <c r="I138" s="197">
        <v>20.6797</v>
      </c>
      <c r="J138" s="197">
        <f t="shared" si="11"/>
        <v>215.51694016666667</v>
      </c>
      <c r="K138" s="197">
        <v>34.482758620689658</v>
      </c>
      <c r="L138" s="197">
        <v>250</v>
      </c>
      <c r="M138" s="198">
        <v>0</v>
      </c>
      <c r="N138" s="48" t="s">
        <v>1617</v>
      </c>
      <c r="O138" s="48" t="s">
        <v>1429</v>
      </c>
      <c r="P138" s="48" t="s">
        <v>25</v>
      </c>
      <c r="Q138" s="48" t="s">
        <v>241</v>
      </c>
      <c r="R138" s="48" t="s">
        <v>2821</v>
      </c>
      <c r="S138" s="48" t="s">
        <v>1619</v>
      </c>
      <c r="T138" s="114" t="s">
        <v>2025</v>
      </c>
      <c r="U138" s="48" t="s">
        <v>1695</v>
      </c>
      <c r="V138" s="131" t="s">
        <v>2146</v>
      </c>
      <c r="W138" s="41"/>
      <c r="X138" s="41" t="s">
        <v>2822</v>
      </c>
      <c r="Y138" s="50"/>
    </row>
    <row r="139" spans="1:25" customFormat="1" ht="14.4" x14ac:dyDescent="0.3">
      <c r="A139" s="48">
        <f t="shared" si="6"/>
        <v>3</v>
      </c>
      <c r="B139" s="113">
        <v>46037</v>
      </c>
      <c r="C139" s="48" t="str">
        <f t="shared" si="10"/>
        <v>enero</v>
      </c>
      <c r="D139" s="48" t="s">
        <v>2135</v>
      </c>
      <c r="E139" s="42" t="s">
        <v>356</v>
      </c>
      <c r="F139" s="47" t="s">
        <v>127</v>
      </c>
      <c r="G139" s="48">
        <v>10.421666666666667</v>
      </c>
      <c r="H139" s="48" t="s">
        <v>2017</v>
      </c>
      <c r="I139" s="197">
        <v>20.6797</v>
      </c>
      <c r="J139" s="197">
        <f t="shared" si="11"/>
        <v>215.51694016666667</v>
      </c>
      <c r="K139" s="197">
        <v>34.482758620689658</v>
      </c>
      <c r="L139" s="197">
        <v>250</v>
      </c>
      <c r="M139" s="198">
        <v>0</v>
      </c>
      <c r="N139" s="48" t="s">
        <v>1617</v>
      </c>
      <c r="O139" s="48" t="s">
        <v>2149</v>
      </c>
      <c r="P139" s="48" t="s">
        <v>25</v>
      </c>
      <c r="Q139" s="48" t="s">
        <v>241</v>
      </c>
      <c r="R139" s="48" t="s">
        <v>2821</v>
      </c>
      <c r="S139" s="48" t="s">
        <v>1619</v>
      </c>
      <c r="T139" s="114" t="s">
        <v>2025</v>
      </c>
      <c r="U139" s="48" t="s">
        <v>1695</v>
      </c>
      <c r="V139" s="131" t="s">
        <v>2146</v>
      </c>
      <c r="W139" s="41"/>
      <c r="X139" s="41" t="s">
        <v>2822</v>
      </c>
      <c r="Y139" s="50"/>
    </row>
    <row r="140" spans="1:25" customFormat="1" ht="14.4" x14ac:dyDescent="0.3">
      <c r="A140" s="48">
        <f t="shared" si="6"/>
        <v>3</v>
      </c>
      <c r="B140" s="113">
        <v>46037</v>
      </c>
      <c r="C140" s="48" t="str">
        <f t="shared" si="10"/>
        <v>enero</v>
      </c>
      <c r="D140" s="48" t="s">
        <v>2135</v>
      </c>
      <c r="E140" s="42" t="s">
        <v>356</v>
      </c>
      <c r="F140" s="47" t="s">
        <v>127</v>
      </c>
      <c r="G140" s="48">
        <v>10.421666666666667</v>
      </c>
      <c r="H140" s="48" t="s">
        <v>2017</v>
      </c>
      <c r="I140" s="197">
        <v>20.6797</v>
      </c>
      <c r="J140" s="197">
        <f t="shared" si="11"/>
        <v>215.51694016666667</v>
      </c>
      <c r="K140" s="197">
        <v>34.482758620689658</v>
      </c>
      <c r="L140" s="197">
        <v>250</v>
      </c>
      <c r="M140" s="198">
        <v>0</v>
      </c>
      <c r="N140" s="48" t="s">
        <v>1617</v>
      </c>
      <c r="O140" s="48" t="s">
        <v>1439</v>
      </c>
      <c r="P140" s="48" t="s">
        <v>25</v>
      </c>
      <c r="Q140" s="48" t="s">
        <v>241</v>
      </c>
      <c r="R140" s="48" t="s">
        <v>2821</v>
      </c>
      <c r="S140" s="48" t="s">
        <v>1619</v>
      </c>
      <c r="T140" s="114" t="s">
        <v>2025</v>
      </c>
      <c r="U140" s="48" t="s">
        <v>1695</v>
      </c>
      <c r="V140" s="131" t="s">
        <v>2146</v>
      </c>
      <c r="W140" s="41"/>
      <c r="X140" s="41" t="s">
        <v>2822</v>
      </c>
      <c r="Y140" s="50"/>
    </row>
    <row r="141" spans="1:25" customFormat="1" ht="14.4" x14ac:dyDescent="0.3">
      <c r="A141" s="48">
        <f t="shared" si="6"/>
        <v>3</v>
      </c>
      <c r="B141" s="113">
        <v>46037</v>
      </c>
      <c r="C141" s="48" t="str">
        <f t="shared" si="10"/>
        <v>enero</v>
      </c>
      <c r="D141" s="48" t="s">
        <v>2135</v>
      </c>
      <c r="E141" s="42" t="s">
        <v>356</v>
      </c>
      <c r="F141" s="47" t="s">
        <v>127</v>
      </c>
      <c r="G141" s="48">
        <v>20</v>
      </c>
      <c r="H141" s="48" t="s">
        <v>2017</v>
      </c>
      <c r="I141" s="197">
        <v>19.8706</v>
      </c>
      <c r="J141" s="197">
        <v>397.41199999999998</v>
      </c>
      <c r="K141" s="197">
        <v>63.585920000000002</v>
      </c>
      <c r="L141" s="197">
        <v>460.99791999999997</v>
      </c>
      <c r="M141" s="198">
        <v>0</v>
      </c>
      <c r="N141" s="48" t="s">
        <v>311</v>
      </c>
      <c r="O141" s="48" t="s">
        <v>1464</v>
      </c>
      <c r="P141" s="48" t="s">
        <v>25</v>
      </c>
      <c r="Q141" s="48" t="s">
        <v>241</v>
      </c>
      <c r="R141" s="48" t="s">
        <v>2735</v>
      </c>
      <c r="S141" s="48" t="s">
        <v>1619</v>
      </c>
      <c r="T141" s="114" t="s">
        <v>2025</v>
      </c>
      <c r="U141" s="48" t="s">
        <v>1695</v>
      </c>
      <c r="V141" s="131" t="s">
        <v>2146</v>
      </c>
      <c r="W141" s="41"/>
      <c r="X141" s="41" t="s">
        <v>2823</v>
      </c>
      <c r="Y141" s="50"/>
    </row>
    <row r="142" spans="1:25" customFormat="1" ht="14.4" x14ac:dyDescent="0.3">
      <c r="A142" s="48">
        <f t="shared" si="6"/>
        <v>3</v>
      </c>
      <c r="B142" s="113">
        <v>46037</v>
      </c>
      <c r="C142" s="48" t="str">
        <f t="shared" si="10"/>
        <v>enero</v>
      </c>
      <c r="D142" s="48" t="s">
        <v>2135</v>
      </c>
      <c r="E142" s="42" t="s">
        <v>356</v>
      </c>
      <c r="F142" s="47" t="s">
        <v>127</v>
      </c>
      <c r="G142" s="125">
        <v>6.38</v>
      </c>
      <c r="H142" s="48" t="s">
        <v>2017</v>
      </c>
      <c r="I142" s="197">
        <v>20.267499999999998</v>
      </c>
      <c r="J142" s="197">
        <v>129.30664999999999</v>
      </c>
      <c r="K142" s="197">
        <v>20.689063999999998</v>
      </c>
      <c r="L142" s="197">
        <v>149.99571399999999</v>
      </c>
      <c r="M142" s="198">
        <v>0</v>
      </c>
      <c r="N142" s="48" t="s">
        <v>311</v>
      </c>
      <c r="O142" s="48" t="s">
        <v>814</v>
      </c>
      <c r="P142" s="48" t="s">
        <v>25</v>
      </c>
      <c r="Q142" s="48" t="s">
        <v>241</v>
      </c>
      <c r="R142" s="48" t="s">
        <v>2735</v>
      </c>
      <c r="S142" s="48" t="s">
        <v>1619</v>
      </c>
      <c r="T142" s="114" t="s">
        <v>2025</v>
      </c>
      <c r="U142" s="48" t="s">
        <v>1703</v>
      </c>
      <c r="V142" s="39"/>
      <c r="W142" s="41"/>
      <c r="X142" s="41" t="s">
        <v>2824</v>
      </c>
      <c r="Y142" s="50"/>
    </row>
    <row r="143" spans="1:25" customFormat="1" ht="14.4" x14ac:dyDescent="0.3">
      <c r="A143" s="48">
        <f t="shared" si="6"/>
        <v>3</v>
      </c>
      <c r="B143" s="113">
        <v>46037</v>
      </c>
      <c r="C143" s="48" t="str">
        <f t="shared" si="10"/>
        <v>enero</v>
      </c>
      <c r="D143" s="48" t="s">
        <v>2135</v>
      </c>
      <c r="E143" s="42" t="s">
        <v>356</v>
      </c>
      <c r="F143" s="47" t="s">
        <v>2825</v>
      </c>
      <c r="G143" s="48">
        <v>8.3369999999999997</v>
      </c>
      <c r="H143" s="48" t="s">
        <v>2017</v>
      </c>
      <c r="I143" s="197">
        <v>20.681000000000001</v>
      </c>
      <c r="J143" s="197">
        <v>172.417497</v>
      </c>
      <c r="K143" s="197">
        <v>27.586799520000003</v>
      </c>
      <c r="L143" s="197">
        <v>200.00429652</v>
      </c>
      <c r="M143" s="198">
        <v>0</v>
      </c>
      <c r="N143" s="48" t="s">
        <v>1702</v>
      </c>
      <c r="O143" s="48" t="s">
        <v>2826</v>
      </c>
      <c r="P143" s="48" t="s">
        <v>25</v>
      </c>
      <c r="Q143" s="48" t="s">
        <v>2147</v>
      </c>
      <c r="R143" s="48" t="s">
        <v>2726</v>
      </c>
      <c r="S143" s="48" t="s">
        <v>388</v>
      </c>
      <c r="T143" s="114" t="s">
        <v>2372</v>
      </c>
      <c r="U143" s="48"/>
      <c r="V143" s="39"/>
      <c r="W143" s="41"/>
      <c r="X143" s="41" t="s">
        <v>2827</v>
      </c>
    </row>
    <row r="144" spans="1:25" customFormat="1" ht="14.4" x14ac:dyDescent="0.3">
      <c r="A144" s="48">
        <f t="shared" si="6"/>
        <v>3</v>
      </c>
      <c r="B144" s="113">
        <v>46037</v>
      </c>
      <c r="C144" s="48" t="str">
        <f t="shared" si="10"/>
        <v>enero</v>
      </c>
      <c r="D144" s="48" t="s">
        <v>2135</v>
      </c>
      <c r="E144" s="42" t="s">
        <v>2732</v>
      </c>
      <c r="F144" s="47" t="s">
        <v>2828</v>
      </c>
      <c r="G144" s="48">
        <v>1</v>
      </c>
      <c r="H144" s="48" t="s">
        <v>1705</v>
      </c>
      <c r="I144" s="197">
        <v>275</v>
      </c>
      <c r="J144" s="197">
        <v>275</v>
      </c>
      <c r="K144" s="197">
        <v>44</v>
      </c>
      <c r="L144" s="197">
        <v>319</v>
      </c>
      <c r="M144" s="198">
        <v>0</v>
      </c>
      <c r="N144" s="48" t="s">
        <v>1617</v>
      </c>
      <c r="O144" s="48" t="s">
        <v>116</v>
      </c>
      <c r="P144" s="48" t="s">
        <v>2734</v>
      </c>
      <c r="Q144" s="48" t="s">
        <v>1921</v>
      </c>
      <c r="R144" s="48" t="s">
        <v>364</v>
      </c>
      <c r="S144" s="48" t="s">
        <v>1704</v>
      </c>
      <c r="T144" s="114" t="s">
        <v>2829</v>
      </c>
      <c r="U144" s="48"/>
      <c r="V144" s="39"/>
      <c r="W144" s="41"/>
      <c r="X144" s="41" t="s">
        <v>2830</v>
      </c>
    </row>
    <row r="145" spans="1:36" customFormat="1" ht="14.4" x14ac:dyDescent="0.3">
      <c r="A145" s="48">
        <f t="shared" si="6"/>
        <v>3</v>
      </c>
      <c r="B145" s="113">
        <v>46037</v>
      </c>
      <c r="C145" s="48" t="str">
        <f t="shared" si="10"/>
        <v>enero</v>
      </c>
      <c r="D145" s="48" t="s">
        <v>2135</v>
      </c>
      <c r="E145" s="42" t="s">
        <v>2732</v>
      </c>
      <c r="F145" s="47" t="s">
        <v>2831</v>
      </c>
      <c r="G145" s="48">
        <v>1</v>
      </c>
      <c r="H145" s="48" t="s">
        <v>1705</v>
      </c>
      <c r="I145" s="197">
        <v>275</v>
      </c>
      <c r="J145" s="197">
        <v>275</v>
      </c>
      <c r="K145" s="197">
        <v>44</v>
      </c>
      <c r="L145" s="200">
        <v>319</v>
      </c>
      <c r="M145" s="198">
        <v>0</v>
      </c>
      <c r="N145" s="48" t="s">
        <v>1617</v>
      </c>
      <c r="O145" s="48" t="s">
        <v>116</v>
      </c>
      <c r="P145" s="48" t="s">
        <v>2734</v>
      </c>
      <c r="Q145" s="48" t="s">
        <v>1921</v>
      </c>
      <c r="R145" s="48" t="s">
        <v>364</v>
      </c>
      <c r="S145" s="48" t="s">
        <v>1704</v>
      </c>
      <c r="T145" s="114" t="s">
        <v>2829</v>
      </c>
      <c r="U145" s="48"/>
      <c r="V145" s="39"/>
      <c r="W145" s="41"/>
      <c r="X145" s="41" t="s">
        <v>2832</v>
      </c>
    </row>
    <row r="146" spans="1:36" customFormat="1" ht="14.4" x14ac:dyDescent="0.3">
      <c r="A146" s="48">
        <f t="shared" si="6"/>
        <v>3</v>
      </c>
      <c r="B146" s="113">
        <v>46037</v>
      </c>
      <c r="C146" s="48" t="str">
        <f t="shared" si="10"/>
        <v>enero</v>
      </c>
      <c r="D146" s="48" t="s">
        <v>2135</v>
      </c>
      <c r="E146" s="42" t="s">
        <v>2732</v>
      </c>
      <c r="F146" s="47" t="s">
        <v>2828</v>
      </c>
      <c r="G146" s="48">
        <v>1</v>
      </c>
      <c r="H146" s="48" t="s">
        <v>1705</v>
      </c>
      <c r="I146" s="197">
        <v>275</v>
      </c>
      <c r="J146" s="197">
        <v>275</v>
      </c>
      <c r="K146" s="197">
        <v>44</v>
      </c>
      <c r="L146" s="200">
        <v>319</v>
      </c>
      <c r="M146" s="198">
        <v>0</v>
      </c>
      <c r="N146" s="48" t="s">
        <v>1617</v>
      </c>
      <c r="O146" s="48" t="s">
        <v>116</v>
      </c>
      <c r="P146" s="48" t="s">
        <v>2734</v>
      </c>
      <c r="Q146" s="48" t="s">
        <v>1921</v>
      </c>
      <c r="R146" s="48" t="s">
        <v>364</v>
      </c>
      <c r="S146" s="48" t="s">
        <v>1704</v>
      </c>
      <c r="T146" s="114" t="s">
        <v>2829</v>
      </c>
      <c r="U146" s="48"/>
      <c r="V146" s="39"/>
      <c r="W146" s="41"/>
      <c r="X146" s="41" t="s">
        <v>2832</v>
      </c>
    </row>
    <row r="147" spans="1:36" customFormat="1" ht="14.4" x14ac:dyDescent="0.3">
      <c r="A147" s="48">
        <f t="shared" si="6"/>
        <v>3</v>
      </c>
      <c r="B147" s="113">
        <v>46037</v>
      </c>
      <c r="C147" s="48" t="str">
        <f t="shared" si="10"/>
        <v>enero</v>
      </c>
      <c r="D147" s="48" t="s">
        <v>2135</v>
      </c>
      <c r="E147" s="42" t="s">
        <v>2732</v>
      </c>
      <c r="F147" s="47" t="s">
        <v>2833</v>
      </c>
      <c r="G147" s="48">
        <v>1</v>
      </c>
      <c r="H147" s="48" t="s">
        <v>1705</v>
      </c>
      <c r="I147" s="197">
        <v>275</v>
      </c>
      <c r="J147" s="197">
        <v>275</v>
      </c>
      <c r="K147" s="197">
        <v>44</v>
      </c>
      <c r="L147" s="200">
        <v>319</v>
      </c>
      <c r="M147" s="198">
        <v>0</v>
      </c>
      <c r="N147" s="48" t="s">
        <v>1617</v>
      </c>
      <c r="O147" s="48" t="s">
        <v>116</v>
      </c>
      <c r="P147" s="48" t="s">
        <v>2734</v>
      </c>
      <c r="Q147" s="48" t="s">
        <v>1921</v>
      </c>
      <c r="R147" s="48" t="s">
        <v>364</v>
      </c>
      <c r="S147" s="48" t="s">
        <v>1704</v>
      </c>
      <c r="T147" s="114" t="s">
        <v>2829</v>
      </c>
      <c r="U147" s="48"/>
      <c r="V147" s="39" t="s">
        <v>2834</v>
      </c>
      <c r="W147" s="41"/>
      <c r="X147" s="41" t="s">
        <v>2832</v>
      </c>
    </row>
    <row r="148" spans="1:36" customFormat="1" ht="14.4" x14ac:dyDescent="0.3">
      <c r="A148" s="48">
        <f t="shared" si="6"/>
        <v>3</v>
      </c>
      <c r="B148" s="113">
        <v>46037</v>
      </c>
      <c r="C148" s="48" t="str">
        <f t="shared" si="10"/>
        <v>enero</v>
      </c>
      <c r="D148" s="48" t="s">
        <v>2135</v>
      </c>
      <c r="E148" s="42" t="s">
        <v>2728</v>
      </c>
      <c r="F148" s="47" t="s">
        <v>2835</v>
      </c>
      <c r="G148" s="48">
        <v>1</v>
      </c>
      <c r="H148" s="48" t="s">
        <v>1705</v>
      </c>
      <c r="I148" s="197">
        <v>731.03440000000001</v>
      </c>
      <c r="J148" s="197">
        <v>731.03440000000001</v>
      </c>
      <c r="K148" s="197">
        <v>116.96550400000001</v>
      </c>
      <c r="L148" s="201">
        <v>847.99990400000002</v>
      </c>
      <c r="M148" s="198">
        <v>0</v>
      </c>
      <c r="N148" s="48" t="s">
        <v>1297</v>
      </c>
      <c r="O148" s="48" t="s">
        <v>426</v>
      </c>
      <c r="P148" s="48" t="s">
        <v>25</v>
      </c>
      <c r="Q148" s="48" t="s">
        <v>241</v>
      </c>
      <c r="R148" s="48" t="s">
        <v>2726</v>
      </c>
      <c r="S148" s="48" t="s">
        <v>1697</v>
      </c>
      <c r="T148" s="114" t="s">
        <v>1617</v>
      </c>
      <c r="U148" s="48"/>
      <c r="V148" s="39"/>
      <c r="W148" s="41"/>
      <c r="X148" s="41" t="s">
        <v>2836</v>
      </c>
      <c r="Y148" s="50"/>
    </row>
    <row r="149" spans="1:36" customFormat="1" ht="14.4" x14ac:dyDescent="0.3">
      <c r="A149" s="48">
        <f t="shared" si="6"/>
        <v>3</v>
      </c>
      <c r="B149" s="113">
        <v>46037</v>
      </c>
      <c r="C149" s="48" t="str">
        <f t="shared" si="10"/>
        <v>enero</v>
      </c>
      <c r="D149" s="48" t="s">
        <v>2135</v>
      </c>
      <c r="E149" s="42" t="s">
        <v>2728</v>
      </c>
      <c r="F149" s="47" t="s">
        <v>2837</v>
      </c>
      <c r="G149" s="48">
        <v>1</v>
      </c>
      <c r="H149" s="48" t="s">
        <v>1705</v>
      </c>
      <c r="I149" s="197">
        <v>162.93</v>
      </c>
      <c r="J149" s="197">
        <v>162.93</v>
      </c>
      <c r="K149" s="197">
        <v>26.068800000000003</v>
      </c>
      <c r="L149" s="201">
        <v>188.99880000000002</v>
      </c>
      <c r="M149" s="198">
        <v>0</v>
      </c>
      <c r="N149" s="48" t="s">
        <v>1297</v>
      </c>
      <c r="O149" s="48" t="s">
        <v>426</v>
      </c>
      <c r="P149" s="48" t="s">
        <v>25</v>
      </c>
      <c r="Q149" s="48" t="s">
        <v>241</v>
      </c>
      <c r="R149" s="48" t="s">
        <v>2726</v>
      </c>
      <c r="S149" s="48" t="s">
        <v>1697</v>
      </c>
      <c r="T149" s="114" t="s">
        <v>1617</v>
      </c>
      <c r="U149" s="48"/>
      <c r="V149" s="39"/>
      <c r="W149" s="41"/>
      <c r="X149" s="41" t="s">
        <v>2836</v>
      </c>
      <c r="Y149" s="50"/>
    </row>
    <row r="150" spans="1:36" customFormat="1" ht="14.4" x14ac:dyDescent="0.3">
      <c r="A150" s="48">
        <f t="shared" si="6"/>
        <v>3</v>
      </c>
      <c r="B150" s="113">
        <v>46037</v>
      </c>
      <c r="C150" s="48" t="str">
        <f t="shared" si="10"/>
        <v>enero</v>
      </c>
      <c r="D150" s="48" t="s">
        <v>2135</v>
      </c>
      <c r="E150" s="42" t="s">
        <v>2728</v>
      </c>
      <c r="F150" s="47" t="s">
        <v>1706</v>
      </c>
      <c r="G150" s="48">
        <v>1</v>
      </c>
      <c r="H150" s="48" t="s">
        <v>1705</v>
      </c>
      <c r="I150" s="197">
        <v>3500</v>
      </c>
      <c r="J150" s="197">
        <v>3500</v>
      </c>
      <c r="K150" s="197">
        <v>0</v>
      </c>
      <c r="L150" s="197">
        <v>3500</v>
      </c>
      <c r="M150" s="198">
        <v>0</v>
      </c>
      <c r="N150" s="48" t="s">
        <v>922</v>
      </c>
      <c r="O150" s="48" t="s">
        <v>104</v>
      </c>
      <c r="P150" s="48" t="s">
        <v>25</v>
      </c>
      <c r="Q150" s="48" t="s">
        <v>241</v>
      </c>
      <c r="R150" s="48" t="s">
        <v>369</v>
      </c>
      <c r="S150" s="48" t="s">
        <v>1707</v>
      </c>
      <c r="T150" s="114" t="s">
        <v>1617</v>
      </c>
      <c r="U150" s="48" t="s">
        <v>530</v>
      </c>
      <c r="V150" s="39"/>
      <c r="W150" s="41"/>
      <c r="X150" s="41" t="s">
        <v>2838</v>
      </c>
      <c r="Y150" s="50"/>
    </row>
    <row r="151" spans="1:36" customFormat="1" ht="14.4" x14ac:dyDescent="0.3">
      <c r="A151" s="48">
        <f t="shared" si="6"/>
        <v>3</v>
      </c>
      <c r="B151" s="195">
        <v>46037</v>
      </c>
      <c r="C151" s="48" t="str">
        <f t="shared" si="10"/>
        <v>enero</v>
      </c>
      <c r="D151" s="48" t="s">
        <v>2135</v>
      </c>
      <c r="E151" s="50" t="s">
        <v>827</v>
      </c>
      <c r="F151" s="196" t="s">
        <v>2723</v>
      </c>
      <c r="G151" s="49">
        <v>1</v>
      </c>
      <c r="H151" s="48" t="s">
        <v>2138</v>
      </c>
      <c r="I151" s="197">
        <v>1200</v>
      </c>
      <c r="J151" s="197">
        <v>1200</v>
      </c>
      <c r="K151" s="197">
        <v>0</v>
      </c>
      <c r="L151" s="203">
        <v>1200</v>
      </c>
      <c r="M151" s="198">
        <v>0</v>
      </c>
      <c r="N151" s="48" t="s">
        <v>1617</v>
      </c>
      <c r="O151" s="49" t="s">
        <v>2020</v>
      </c>
      <c r="P151" s="49" t="s">
        <v>1321</v>
      </c>
      <c r="Q151" s="48" t="s">
        <v>245</v>
      </c>
      <c r="R151" s="48" t="s">
        <v>369</v>
      </c>
      <c r="S151" s="50" t="s">
        <v>2839</v>
      </c>
      <c r="T151" s="50"/>
      <c r="U151" s="50"/>
      <c r="V151" s="196"/>
      <c r="W151" s="50" t="s">
        <v>1617</v>
      </c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</row>
    <row r="152" spans="1:36" customFormat="1" ht="14.4" x14ac:dyDescent="0.3">
      <c r="A152" s="48">
        <f t="shared" si="6"/>
        <v>3</v>
      </c>
      <c r="B152" s="195">
        <v>46037</v>
      </c>
      <c r="C152" s="48" t="str">
        <f t="shared" si="10"/>
        <v>enero</v>
      </c>
      <c r="D152" s="48" t="s">
        <v>2135</v>
      </c>
      <c r="E152" s="50" t="s">
        <v>827</v>
      </c>
      <c r="F152" s="196" t="s">
        <v>2723</v>
      </c>
      <c r="G152" s="49">
        <v>1</v>
      </c>
      <c r="H152" s="48" t="s">
        <v>2138</v>
      </c>
      <c r="I152" s="197">
        <v>1200</v>
      </c>
      <c r="J152" s="197">
        <v>1200</v>
      </c>
      <c r="K152" s="197">
        <v>0</v>
      </c>
      <c r="L152" s="203">
        <v>1200</v>
      </c>
      <c r="M152" s="198">
        <v>0</v>
      </c>
      <c r="N152" s="48" t="s">
        <v>1617</v>
      </c>
      <c r="O152" s="49" t="s">
        <v>1736</v>
      </c>
      <c r="P152" s="49" t="s">
        <v>1321</v>
      </c>
      <c r="Q152" s="48" t="s">
        <v>245</v>
      </c>
      <c r="R152" s="48" t="s">
        <v>369</v>
      </c>
      <c r="S152" s="50" t="s">
        <v>2839</v>
      </c>
      <c r="T152" s="50"/>
      <c r="U152" s="50"/>
      <c r="V152" s="196"/>
      <c r="W152" s="50" t="s">
        <v>1617</v>
      </c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</row>
    <row r="153" spans="1:36" customFormat="1" ht="14.4" x14ac:dyDescent="0.3">
      <c r="A153" s="48">
        <f t="shared" si="6"/>
        <v>3</v>
      </c>
      <c r="B153" s="195">
        <v>46037</v>
      </c>
      <c r="C153" s="48" t="str">
        <f t="shared" si="10"/>
        <v>enero</v>
      </c>
      <c r="D153" s="48" t="s">
        <v>2135</v>
      </c>
      <c r="E153" s="50" t="s">
        <v>827</v>
      </c>
      <c r="F153" s="196" t="s">
        <v>2723</v>
      </c>
      <c r="G153" s="49">
        <v>1</v>
      </c>
      <c r="H153" s="48" t="s">
        <v>2138</v>
      </c>
      <c r="I153" s="197">
        <v>1200</v>
      </c>
      <c r="J153" s="197">
        <v>1200</v>
      </c>
      <c r="K153" s="197">
        <v>0</v>
      </c>
      <c r="L153" s="203">
        <v>1200</v>
      </c>
      <c r="M153" s="198">
        <v>0</v>
      </c>
      <c r="N153" s="48" t="s">
        <v>1617</v>
      </c>
      <c r="O153" s="49" t="s">
        <v>2022</v>
      </c>
      <c r="P153" s="49" t="s">
        <v>1321</v>
      </c>
      <c r="Q153" s="48" t="s">
        <v>245</v>
      </c>
      <c r="R153" s="48" t="s">
        <v>369</v>
      </c>
      <c r="S153" s="50" t="s">
        <v>2839</v>
      </c>
      <c r="T153" s="50"/>
      <c r="U153" s="50"/>
      <c r="V153" s="196"/>
      <c r="W153" s="50" t="s">
        <v>1617</v>
      </c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</row>
    <row r="154" spans="1:36" customFormat="1" ht="14.4" x14ac:dyDescent="0.3">
      <c r="A154" s="48">
        <f t="shared" si="6"/>
        <v>3</v>
      </c>
      <c r="B154" s="195">
        <v>46037</v>
      </c>
      <c r="C154" s="48" t="str">
        <f t="shared" si="10"/>
        <v>enero</v>
      </c>
      <c r="D154" s="48" t="s">
        <v>2135</v>
      </c>
      <c r="E154" s="50" t="s">
        <v>827</v>
      </c>
      <c r="F154" s="196" t="s">
        <v>2723</v>
      </c>
      <c r="G154" s="49">
        <v>1</v>
      </c>
      <c r="H154" s="48" t="s">
        <v>2138</v>
      </c>
      <c r="I154" s="197">
        <v>1200</v>
      </c>
      <c r="J154" s="197">
        <v>1200</v>
      </c>
      <c r="K154" s="197">
        <v>0</v>
      </c>
      <c r="L154" s="203">
        <v>1200</v>
      </c>
      <c r="M154" s="198">
        <v>0</v>
      </c>
      <c r="N154" s="48" t="s">
        <v>1617</v>
      </c>
      <c r="O154" s="49" t="s">
        <v>1823</v>
      </c>
      <c r="P154" s="49" t="s">
        <v>1321</v>
      </c>
      <c r="Q154" s="48" t="s">
        <v>245</v>
      </c>
      <c r="R154" s="48" t="s">
        <v>369</v>
      </c>
      <c r="S154" s="50" t="s">
        <v>2839</v>
      </c>
      <c r="T154" s="50"/>
      <c r="U154" s="50"/>
      <c r="V154" s="196"/>
      <c r="W154" s="50" t="s">
        <v>1617</v>
      </c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</row>
    <row r="155" spans="1:36" ht="12.75" customHeight="1" x14ac:dyDescent="0.3">
      <c r="A155" s="48">
        <f t="shared" si="6"/>
        <v>3</v>
      </c>
      <c r="B155" s="195">
        <v>46037</v>
      </c>
      <c r="C155" s="48" t="str">
        <f t="shared" si="10"/>
        <v>enero</v>
      </c>
      <c r="D155" s="48" t="s">
        <v>2135</v>
      </c>
      <c r="E155" s="50" t="s">
        <v>827</v>
      </c>
      <c r="F155" s="196" t="s">
        <v>2723</v>
      </c>
      <c r="G155" s="49">
        <v>1</v>
      </c>
      <c r="H155" s="48" t="s">
        <v>2138</v>
      </c>
      <c r="I155" s="197">
        <v>1200</v>
      </c>
      <c r="J155" s="197">
        <v>1200</v>
      </c>
      <c r="K155" s="197">
        <v>0</v>
      </c>
      <c r="L155" s="203">
        <v>1200</v>
      </c>
      <c r="M155" s="198">
        <v>0</v>
      </c>
      <c r="N155" s="48" t="s">
        <v>1617</v>
      </c>
      <c r="O155" s="49" t="s">
        <v>1819</v>
      </c>
      <c r="P155" s="49" t="s">
        <v>1321</v>
      </c>
      <c r="Q155" s="48" t="s">
        <v>245</v>
      </c>
      <c r="R155" s="48" t="s">
        <v>369</v>
      </c>
      <c r="S155" s="50" t="s">
        <v>2839</v>
      </c>
      <c r="W155" s="50" t="s">
        <v>1617</v>
      </c>
    </row>
    <row r="156" spans="1:36" ht="12.75" customHeight="1" x14ac:dyDescent="0.3">
      <c r="A156" s="48">
        <f t="shared" si="6"/>
        <v>3</v>
      </c>
      <c r="B156" s="195">
        <v>46037</v>
      </c>
      <c r="C156" s="48" t="str">
        <f t="shared" si="10"/>
        <v>enero</v>
      </c>
      <c r="D156" s="48" t="s">
        <v>2135</v>
      </c>
      <c r="E156" s="50" t="s">
        <v>827</v>
      </c>
      <c r="F156" s="196" t="s">
        <v>2723</v>
      </c>
      <c r="G156" s="49">
        <v>1</v>
      </c>
      <c r="H156" s="48" t="s">
        <v>2138</v>
      </c>
      <c r="I156" s="197">
        <v>1200</v>
      </c>
      <c r="J156" s="197">
        <v>1200</v>
      </c>
      <c r="K156" s="197">
        <v>0</v>
      </c>
      <c r="L156" s="203">
        <v>1200</v>
      </c>
      <c r="M156" s="198">
        <v>0</v>
      </c>
      <c r="N156" s="48" t="s">
        <v>1617</v>
      </c>
      <c r="O156" s="49" t="s">
        <v>2023</v>
      </c>
      <c r="P156" s="49" t="s">
        <v>1321</v>
      </c>
      <c r="Q156" s="48" t="s">
        <v>245</v>
      </c>
      <c r="R156" s="48" t="s">
        <v>369</v>
      </c>
      <c r="S156" s="50" t="s">
        <v>2839</v>
      </c>
      <c r="W156" s="50" t="s">
        <v>1617</v>
      </c>
    </row>
    <row r="157" spans="1:36" ht="12.75" customHeight="1" x14ac:dyDescent="0.3">
      <c r="A157" s="48">
        <f t="shared" si="6"/>
        <v>3</v>
      </c>
      <c r="B157" s="195">
        <v>46037</v>
      </c>
      <c r="C157" s="48" t="str">
        <f t="shared" si="10"/>
        <v>enero</v>
      </c>
      <c r="D157" s="48" t="s">
        <v>2135</v>
      </c>
      <c r="E157" s="50" t="s">
        <v>827</v>
      </c>
      <c r="F157" s="196" t="s">
        <v>2723</v>
      </c>
      <c r="G157" s="49">
        <v>1</v>
      </c>
      <c r="H157" s="48" t="s">
        <v>2138</v>
      </c>
      <c r="I157" s="197">
        <v>1200</v>
      </c>
      <c r="J157" s="197">
        <v>1200</v>
      </c>
      <c r="K157" s="197">
        <v>0</v>
      </c>
      <c r="L157" s="198">
        <v>1200</v>
      </c>
      <c r="M157" s="198">
        <v>0</v>
      </c>
      <c r="N157" s="48" t="s">
        <v>1617</v>
      </c>
      <c r="O157" s="49" t="s">
        <v>1464</v>
      </c>
      <c r="P157" s="49" t="s">
        <v>25</v>
      </c>
      <c r="Q157" s="199" t="s">
        <v>245</v>
      </c>
      <c r="R157" s="49" t="s">
        <v>369</v>
      </c>
      <c r="S157" s="50" t="s">
        <v>2724</v>
      </c>
      <c r="W157" s="50" t="s">
        <v>1617</v>
      </c>
    </row>
    <row r="158" spans="1:36" ht="12.75" customHeight="1" x14ac:dyDescent="0.3">
      <c r="A158" s="48">
        <f t="shared" si="6"/>
        <v>3</v>
      </c>
      <c r="B158" s="195">
        <v>46037</v>
      </c>
      <c r="C158" s="48" t="str">
        <f t="shared" si="10"/>
        <v>enero</v>
      </c>
      <c r="D158" s="48" t="s">
        <v>2135</v>
      </c>
      <c r="E158" s="50" t="s">
        <v>827</v>
      </c>
      <c r="F158" s="196" t="s">
        <v>2723</v>
      </c>
      <c r="G158" s="49">
        <v>1</v>
      </c>
      <c r="H158" s="48" t="s">
        <v>2138</v>
      </c>
      <c r="I158" s="197">
        <v>1200</v>
      </c>
      <c r="J158" s="197">
        <v>1200</v>
      </c>
      <c r="K158" s="197">
        <v>0</v>
      </c>
      <c r="L158" s="198">
        <v>1200</v>
      </c>
      <c r="M158" s="198">
        <v>0</v>
      </c>
      <c r="N158" s="48" t="s">
        <v>1617</v>
      </c>
      <c r="O158" s="49" t="s">
        <v>1586</v>
      </c>
      <c r="P158" s="49" t="s">
        <v>25</v>
      </c>
      <c r="Q158" s="199" t="s">
        <v>245</v>
      </c>
      <c r="R158" s="49" t="s">
        <v>369</v>
      </c>
      <c r="S158" s="50" t="s">
        <v>2724</v>
      </c>
      <c r="W158" s="50" t="s">
        <v>1617</v>
      </c>
    </row>
    <row r="159" spans="1:36" customFormat="1" ht="14.4" x14ac:dyDescent="0.3">
      <c r="A159" s="48">
        <f t="shared" si="6"/>
        <v>3</v>
      </c>
      <c r="B159" s="195">
        <v>46037</v>
      </c>
      <c r="C159" s="48" t="str">
        <f t="shared" si="10"/>
        <v>enero</v>
      </c>
      <c r="D159" s="48" t="s">
        <v>2135</v>
      </c>
      <c r="E159" s="50" t="s">
        <v>827</v>
      </c>
      <c r="F159" s="196" t="s">
        <v>2723</v>
      </c>
      <c r="G159" s="49">
        <v>1</v>
      </c>
      <c r="H159" s="48" t="s">
        <v>2138</v>
      </c>
      <c r="I159" s="197">
        <v>1200</v>
      </c>
      <c r="J159" s="197">
        <v>1200</v>
      </c>
      <c r="K159" s="197">
        <v>0</v>
      </c>
      <c r="L159" s="198">
        <v>1200</v>
      </c>
      <c r="M159" s="198">
        <v>0</v>
      </c>
      <c r="N159" s="48" t="s">
        <v>1617</v>
      </c>
      <c r="O159" s="49" t="s">
        <v>1443</v>
      </c>
      <c r="P159" s="49" t="s">
        <v>25</v>
      </c>
      <c r="Q159" s="199" t="s">
        <v>245</v>
      </c>
      <c r="R159" s="49" t="s">
        <v>369</v>
      </c>
      <c r="S159" s="50" t="s">
        <v>2724</v>
      </c>
      <c r="T159" s="50"/>
      <c r="U159" s="50"/>
      <c r="V159" s="196"/>
      <c r="W159" s="50" t="s">
        <v>1617</v>
      </c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</row>
    <row r="160" spans="1:36" customFormat="1" ht="14.4" x14ac:dyDescent="0.3">
      <c r="A160" s="48">
        <f t="shared" si="6"/>
        <v>3</v>
      </c>
      <c r="B160" s="195">
        <v>46037</v>
      </c>
      <c r="C160" s="48" t="str">
        <f t="shared" si="10"/>
        <v>enero</v>
      </c>
      <c r="D160" s="48" t="s">
        <v>2135</v>
      </c>
      <c r="E160" s="50" t="s">
        <v>827</v>
      </c>
      <c r="F160" s="196" t="s">
        <v>2723</v>
      </c>
      <c r="G160" s="49">
        <v>1</v>
      </c>
      <c r="H160" s="48" t="s">
        <v>2138</v>
      </c>
      <c r="I160" s="197">
        <v>1200</v>
      </c>
      <c r="J160" s="197">
        <v>1200</v>
      </c>
      <c r="K160" s="197">
        <v>0</v>
      </c>
      <c r="L160" s="198">
        <v>1200</v>
      </c>
      <c r="M160" s="198">
        <v>0</v>
      </c>
      <c r="N160" s="48" t="s">
        <v>1617</v>
      </c>
      <c r="O160" s="49" t="s">
        <v>1429</v>
      </c>
      <c r="P160" s="49" t="s">
        <v>25</v>
      </c>
      <c r="Q160" s="199" t="s">
        <v>245</v>
      </c>
      <c r="R160" s="49" t="s">
        <v>369</v>
      </c>
      <c r="S160" s="50" t="s">
        <v>2724</v>
      </c>
      <c r="T160" s="50"/>
      <c r="U160" s="50"/>
      <c r="V160" s="196"/>
      <c r="W160" s="50" t="s">
        <v>1617</v>
      </c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</row>
    <row r="161" spans="1:36" customFormat="1" ht="14.4" x14ac:dyDescent="0.3">
      <c r="A161" s="48">
        <f t="shared" si="6"/>
        <v>3</v>
      </c>
      <c r="B161" s="195">
        <v>46037</v>
      </c>
      <c r="C161" s="48" t="str">
        <f t="shared" si="10"/>
        <v>enero</v>
      </c>
      <c r="D161" s="48" t="s">
        <v>2135</v>
      </c>
      <c r="E161" s="50" t="s">
        <v>827</v>
      </c>
      <c r="F161" s="196" t="s">
        <v>2723</v>
      </c>
      <c r="G161" s="49">
        <v>1</v>
      </c>
      <c r="H161" s="48" t="s">
        <v>2138</v>
      </c>
      <c r="I161" s="197">
        <v>1200</v>
      </c>
      <c r="J161" s="197">
        <v>1200</v>
      </c>
      <c r="K161" s="197">
        <v>0</v>
      </c>
      <c r="L161" s="198">
        <v>1200</v>
      </c>
      <c r="M161" s="198">
        <v>0</v>
      </c>
      <c r="N161" s="48" t="s">
        <v>1617</v>
      </c>
      <c r="O161" s="49" t="s">
        <v>2149</v>
      </c>
      <c r="P161" s="49" t="s">
        <v>25</v>
      </c>
      <c r="Q161" s="199" t="s">
        <v>245</v>
      </c>
      <c r="R161" s="49" t="s">
        <v>369</v>
      </c>
      <c r="S161" s="50" t="s">
        <v>2724</v>
      </c>
      <c r="T161" s="50"/>
      <c r="U161" s="50"/>
      <c r="V161" s="196"/>
      <c r="W161" s="50" t="s">
        <v>1617</v>
      </c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</row>
    <row r="162" spans="1:36" customFormat="1" ht="14.4" x14ac:dyDescent="0.3">
      <c r="A162" s="48">
        <f t="shared" si="6"/>
        <v>3</v>
      </c>
      <c r="B162" s="195">
        <v>46037</v>
      </c>
      <c r="C162" s="48" t="str">
        <f t="shared" si="10"/>
        <v>enero</v>
      </c>
      <c r="D162" s="48" t="s">
        <v>2135</v>
      </c>
      <c r="E162" s="50" t="s">
        <v>827</v>
      </c>
      <c r="F162" s="196" t="s">
        <v>2723</v>
      </c>
      <c r="G162" s="49">
        <v>1</v>
      </c>
      <c r="H162" s="48" t="s">
        <v>2138</v>
      </c>
      <c r="I162" s="197">
        <v>1200</v>
      </c>
      <c r="J162" s="197">
        <v>1200</v>
      </c>
      <c r="K162" s="197">
        <v>0</v>
      </c>
      <c r="L162" s="198">
        <v>1200</v>
      </c>
      <c r="M162" s="198">
        <v>0</v>
      </c>
      <c r="N162" s="48" t="s">
        <v>1617</v>
      </c>
      <c r="O162" s="49" t="s">
        <v>1439</v>
      </c>
      <c r="P162" s="49" t="s">
        <v>25</v>
      </c>
      <c r="Q162" s="199" t="s">
        <v>245</v>
      </c>
      <c r="R162" s="49" t="s">
        <v>369</v>
      </c>
      <c r="S162" s="50" t="s">
        <v>2724</v>
      </c>
      <c r="T162" s="50"/>
      <c r="U162" s="50"/>
      <c r="V162" s="196"/>
      <c r="W162" s="50" t="s">
        <v>1617</v>
      </c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</row>
    <row r="163" spans="1:36" customFormat="1" ht="15" customHeight="1" x14ac:dyDescent="0.3">
      <c r="A163" s="48">
        <f t="shared" si="6"/>
        <v>3</v>
      </c>
      <c r="B163" s="113">
        <v>46038</v>
      </c>
      <c r="C163" s="48" t="str">
        <f t="shared" si="10"/>
        <v>enero</v>
      </c>
      <c r="D163" s="48" t="s">
        <v>2135</v>
      </c>
      <c r="E163" s="42" t="s">
        <v>356</v>
      </c>
      <c r="F163" s="47" t="s">
        <v>127</v>
      </c>
      <c r="G163" s="125">
        <v>8.67</v>
      </c>
      <c r="H163" s="48" t="s">
        <v>2017</v>
      </c>
      <c r="I163" s="197">
        <v>19.885999999999999</v>
      </c>
      <c r="J163" s="197">
        <v>172.41162</v>
      </c>
      <c r="K163" s="197">
        <v>27.585859200000002</v>
      </c>
      <c r="L163" s="197">
        <v>199.99747919999999</v>
      </c>
      <c r="M163" s="198">
        <v>0</v>
      </c>
      <c r="N163" s="48" t="s">
        <v>1003</v>
      </c>
      <c r="O163" s="48" t="s">
        <v>104</v>
      </c>
      <c r="P163" s="48" t="s">
        <v>25</v>
      </c>
      <c r="Q163" s="48" t="s">
        <v>241</v>
      </c>
      <c r="R163" s="48" t="s">
        <v>2727</v>
      </c>
      <c r="S163" s="48" t="s">
        <v>1619</v>
      </c>
      <c r="T163" s="114" t="s">
        <v>2025</v>
      </c>
      <c r="U163" s="48"/>
      <c r="V163" s="39"/>
      <c r="W163" s="41"/>
      <c r="X163" s="41" t="s">
        <v>2840</v>
      </c>
      <c r="Y163" s="50"/>
    </row>
    <row r="164" spans="1:36" customFormat="1" ht="14.4" x14ac:dyDescent="0.3">
      <c r="A164" s="48">
        <f t="shared" si="6"/>
        <v>3</v>
      </c>
      <c r="B164" s="113">
        <v>46038</v>
      </c>
      <c r="C164" s="48" t="str">
        <f t="shared" si="10"/>
        <v>enero</v>
      </c>
      <c r="D164" s="48" t="s">
        <v>2135</v>
      </c>
      <c r="E164" s="42" t="s">
        <v>356</v>
      </c>
      <c r="F164" s="47" t="s">
        <v>127</v>
      </c>
      <c r="G164" s="48">
        <v>8.34</v>
      </c>
      <c r="H164" s="48" t="s">
        <v>2017</v>
      </c>
      <c r="I164" s="197">
        <v>20.672999999999998</v>
      </c>
      <c r="J164" s="197">
        <v>172.41281999999998</v>
      </c>
      <c r="K164" s="197">
        <v>27.5860512</v>
      </c>
      <c r="L164" s="197">
        <v>199.9988712</v>
      </c>
      <c r="M164" s="198">
        <v>0</v>
      </c>
      <c r="N164" s="48" t="s">
        <v>1617</v>
      </c>
      <c r="O164" s="48" t="s">
        <v>118</v>
      </c>
      <c r="P164" s="48" t="s">
        <v>25</v>
      </c>
      <c r="Q164" s="48" t="s">
        <v>325</v>
      </c>
      <c r="R164" s="48" t="s">
        <v>2727</v>
      </c>
      <c r="S164" s="48" t="s">
        <v>1619</v>
      </c>
      <c r="T164" s="114" t="s">
        <v>2025</v>
      </c>
      <c r="U164" s="48" t="s">
        <v>1708</v>
      </c>
      <c r="V164" s="39"/>
      <c r="W164" s="41"/>
      <c r="X164" s="41" t="s">
        <v>2841</v>
      </c>
    </row>
    <row r="165" spans="1:36" customFormat="1" ht="14.4" x14ac:dyDescent="0.3">
      <c r="A165" s="48">
        <f t="shared" si="6"/>
        <v>3</v>
      </c>
      <c r="B165" s="113">
        <v>46038</v>
      </c>
      <c r="C165" s="48" t="str">
        <f t="shared" si="10"/>
        <v>enero</v>
      </c>
      <c r="D165" s="48" t="s">
        <v>2135</v>
      </c>
      <c r="E165" s="42" t="s">
        <v>2728</v>
      </c>
      <c r="F165" s="47" t="s">
        <v>2842</v>
      </c>
      <c r="G165" s="48">
        <v>1</v>
      </c>
      <c r="H165" s="48" t="s">
        <v>1705</v>
      </c>
      <c r="I165" s="197">
        <v>219.3</v>
      </c>
      <c r="J165" s="197">
        <v>219.3</v>
      </c>
      <c r="K165" s="197">
        <v>35.088000000000001</v>
      </c>
      <c r="L165" s="200">
        <v>254.38800000000001</v>
      </c>
      <c r="M165" s="198">
        <v>0</v>
      </c>
      <c r="N165" s="48" t="s">
        <v>1617</v>
      </c>
      <c r="O165" s="48" t="s">
        <v>1409</v>
      </c>
      <c r="P165" s="48" t="s">
        <v>25</v>
      </c>
      <c r="Q165" s="48" t="s">
        <v>241</v>
      </c>
      <c r="R165" s="48" t="s">
        <v>2727</v>
      </c>
      <c r="S165" s="48" t="s">
        <v>631</v>
      </c>
      <c r="T165" s="114" t="s">
        <v>1617</v>
      </c>
      <c r="U165" s="48"/>
      <c r="V165" s="39"/>
      <c r="W165" s="41"/>
      <c r="X165" s="41" t="s">
        <v>2843</v>
      </c>
      <c r="Y165" s="50"/>
    </row>
    <row r="166" spans="1:36" customFormat="1" ht="14.4" x14ac:dyDescent="0.3">
      <c r="A166" s="48">
        <f t="shared" si="6"/>
        <v>3</v>
      </c>
      <c r="B166" s="113">
        <v>46038</v>
      </c>
      <c r="C166" s="48" t="str">
        <f t="shared" si="10"/>
        <v>enero</v>
      </c>
      <c r="D166" s="48" t="s">
        <v>2135</v>
      </c>
      <c r="E166" s="42" t="s">
        <v>2728</v>
      </c>
      <c r="F166" s="47" t="s">
        <v>2738</v>
      </c>
      <c r="G166" s="48">
        <v>1</v>
      </c>
      <c r="H166" s="48" t="s">
        <v>1705</v>
      </c>
      <c r="I166" s="197">
        <v>730.15</v>
      </c>
      <c r="J166" s="197">
        <v>730.15</v>
      </c>
      <c r="K166" s="197">
        <v>116.824</v>
      </c>
      <c r="L166" s="200">
        <v>846.97399999999993</v>
      </c>
      <c r="M166" s="198">
        <v>0</v>
      </c>
      <c r="N166" s="48" t="s">
        <v>1617</v>
      </c>
      <c r="O166" s="48" t="s">
        <v>1409</v>
      </c>
      <c r="P166" s="48" t="s">
        <v>25</v>
      </c>
      <c r="Q166" s="48" t="s">
        <v>241</v>
      </c>
      <c r="R166" s="48" t="s">
        <v>2727</v>
      </c>
      <c r="S166" s="48" t="s">
        <v>631</v>
      </c>
      <c r="T166" s="114" t="s">
        <v>1617</v>
      </c>
      <c r="U166" s="48"/>
      <c r="V166" s="39"/>
      <c r="W166" s="41"/>
      <c r="X166" s="41" t="s">
        <v>2843</v>
      </c>
      <c r="Y166" s="50"/>
    </row>
    <row r="167" spans="1:36" customFormat="1" ht="14.4" x14ac:dyDescent="0.3">
      <c r="A167" s="48">
        <f t="shared" si="6"/>
        <v>3</v>
      </c>
      <c r="B167" s="113">
        <v>46038</v>
      </c>
      <c r="C167" s="48" t="str">
        <f t="shared" si="10"/>
        <v>enero</v>
      </c>
      <c r="D167" s="48" t="s">
        <v>2135</v>
      </c>
      <c r="E167" s="42" t="s">
        <v>2728</v>
      </c>
      <c r="F167" s="47" t="s">
        <v>2844</v>
      </c>
      <c r="G167" s="48">
        <v>1</v>
      </c>
      <c r="H167" s="48" t="s">
        <v>1705</v>
      </c>
      <c r="I167" s="197">
        <v>1170.45</v>
      </c>
      <c r="J167" s="197">
        <v>1170.45</v>
      </c>
      <c r="K167" s="197">
        <v>187.27200000000002</v>
      </c>
      <c r="L167" s="200">
        <v>1357.722</v>
      </c>
      <c r="M167" s="198">
        <v>0</v>
      </c>
      <c r="N167" s="48" t="s">
        <v>1617</v>
      </c>
      <c r="O167" s="48" t="s">
        <v>1409</v>
      </c>
      <c r="P167" s="48" t="s">
        <v>25</v>
      </c>
      <c r="Q167" s="48" t="s">
        <v>241</v>
      </c>
      <c r="R167" s="48" t="s">
        <v>2727</v>
      </c>
      <c r="S167" s="48" t="s">
        <v>631</v>
      </c>
      <c r="T167" s="114" t="s">
        <v>1617</v>
      </c>
      <c r="U167" s="48"/>
      <c r="V167" s="39" t="s">
        <v>2845</v>
      </c>
      <c r="W167" s="41"/>
      <c r="X167" s="41" t="s">
        <v>2843</v>
      </c>
      <c r="Y167" s="50"/>
    </row>
    <row r="168" spans="1:36" customFormat="1" ht="14.4" x14ac:dyDescent="0.3">
      <c r="A168" s="48">
        <f t="shared" si="6"/>
        <v>3</v>
      </c>
      <c r="B168" s="113">
        <v>46038</v>
      </c>
      <c r="C168" s="48" t="str">
        <f t="shared" si="10"/>
        <v>enero</v>
      </c>
      <c r="D168" s="48" t="s">
        <v>2135</v>
      </c>
      <c r="E168" s="42" t="s">
        <v>2728</v>
      </c>
      <c r="F168" s="47" t="s">
        <v>411</v>
      </c>
      <c r="G168" s="48">
        <v>8</v>
      </c>
      <c r="H168" s="48" t="s">
        <v>1705</v>
      </c>
      <c r="I168" s="197">
        <v>70</v>
      </c>
      <c r="J168" s="197">
        <v>560</v>
      </c>
      <c r="K168" s="197">
        <v>0</v>
      </c>
      <c r="L168" s="201">
        <v>560</v>
      </c>
      <c r="M168" s="198">
        <v>0</v>
      </c>
      <c r="N168" s="48" t="s">
        <v>1617</v>
      </c>
      <c r="O168" s="48" t="s">
        <v>118</v>
      </c>
      <c r="P168" s="48" t="s">
        <v>25</v>
      </c>
      <c r="Q168" s="48" t="s">
        <v>241</v>
      </c>
      <c r="R168" s="48" t="s">
        <v>2727</v>
      </c>
      <c r="S168" s="48" t="s">
        <v>1709</v>
      </c>
      <c r="T168" s="114" t="s">
        <v>1617</v>
      </c>
      <c r="U168" s="48"/>
      <c r="V168" s="131" t="s">
        <v>2018</v>
      </c>
      <c r="W168" s="41"/>
      <c r="X168" s="41" t="s">
        <v>2846</v>
      </c>
    </row>
    <row r="169" spans="1:36" customFormat="1" ht="14.4" x14ac:dyDescent="0.3">
      <c r="A169" s="48">
        <f t="shared" ref="A169:A232" si="12">WEEKNUM(B169)</f>
        <v>3</v>
      </c>
      <c r="B169" s="113">
        <v>46038</v>
      </c>
      <c r="C169" s="48" t="str">
        <f t="shared" si="10"/>
        <v>enero</v>
      </c>
      <c r="D169" s="48" t="s">
        <v>2135</v>
      </c>
      <c r="E169" s="42" t="s">
        <v>2728</v>
      </c>
      <c r="F169" s="47" t="s">
        <v>2847</v>
      </c>
      <c r="G169" s="48">
        <v>8</v>
      </c>
      <c r="H169" s="48" t="s">
        <v>1705</v>
      </c>
      <c r="I169" s="197">
        <v>8</v>
      </c>
      <c r="J169" s="197">
        <v>64</v>
      </c>
      <c r="K169" s="197">
        <v>0</v>
      </c>
      <c r="L169" s="201">
        <v>64</v>
      </c>
      <c r="M169" s="198">
        <v>0</v>
      </c>
      <c r="N169" s="48" t="s">
        <v>1617</v>
      </c>
      <c r="O169" s="48" t="s">
        <v>118</v>
      </c>
      <c r="P169" s="48" t="s">
        <v>25</v>
      </c>
      <c r="Q169" s="48" t="s">
        <v>241</v>
      </c>
      <c r="R169" s="48" t="s">
        <v>2727</v>
      </c>
      <c r="S169" s="48" t="s">
        <v>1709</v>
      </c>
      <c r="T169" s="114" t="s">
        <v>1617</v>
      </c>
      <c r="U169" s="48"/>
      <c r="V169" s="45" t="s">
        <v>2848</v>
      </c>
      <c r="W169" s="41"/>
      <c r="X169" s="41" t="s">
        <v>2846</v>
      </c>
    </row>
    <row r="170" spans="1:36" customFormat="1" ht="14.4" x14ac:dyDescent="0.3">
      <c r="A170" s="48">
        <f t="shared" si="12"/>
        <v>3</v>
      </c>
      <c r="B170" s="113">
        <v>46038</v>
      </c>
      <c r="C170" s="48" t="str">
        <f t="shared" si="10"/>
        <v>enero</v>
      </c>
      <c r="D170" s="48" t="s">
        <v>2135</v>
      </c>
      <c r="E170" s="42" t="s">
        <v>2728</v>
      </c>
      <c r="F170" s="47" t="s">
        <v>2849</v>
      </c>
      <c r="G170" s="48">
        <v>1</v>
      </c>
      <c r="H170" s="48" t="s">
        <v>1705</v>
      </c>
      <c r="I170" s="197">
        <v>463.38</v>
      </c>
      <c r="J170" s="197">
        <v>463.38</v>
      </c>
      <c r="K170" s="197">
        <v>74.140799999999999</v>
      </c>
      <c r="L170" s="200">
        <v>537.52080000000001</v>
      </c>
      <c r="M170" s="198">
        <v>0</v>
      </c>
      <c r="N170" s="48" t="s">
        <v>1617</v>
      </c>
      <c r="O170" s="48" t="s">
        <v>1409</v>
      </c>
      <c r="P170" s="48" t="s">
        <v>25</v>
      </c>
      <c r="Q170" s="48" t="s">
        <v>241</v>
      </c>
      <c r="R170" s="48" t="s">
        <v>2727</v>
      </c>
      <c r="S170" s="48" t="s">
        <v>800</v>
      </c>
      <c r="T170" s="114" t="s">
        <v>1617</v>
      </c>
      <c r="U170" s="48"/>
      <c r="V170" s="39"/>
      <c r="W170" s="41"/>
      <c r="X170" s="41" t="s">
        <v>2850</v>
      </c>
      <c r="Y170" s="50"/>
    </row>
    <row r="171" spans="1:36" customFormat="1" ht="14.4" x14ac:dyDescent="0.3">
      <c r="A171" s="48">
        <f t="shared" si="12"/>
        <v>3</v>
      </c>
      <c r="B171" s="113">
        <v>46038</v>
      </c>
      <c r="C171" s="48" t="str">
        <f t="shared" si="10"/>
        <v>enero</v>
      </c>
      <c r="D171" s="48" t="s">
        <v>2135</v>
      </c>
      <c r="E171" s="42" t="s">
        <v>2728</v>
      </c>
      <c r="F171" s="47" t="s">
        <v>2851</v>
      </c>
      <c r="G171" s="48">
        <v>2</v>
      </c>
      <c r="H171" s="48" t="s">
        <v>1705</v>
      </c>
      <c r="I171" s="197">
        <v>243.93</v>
      </c>
      <c r="J171" s="197">
        <v>487.86</v>
      </c>
      <c r="K171" s="197">
        <v>78.057600000000008</v>
      </c>
      <c r="L171" s="200">
        <v>565.91759999999999</v>
      </c>
      <c r="M171" s="198">
        <v>0</v>
      </c>
      <c r="N171" s="48" t="s">
        <v>1617</v>
      </c>
      <c r="O171" s="48" t="s">
        <v>1409</v>
      </c>
      <c r="P171" s="48" t="s">
        <v>25</v>
      </c>
      <c r="Q171" s="48" t="s">
        <v>241</v>
      </c>
      <c r="R171" s="48" t="s">
        <v>2727</v>
      </c>
      <c r="S171" s="48" t="s">
        <v>800</v>
      </c>
      <c r="T171" s="114" t="s">
        <v>1617</v>
      </c>
      <c r="U171" s="48"/>
      <c r="V171" s="39" t="s">
        <v>2852</v>
      </c>
      <c r="W171" s="41"/>
      <c r="X171" s="41" t="s">
        <v>2850</v>
      </c>
      <c r="Y171" s="50"/>
    </row>
    <row r="172" spans="1:36" customFormat="1" ht="14.4" x14ac:dyDescent="0.3">
      <c r="A172" s="48">
        <f t="shared" si="12"/>
        <v>3</v>
      </c>
      <c r="B172" s="113">
        <v>46038</v>
      </c>
      <c r="C172" s="48" t="str">
        <f t="shared" si="10"/>
        <v>enero</v>
      </c>
      <c r="D172" s="48" t="s">
        <v>2135</v>
      </c>
      <c r="E172" s="42" t="s">
        <v>2728</v>
      </c>
      <c r="F172" s="47" t="s">
        <v>2853</v>
      </c>
      <c r="G172" s="48">
        <v>1</v>
      </c>
      <c r="H172" s="48" t="s">
        <v>1705</v>
      </c>
      <c r="I172" s="197">
        <v>172.41370000000001</v>
      </c>
      <c r="J172" s="197">
        <v>172.41370000000001</v>
      </c>
      <c r="K172" s="197">
        <v>27.586192</v>
      </c>
      <c r="L172" s="201">
        <v>199.99989200000002</v>
      </c>
      <c r="M172" s="198">
        <v>0</v>
      </c>
      <c r="N172" s="48" t="s">
        <v>1617</v>
      </c>
      <c r="O172" s="48" t="s">
        <v>1409</v>
      </c>
      <c r="P172" s="48" t="s">
        <v>25</v>
      </c>
      <c r="Q172" s="48" t="s">
        <v>2147</v>
      </c>
      <c r="R172" s="48" t="s">
        <v>2727</v>
      </c>
      <c r="S172" s="48" t="s">
        <v>1678</v>
      </c>
      <c r="T172" s="114" t="s">
        <v>1617</v>
      </c>
      <c r="U172" s="48"/>
      <c r="V172" s="39"/>
      <c r="W172" s="41"/>
      <c r="X172" s="41" t="s">
        <v>2854</v>
      </c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</row>
    <row r="173" spans="1:36" customFormat="1" ht="14.4" x14ac:dyDescent="0.3">
      <c r="A173" s="48">
        <f t="shared" si="12"/>
        <v>3</v>
      </c>
      <c r="B173" s="113">
        <v>46038</v>
      </c>
      <c r="C173" s="48" t="str">
        <f t="shared" si="10"/>
        <v>enero</v>
      </c>
      <c r="D173" s="48" t="s">
        <v>2135</v>
      </c>
      <c r="E173" s="42" t="s">
        <v>2728</v>
      </c>
      <c r="F173" s="47" t="s">
        <v>2816</v>
      </c>
      <c r="G173" s="48">
        <v>1</v>
      </c>
      <c r="H173" s="48" t="s">
        <v>1705</v>
      </c>
      <c r="I173" s="197">
        <v>86.206800000000001</v>
      </c>
      <c r="J173" s="197">
        <v>86.206800000000001</v>
      </c>
      <c r="K173" s="197">
        <v>13.793088000000001</v>
      </c>
      <c r="L173" s="201">
        <v>99.999887999999999</v>
      </c>
      <c r="M173" s="198">
        <v>0</v>
      </c>
      <c r="N173" s="48" t="s">
        <v>1617</v>
      </c>
      <c r="O173" s="48" t="s">
        <v>1409</v>
      </c>
      <c r="P173" s="48" t="s">
        <v>25</v>
      </c>
      <c r="Q173" s="48" t="s">
        <v>2147</v>
      </c>
      <c r="R173" s="48" t="s">
        <v>2727</v>
      </c>
      <c r="S173" s="48" t="s">
        <v>1678</v>
      </c>
      <c r="T173" s="114" t="s">
        <v>1617</v>
      </c>
      <c r="U173" s="48"/>
      <c r="V173" s="39"/>
      <c r="W173" s="41"/>
      <c r="X173" s="41" t="s">
        <v>2854</v>
      </c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</row>
    <row r="174" spans="1:36" customFormat="1" ht="14.4" x14ac:dyDescent="0.3">
      <c r="A174" s="48">
        <f t="shared" si="12"/>
        <v>3</v>
      </c>
      <c r="B174" s="113">
        <v>46038</v>
      </c>
      <c r="C174" s="48" t="str">
        <f t="shared" si="10"/>
        <v>enero</v>
      </c>
      <c r="D174" s="48" t="s">
        <v>2135</v>
      </c>
      <c r="E174" s="42" t="s">
        <v>2728</v>
      </c>
      <c r="F174" s="47" t="s">
        <v>2855</v>
      </c>
      <c r="G174" s="48">
        <v>1</v>
      </c>
      <c r="H174" s="48" t="s">
        <v>1705</v>
      </c>
      <c r="I174" s="197">
        <v>215.5172</v>
      </c>
      <c r="J174" s="197">
        <v>215.5172</v>
      </c>
      <c r="K174" s="197">
        <v>34.482751999999998</v>
      </c>
      <c r="L174" s="201">
        <v>249.99995200000001</v>
      </c>
      <c r="M174" s="198">
        <v>0</v>
      </c>
      <c r="N174" s="48" t="s">
        <v>1617</v>
      </c>
      <c r="O174" s="48" t="s">
        <v>1409</v>
      </c>
      <c r="P174" s="48" t="s">
        <v>25</v>
      </c>
      <c r="Q174" s="48" t="s">
        <v>2147</v>
      </c>
      <c r="R174" s="48" t="s">
        <v>2727</v>
      </c>
      <c r="S174" s="48" t="s">
        <v>1678</v>
      </c>
      <c r="T174" s="114" t="s">
        <v>1617</v>
      </c>
      <c r="U174" s="48"/>
      <c r="V174" s="39"/>
      <c r="W174" s="41"/>
      <c r="X174" s="41" t="s">
        <v>2854</v>
      </c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</row>
    <row r="175" spans="1:36" customFormat="1" ht="14.4" x14ac:dyDescent="0.3">
      <c r="A175" s="48">
        <f t="shared" si="12"/>
        <v>3</v>
      </c>
      <c r="B175" s="113">
        <v>46038</v>
      </c>
      <c r="C175" s="48" t="str">
        <f t="shared" si="10"/>
        <v>enero</v>
      </c>
      <c r="D175" s="48" t="s">
        <v>2135</v>
      </c>
      <c r="E175" s="42" t="s">
        <v>2728</v>
      </c>
      <c r="F175" s="47" t="s">
        <v>2556</v>
      </c>
      <c r="G175" s="48">
        <v>1</v>
      </c>
      <c r="H175" s="48" t="s">
        <v>1705</v>
      </c>
      <c r="I175" s="197">
        <v>86.21</v>
      </c>
      <c r="J175" s="197">
        <v>86.21</v>
      </c>
      <c r="K175" s="197">
        <v>13.7936</v>
      </c>
      <c r="L175" s="201">
        <v>100.00359999999999</v>
      </c>
      <c r="M175" s="198">
        <v>0</v>
      </c>
      <c r="N175" s="48" t="s">
        <v>747</v>
      </c>
      <c r="O175" s="48" t="s">
        <v>152</v>
      </c>
      <c r="P175" s="48" t="s">
        <v>25</v>
      </c>
      <c r="Q175" s="48" t="s">
        <v>2147</v>
      </c>
      <c r="R175" s="48" t="s">
        <v>2727</v>
      </c>
      <c r="S175" s="48" t="s">
        <v>1678</v>
      </c>
      <c r="T175" s="114" t="s">
        <v>1617</v>
      </c>
      <c r="U175" s="48"/>
      <c r="V175" s="39" t="s">
        <v>2856</v>
      </c>
      <c r="W175" s="41"/>
      <c r="X175" s="41" t="s">
        <v>2854</v>
      </c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</row>
    <row r="176" spans="1:36" customFormat="1" ht="14.4" x14ac:dyDescent="0.3">
      <c r="A176" s="48">
        <f t="shared" si="12"/>
        <v>3</v>
      </c>
      <c r="B176" s="113">
        <v>46038</v>
      </c>
      <c r="C176" s="48" t="str">
        <f t="shared" si="10"/>
        <v>enero</v>
      </c>
      <c r="D176" s="48" t="s">
        <v>2135</v>
      </c>
      <c r="E176" s="42" t="s">
        <v>477</v>
      </c>
      <c r="F176" s="47" t="s">
        <v>559</v>
      </c>
      <c r="G176" s="48">
        <v>1</v>
      </c>
      <c r="H176" s="48" t="s">
        <v>1705</v>
      </c>
      <c r="I176" s="197">
        <v>588</v>
      </c>
      <c r="J176" s="197">
        <v>588</v>
      </c>
      <c r="K176" s="197">
        <v>0</v>
      </c>
      <c r="L176" s="197">
        <v>588</v>
      </c>
      <c r="M176" s="198">
        <v>0</v>
      </c>
      <c r="N176" s="48" t="s">
        <v>1617</v>
      </c>
      <c r="O176" s="48" t="s">
        <v>814</v>
      </c>
      <c r="P176" s="48" t="s">
        <v>25</v>
      </c>
      <c r="Q176" s="48" t="s">
        <v>1766</v>
      </c>
      <c r="R176" s="48" t="s">
        <v>2727</v>
      </c>
      <c r="S176" s="48" t="s">
        <v>560</v>
      </c>
      <c r="T176" s="114" t="s">
        <v>20</v>
      </c>
      <c r="U176" s="48"/>
      <c r="V176" s="39"/>
      <c r="W176" s="41"/>
      <c r="X176" s="50"/>
      <c r="Y176" s="50"/>
    </row>
    <row r="177" spans="1:25" customFormat="1" ht="14.4" x14ac:dyDescent="0.3">
      <c r="A177" s="48">
        <f t="shared" si="12"/>
        <v>3</v>
      </c>
      <c r="B177" s="113">
        <v>46038</v>
      </c>
      <c r="C177" s="48" t="str">
        <f t="shared" si="10"/>
        <v>enero</v>
      </c>
      <c r="D177" s="48" t="s">
        <v>2135</v>
      </c>
      <c r="E177" s="42" t="s">
        <v>477</v>
      </c>
      <c r="F177" s="47" t="s">
        <v>815</v>
      </c>
      <c r="G177" s="48">
        <v>1</v>
      </c>
      <c r="H177" s="48" t="s">
        <v>2138</v>
      </c>
      <c r="I177" s="197">
        <v>3934</v>
      </c>
      <c r="J177" s="197">
        <v>3934</v>
      </c>
      <c r="K177" s="197">
        <v>0</v>
      </c>
      <c r="L177" s="197">
        <v>3934</v>
      </c>
      <c r="M177" s="198">
        <v>0</v>
      </c>
      <c r="N177" s="48" t="s">
        <v>1003</v>
      </c>
      <c r="O177" s="48" t="s">
        <v>169</v>
      </c>
      <c r="P177" s="48" t="s">
        <v>39</v>
      </c>
      <c r="Q177" s="48" t="s">
        <v>1766</v>
      </c>
      <c r="R177" s="48" t="s">
        <v>2735</v>
      </c>
      <c r="S177" s="48" t="s">
        <v>722</v>
      </c>
      <c r="T177" s="114" t="s">
        <v>20</v>
      </c>
      <c r="U177" s="48" t="s">
        <v>1689</v>
      </c>
      <c r="V177" s="39"/>
      <c r="W177" s="41"/>
      <c r="X177" s="50"/>
      <c r="Y177" s="50"/>
    </row>
    <row r="178" spans="1:25" customFormat="1" ht="14.4" x14ac:dyDescent="0.3">
      <c r="A178" s="48">
        <f t="shared" si="12"/>
        <v>3</v>
      </c>
      <c r="B178" s="113">
        <v>46038</v>
      </c>
      <c r="C178" s="48" t="str">
        <f t="shared" si="10"/>
        <v>enero</v>
      </c>
      <c r="D178" s="48" t="s">
        <v>2135</v>
      </c>
      <c r="E178" s="42" t="s">
        <v>477</v>
      </c>
      <c r="F178" s="47" t="s">
        <v>815</v>
      </c>
      <c r="G178" s="48">
        <v>1</v>
      </c>
      <c r="H178" s="48" t="s">
        <v>2138</v>
      </c>
      <c r="I178" s="197">
        <v>2668</v>
      </c>
      <c r="J178" s="197">
        <v>2668</v>
      </c>
      <c r="K178" s="197">
        <v>0</v>
      </c>
      <c r="L178" s="197">
        <v>2668</v>
      </c>
      <c r="M178" s="198">
        <v>0</v>
      </c>
      <c r="N178" s="48" t="s">
        <v>484</v>
      </c>
      <c r="O178" s="48" t="s">
        <v>1065</v>
      </c>
      <c r="P178" s="48" t="s">
        <v>25</v>
      </c>
      <c r="Q178" s="48" t="s">
        <v>1766</v>
      </c>
      <c r="R178" s="48" t="s">
        <v>2735</v>
      </c>
      <c r="S178" s="48" t="s">
        <v>722</v>
      </c>
      <c r="T178" s="114" t="s">
        <v>20</v>
      </c>
      <c r="U178" s="48" t="s">
        <v>1689</v>
      </c>
      <c r="V178" s="39"/>
      <c r="W178" s="41"/>
      <c r="X178" s="50"/>
      <c r="Y178" s="50"/>
    </row>
    <row r="179" spans="1:25" customFormat="1" ht="14.4" x14ac:dyDescent="0.3">
      <c r="A179" s="48">
        <f t="shared" si="12"/>
        <v>3</v>
      </c>
      <c r="B179" s="113">
        <v>46038</v>
      </c>
      <c r="C179" s="48" t="str">
        <f t="shared" si="10"/>
        <v>enero</v>
      </c>
      <c r="D179" s="48" t="s">
        <v>2135</v>
      </c>
      <c r="E179" s="42" t="s">
        <v>477</v>
      </c>
      <c r="F179" s="47" t="s">
        <v>815</v>
      </c>
      <c r="G179" s="48">
        <v>1</v>
      </c>
      <c r="H179" s="48" t="s">
        <v>2138</v>
      </c>
      <c r="I179" s="197">
        <v>2701</v>
      </c>
      <c r="J179" s="197">
        <v>2701</v>
      </c>
      <c r="K179" s="197">
        <v>0</v>
      </c>
      <c r="L179" s="197">
        <v>2701</v>
      </c>
      <c r="M179" s="198">
        <v>0</v>
      </c>
      <c r="N179" s="48" t="s">
        <v>484</v>
      </c>
      <c r="O179" s="48" t="s">
        <v>1065</v>
      </c>
      <c r="P179" s="48" t="s">
        <v>25</v>
      </c>
      <c r="Q179" s="48" t="s">
        <v>1766</v>
      </c>
      <c r="R179" s="48" t="s">
        <v>2735</v>
      </c>
      <c r="S179" s="48" t="s">
        <v>722</v>
      </c>
      <c r="T179" s="114" t="s">
        <v>20</v>
      </c>
      <c r="U179" s="48" t="s">
        <v>1689</v>
      </c>
      <c r="V179" s="39"/>
      <c r="W179" s="41"/>
      <c r="X179" s="50"/>
      <c r="Y179" s="50"/>
    </row>
    <row r="180" spans="1:25" customFormat="1" ht="14.4" x14ac:dyDescent="0.3">
      <c r="A180" s="48">
        <f t="shared" si="12"/>
        <v>3</v>
      </c>
      <c r="B180" s="113">
        <v>46038</v>
      </c>
      <c r="C180" s="48" t="str">
        <f t="shared" si="10"/>
        <v>enero</v>
      </c>
      <c r="D180" s="48" t="s">
        <v>2135</v>
      </c>
      <c r="E180" s="42" t="s">
        <v>477</v>
      </c>
      <c r="F180" s="47" t="s">
        <v>815</v>
      </c>
      <c r="G180" s="48">
        <v>1</v>
      </c>
      <c r="H180" s="48" t="s">
        <v>2138</v>
      </c>
      <c r="I180" s="197">
        <v>2646</v>
      </c>
      <c r="J180" s="197">
        <v>2646</v>
      </c>
      <c r="K180" s="197">
        <v>0</v>
      </c>
      <c r="L180" s="197">
        <v>2646</v>
      </c>
      <c r="M180" s="198">
        <v>0</v>
      </c>
      <c r="N180" s="48" t="s">
        <v>1143</v>
      </c>
      <c r="O180" s="48" t="s">
        <v>64</v>
      </c>
      <c r="P180" s="48" t="s">
        <v>25</v>
      </c>
      <c r="Q180" s="48" t="s">
        <v>1766</v>
      </c>
      <c r="R180" s="48" t="s">
        <v>2735</v>
      </c>
      <c r="S180" s="48" t="s">
        <v>722</v>
      </c>
      <c r="T180" s="114" t="s">
        <v>20</v>
      </c>
      <c r="U180" s="48" t="s">
        <v>1689</v>
      </c>
      <c r="V180" s="39"/>
      <c r="W180" s="41"/>
      <c r="X180" s="50"/>
      <c r="Y180" s="50"/>
    </row>
    <row r="181" spans="1:25" customFormat="1" ht="14.4" x14ac:dyDescent="0.3">
      <c r="A181" s="48">
        <f t="shared" si="12"/>
        <v>3</v>
      </c>
      <c r="B181" s="113">
        <v>46038</v>
      </c>
      <c r="C181" s="48" t="str">
        <f t="shared" si="10"/>
        <v>enero</v>
      </c>
      <c r="D181" s="48" t="s">
        <v>2135</v>
      </c>
      <c r="E181" s="42" t="s">
        <v>477</v>
      </c>
      <c r="F181" s="47" t="s">
        <v>815</v>
      </c>
      <c r="G181" s="48">
        <v>1</v>
      </c>
      <c r="H181" s="48" t="s">
        <v>2138</v>
      </c>
      <c r="I181" s="197">
        <v>2691</v>
      </c>
      <c r="J181" s="197">
        <v>2691</v>
      </c>
      <c r="K181" s="197">
        <v>0</v>
      </c>
      <c r="L181" s="197">
        <v>2691</v>
      </c>
      <c r="M181" s="198">
        <v>0</v>
      </c>
      <c r="N181" s="48" t="s">
        <v>1297</v>
      </c>
      <c r="O181" s="48" t="s">
        <v>426</v>
      </c>
      <c r="P181" s="48" t="s">
        <v>25</v>
      </c>
      <c r="Q181" s="48" t="s">
        <v>1766</v>
      </c>
      <c r="R181" s="48" t="s">
        <v>2735</v>
      </c>
      <c r="S181" s="48" t="s">
        <v>722</v>
      </c>
      <c r="T181" s="114" t="s">
        <v>20</v>
      </c>
      <c r="U181" s="48" t="s">
        <v>1689</v>
      </c>
      <c r="V181" s="39"/>
      <c r="W181" s="41"/>
      <c r="X181" s="50"/>
      <c r="Y181" s="50"/>
    </row>
    <row r="182" spans="1:25" customFormat="1" ht="14.4" x14ac:dyDescent="0.3">
      <c r="A182" s="48">
        <f t="shared" si="12"/>
        <v>3</v>
      </c>
      <c r="B182" s="113">
        <v>46038</v>
      </c>
      <c r="C182" s="48" t="str">
        <f t="shared" si="10"/>
        <v>enero</v>
      </c>
      <c r="D182" s="48" t="s">
        <v>2135</v>
      </c>
      <c r="E182" s="42" t="s">
        <v>477</v>
      </c>
      <c r="F182" s="47" t="s">
        <v>815</v>
      </c>
      <c r="G182" s="48">
        <v>1</v>
      </c>
      <c r="H182" s="48" t="s">
        <v>2138</v>
      </c>
      <c r="I182" s="197">
        <v>3840</v>
      </c>
      <c r="J182" s="197">
        <v>3840</v>
      </c>
      <c r="K182" s="197">
        <v>0</v>
      </c>
      <c r="L182" s="197">
        <v>3840</v>
      </c>
      <c r="M182" s="198">
        <v>0</v>
      </c>
      <c r="N182" s="48" t="s">
        <v>585</v>
      </c>
      <c r="O182" s="48" t="s">
        <v>42</v>
      </c>
      <c r="P182" s="48" t="s">
        <v>25</v>
      </c>
      <c r="Q182" s="48" t="s">
        <v>1766</v>
      </c>
      <c r="R182" s="48" t="s">
        <v>2735</v>
      </c>
      <c r="S182" s="48" t="s">
        <v>722</v>
      </c>
      <c r="T182" s="114" t="s">
        <v>20</v>
      </c>
      <c r="U182" s="48" t="s">
        <v>1689</v>
      </c>
      <c r="V182" s="39"/>
      <c r="W182" s="41"/>
      <c r="X182" s="50"/>
      <c r="Y182" s="50"/>
    </row>
    <row r="183" spans="1:25" customFormat="1" ht="14.4" x14ac:dyDescent="0.3">
      <c r="A183" s="48">
        <f t="shared" si="12"/>
        <v>3</v>
      </c>
      <c r="B183" s="113">
        <v>46038</v>
      </c>
      <c r="C183" s="48" t="str">
        <f t="shared" si="10"/>
        <v>enero</v>
      </c>
      <c r="D183" s="48" t="s">
        <v>2135</v>
      </c>
      <c r="E183" s="42" t="s">
        <v>477</v>
      </c>
      <c r="F183" s="47" t="s">
        <v>815</v>
      </c>
      <c r="G183" s="48">
        <v>1</v>
      </c>
      <c r="H183" s="48" t="s">
        <v>2138</v>
      </c>
      <c r="I183" s="197">
        <v>4037</v>
      </c>
      <c r="J183" s="197">
        <v>4037</v>
      </c>
      <c r="K183" s="197">
        <v>0</v>
      </c>
      <c r="L183" s="197">
        <v>4037</v>
      </c>
      <c r="M183" s="198">
        <v>0</v>
      </c>
      <c r="N183" s="48" t="s">
        <v>1297</v>
      </c>
      <c r="O183" s="48" t="s">
        <v>426</v>
      </c>
      <c r="P183" s="48" t="s">
        <v>25</v>
      </c>
      <c r="Q183" s="48" t="s">
        <v>1766</v>
      </c>
      <c r="R183" s="48" t="s">
        <v>2735</v>
      </c>
      <c r="S183" s="48" t="s">
        <v>722</v>
      </c>
      <c r="T183" s="114" t="s">
        <v>20</v>
      </c>
      <c r="U183" s="48" t="s">
        <v>1689</v>
      </c>
      <c r="V183" s="39"/>
      <c r="W183" s="41"/>
      <c r="X183" s="50"/>
      <c r="Y183" s="50"/>
    </row>
    <row r="184" spans="1:25" customFormat="1" ht="14.4" x14ac:dyDescent="0.3">
      <c r="A184" s="48">
        <f t="shared" si="12"/>
        <v>3</v>
      </c>
      <c r="B184" s="113">
        <v>46038</v>
      </c>
      <c r="C184" s="48" t="str">
        <f t="shared" si="10"/>
        <v>enero</v>
      </c>
      <c r="D184" s="48" t="s">
        <v>2135</v>
      </c>
      <c r="E184" s="42" t="s">
        <v>477</v>
      </c>
      <c r="F184" s="47" t="s">
        <v>2019</v>
      </c>
      <c r="G184" s="48">
        <v>1</v>
      </c>
      <c r="H184" s="48" t="s">
        <v>2138</v>
      </c>
      <c r="I184" s="197">
        <v>2157</v>
      </c>
      <c r="J184" s="197">
        <v>2157</v>
      </c>
      <c r="K184" s="197">
        <v>0</v>
      </c>
      <c r="L184" s="204">
        <v>2157</v>
      </c>
      <c r="M184" s="198">
        <v>0</v>
      </c>
      <c r="N184" s="48" t="s">
        <v>1617</v>
      </c>
      <c r="O184" s="48" t="s">
        <v>2020</v>
      </c>
      <c r="P184" s="49" t="s">
        <v>1321</v>
      </c>
      <c r="Q184" s="48" t="s">
        <v>1766</v>
      </c>
      <c r="R184" s="48" t="s">
        <v>364</v>
      </c>
      <c r="S184" s="48"/>
      <c r="T184" s="114"/>
      <c r="U184" s="48" t="s">
        <v>2021</v>
      </c>
      <c r="V184" s="49"/>
      <c r="W184" s="50"/>
      <c r="X184" s="50"/>
      <c r="Y184" s="50"/>
    </row>
    <row r="185" spans="1:25" customFormat="1" ht="14.4" x14ac:dyDescent="0.3">
      <c r="A185" s="48">
        <f t="shared" si="12"/>
        <v>3</v>
      </c>
      <c r="B185" s="113">
        <v>46038</v>
      </c>
      <c r="C185" s="48" t="str">
        <f t="shared" si="10"/>
        <v>enero</v>
      </c>
      <c r="D185" s="48" t="s">
        <v>2135</v>
      </c>
      <c r="E185" s="42" t="s">
        <v>477</v>
      </c>
      <c r="F185" s="47" t="s">
        <v>2019</v>
      </c>
      <c r="G185" s="48">
        <v>1</v>
      </c>
      <c r="H185" s="48" t="s">
        <v>2138</v>
      </c>
      <c r="I185" s="197">
        <v>2157</v>
      </c>
      <c r="J185" s="197">
        <v>2157</v>
      </c>
      <c r="K185" s="197">
        <v>0</v>
      </c>
      <c r="L185" s="204">
        <v>2157</v>
      </c>
      <c r="M185" s="198">
        <v>0</v>
      </c>
      <c r="N185" s="48" t="s">
        <v>1617</v>
      </c>
      <c r="O185" s="48" t="s">
        <v>1736</v>
      </c>
      <c r="P185" s="49" t="s">
        <v>1321</v>
      </c>
      <c r="Q185" s="48" t="s">
        <v>1766</v>
      </c>
      <c r="R185" s="48" t="s">
        <v>364</v>
      </c>
      <c r="S185" s="48"/>
      <c r="T185" s="114"/>
      <c r="U185" s="48" t="s">
        <v>2021</v>
      </c>
      <c r="V185" s="49"/>
      <c r="W185" s="50"/>
      <c r="X185" s="50"/>
      <c r="Y185" s="50"/>
    </row>
    <row r="186" spans="1:25" customFormat="1" ht="14.4" x14ac:dyDescent="0.3">
      <c r="A186" s="48">
        <f t="shared" si="12"/>
        <v>3</v>
      </c>
      <c r="B186" s="113">
        <v>46038</v>
      </c>
      <c r="C186" s="48" t="str">
        <f t="shared" si="10"/>
        <v>enero</v>
      </c>
      <c r="D186" s="48" t="s">
        <v>2135</v>
      </c>
      <c r="E186" s="42" t="s">
        <v>477</v>
      </c>
      <c r="F186" s="47" t="s">
        <v>2019</v>
      </c>
      <c r="G186" s="48">
        <v>1</v>
      </c>
      <c r="H186" s="48" t="s">
        <v>2138</v>
      </c>
      <c r="I186" s="197">
        <v>2157</v>
      </c>
      <c r="J186" s="197">
        <v>2157</v>
      </c>
      <c r="K186" s="197">
        <v>0</v>
      </c>
      <c r="L186" s="204">
        <v>2157</v>
      </c>
      <c r="M186" s="198">
        <v>0</v>
      </c>
      <c r="N186" s="48" t="s">
        <v>1617</v>
      </c>
      <c r="O186" s="48" t="s">
        <v>2022</v>
      </c>
      <c r="P186" s="49" t="s">
        <v>1321</v>
      </c>
      <c r="Q186" s="48" t="s">
        <v>1766</v>
      </c>
      <c r="R186" s="48" t="s">
        <v>364</v>
      </c>
      <c r="S186" s="48"/>
      <c r="T186" s="114"/>
      <c r="U186" s="48" t="s">
        <v>2021</v>
      </c>
      <c r="V186" s="49"/>
      <c r="W186" s="50"/>
      <c r="X186" s="50"/>
      <c r="Y186" s="50"/>
    </row>
    <row r="187" spans="1:25" customFormat="1" ht="14.4" x14ac:dyDescent="0.3">
      <c r="A187" s="48">
        <f t="shared" si="12"/>
        <v>3</v>
      </c>
      <c r="B187" s="113">
        <v>46038</v>
      </c>
      <c r="C187" s="48" t="str">
        <f t="shared" si="10"/>
        <v>enero</v>
      </c>
      <c r="D187" s="48" t="s">
        <v>2135</v>
      </c>
      <c r="E187" s="42" t="s">
        <v>477</v>
      </c>
      <c r="F187" s="47" t="s">
        <v>2019</v>
      </c>
      <c r="G187" s="48">
        <v>1</v>
      </c>
      <c r="H187" s="48" t="s">
        <v>2138</v>
      </c>
      <c r="I187" s="197">
        <v>2157</v>
      </c>
      <c r="J187" s="197">
        <v>2157</v>
      </c>
      <c r="K187" s="197">
        <v>0</v>
      </c>
      <c r="L187" s="204">
        <v>2157</v>
      </c>
      <c r="M187" s="198">
        <v>0</v>
      </c>
      <c r="N187" s="48" t="s">
        <v>1617</v>
      </c>
      <c r="O187" s="48" t="s">
        <v>1823</v>
      </c>
      <c r="P187" s="49" t="s">
        <v>1321</v>
      </c>
      <c r="Q187" s="48" t="s">
        <v>1766</v>
      </c>
      <c r="R187" s="48" t="s">
        <v>364</v>
      </c>
      <c r="S187" s="48"/>
      <c r="T187" s="114"/>
      <c r="U187" s="48" t="s">
        <v>2021</v>
      </c>
      <c r="V187" s="49"/>
      <c r="W187" s="50"/>
      <c r="X187" s="50"/>
      <c r="Y187" s="50"/>
    </row>
    <row r="188" spans="1:25" customFormat="1" ht="14.4" x14ac:dyDescent="0.3">
      <c r="A188" s="48">
        <f t="shared" si="12"/>
        <v>3</v>
      </c>
      <c r="B188" s="113">
        <v>46038</v>
      </c>
      <c r="C188" s="48" t="str">
        <f t="shared" si="10"/>
        <v>enero</v>
      </c>
      <c r="D188" s="48" t="s">
        <v>2135</v>
      </c>
      <c r="E188" s="42" t="s">
        <v>477</v>
      </c>
      <c r="F188" s="47" t="s">
        <v>2019</v>
      </c>
      <c r="G188" s="48">
        <v>1</v>
      </c>
      <c r="H188" s="48" t="s">
        <v>2138</v>
      </c>
      <c r="I188" s="197">
        <v>2157</v>
      </c>
      <c r="J188" s="197">
        <v>2157</v>
      </c>
      <c r="K188" s="197">
        <v>0</v>
      </c>
      <c r="L188" s="204">
        <v>2157</v>
      </c>
      <c r="M188" s="198">
        <v>0</v>
      </c>
      <c r="N188" s="48" t="s">
        <v>1617</v>
      </c>
      <c r="O188" s="48" t="s">
        <v>1819</v>
      </c>
      <c r="P188" s="49" t="s">
        <v>1321</v>
      </c>
      <c r="Q188" s="48" t="s">
        <v>1766</v>
      </c>
      <c r="R188" s="48" t="s">
        <v>364</v>
      </c>
      <c r="S188" s="48"/>
      <c r="T188" s="114"/>
      <c r="U188" s="48" t="s">
        <v>2021</v>
      </c>
      <c r="V188" s="49"/>
      <c r="W188" s="50"/>
      <c r="X188" s="50"/>
      <c r="Y188" s="50"/>
    </row>
    <row r="189" spans="1:25" customFormat="1" ht="14.4" x14ac:dyDescent="0.3">
      <c r="A189" s="48">
        <f t="shared" si="12"/>
        <v>3</v>
      </c>
      <c r="B189" s="113">
        <v>46038</v>
      </c>
      <c r="C189" s="48" t="str">
        <f t="shared" si="10"/>
        <v>enero</v>
      </c>
      <c r="D189" s="48" t="s">
        <v>2135</v>
      </c>
      <c r="E189" s="42" t="s">
        <v>477</v>
      </c>
      <c r="F189" s="47" t="s">
        <v>2019</v>
      </c>
      <c r="G189" s="48">
        <v>1</v>
      </c>
      <c r="H189" s="48" t="s">
        <v>2138</v>
      </c>
      <c r="I189" s="197">
        <v>2157</v>
      </c>
      <c r="J189" s="197">
        <v>2157</v>
      </c>
      <c r="K189" s="197">
        <v>0</v>
      </c>
      <c r="L189" s="204">
        <v>2157</v>
      </c>
      <c r="M189" s="198">
        <v>0</v>
      </c>
      <c r="N189" s="48" t="s">
        <v>1617</v>
      </c>
      <c r="O189" s="48" t="s">
        <v>2023</v>
      </c>
      <c r="P189" s="49" t="s">
        <v>1321</v>
      </c>
      <c r="Q189" s="48" t="s">
        <v>1766</v>
      </c>
      <c r="R189" s="48" t="s">
        <v>364</v>
      </c>
      <c r="S189" s="48"/>
      <c r="T189" s="114"/>
      <c r="U189" s="48" t="s">
        <v>2021</v>
      </c>
      <c r="V189" s="49"/>
      <c r="W189" s="50"/>
      <c r="X189" s="50"/>
      <c r="Y189" s="50"/>
    </row>
    <row r="190" spans="1:25" customFormat="1" ht="14.4" x14ac:dyDescent="0.3">
      <c r="A190" s="48">
        <f t="shared" si="12"/>
        <v>3</v>
      </c>
      <c r="B190" s="113">
        <v>46038</v>
      </c>
      <c r="C190" s="48" t="str">
        <f t="shared" si="10"/>
        <v>enero</v>
      </c>
      <c r="D190" s="48" t="s">
        <v>2135</v>
      </c>
      <c r="E190" s="42" t="s">
        <v>477</v>
      </c>
      <c r="F190" s="47" t="s">
        <v>2019</v>
      </c>
      <c r="G190" s="38">
        <v>1</v>
      </c>
      <c r="H190" s="48" t="s">
        <v>2138</v>
      </c>
      <c r="I190" s="202">
        <v>2157</v>
      </c>
      <c r="J190" s="197">
        <v>2157</v>
      </c>
      <c r="K190" s="197">
        <v>0</v>
      </c>
      <c r="L190" s="205">
        <v>2157</v>
      </c>
      <c r="M190" s="198">
        <v>0</v>
      </c>
      <c r="N190" s="48" t="s">
        <v>1617</v>
      </c>
      <c r="O190" s="48" t="s">
        <v>1464</v>
      </c>
      <c r="P190" s="48" t="s">
        <v>25</v>
      </c>
      <c r="Q190" s="48" t="s">
        <v>1766</v>
      </c>
      <c r="R190" s="38" t="s">
        <v>364</v>
      </c>
      <c r="S190" s="38" t="s">
        <v>722</v>
      </c>
      <c r="T190" s="114" t="s">
        <v>1617</v>
      </c>
      <c r="U190" s="38"/>
      <c r="V190" s="130" t="s">
        <v>2148</v>
      </c>
      <c r="W190" s="121"/>
      <c r="X190" s="50"/>
      <c r="Y190" s="50"/>
    </row>
    <row r="191" spans="1:25" customFormat="1" ht="14.4" x14ac:dyDescent="0.3">
      <c r="A191" s="48">
        <f t="shared" si="12"/>
        <v>3</v>
      </c>
      <c r="B191" s="113">
        <v>46038</v>
      </c>
      <c r="C191" s="48" t="str">
        <f t="shared" si="10"/>
        <v>enero</v>
      </c>
      <c r="D191" s="48" t="s">
        <v>2135</v>
      </c>
      <c r="E191" s="42" t="s">
        <v>477</v>
      </c>
      <c r="F191" s="47" t="s">
        <v>2019</v>
      </c>
      <c r="G191" s="38">
        <v>1</v>
      </c>
      <c r="H191" s="48" t="s">
        <v>2138</v>
      </c>
      <c r="I191" s="202">
        <v>2157</v>
      </c>
      <c r="J191" s="197">
        <v>2157</v>
      </c>
      <c r="K191" s="197">
        <v>0</v>
      </c>
      <c r="L191" s="205">
        <v>2157</v>
      </c>
      <c r="M191" s="198">
        <v>0</v>
      </c>
      <c r="N191" s="48" t="s">
        <v>1617</v>
      </c>
      <c r="O191" s="48" t="s">
        <v>1586</v>
      </c>
      <c r="P191" s="48" t="s">
        <v>25</v>
      </c>
      <c r="Q191" s="48" t="s">
        <v>1766</v>
      </c>
      <c r="R191" s="38" t="s">
        <v>364</v>
      </c>
      <c r="S191" s="38" t="s">
        <v>722</v>
      </c>
      <c r="T191" s="114" t="s">
        <v>1617</v>
      </c>
      <c r="U191" s="38"/>
      <c r="V191" s="130" t="s">
        <v>2148</v>
      </c>
      <c r="X191" s="50"/>
      <c r="Y191" s="50"/>
    </row>
    <row r="192" spans="1:25" customFormat="1" ht="14.4" x14ac:dyDescent="0.3">
      <c r="A192" s="48">
        <f t="shared" si="12"/>
        <v>3</v>
      </c>
      <c r="B192" s="113">
        <v>46038</v>
      </c>
      <c r="C192" s="48" t="str">
        <f t="shared" si="10"/>
        <v>enero</v>
      </c>
      <c r="D192" s="48" t="s">
        <v>2135</v>
      </c>
      <c r="E192" s="42" t="s">
        <v>477</v>
      </c>
      <c r="F192" s="47" t="s">
        <v>2019</v>
      </c>
      <c r="G192" s="38">
        <v>1</v>
      </c>
      <c r="H192" s="48" t="s">
        <v>2138</v>
      </c>
      <c r="I192" s="202">
        <v>2157</v>
      </c>
      <c r="J192" s="197">
        <v>2157</v>
      </c>
      <c r="K192" s="197">
        <v>0</v>
      </c>
      <c r="L192" s="205">
        <v>2157</v>
      </c>
      <c r="M192" s="198">
        <v>0</v>
      </c>
      <c r="N192" s="48" t="s">
        <v>1617</v>
      </c>
      <c r="O192" s="48" t="s">
        <v>1443</v>
      </c>
      <c r="P192" s="48" t="s">
        <v>25</v>
      </c>
      <c r="Q192" s="48" t="s">
        <v>1766</v>
      </c>
      <c r="R192" s="38" t="s">
        <v>364</v>
      </c>
      <c r="S192" s="38" t="s">
        <v>722</v>
      </c>
      <c r="T192" s="114" t="s">
        <v>1617</v>
      </c>
      <c r="U192" s="38"/>
      <c r="V192" s="130" t="s">
        <v>2148</v>
      </c>
      <c r="X192" s="50"/>
      <c r="Y192" s="50"/>
    </row>
    <row r="193" spans="1:25" customFormat="1" ht="14.4" x14ac:dyDescent="0.3">
      <c r="A193" s="48">
        <f t="shared" si="12"/>
        <v>3</v>
      </c>
      <c r="B193" s="113">
        <v>46038</v>
      </c>
      <c r="C193" s="48" t="str">
        <f t="shared" si="10"/>
        <v>enero</v>
      </c>
      <c r="D193" s="48" t="s">
        <v>2135</v>
      </c>
      <c r="E193" s="42" t="s">
        <v>477</v>
      </c>
      <c r="F193" s="47" t="s">
        <v>2019</v>
      </c>
      <c r="G193" s="38">
        <v>1</v>
      </c>
      <c r="H193" s="48" t="s">
        <v>2138</v>
      </c>
      <c r="I193" s="202">
        <v>2157</v>
      </c>
      <c r="J193" s="197">
        <v>2157</v>
      </c>
      <c r="K193" s="197">
        <v>0</v>
      </c>
      <c r="L193" s="205">
        <v>2157</v>
      </c>
      <c r="M193" s="198">
        <v>0</v>
      </c>
      <c r="N193" s="48" t="s">
        <v>1617</v>
      </c>
      <c r="O193" s="48" t="s">
        <v>1429</v>
      </c>
      <c r="P193" s="48" t="s">
        <v>25</v>
      </c>
      <c r="Q193" s="48" t="s">
        <v>1766</v>
      </c>
      <c r="R193" s="38" t="s">
        <v>364</v>
      </c>
      <c r="S193" s="38" t="s">
        <v>722</v>
      </c>
      <c r="T193" s="114" t="s">
        <v>1617</v>
      </c>
      <c r="U193" s="38"/>
      <c r="V193" s="130" t="s">
        <v>2148</v>
      </c>
      <c r="X193" s="50"/>
      <c r="Y193" s="50"/>
    </row>
    <row r="194" spans="1:25" customFormat="1" ht="14.4" x14ac:dyDescent="0.3">
      <c r="A194" s="48">
        <f t="shared" si="12"/>
        <v>3</v>
      </c>
      <c r="B194" s="113">
        <v>46038</v>
      </c>
      <c r="C194" s="48" t="str">
        <f t="shared" si="10"/>
        <v>enero</v>
      </c>
      <c r="D194" s="48" t="s">
        <v>2135</v>
      </c>
      <c r="E194" s="42" t="s">
        <v>477</v>
      </c>
      <c r="F194" s="47" t="s">
        <v>2019</v>
      </c>
      <c r="G194" s="38">
        <v>1</v>
      </c>
      <c r="H194" s="48" t="s">
        <v>2138</v>
      </c>
      <c r="I194" s="202">
        <v>2157</v>
      </c>
      <c r="J194" s="197">
        <v>2157</v>
      </c>
      <c r="K194" s="197">
        <v>0</v>
      </c>
      <c r="L194" s="205">
        <v>2157</v>
      </c>
      <c r="M194" s="198">
        <v>0</v>
      </c>
      <c r="N194" s="48" t="s">
        <v>1617</v>
      </c>
      <c r="O194" s="48" t="s">
        <v>2149</v>
      </c>
      <c r="P194" s="48" t="s">
        <v>25</v>
      </c>
      <c r="Q194" s="48" t="s">
        <v>1766</v>
      </c>
      <c r="R194" s="38" t="s">
        <v>364</v>
      </c>
      <c r="S194" s="38" t="s">
        <v>722</v>
      </c>
      <c r="T194" s="114" t="s">
        <v>1617</v>
      </c>
      <c r="U194" s="38"/>
      <c r="V194" s="130" t="s">
        <v>2148</v>
      </c>
      <c r="X194" s="50"/>
      <c r="Y194" s="50"/>
    </row>
    <row r="195" spans="1:25" customFormat="1" ht="14.4" x14ac:dyDescent="0.3">
      <c r="A195" s="48">
        <f t="shared" si="12"/>
        <v>3</v>
      </c>
      <c r="B195" s="113">
        <v>46038</v>
      </c>
      <c r="C195" s="48" t="str">
        <f t="shared" ref="C195:C258" si="13">TEXT(B195,"MMMM")</f>
        <v>enero</v>
      </c>
      <c r="D195" s="48" t="s">
        <v>2135</v>
      </c>
      <c r="E195" s="42" t="s">
        <v>477</v>
      </c>
      <c r="F195" s="47" t="s">
        <v>2019</v>
      </c>
      <c r="G195" s="38">
        <v>1</v>
      </c>
      <c r="H195" s="48" t="s">
        <v>2138</v>
      </c>
      <c r="I195" s="202">
        <v>2157</v>
      </c>
      <c r="J195" s="197">
        <v>2157</v>
      </c>
      <c r="K195" s="197">
        <v>0</v>
      </c>
      <c r="L195" s="205">
        <v>2157</v>
      </c>
      <c r="M195" s="198">
        <v>0</v>
      </c>
      <c r="N195" s="48" t="s">
        <v>1617</v>
      </c>
      <c r="O195" s="48" t="s">
        <v>1439</v>
      </c>
      <c r="P195" s="48" t="s">
        <v>25</v>
      </c>
      <c r="Q195" s="48" t="s">
        <v>1766</v>
      </c>
      <c r="R195" s="38" t="s">
        <v>364</v>
      </c>
      <c r="S195" s="38" t="s">
        <v>722</v>
      </c>
      <c r="T195" s="114" t="s">
        <v>1617</v>
      </c>
      <c r="U195" s="38"/>
      <c r="V195" s="130" t="s">
        <v>2148</v>
      </c>
      <c r="X195" s="50"/>
      <c r="Y195" s="50"/>
    </row>
    <row r="196" spans="1:25" customFormat="1" ht="14.4" x14ac:dyDescent="0.3">
      <c r="A196" s="48">
        <f t="shared" si="12"/>
        <v>3</v>
      </c>
      <c r="B196" s="113">
        <v>46039</v>
      </c>
      <c r="C196" s="48" t="str">
        <f t="shared" si="13"/>
        <v>enero</v>
      </c>
      <c r="D196" s="48" t="s">
        <v>2135</v>
      </c>
      <c r="E196" s="42" t="s">
        <v>2732</v>
      </c>
      <c r="F196" s="47" t="s">
        <v>2857</v>
      </c>
      <c r="G196" s="48">
        <v>1</v>
      </c>
      <c r="H196" s="48" t="s">
        <v>1705</v>
      </c>
      <c r="I196" s="197">
        <v>12.930999999999999</v>
      </c>
      <c r="J196" s="197">
        <v>12.930999999999999</v>
      </c>
      <c r="K196" s="197">
        <v>2.0689599999999997</v>
      </c>
      <c r="L196" s="200">
        <v>14.999959999999998</v>
      </c>
      <c r="M196" s="198">
        <v>0</v>
      </c>
      <c r="N196" s="48" t="s">
        <v>1617</v>
      </c>
      <c r="O196" s="48" t="s">
        <v>116</v>
      </c>
      <c r="P196" s="48" t="s">
        <v>25</v>
      </c>
      <c r="Q196" s="48" t="s">
        <v>1766</v>
      </c>
      <c r="R196" s="48" t="s">
        <v>2801</v>
      </c>
      <c r="S196" s="48" t="s">
        <v>424</v>
      </c>
      <c r="T196" s="114" t="s">
        <v>2858</v>
      </c>
      <c r="U196" s="48"/>
      <c r="V196" s="39"/>
      <c r="W196" s="41"/>
      <c r="X196" s="41" t="s">
        <v>2859</v>
      </c>
    </row>
    <row r="197" spans="1:25" customFormat="1" ht="14.4" x14ac:dyDescent="0.3">
      <c r="A197" s="48">
        <f t="shared" si="12"/>
        <v>3</v>
      </c>
      <c r="B197" s="113">
        <v>46039</v>
      </c>
      <c r="C197" s="48" t="str">
        <f t="shared" si="13"/>
        <v>enero</v>
      </c>
      <c r="D197" s="48" t="s">
        <v>2135</v>
      </c>
      <c r="E197" s="42" t="s">
        <v>2732</v>
      </c>
      <c r="F197" s="47" t="s">
        <v>2860</v>
      </c>
      <c r="G197" s="48">
        <v>1</v>
      </c>
      <c r="H197" s="48" t="s">
        <v>2139</v>
      </c>
      <c r="I197" s="197">
        <v>224.1379</v>
      </c>
      <c r="J197" s="197">
        <v>224.1379</v>
      </c>
      <c r="K197" s="197">
        <v>35.862064000000004</v>
      </c>
      <c r="L197" s="200">
        <v>259.99996399999998</v>
      </c>
      <c r="M197" s="198">
        <v>0</v>
      </c>
      <c r="N197" s="48" t="s">
        <v>1617</v>
      </c>
      <c r="O197" s="48" t="s">
        <v>116</v>
      </c>
      <c r="P197" s="48" t="s">
        <v>25</v>
      </c>
      <c r="Q197" s="48" t="s">
        <v>1766</v>
      </c>
      <c r="R197" s="48" t="s">
        <v>2801</v>
      </c>
      <c r="S197" s="48" t="s">
        <v>424</v>
      </c>
      <c r="T197" s="114" t="s">
        <v>2861</v>
      </c>
      <c r="U197" s="48"/>
      <c r="V197" s="39" t="s">
        <v>2862</v>
      </c>
      <c r="W197" s="41"/>
      <c r="X197" s="41" t="s">
        <v>2859</v>
      </c>
    </row>
    <row r="198" spans="1:25" customFormat="1" ht="14.4" x14ac:dyDescent="0.3">
      <c r="A198" s="48">
        <f t="shared" si="12"/>
        <v>3</v>
      </c>
      <c r="B198" s="113">
        <v>46039</v>
      </c>
      <c r="C198" s="48" t="str">
        <f t="shared" si="13"/>
        <v>enero</v>
      </c>
      <c r="D198" s="48" t="s">
        <v>2135</v>
      </c>
      <c r="E198" s="42" t="s">
        <v>2728</v>
      </c>
      <c r="F198" s="47" t="s">
        <v>1710</v>
      </c>
      <c r="G198" s="48">
        <v>10</v>
      </c>
      <c r="H198" s="48" t="s">
        <v>1705</v>
      </c>
      <c r="I198" s="197">
        <v>6.0343999999999998</v>
      </c>
      <c r="J198" s="197">
        <v>60.343999999999994</v>
      </c>
      <c r="K198" s="197">
        <v>9.6550399999999996</v>
      </c>
      <c r="L198" s="197">
        <v>69.999039999999994</v>
      </c>
      <c r="M198" s="198">
        <v>0</v>
      </c>
      <c r="N198" s="48" t="s">
        <v>1029</v>
      </c>
      <c r="O198" s="48" t="s">
        <v>68</v>
      </c>
      <c r="P198" s="48" t="s">
        <v>25</v>
      </c>
      <c r="Q198" s="48" t="s">
        <v>488</v>
      </c>
      <c r="R198" s="48" t="s">
        <v>2727</v>
      </c>
      <c r="S198" s="48" t="s">
        <v>732</v>
      </c>
      <c r="T198" s="114" t="s">
        <v>1617</v>
      </c>
      <c r="U198" s="48"/>
      <c r="V198" s="39"/>
      <c r="W198" s="41"/>
      <c r="X198" s="41" t="s">
        <v>2863</v>
      </c>
      <c r="Y198" s="50"/>
    </row>
    <row r="199" spans="1:25" customFormat="1" ht="14.4" x14ac:dyDescent="0.3">
      <c r="A199" s="48">
        <f t="shared" si="12"/>
        <v>3</v>
      </c>
      <c r="B199" s="113">
        <v>46039</v>
      </c>
      <c r="C199" s="48" t="str">
        <f t="shared" si="13"/>
        <v>enero</v>
      </c>
      <c r="D199" s="48" t="s">
        <v>2135</v>
      </c>
      <c r="E199" s="42" t="s">
        <v>356</v>
      </c>
      <c r="F199" s="47" t="s">
        <v>127</v>
      </c>
      <c r="G199" s="48">
        <v>10.84</v>
      </c>
      <c r="H199" s="48" t="s">
        <v>2017</v>
      </c>
      <c r="I199" s="197">
        <v>19.882000000000001</v>
      </c>
      <c r="J199" s="197">
        <v>215.52088000000001</v>
      </c>
      <c r="K199" s="197">
        <v>34.483340800000001</v>
      </c>
      <c r="L199" s="197">
        <v>250.00422080000001</v>
      </c>
      <c r="M199" s="198">
        <v>0</v>
      </c>
      <c r="N199" s="48" t="s">
        <v>1617</v>
      </c>
      <c r="O199" s="48" t="s">
        <v>814</v>
      </c>
      <c r="P199" s="48" t="s">
        <v>25</v>
      </c>
      <c r="Q199" s="48" t="s">
        <v>241</v>
      </c>
      <c r="R199" s="48" t="s">
        <v>2727</v>
      </c>
      <c r="S199" s="48" t="s">
        <v>1619</v>
      </c>
      <c r="T199" s="114" t="s">
        <v>2025</v>
      </c>
      <c r="U199" s="48"/>
      <c r="V199" s="39"/>
      <c r="W199" s="41"/>
      <c r="X199" s="41" t="s">
        <v>2864</v>
      </c>
      <c r="Y199" s="50"/>
    </row>
    <row r="200" spans="1:25" customFormat="1" ht="14.4" x14ac:dyDescent="0.3">
      <c r="A200" s="48">
        <f t="shared" si="12"/>
        <v>3</v>
      </c>
      <c r="B200" s="113">
        <v>46039</v>
      </c>
      <c r="C200" s="48" t="str">
        <f t="shared" si="13"/>
        <v>enero</v>
      </c>
      <c r="D200" s="48" t="s">
        <v>2135</v>
      </c>
      <c r="E200" s="42" t="s">
        <v>2728</v>
      </c>
      <c r="F200" s="47" t="s">
        <v>2865</v>
      </c>
      <c r="G200" s="48">
        <v>1</v>
      </c>
      <c r="H200" s="48" t="s">
        <v>1705</v>
      </c>
      <c r="I200" s="197">
        <v>500</v>
      </c>
      <c r="J200" s="197">
        <v>500</v>
      </c>
      <c r="K200" s="197">
        <v>0</v>
      </c>
      <c r="L200" s="197">
        <v>500</v>
      </c>
      <c r="M200" s="198">
        <v>0</v>
      </c>
      <c r="N200" s="48" t="s">
        <v>1401</v>
      </c>
      <c r="O200" s="48" t="s">
        <v>347</v>
      </c>
      <c r="P200" s="48" t="s">
        <v>25</v>
      </c>
      <c r="Q200" s="48" t="s">
        <v>488</v>
      </c>
      <c r="R200" s="48" t="s">
        <v>2727</v>
      </c>
      <c r="S200" s="48" t="s">
        <v>1678</v>
      </c>
      <c r="T200" s="114" t="s">
        <v>2866</v>
      </c>
      <c r="U200" s="48"/>
      <c r="V200" s="39"/>
      <c r="W200" s="41"/>
      <c r="X200" s="41" t="s">
        <v>2867</v>
      </c>
      <c r="Y200" s="50"/>
    </row>
    <row r="201" spans="1:25" customFormat="1" ht="14.4" x14ac:dyDescent="0.3">
      <c r="A201" s="48">
        <f t="shared" si="12"/>
        <v>3</v>
      </c>
      <c r="B201" s="113">
        <v>46039</v>
      </c>
      <c r="C201" s="48" t="str">
        <f t="shared" si="13"/>
        <v>enero</v>
      </c>
      <c r="D201" s="48" t="s">
        <v>2135</v>
      </c>
      <c r="E201" s="42" t="s">
        <v>2728</v>
      </c>
      <c r="F201" s="47" t="s">
        <v>2868</v>
      </c>
      <c r="G201" s="48">
        <v>10</v>
      </c>
      <c r="H201" s="48" t="s">
        <v>1705</v>
      </c>
      <c r="I201" s="197">
        <v>18</v>
      </c>
      <c r="J201" s="197">
        <v>180</v>
      </c>
      <c r="K201" s="197">
        <v>0</v>
      </c>
      <c r="L201" s="197">
        <v>180</v>
      </c>
      <c r="M201" s="198">
        <v>0</v>
      </c>
      <c r="N201" s="48" t="s">
        <v>1029</v>
      </c>
      <c r="O201" s="48" t="s">
        <v>68</v>
      </c>
      <c r="P201" s="48" t="s">
        <v>25</v>
      </c>
      <c r="Q201" s="48" t="s">
        <v>488</v>
      </c>
      <c r="R201" s="48" t="s">
        <v>364</v>
      </c>
      <c r="S201" s="48" t="s">
        <v>2869</v>
      </c>
      <c r="T201" s="114" t="s">
        <v>1617</v>
      </c>
      <c r="U201" s="48" t="s">
        <v>1712</v>
      </c>
      <c r="V201" s="39"/>
      <c r="W201" s="41">
        <v>180</v>
      </c>
      <c r="X201" s="41" t="s">
        <v>2870</v>
      </c>
      <c r="Y201" s="50"/>
    </row>
    <row r="202" spans="1:25" customFormat="1" ht="14.4" x14ac:dyDescent="0.3">
      <c r="A202" s="48">
        <f t="shared" si="12"/>
        <v>3</v>
      </c>
      <c r="B202" s="113">
        <v>46039</v>
      </c>
      <c r="C202" s="48" t="str">
        <f t="shared" si="13"/>
        <v>enero</v>
      </c>
      <c r="D202" s="48" t="s">
        <v>2135</v>
      </c>
      <c r="E202" s="42" t="s">
        <v>2728</v>
      </c>
      <c r="F202" s="47" t="s">
        <v>2871</v>
      </c>
      <c r="G202" s="48">
        <v>10</v>
      </c>
      <c r="H202" s="48" t="s">
        <v>1705</v>
      </c>
      <c r="I202" s="197">
        <v>1.5</v>
      </c>
      <c r="J202" s="197">
        <v>15</v>
      </c>
      <c r="K202" s="197">
        <v>0</v>
      </c>
      <c r="L202" s="197">
        <v>15</v>
      </c>
      <c r="M202" s="198">
        <v>0</v>
      </c>
      <c r="N202" s="48" t="s">
        <v>1029</v>
      </c>
      <c r="O202" s="48" t="s">
        <v>68</v>
      </c>
      <c r="P202" s="48" t="s">
        <v>25</v>
      </c>
      <c r="Q202" s="48" t="s">
        <v>2147</v>
      </c>
      <c r="R202" s="48" t="s">
        <v>364</v>
      </c>
      <c r="S202" s="48" t="s">
        <v>792</v>
      </c>
      <c r="T202" s="114" t="s">
        <v>1617</v>
      </c>
      <c r="U202" s="48" t="s">
        <v>1711</v>
      </c>
      <c r="V202" s="39"/>
      <c r="W202" s="41"/>
      <c r="X202" s="41" t="s">
        <v>2872</v>
      </c>
      <c r="Y202" s="50"/>
    </row>
    <row r="203" spans="1:25" customFormat="1" ht="14.4" x14ac:dyDescent="0.3">
      <c r="A203" s="48">
        <f t="shared" si="12"/>
        <v>3</v>
      </c>
      <c r="B203" s="113">
        <v>46039</v>
      </c>
      <c r="C203" s="48" t="str">
        <f t="shared" si="13"/>
        <v>enero</v>
      </c>
      <c r="D203" s="48" t="s">
        <v>2135</v>
      </c>
      <c r="E203" s="42" t="s">
        <v>477</v>
      </c>
      <c r="F203" s="47" t="s">
        <v>2019</v>
      </c>
      <c r="G203" s="38">
        <v>1</v>
      </c>
      <c r="H203" s="48" t="s">
        <v>2138</v>
      </c>
      <c r="I203" s="202">
        <v>4446</v>
      </c>
      <c r="J203" s="197">
        <v>4446</v>
      </c>
      <c r="K203" s="197">
        <v>0</v>
      </c>
      <c r="L203" s="205">
        <v>4446</v>
      </c>
      <c r="M203" s="198">
        <v>0</v>
      </c>
      <c r="N203" s="48" t="s">
        <v>1617</v>
      </c>
      <c r="O203" s="48" t="s">
        <v>1409</v>
      </c>
      <c r="P203" s="48" t="s">
        <v>25</v>
      </c>
      <c r="Q203" s="48" t="s">
        <v>1766</v>
      </c>
      <c r="R203" s="48" t="s">
        <v>2735</v>
      </c>
      <c r="S203" s="38"/>
      <c r="T203" s="115"/>
      <c r="U203" s="38"/>
      <c r="X203" s="50"/>
      <c r="Y203" s="50"/>
    </row>
    <row r="204" spans="1:25" customFormat="1" ht="14.4" x14ac:dyDescent="0.3">
      <c r="A204" s="48">
        <f t="shared" si="12"/>
        <v>4</v>
      </c>
      <c r="B204" s="113">
        <v>46041</v>
      </c>
      <c r="C204" s="48" t="str">
        <f t="shared" si="13"/>
        <v>enero</v>
      </c>
      <c r="D204" s="48" t="s">
        <v>2135</v>
      </c>
      <c r="E204" s="42" t="s">
        <v>356</v>
      </c>
      <c r="F204" s="47" t="s">
        <v>127</v>
      </c>
      <c r="G204" s="48">
        <v>8.3369999999999997</v>
      </c>
      <c r="H204" s="48" t="s">
        <v>2017</v>
      </c>
      <c r="I204" s="197">
        <v>20.681000000000001</v>
      </c>
      <c r="J204" s="197">
        <v>172.417497</v>
      </c>
      <c r="K204" s="197">
        <v>27.586799520000003</v>
      </c>
      <c r="L204" s="197">
        <v>200.00429652</v>
      </c>
      <c r="M204" s="198">
        <v>0</v>
      </c>
      <c r="N204" s="48" t="s">
        <v>1617</v>
      </c>
      <c r="O204" s="48" t="s">
        <v>1409</v>
      </c>
      <c r="P204" s="48" t="s">
        <v>25</v>
      </c>
      <c r="Q204" s="48" t="s">
        <v>488</v>
      </c>
      <c r="R204" s="48" t="s">
        <v>2727</v>
      </c>
      <c r="S204" s="48" t="s">
        <v>388</v>
      </c>
      <c r="T204" s="114" t="s">
        <v>2372</v>
      </c>
      <c r="U204" s="48"/>
      <c r="V204" s="39"/>
      <c r="W204" s="41"/>
      <c r="X204" s="41" t="s">
        <v>2873</v>
      </c>
      <c r="Y204" s="50"/>
    </row>
    <row r="205" spans="1:25" customFormat="1" ht="14.4" x14ac:dyDescent="0.3">
      <c r="A205" s="48">
        <f t="shared" si="12"/>
        <v>4</v>
      </c>
      <c r="B205" s="113">
        <v>46041</v>
      </c>
      <c r="C205" s="48" t="str">
        <f t="shared" si="13"/>
        <v>enero</v>
      </c>
      <c r="D205" s="48" t="s">
        <v>2135</v>
      </c>
      <c r="E205" s="42" t="s">
        <v>356</v>
      </c>
      <c r="F205" s="47" t="s">
        <v>127</v>
      </c>
      <c r="G205" s="48">
        <v>13.464</v>
      </c>
      <c r="H205" s="48" t="s">
        <v>2017</v>
      </c>
      <c r="I205" s="197">
        <v>19.784400000000002</v>
      </c>
      <c r="J205" s="197">
        <v>266.37716160000002</v>
      </c>
      <c r="K205" s="197">
        <v>42.620345856000007</v>
      </c>
      <c r="L205" s="197">
        <v>308.99750745600005</v>
      </c>
      <c r="M205" s="198">
        <v>0</v>
      </c>
      <c r="N205" s="48" t="s">
        <v>1617</v>
      </c>
      <c r="O205" s="48" t="s">
        <v>118</v>
      </c>
      <c r="P205" s="48" t="s">
        <v>25</v>
      </c>
      <c r="Q205" s="48" t="s">
        <v>1841</v>
      </c>
      <c r="R205" s="48" t="s">
        <v>364</v>
      </c>
      <c r="S205" s="48" t="s">
        <v>1842</v>
      </c>
      <c r="T205" s="114" t="s">
        <v>2025</v>
      </c>
      <c r="U205" s="48" t="s">
        <v>1839</v>
      </c>
      <c r="V205" s="39"/>
      <c r="W205" s="41" t="s">
        <v>1617</v>
      </c>
      <c r="X205" s="41" t="s">
        <v>2874</v>
      </c>
    </row>
    <row r="206" spans="1:25" customFormat="1" ht="14.4" x14ac:dyDescent="0.3">
      <c r="A206" s="48">
        <f t="shared" si="12"/>
        <v>4</v>
      </c>
      <c r="B206" s="113">
        <v>46041</v>
      </c>
      <c r="C206" s="48" t="str">
        <f t="shared" si="13"/>
        <v>enero</v>
      </c>
      <c r="D206" s="48" t="s">
        <v>2135</v>
      </c>
      <c r="E206" s="42" t="s">
        <v>2728</v>
      </c>
      <c r="F206" s="47" t="s">
        <v>799</v>
      </c>
      <c r="G206" s="48">
        <v>1</v>
      </c>
      <c r="H206" s="48" t="s">
        <v>1705</v>
      </c>
      <c r="I206" s="197">
        <v>800</v>
      </c>
      <c r="J206" s="197">
        <v>800</v>
      </c>
      <c r="K206" s="197">
        <v>0</v>
      </c>
      <c r="L206" s="201">
        <v>800</v>
      </c>
      <c r="M206" s="198">
        <v>0</v>
      </c>
      <c r="N206" s="48" t="s">
        <v>1453</v>
      </c>
      <c r="O206" s="48" t="s">
        <v>814</v>
      </c>
      <c r="P206" s="48" t="s">
        <v>25</v>
      </c>
      <c r="Q206" s="48" t="s">
        <v>241</v>
      </c>
      <c r="R206" s="48" t="s">
        <v>2727</v>
      </c>
      <c r="S206" s="48" t="s">
        <v>1717</v>
      </c>
      <c r="T206" s="114" t="s">
        <v>1675</v>
      </c>
      <c r="U206" s="48"/>
      <c r="V206" s="131" t="s">
        <v>2018</v>
      </c>
      <c r="W206" s="41"/>
      <c r="X206" s="41" t="s">
        <v>2875</v>
      </c>
      <c r="Y206" s="50"/>
    </row>
    <row r="207" spans="1:25" customFormat="1" ht="14.4" x14ac:dyDescent="0.3">
      <c r="A207" s="48">
        <f t="shared" si="12"/>
        <v>4</v>
      </c>
      <c r="B207" s="113">
        <v>46041</v>
      </c>
      <c r="C207" s="48" t="str">
        <f t="shared" si="13"/>
        <v>enero</v>
      </c>
      <c r="D207" s="48" t="s">
        <v>2135</v>
      </c>
      <c r="E207" s="42" t="s">
        <v>2728</v>
      </c>
      <c r="F207" s="47" t="s">
        <v>801</v>
      </c>
      <c r="G207" s="48">
        <v>1</v>
      </c>
      <c r="H207" s="48" t="s">
        <v>1705</v>
      </c>
      <c r="I207" s="197">
        <v>800</v>
      </c>
      <c r="J207" s="197">
        <v>800</v>
      </c>
      <c r="K207" s="197">
        <v>0</v>
      </c>
      <c r="L207" s="201">
        <v>800</v>
      </c>
      <c r="M207" s="198">
        <v>0</v>
      </c>
      <c r="N207" s="48" t="s">
        <v>1453</v>
      </c>
      <c r="O207" s="48" t="s">
        <v>814</v>
      </c>
      <c r="P207" s="48" t="s">
        <v>25</v>
      </c>
      <c r="Q207" s="48" t="s">
        <v>241</v>
      </c>
      <c r="R207" s="48" t="s">
        <v>2727</v>
      </c>
      <c r="S207" s="48" t="s">
        <v>1717</v>
      </c>
      <c r="T207" s="114" t="s">
        <v>1675</v>
      </c>
      <c r="U207" s="48"/>
      <c r="V207" s="131" t="s">
        <v>2018</v>
      </c>
      <c r="W207" s="41"/>
      <c r="X207" s="41" t="s">
        <v>2875</v>
      </c>
      <c r="Y207" s="50"/>
    </row>
    <row r="208" spans="1:25" customFormat="1" ht="14.4" x14ac:dyDescent="0.3">
      <c r="A208" s="48">
        <f t="shared" si="12"/>
        <v>4</v>
      </c>
      <c r="B208" s="113">
        <v>46041</v>
      </c>
      <c r="C208" s="48" t="str">
        <f t="shared" si="13"/>
        <v>enero</v>
      </c>
      <c r="D208" s="48" t="s">
        <v>2135</v>
      </c>
      <c r="E208" s="42" t="s">
        <v>2728</v>
      </c>
      <c r="F208" s="47" t="s">
        <v>662</v>
      </c>
      <c r="G208" s="48">
        <v>1</v>
      </c>
      <c r="H208" s="48" t="s">
        <v>1705</v>
      </c>
      <c r="I208" s="197">
        <v>650</v>
      </c>
      <c r="J208" s="197">
        <v>650</v>
      </c>
      <c r="K208" s="197">
        <v>0</v>
      </c>
      <c r="L208" s="201">
        <v>650</v>
      </c>
      <c r="M208" s="198">
        <v>0</v>
      </c>
      <c r="N208" s="48" t="s">
        <v>1453</v>
      </c>
      <c r="O208" s="48" t="s">
        <v>814</v>
      </c>
      <c r="P208" s="48" t="s">
        <v>25</v>
      </c>
      <c r="Q208" s="48" t="s">
        <v>241</v>
      </c>
      <c r="R208" s="48" t="s">
        <v>2727</v>
      </c>
      <c r="S208" s="48" t="s">
        <v>1717</v>
      </c>
      <c r="T208" s="114" t="s">
        <v>1617</v>
      </c>
      <c r="U208" s="48"/>
      <c r="V208" s="131" t="s">
        <v>2018</v>
      </c>
      <c r="W208" s="41"/>
      <c r="X208" s="41" t="s">
        <v>2875</v>
      </c>
      <c r="Y208" s="50"/>
    </row>
    <row r="209" spans="1:25" customFormat="1" ht="14.4" x14ac:dyDescent="0.3">
      <c r="A209" s="48">
        <f t="shared" si="12"/>
        <v>4</v>
      </c>
      <c r="B209" s="113">
        <v>46041</v>
      </c>
      <c r="C209" s="48" t="str">
        <f t="shared" si="13"/>
        <v>enero</v>
      </c>
      <c r="D209" s="48" t="s">
        <v>2135</v>
      </c>
      <c r="E209" s="42" t="s">
        <v>2728</v>
      </c>
      <c r="F209" s="47" t="s">
        <v>661</v>
      </c>
      <c r="G209" s="48">
        <v>1</v>
      </c>
      <c r="H209" s="48" t="s">
        <v>1705</v>
      </c>
      <c r="I209" s="197">
        <v>650</v>
      </c>
      <c r="J209" s="197">
        <v>650</v>
      </c>
      <c r="K209" s="197">
        <v>0</v>
      </c>
      <c r="L209" s="201">
        <v>650</v>
      </c>
      <c r="M209" s="198">
        <v>0</v>
      </c>
      <c r="N209" s="48" t="s">
        <v>1453</v>
      </c>
      <c r="O209" s="48" t="s">
        <v>814</v>
      </c>
      <c r="P209" s="48" t="s">
        <v>25</v>
      </c>
      <c r="Q209" s="48" t="s">
        <v>241</v>
      </c>
      <c r="R209" s="48" t="s">
        <v>2727</v>
      </c>
      <c r="S209" s="48" t="s">
        <v>1717</v>
      </c>
      <c r="T209" s="114" t="s">
        <v>1617</v>
      </c>
      <c r="U209" s="48"/>
      <c r="V209" s="131" t="s">
        <v>2018</v>
      </c>
      <c r="W209" s="41"/>
      <c r="X209" s="41" t="s">
        <v>2875</v>
      </c>
      <c r="Y209" s="50"/>
    </row>
    <row r="210" spans="1:25" customFormat="1" ht="14.4" x14ac:dyDescent="0.3">
      <c r="A210" s="48">
        <f t="shared" si="12"/>
        <v>4</v>
      </c>
      <c r="B210" s="113">
        <v>46041</v>
      </c>
      <c r="C210" s="48" t="str">
        <f t="shared" si="13"/>
        <v>enero</v>
      </c>
      <c r="D210" s="48" t="s">
        <v>2135</v>
      </c>
      <c r="E210" s="42" t="s">
        <v>2728</v>
      </c>
      <c r="F210" s="47" t="s">
        <v>1698</v>
      </c>
      <c r="G210" s="48">
        <v>2</v>
      </c>
      <c r="H210" s="48" t="s">
        <v>1705</v>
      </c>
      <c r="I210" s="197">
        <v>225</v>
      </c>
      <c r="J210" s="197">
        <v>450</v>
      </c>
      <c r="K210" s="197">
        <v>0</v>
      </c>
      <c r="L210" s="201">
        <v>450</v>
      </c>
      <c r="M210" s="198">
        <v>0</v>
      </c>
      <c r="N210" s="48" t="s">
        <v>1453</v>
      </c>
      <c r="O210" s="48" t="s">
        <v>814</v>
      </c>
      <c r="P210" s="48" t="s">
        <v>25</v>
      </c>
      <c r="Q210" s="48" t="s">
        <v>241</v>
      </c>
      <c r="R210" s="48" t="s">
        <v>2727</v>
      </c>
      <c r="S210" s="48" t="s">
        <v>1717</v>
      </c>
      <c r="T210" s="114" t="s">
        <v>1617</v>
      </c>
      <c r="U210" s="48"/>
      <c r="V210" s="131" t="s">
        <v>2018</v>
      </c>
      <c r="W210" s="41"/>
      <c r="X210" s="41" t="s">
        <v>2875</v>
      </c>
      <c r="Y210" s="50"/>
    </row>
    <row r="211" spans="1:25" customFormat="1" ht="14.4" x14ac:dyDescent="0.3">
      <c r="A211" s="48">
        <f t="shared" si="12"/>
        <v>4</v>
      </c>
      <c r="B211" s="113">
        <v>46041</v>
      </c>
      <c r="C211" s="48" t="str">
        <f t="shared" si="13"/>
        <v>enero</v>
      </c>
      <c r="D211" s="48" t="s">
        <v>2135</v>
      </c>
      <c r="E211" s="42" t="s">
        <v>2728</v>
      </c>
      <c r="F211" s="47" t="s">
        <v>2876</v>
      </c>
      <c r="G211" s="48">
        <v>1</v>
      </c>
      <c r="H211" s="48" t="s">
        <v>1705</v>
      </c>
      <c r="I211" s="197">
        <v>525</v>
      </c>
      <c r="J211" s="197">
        <v>525</v>
      </c>
      <c r="K211" s="197">
        <v>0</v>
      </c>
      <c r="L211" s="201">
        <v>525</v>
      </c>
      <c r="M211" s="198">
        <v>0</v>
      </c>
      <c r="N211" s="48" t="s">
        <v>1453</v>
      </c>
      <c r="O211" s="48" t="s">
        <v>814</v>
      </c>
      <c r="P211" s="48" t="s">
        <v>25</v>
      </c>
      <c r="Q211" s="48" t="s">
        <v>241</v>
      </c>
      <c r="R211" s="48" t="s">
        <v>2727</v>
      </c>
      <c r="S211" s="48" t="s">
        <v>1717</v>
      </c>
      <c r="T211" s="114" t="s">
        <v>1617</v>
      </c>
      <c r="U211" s="48"/>
      <c r="V211" s="39" t="s">
        <v>2877</v>
      </c>
      <c r="W211" s="41"/>
      <c r="X211" s="41" t="s">
        <v>2875</v>
      </c>
      <c r="Y211" s="50"/>
    </row>
    <row r="212" spans="1:25" customFormat="1" ht="14.4" x14ac:dyDescent="0.3">
      <c r="A212" s="48">
        <f t="shared" si="12"/>
        <v>4</v>
      </c>
      <c r="B212" s="113">
        <v>46041</v>
      </c>
      <c r="C212" s="48" t="str">
        <f t="shared" si="13"/>
        <v>enero</v>
      </c>
      <c r="D212" s="48" t="s">
        <v>2135</v>
      </c>
      <c r="E212" s="42" t="s">
        <v>2728</v>
      </c>
      <c r="F212" s="47" t="s">
        <v>411</v>
      </c>
      <c r="G212" s="48">
        <v>2</v>
      </c>
      <c r="H212" s="48" t="s">
        <v>1705</v>
      </c>
      <c r="I212" s="197">
        <v>21.55</v>
      </c>
      <c r="J212" s="197">
        <v>43.1</v>
      </c>
      <c r="K212" s="197">
        <v>6.8960000000000008</v>
      </c>
      <c r="L212" s="200">
        <v>49.996000000000002</v>
      </c>
      <c r="M212" s="198">
        <v>0</v>
      </c>
      <c r="N212" s="48" t="s">
        <v>1401</v>
      </c>
      <c r="O212" s="48" t="s">
        <v>347</v>
      </c>
      <c r="P212" s="48" t="s">
        <v>25</v>
      </c>
      <c r="Q212" s="48" t="s">
        <v>241</v>
      </c>
      <c r="R212" s="48" t="s">
        <v>2727</v>
      </c>
      <c r="S212" s="48" t="s">
        <v>1713</v>
      </c>
      <c r="T212" s="114" t="s">
        <v>1669</v>
      </c>
      <c r="U212" s="48"/>
      <c r="V212" s="39"/>
      <c r="W212" s="41"/>
      <c r="X212" s="41" t="s">
        <v>2878</v>
      </c>
      <c r="Y212" s="50"/>
    </row>
    <row r="213" spans="1:25" customFormat="1" ht="14.4" x14ac:dyDescent="0.3">
      <c r="A213" s="48">
        <f t="shared" si="12"/>
        <v>4</v>
      </c>
      <c r="B213" s="113">
        <v>46041</v>
      </c>
      <c r="C213" s="48" t="str">
        <f t="shared" si="13"/>
        <v>enero</v>
      </c>
      <c r="D213" s="48" t="s">
        <v>2135</v>
      </c>
      <c r="E213" s="42" t="s">
        <v>2728</v>
      </c>
      <c r="F213" s="47" t="s">
        <v>216</v>
      </c>
      <c r="G213" s="48">
        <v>1</v>
      </c>
      <c r="H213" s="48" t="s">
        <v>1705</v>
      </c>
      <c r="I213" s="197">
        <v>129.31</v>
      </c>
      <c r="J213" s="197">
        <v>129.31</v>
      </c>
      <c r="K213" s="197">
        <v>20.689600000000002</v>
      </c>
      <c r="L213" s="200">
        <v>149.99960000000002</v>
      </c>
      <c r="M213" s="198">
        <v>0</v>
      </c>
      <c r="N213" s="48" t="s">
        <v>1401</v>
      </c>
      <c r="O213" s="48" t="s">
        <v>347</v>
      </c>
      <c r="P213" s="48" t="s">
        <v>25</v>
      </c>
      <c r="Q213" s="48" t="s">
        <v>241</v>
      </c>
      <c r="R213" s="48" t="s">
        <v>2727</v>
      </c>
      <c r="S213" s="48" t="s">
        <v>1713</v>
      </c>
      <c r="T213" s="114" t="s">
        <v>1715</v>
      </c>
      <c r="U213" s="48"/>
      <c r="V213" s="39" t="s">
        <v>2879</v>
      </c>
      <c r="W213" s="41"/>
      <c r="X213" s="41" t="s">
        <v>2878</v>
      </c>
      <c r="Y213" s="50"/>
    </row>
    <row r="214" spans="1:25" customFormat="1" ht="14.4" x14ac:dyDescent="0.3">
      <c r="A214" s="48">
        <f t="shared" si="12"/>
        <v>4</v>
      </c>
      <c r="B214" s="113">
        <v>46041</v>
      </c>
      <c r="C214" s="48" t="str">
        <f t="shared" si="13"/>
        <v>enero</v>
      </c>
      <c r="D214" s="48" t="s">
        <v>2135</v>
      </c>
      <c r="E214" s="42" t="s">
        <v>2728</v>
      </c>
      <c r="F214" s="47" t="s">
        <v>2188</v>
      </c>
      <c r="G214" s="48">
        <v>4</v>
      </c>
      <c r="H214" s="48" t="s">
        <v>1705</v>
      </c>
      <c r="I214" s="197">
        <v>86.21</v>
      </c>
      <c r="J214" s="197">
        <v>344.84</v>
      </c>
      <c r="K214" s="197">
        <v>55.174399999999999</v>
      </c>
      <c r="L214" s="197">
        <v>400.01439999999997</v>
      </c>
      <c r="M214" s="198">
        <v>0</v>
      </c>
      <c r="N214" s="48" t="s">
        <v>1425</v>
      </c>
      <c r="O214" s="48" t="s">
        <v>426</v>
      </c>
      <c r="P214" s="48" t="s">
        <v>25</v>
      </c>
      <c r="Q214" s="48" t="s">
        <v>241</v>
      </c>
      <c r="R214" s="48" t="s">
        <v>2727</v>
      </c>
      <c r="S214" s="48" t="s">
        <v>1713</v>
      </c>
      <c r="T214" s="114" t="s">
        <v>1638</v>
      </c>
      <c r="U214" s="48"/>
      <c r="V214" s="39"/>
      <c r="W214" s="41"/>
      <c r="X214" s="41" t="s">
        <v>2880</v>
      </c>
      <c r="Y214" s="50"/>
    </row>
    <row r="215" spans="1:25" customFormat="1" ht="14.4" x14ac:dyDescent="0.3">
      <c r="A215" s="48">
        <f t="shared" si="12"/>
        <v>4</v>
      </c>
      <c r="B215" s="113">
        <v>46041</v>
      </c>
      <c r="C215" s="48" t="str">
        <f t="shared" si="13"/>
        <v>enero</v>
      </c>
      <c r="D215" s="48" t="s">
        <v>2135</v>
      </c>
      <c r="E215" s="42" t="s">
        <v>1830</v>
      </c>
      <c r="F215" s="47" t="s">
        <v>2881</v>
      </c>
      <c r="G215" s="48">
        <v>1</v>
      </c>
      <c r="H215" s="48" t="s">
        <v>1705</v>
      </c>
      <c r="I215" s="197">
        <v>25</v>
      </c>
      <c r="J215" s="197">
        <v>25</v>
      </c>
      <c r="K215" s="197">
        <v>0</v>
      </c>
      <c r="L215" s="201">
        <v>25</v>
      </c>
      <c r="M215" s="198">
        <v>0</v>
      </c>
      <c r="N215" s="48" t="s">
        <v>62</v>
      </c>
      <c r="O215" s="48" t="s">
        <v>118</v>
      </c>
      <c r="P215" s="48" t="s">
        <v>2734</v>
      </c>
      <c r="Q215" s="48" t="s">
        <v>241</v>
      </c>
      <c r="R215" s="48" t="s">
        <v>364</v>
      </c>
      <c r="S215" s="114" t="s">
        <v>1617</v>
      </c>
      <c r="T215" s="114" t="s">
        <v>1617</v>
      </c>
      <c r="U215" s="48" t="s">
        <v>1670</v>
      </c>
      <c r="V215" s="39" t="s">
        <v>1714</v>
      </c>
      <c r="W215" s="41"/>
      <c r="X215" s="41" t="s">
        <v>2882</v>
      </c>
    </row>
    <row r="216" spans="1:25" customFormat="1" ht="14.4" x14ac:dyDescent="0.3">
      <c r="A216" s="48">
        <f t="shared" si="12"/>
        <v>4</v>
      </c>
      <c r="B216" s="113">
        <v>46041</v>
      </c>
      <c r="C216" s="48" t="str">
        <f t="shared" si="13"/>
        <v>enero</v>
      </c>
      <c r="D216" s="48" t="s">
        <v>2135</v>
      </c>
      <c r="E216" s="42" t="s">
        <v>1830</v>
      </c>
      <c r="F216" s="47" t="s">
        <v>2883</v>
      </c>
      <c r="G216" s="48">
        <v>1</v>
      </c>
      <c r="H216" s="48" t="s">
        <v>1705</v>
      </c>
      <c r="I216" s="197">
        <v>25</v>
      </c>
      <c r="J216" s="197">
        <v>25</v>
      </c>
      <c r="K216" s="197">
        <v>0</v>
      </c>
      <c r="L216" s="201">
        <v>25</v>
      </c>
      <c r="M216" s="198">
        <v>0</v>
      </c>
      <c r="N216" s="48" t="s">
        <v>62</v>
      </c>
      <c r="O216" s="48" t="s">
        <v>118</v>
      </c>
      <c r="P216" s="48" t="s">
        <v>2734</v>
      </c>
      <c r="Q216" s="48" t="s">
        <v>241</v>
      </c>
      <c r="R216" s="48" t="s">
        <v>364</v>
      </c>
      <c r="S216" s="114" t="s">
        <v>1617</v>
      </c>
      <c r="T216" s="114" t="s">
        <v>1617</v>
      </c>
      <c r="U216" s="48" t="s">
        <v>1670</v>
      </c>
      <c r="V216" s="39" t="s">
        <v>2420</v>
      </c>
      <c r="W216" s="41"/>
      <c r="X216" s="41" t="s">
        <v>2882</v>
      </c>
    </row>
    <row r="217" spans="1:25" customFormat="1" ht="14.4" x14ac:dyDescent="0.3">
      <c r="A217" s="48">
        <f t="shared" si="12"/>
        <v>4</v>
      </c>
      <c r="B217" s="113">
        <v>46041</v>
      </c>
      <c r="C217" s="48" t="str">
        <f t="shared" si="13"/>
        <v>enero</v>
      </c>
      <c r="D217" s="48" t="s">
        <v>2135</v>
      </c>
      <c r="E217" s="42" t="s">
        <v>2728</v>
      </c>
      <c r="F217" s="50" t="s">
        <v>2884</v>
      </c>
      <c r="G217" s="48">
        <v>1</v>
      </c>
      <c r="H217" s="48" t="s">
        <v>2139</v>
      </c>
      <c r="I217" s="197">
        <v>420</v>
      </c>
      <c r="J217" s="197">
        <v>420</v>
      </c>
      <c r="K217" s="197">
        <v>0</v>
      </c>
      <c r="L217" s="197">
        <v>420</v>
      </c>
      <c r="M217" s="198">
        <v>0</v>
      </c>
      <c r="N217" s="48" t="s">
        <v>1453</v>
      </c>
      <c r="O217" s="48" t="s">
        <v>814</v>
      </c>
      <c r="P217" s="48" t="s">
        <v>25</v>
      </c>
      <c r="Q217" s="48" t="s">
        <v>241</v>
      </c>
      <c r="R217" s="48" t="s">
        <v>369</v>
      </c>
      <c r="S217" s="48" t="s">
        <v>454</v>
      </c>
      <c r="T217" s="114" t="s">
        <v>20</v>
      </c>
      <c r="U217" s="48" t="s">
        <v>587</v>
      </c>
      <c r="V217" s="47" t="s">
        <v>2885</v>
      </c>
      <c r="W217" s="41"/>
      <c r="X217" s="41" t="s">
        <v>2886</v>
      </c>
      <c r="Y217" s="50"/>
    </row>
    <row r="218" spans="1:25" customFormat="1" ht="14.4" x14ac:dyDescent="0.3">
      <c r="A218" s="48">
        <f t="shared" si="12"/>
        <v>4</v>
      </c>
      <c r="B218" s="113">
        <v>46042</v>
      </c>
      <c r="C218" s="48" t="str">
        <f t="shared" si="13"/>
        <v>enero</v>
      </c>
      <c r="D218" s="48" t="s">
        <v>2135</v>
      </c>
      <c r="E218" s="42" t="s">
        <v>2728</v>
      </c>
      <c r="F218" s="47" t="s">
        <v>132</v>
      </c>
      <c r="G218" s="48">
        <v>1</v>
      </c>
      <c r="H218" s="48" t="s">
        <v>2139</v>
      </c>
      <c r="I218" s="197">
        <v>215</v>
      </c>
      <c r="J218" s="197">
        <v>215</v>
      </c>
      <c r="K218" s="197">
        <v>0</v>
      </c>
      <c r="L218" s="197">
        <v>215</v>
      </c>
      <c r="M218" s="198">
        <v>0</v>
      </c>
      <c r="N218" s="48" t="s">
        <v>1432</v>
      </c>
      <c r="O218" s="48" t="s">
        <v>183</v>
      </c>
      <c r="P218" s="48" t="s">
        <v>25</v>
      </c>
      <c r="Q218" s="48" t="s">
        <v>241</v>
      </c>
      <c r="R218" s="48" t="s">
        <v>364</v>
      </c>
      <c r="S218" s="48" t="s">
        <v>1719</v>
      </c>
      <c r="T218" s="114" t="s">
        <v>1617</v>
      </c>
      <c r="U218" s="48" t="s">
        <v>1684</v>
      </c>
      <c r="V218" s="39"/>
      <c r="W218" s="41"/>
      <c r="X218" s="41" t="s">
        <v>2887</v>
      </c>
      <c r="Y218" s="50"/>
    </row>
    <row r="219" spans="1:25" customFormat="1" ht="14.4" x14ac:dyDescent="0.3">
      <c r="A219" s="48">
        <f t="shared" si="12"/>
        <v>4</v>
      </c>
      <c r="B219" s="113">
        <v>46042</v>
      </c>
      <c r="C219" s="48" t="str">
        <f t="shared" si="13"/>
        <v>enero</v>
      </c>
      <c r="D219" s="48" t="s">
        <v>2135</v>
      </c>
      <c r="E219" s="42" t="s">
        <v>356</v>
      </c>
      <c r="F219" s="47" t="s">
        <v>127</v>
      </c>
      <c r="G219" s="125">
        <v>13.01</v>
      </c>
      <c r="H219" s="48" t="s">
        <v>2017</v>
      </c>
      <c r="I219" s="197">
        <v>19.878499999999999</v>
      </c>
      <c r="J219" s="197">
        <v>258.61928499999999</v>
      </c>
      <c r="K219" s="197">
        <v>41.379085599999996</v>
      </c>
      <c r="L219" s="197">
        <v>299.99837059999999</v>
      </c>
      <c r="M219" s="198">
        <v>0</v>
      </c>
      <c r="N219" s="48" t="s">
        <v>1617</v>
      </c>
      <c r="O219" s="48" t="s">
        <v>2149</v>
      </c>
      <c r="P219" s="48" t="s">
        <v>25</v>
      </c>
      <c r="Q219" s="48" t="s">
        <v>241</v>
      </c>
      <c r="R219" s="48" t="s">
        <v>2727</v>
      </c>
      <c r="S219" s="48" t="s">
        <v>1619</v>
      </c>
      <c r="T219" s="114" t="s">
        <v>2025</v>
      </c>
      <c r="U219" s="48"/>
      <c r="V219" s="131" t="s">
        <v>2146</v>
      </c>
      <c r="W219" s="41" t="s">
        <v>2888</v>
      </c>
      <c r="X219" s="41" t="s">
        <v>2889</v>
      </c>
      <c r="Y219" s="50"/>
    </row>
    <row r="220" spans="1:25" customFormat="1" ht="14.4" x14ac:dyDescent="0.3">
      <c r="A220" s="48">
        <f t="shared" si="12"/>
        <v>4</v>
      </c>
      <c r="B220" s="113">
        <v>46042</v>
      </c>
      <c r="C220" s="48" t="str">
        <f t="shared" si="13"/>
        <v>enero</v>
      </c>
      <c r="D220" s="48" t="s">
        <v>2135</v>
      </c>
      <c r="E220" s="42" t="s">
        <v>356</v>
      </c>
      <c r="F220" s="47" t="s">
        <v>127</v>
      </c>
      <c r="G220" s="48">
        <v>10</v>
      </c>
      <c r="H220" s="48" t="s">
        <v>2017</v>
      </c>
      <c r="I220" s="197">
        <v>20.25</v>
      </c>
      <c r="J220" s="197">
        <v>202.5</v>
      </c>
      <c r="K220" s="197">
        <v>32.400000000000006</v>
      </c>
      <c r="L220" s="197">
        <v>234.9</v>
      </c>
      <c r="M220" s="198">
        <v>0</v>
      </c>
      <c r="N220" s="48" t="s">
        <v>1418</v>
      </c>
      <c r="O220" s="48" t="s">
        <v>798</v>
      </c>
      <c r="P220" s="48" t="s">
        <v>39</v>
      </c>
      <c r="Q220" s="48" t="s">
        <v>241</v>
      </c>
      <c r="R220" s="48" t="s">
        <v>2735</v>
      </c>
      <c r="S220" s="48" t="s">
        <v>1619</v>
      </c>
      <c r="T220" s="114" t="s">
        <v>2025</v>
      </c>
      <c r="U220" s="48" t="s">
        <v>1721</v>
      </c>
      <c r="V220" s="39"/>
      <c r="W220" s="41"/>
      <c r="X220" s="41" t="s">
        <v>2890</v>
      </c>
      <c r="Y220" s="50"/>
    </row>
    <row r="221" spans="1:25" customFormat="1" ht="14.4" x14ac:dyDescent="0.3">
      <c r="A221" s="48">
        <f t="shared" si="12"/>
        <v>4</v>
      </c>
      <c r="B221" s="113">
        <v>46042</v>
      </c>
      <c r="C221" s="48" t="str">
        <f t="shared" si="13"/>
        <v>enero</v>
      </c>
      <c r="D221" s="48" t="s">
        <v>2135</v>
      </c>
      <c r="E221" s="42" t="s">
        <v>2728</v>
      </c>
      <c r="F221" s="47" t="s">
        <v>2891</v>
      </c>
      <c r="G221" s="48">
        <v>2</v>
      </c>
      <c r="H221" s="48" t="s">
        <v>1705</v>
      </c>
      <c r="I221" s="197">
        <v>75</v>
      </c>
      <c r="J221" s="197">
        <v>150</v>
      </c>
      <c r="K221" s="197">
        <v>0</v>
      </c>
      <c r="L221" s="200">
        <v>150</v>
      </c>
      <c r="M221" s="198">
        <v>0</v>
      </c>
      <c r="N221" s="48" t="s">
        <v>1453</v>
      </c>
      <c r="O221" s="48" t="s">
        <v>814</v>
      </c>
      <c r="P221" s="48" t="s">
        <v>25</v>
      </c>
      <c r="Q221" s="48" t="s">
        <v>241</v>
      </c>
      <c r="R221" s="48" t="s">
        <v>2735</v>
      </c>
      <c r="S221" s="48" t="s">
        <v>1722</v>
      </c>
      <c r="T221" s="114" t="s">
        <v>1617</v>
      </c>
      <c r="U221" s="48" t="s">
        <v>1721</v>
      </c>
      <c r="V221" s="39"/>
      <c r="W221" s="41"/>
      <c r="X221" s="41" t="s">
        <v>2892</v>
      </c>
      <c r="Y221" s="50"/>
    </row>
    <row r="222" spans="1:25" customFormat="1" ht="14.4" x14ac:dyDescent="0.3">
      <c r="A222" s="48">
        <f t="shared" si="12"/>
        <v>4</v>
      </c>
      <c r="B222" s="113">
        <v>46042</v>
      </c>
      <c r="C222" s="48" t="str">
        <f t="shared" si="13"/>
        <v>enero</v>
      </c>
      <c r="D222" s="48" t="s">
        <v>2135</v>
      </c>
      <c r="E222" s="42" t="s">
        <v>2728</v>
      </c>
      <c r="F222" s="47" t="s">
        <v>2893</v>
      </c>
      <c r="G222" s="48">
        <v>1</v>
      </c>
      <c r="H222" s="48" t="s">
        <v>1705</v>
      </c>
      <c r="I222" s="197">
        <v>5.6</v>
      </c>
      <c r="J222" s="197">
        <v>5.6</v>
      </c>
      <c r="K222" s="197">
        <v>0</v>
      </c>
      <c r="L222" s="200">
        <v>5.6</v>
      </c>
      <c r="M222" s="198">
        <v>0</v>
      </c>
      <c r="N222" s="48" t="s">
        <v>1453</v>
      </c>
      <c r="O222" s="48" t="s">
        <v>814</v>
      </c>
      <c r="P222" s="48" t="s">
        <v>25</v>
      </c>
      <c r="Q222" s="48" t="s">
        <v>241</v>
      </c>
      <c r="R222" s="48" t="s">
        <v>2735</v>
      </c>
      <c r="S222" s="48" t="s">
        <v>1722</v>
      </c>
      <c r="T222" s="114" t="s">
        <v>1617</v>
      </c>
      <c r="U222" s="48" t="s">
        <v>1721</v>
      </c>
      <c r="V222" s="39" t="s">
        <v>2894</v>
      </c>
      <c r="X222" s="41" t="s">
        <v>2892</v>
      </c>
      <c r="Y222" s="50"/>
    </row>
    <row r="223" spans="1:25" customFormat="1" ht="14.4" x14ac:dyDescent="0.3">
      <c r="A223" s="48">
        <f t="shared" si="12"/>
        <v>4</v>
      </c>
      <c r="B223" s="113">
        <v>46042</v>
      </c>
      <c r="C223" s="48" t="str">
        <f t="shared" si="13"/>
        <v>enero</v>
      </c>
      <c r="D223" s="48" t="s">
        <v>2135</v>
      </c>
      <c r="E223" s="42" t="s">
        <v>2728</v>
      </c>
      <c r="F223" s="47" t="s">
        <v>1723</v>
      </c>
      <c r="G223" s="48">
        <v>2</v>
      </c>
      <c r="H223" s="48" t="s">
        <v>1705</v>
      </c>
      <c r="I223" s="197">
        <v>281</v>
      </c>
      <c r="J223" s="197">
        <v>562</v>
      </c>
      <c r="K223" s="197">
        <v>89.92</v>
      </c>
      <c r="L223" s="197">
        <v>651.91999999999996</v>
      </c>
      <c r="M223" s="198">
        <v>0</v>
      </c>
      <c r="N223" s="48" t="s">
        <v>1453</v>
      </c>
      <c r="O223" s="48" t="s">
        <v>814</v>
      </c>
      <c r="P223" s="48" t="s">
        <v>25</v>
      </c>
      <c r="Q223" s="48" t="s">
        <v>241</v>
      </c>
      <c r="R223" s="48" t="s">
        <v>2735</v>
      </c>
      <c r="S223" s="48" t="s">
        <v>631</v>
      </c>
      <c r="T223" s="114" t="s">
        <v>1617</v>
      </c>
      <c r="U223" s="48" t="s">
        <v>1721</v>
      </c>
      <c r="V223" s="39"/>
      <c r="W223" s="41"/>
      <c r="X223" s="41" t="s">
        <v>2895</v>
      </c>
      <c r="Y223" s="50"/>
    </row>
    <row r="224" spans="1:25" customFormat="1" ht="14.4" x14ac:dyDescent="0.3">
      <c r="A224" s="48">
        <f t="shared" si="12"/>
        <v>4</v>
      </c>
      <c r="B224" s="113">
        <v>46042</v>
      </c>
      <c r="C224" s="48" t="str">
        <f t="shared" si="13"/>
        <v>enero</v>
      </c>
      <c r="D224" s="48" t="s">
        <v>2135</v>
      </c>
      <c r="E224" s="42" t="s">
        <v>2728</v>
      </c>
      <c r="F224" s="47" t="s">
        <v>2188</v>
      </c>
      <c r="G224" s="48">
        <v>4</v>
      </c>
      <c r="H224" s="48" t="s">
        <v>1705</v>
      </c>
      <c r="I224" s="197">
        <v>64.55</v>
      </c>
      <c r="J224" s="197">
        <v>258.2</v>
      </c>
      <c r="K224" s="197">
        <v>41.311999999999998</v>
      </c>
      <c r="L224" s="197">
        <v>299.512</v>
      </c>
      <c r="M224" s="198">
        <v>0</v>
      </c>
      <c r="N224" s="48" t="s">
        <v>1190</v>
      </c>
      <c r="O224" s="48" t="s">
        <v>46</v>
      </c>
      <c r="P224" s="48" t="s">
        <v>25</v>
      </c>
      <c r="Q224" s="48" t="s">
        <v>241</v>
      </c>
      <c r="R224" s="48" t="s">
        <v>2726</v>
      </c>
      <c r="S224" s="48" t="s">
        <v>1718</v>
      </c>
      <c r="T224" s="114" t="s">
        <v>1638</v>
      </c>
      <c r="U224" s="48"/>
      <c r="V224" s="39"/>
      <c r="W224" s="41"/>
      <c r="X224" s="41" t="s">
        <v>2896</v>
      </c>
      <c r="Y224" s="50"/>
    </row>
    <row r="225" spans="1:36" customFormat="1" ht="14.4" x14ac:dyDescent="0.3">
      <c r="A225" s="48">
        <f t="shared" si="12"/>
        <v>4</v>
      </c>
      <c r="B225" s="113">
        <v>46042</v>
      </c>
      <c r="C225" s="48" t="str">
        <f t="shared" si="13"/>
        <v>enero</v>
      </c>
      <c r="D225" s="48" t="s">
        <v>2135</v>
      </c>
      <c r="E225" s="42" t="s">
        <v>2728</v>
      </c>
      <c r="F225" s="47" t="s">
        <v>2897</v>
      </c>
      <c r="G225" s="48">
        <v>4</v>
      </c>
      <c r="H225" s="48" t="s">
        <v>1705</v>
      </c>
      <c r="I225" s="197">
        <v>90</v>
      </c>
      <c r="J225" s="197">
        <v>360</v>
      </c>
      <c r="K225" s="197">
        <v>0</v>
      </c>
      <c r="L225" s="201">
        <v>360</v>
      </c>
      <c r="M225" s="198">
        <v>0</v>
      </c>
      <c r="N225" s="48" t="s">
        <v>1418</v>
      </c>
      <c r="O225" s="48" t="s">
        <v>798</v>
      </c>
      <c r="P225" s="48" t="s">
        <v>39</v>
      </c>
      <c r="Q225" s="48" t="s">
        <v>241</v>
      </c>
      <c r="R225" s="48" t="s">
        <v>364</v>
      </c>
      <c r="S225" s="114" t="s">
        <v>1617</v>
      </c>
      <c r="T225" s="114" t="s">
        <v>1617</v>
      </c>
      <c r="U225" s="48" t="s">
        <v>1712</v>
      </c>
      <c r="V225" s="39" t="s">
        <v>1720</v>
      </c>
      <c r="W225" s="41">
        <v>340</v>
      </c>
      <c r="X225" s="41" t="s">
        <v>2898</v>
      </c>
      <c r="Y225" s="50"/>
    </row>
    <row r="226" spans="1:36" customFormat="1" ht="14.4" x14ac:dyDescent="0.3">
      <c r="A226" s="48">
        <f t="shared" si="12"/>
        <v>4</v>
      </c>
      <c r="B226" s="113">
        <v>46042</v>
      </c>
      <c r="C226" s="48" t="str">
        <f t="shared" si="13"/>
        <v>enero</v>
      </c>
      <c r="D226" s="48" t="s">
        <v>2135</v>
      </c>
      <c r="E226" s="42" t="s">
        <v>2728</v>
      </c>
      <c r="F226" s="47" t="s">
        <v>1685</v>
      </c>
      <c r="G226" s="48">
        <v>4</v>
      </c>
      <c r="H226" s="48" t="s">
        <v>1705</v>
      </c>
      <c r="I226" s="197">
        <v>70</v>
      </c>
      <c r="J226" s="197">
        <v>280</v>
      </c>
      <c r="K226" s="197">
        <v>0</v>
      </c>
      <c r="L226" s="201">
        <v>280</v>
      </c>
      <c r="M226" s="198">
        <v>0</v>
      </c>
      <c r="N226" s="48" t="s">
        <v>1418</v>
      </c>
      <c r="O226" s="48" t="s">
        <v>798</v>
      </c>
      <c r="P226" s="48" t="s">
        <v>39</v>
      </c>
      <c r="Q226" s="48" t="s">
        <v>241</v>
      </c>
      <c r="R226" s="48" t="s">
        <v>364</v>
      </c>
      <c r="S226" s="114" t="s">
        <v>1617</v>
      </c>
      <c r="T226" s="114" t="s">
        <v>1617</v>
      </c>
      <c r="U226" s="48" t="s">
        <v>1712</v>
      </c>
      <c r="V226" s="39" t="s">
        <v>1720</v>
      </c>
      <c r="W226" s="41">
        <v>340</v>
      </c>
      <c r="X226" s="41" t="s">
        <v>2898</v>
      </c>
      <c r="Y226" s="50"/>
    </row>
    <row r="227" spans="1:36" customFormat="1" ht="14.4" x14ac:dyDescent="0.3">
      <c r="A227" s="48">
        <f t="shared" si="12"/>
        <v>4</v>
      </c>
      <c r="B227" s="113">
        <v>46043</v>
      </c>
      <c r="C227" s="48" t="str">
        <f t="shared" si="13"/>
        <v>enero</v>
      </c>
      <c r="D227" s="48" t="s">
        <v>2135</v>
      </c>
      <c r="E227" s="42" t="s">
        <v>2728</v>
      </c>
      <c r="F227" s="47" t="s">
        <v>1729</v>
      </c>
      <c r="G227" s="48">
        <v>1</v>
      </c>
      <c r="H227" s="48" t="s">
        <v>2139</v>
      </c>
      <c r="I227" s="197">
        <v>120</v>
      </c>
      <c r="J227" s="197">
        <v>120</v>
      </c>
      <c r="K227" s="197">
        <v>0</v>
      </c>
      <c r="L227" s="197">
        <v>120</v>
      </c>
      <c r="M227" s="198">
        <v>0</v>
      </c>
      <c r="N227" s="48" t="s">
        <v>1617</v>
      </c>
      <c r="O227" s="48" t="s">
        <v>1586</v>
      </c>
      <c r="P227" s="48" t="s">
        <v>25</v>
      </c>
      <c r="Q227" s="48" t="s">
        <v>241</v>
      </c>
      <c r="R227" s="48" t="s">
        <v>2726</v>
      </c>
      <c r="S227" s="48" t="s">
        <v>1730</v>
      </c>
      <c r="T227" s="114" t="s">
        <v>1617</v>
      </c>
      <c r="U227" s="48"/>
      <c r="V227" s="131" t="s">
        <v>2150</v>
      </c>
      <c r="W227" s="41"/>
      <c r="X227" s="41" t="s">
        <v>2899</v>
      </c>
      <c r="Y227" s="50"/>
    </row>
    <row r="228" spans="1:36" customFormat="1" ht="14.4" x14ac:dyDescent="0.3">
      <c r="A228" s="48">
        <f t="shared" si="12"/>
        <v>4</v>
      </c>
      <c r="B228" s="113">
        <v>46043</v>
      </c>
      <c r="C228" s="48" t="str">
        <f t="shared" si="13"/>
        <v>enero</v>
      </c>
      <c r="D228" s="48" t="s">
        <v>2135</v>
      </c>
      <c r="E228" s="42" t="s">
        <v>1830</v>
      </c>
      <c r="F228" s="47" t="s">
        <v>2900</v>
      </c>
      <c r="G228" s="48">
        <v>1</v>
      </c>
      <c r="H228" s="48" t="s">
        <v>1705</v>
      </c>
      <c r="I228" s="197">
        <v>259</v>
      </c>
      <c r="J228" s="197">
        <v>259</v>
      </c>
      <c r="K228" s="197">
        <v>0</v>
      </c>
      <c r="L228" s="200">
        <v>259</v>
      </c>
      <c r="M228" s="198">
        <v>0</v>
      </c>
      <c r="N228" s="48" t="s">
        <v>62</v>
      </c>
      <c r="O228" s="48" t="s">
        <v>118</v>
      </c>
      <c r="P228" s="48" t="s">
        <v>25</v>
      </c>
      <c r="Q228" s="48" t="s">
        <v>241</v>
      </c>
      <c r="R228" s="48" t="s">
        <v>2726</v>
      </c>
      <c r="S228" s="48" t="s">
        <v>792</v>
      </c>
      <c r="T228" s="114" t="s">
        <v>1725</v>
      </c>
      <c r="U228" s="48" t="s">
        <v>1726</v>
      </c>
      <c r="V228" s="39"/>
      <c r="W228" s="41"/>
      <c r="X228" s="41" t="s">
        <v>2901</v>
      </c>
    </row>
    <row r="229" spans="1:36" customFormat="1" ht="14.4" x14ac:dyDescent="0.3">
      <c r="A229" s="48">
        <f t="shared" si="12"/>
        <v>4</v>
      </c>
      <c r="B229" s="113">
        <v>46043</v>
      </c>
      <c r="C229" s="48" t="str">
        <f t="shared" si="13"/>
        <v>enero</v>
      </c>
      <c r="D229" s="48" t="s">
        <v>2135</v>
      </c>
      <c r="E229" s="42" t="s">
        <v>1830</v>
      </c>
      <c r="F229" s="47" t="s">
        <v>2902</v>
      </c>
      <c r="G229" s="48">
        <v>1</v>
      </c>
      <c r="H229" s="48" t="s">
        <v>1705</v>
      </c>
      <c r="I229" s="197">
        <v>120</v>
      </c>
      <c r="J229" s="197">
        <v>120</v>
      </c>
      <c r="K229" s="197">
        <v>0</v>
      </c>
      <c r="L229" s="200">
        <v>120</v>
      </c>
      <c r="M229" s="198">
        <v>0</v>
      </c>
      <c r="N229" s="48" t="s">
        <v>62</v>
      </c>
      <c r="O229" s="48" t="s">
        <v>118</v>
      </c>
      <c r="P229" s="48" t="s">
        <v>25</v>
      </c>
      <c r="Q229" s="48" t="s">
        <v>241</v>
      </c>
      <c r="R229" s="48" t="s">
        <v>2726</v>
      </c>
      <c r="S229" s="48" t="s">
        <v>792</v>
      </c>
      <c r="T229" s="114" t="s">
        <v>1725</v>
      </c>
      <c r="U229" s="48" t="s">
        <v>1726</v>
      </c>
      <c r="V229" s="39"/>
      <c r="W229" s="41"/>
      <c r="X229" s="41" t="s">
        <v>2901</v>
      </c>
    </row>
    <row r="230" spans="1:36" customFormat="1" ht="14.4" x14ac:dyDescent="0.3">
      <c r="A230" s="48">
        <f t="shared" si="12"/>
        <v>4</v>
      </c>
      <c r="B230" s="113">
        <v>46043</v>
      </c>
      <c r="C230" s="48" t="str">
        <f t="shared" si="13"/>
        <v>enero</v>
      </c>
      <c r="D230" s="48" t="s">
        <v>2135</v>
      </c>
      <c r="E230" s="42" t="s">
        <v>1830</v>
      </c>
      <c r="F230" s="47" t="s">
        <v>2903</v>
      </c>
      <c r="G230" s="48">
        <v>1</v>
      </c>
      <c r="H230" s="48" t="s">
        <v>2016</v>
      </c>
      <c r="I230" s="197">
        <v>120</v>
      </c>
      <c r="J230" s="197">
        <v>120</v>
      </c>
      <c r="K230" s="197">
        <v>0</v>
      </c>
      <c r="L230" s="200">
        <v>120</v>
      </c>
      <c r="M230" s="198">
        <v>0</v>
      </c>
      <c r="N230" s="48" t="s">
        <v>62</v>
      </c>
      <c r="O230" s="48" t="s">
        <v>118</v>
      </c>
      <c r="P230" s="48" t="s">
        <v>25</v>
      </c>
      <c r="Q230" s="48" t="s">
        <v>241</v>
      </c>
      <c r="R230" s="48" t="s">
        <v>2726</v>
      </c>
      <c r="S230" s="48" t="s">
        <v>792</v>
      </c>
      <c r="T230" s="114" t="s">
        <v>1617</v>
      </c>
      <c r="U230" s="48" t="s">
        <v>1726</v>
      </c>
      <c r="V230" s="39" t="s">
        <v>2904</v>
      </c>
      <c r="W230" s="41"/>
      <c r="X230" s="41" t="s">
        <v>2901</v>
      </c>
    </row>
    <row r="231" spans="1:36" customFormat="1" ht="14.4" x14ac:dyDescent="0.3">
      <c r="A231" s="48">
        <f t="shared" si="12"/>
        <v>4</v>
      </c>
      <c r="B231" s="113">
        <v>46043</v>
      </c>
      <c r="C231" s="48" t="str">
        <f t="shared" si="13"/>
        <v>enero</v>
      </c>
      <c r="D231" s="48" t="s">
        <v>2135</v>
      </c>
      <c r="E231" s="42" t="s">
        <v>2728</v>
      </c>
      <c r="F231" s="47" t="s">
        <v>1727</v>
      </c>
      <c r="G231" s="48">
        <v>1</v>
      </c>
      <c r="H231" s="48" t="s">
        <v>1705</v>
      </c>
      <c r="I231" s="197">
        <v>500</v>
      </c>
      <c r="J231" s="197">
        <v>500</v>
      </c>
      <c r="K231" s="197">
        <v>0</v>
      </c>
      <c r="L231" s="197">
        <v>500</v>
      </c>
      <c r="M231" s="198">
        <v>0</v>
      </c>
      <c r="N231" s="48" t="s">
        <v>1314</v>
      </c>
      <c r="O231" s="48" t="s">
        <v>334</v>
      </c>
      <c r="P231" s="48" t="s">
        <v>25</v>
      </c>
      <c r="Q231" s="48" t="s">
        <v>241</v>
      </c>
      <c r="R231" s="48" t="s">
        <v>364</v>
      </c>
      <c r="S231" s="48" t="s">
        <v>1617</v>
      </c>
      <c r="T231" s="114" t="s">
        <v>1617</v>
      </c>
      <c r="U231" s="48" t="s">
        <v>1728</v>
      </c>
      <c r="V231" s="39"/>
      <c r="W231" s="41"/>
      <c r="X231" s="41" t="s">
        <v>2905</v>
      </c>
      <c r="Y231" s="50"/>
    </row>
    <row r="232" spans="1:36" customFormat="1" ht="14.4" x14ac:dyDescent="0.3">
      <c r="A232" s="48">
        <f t="shared" si="12"/>
        <v>4</v>
      </c>
      <c r="B232" s="113">
        <v>46043</v>
      </c>
      <c r="C232" s="48" t="str">
        <f t="shared" si="13"/>
        <v>enero</v>
      </c>
      <c r="D232" s="48" t="s">
        <v>2135</v>
      </c>
      <c r="E232" s="42" t="s">
        <v>2728</v>
      </c>
      <c r="F232" s="47" t="s">
        <v>1724</v>
      </c>
      <c r="G232" s="48">
        <v>1</v>
      </c>
      <c r="H232" s="48" t="s">
        <v>1705</v>
      </c>
      <c r="I232" s="197">
        <v>200</v>
      </c>
      <c r="J232" s="197">
        <v>200</v>
      </c>
      <c r="K232" s="197">
        <v>0</v>
      </c>
      <c r="L232" s="197">
        <v>200</v>
      </c>
      <c r="M232" s="198">
        <v>0</v>
      </c>
      <c r="N232" s="48" t="s">
        <v>1403</v>
      </c>
      <c r="O232" s="48" t="s">
        <v>195</v>
      </c>
      <c r="P232" s="48" t="s">
        <v>39</v>
      </c>
      <c r="Q232" s="48" t="s">
        <v>241</v>
      </c>
      <c r="R232" s="48" t="s">
        <v>364</v>
      </c>
      <c r="S232" s="48" t="s">
        <v>133</v>
      </c>
      <c r="T232" s="114" t="s">
        <v>1617</v>
      </c>
      <c r="U232" s="48" t="s">
        <v>1728</v>
      </c>
      <c r="V232" s="39"/>
      <c r="W232" s="41"/>
      <c r="X232" s="41" t="s">
        <v>2905</v>
      </c>
      <c r="Y232" s="50"/>
    </row>
    <row r="233" spans="1:36" customFormat="1" ht="14.4" x14ac:dyDescent="0.3">
      <c r="A233" s="48">
        <f t="shared" ref="A233:A296" si="14">WEEKNUM(B233)</f>
        <v>4</v>
      </c>
      <c r="B233" s="113">
        <v>46043</v>
      </c>
      <c r="C233" s="48" t="str">
        <f t="shared" si="13"/>
        <v>enero</v>
      </c>
      <c r="D233" s="48" t="s">
        <v>2135</v>
      </c>
      <c r="E233" s="42" t="s">
        <v>2728</v>
      </c>
      <c r="F233" s="47" t="s">
        <v>2906</v>
      </c>
      <c r="G233" s="48">
        <v>1</v>
      </c>
      <c r="H233" s="48" t="s">
        <v>1705</v>
      </c>
      <c r="I233" s="197">
        <v>161.21</v>
      </c>
      <c r="J233" s="197">
        <v>161.21</v>
      </c>
      <c r="K233" s="197">
        <v>25.793600000000001</v>
      </c>
      <c r="L233" s="201">
        <v>187.00360000000001</v>
      </c>
      <c r="M233" s="198">
        <v>0</v>
      </c>
      <c r="N233" s="48" t="s">
        <v>1453</v>
      </c>
      <c r="O233" s="48" t="s">
        <v>814</v>
      </c>
      <c r="P233" s="48" t="s">
        <v>25</v>
      </c>
      <c r="Q233" s="48" t="s">
        <v>241</v>
      </c>
      <c r="R233" s="48" t="s">
        <v>2727</v>
      </c>
      <c r="S233" s="48" t="s">
        <v>574</v>
      </c>
      <c r="T233" s="114" t="s">
        <v>1617</v>
      </c>
      <c r="U233" s="48"/>
      <c r="V233" s="39"/>
      <c r="W233" s="41"/>
      <c r="X233" s="41" t="s">
        <v>2907</v>
      </c>
      <c r="Y233" s="50"/>
    </row>
    <row r="234" spans="1:36" customFormat="1" ht="14.4" x14ac:dyDescent="0.3">
      <c r="A234" s="48">
        <f t="shared" si="14"/>
        <v>4</v>
      </c>
      <c r="B234" s="113">
        <v>46043</v>
      </c>
      <c r="C234" s="48" t="str">
        <f t="shared" si="13"/>
        <v>enero</v>
      </c>
      <c r="D234" s="48" t="s">
        <v>2135</v>
      </c>
      <c r="E234" s="42" t="s">
        <v>2728</v>
      </c>
      <c r="F234" s="47" t="s">
        <v>2908</v>
      </c>
      <c r="G234" s="48">
        <v>1</v>
      </c>
      <c r="H234" s="48" t="s">
        <v>1705</v>
      </c>
      <c r="I234" s="197">
        <v>126.72</v>
      </c>
      <c r="J234" s="197">
        <v>126.72</v>
      </c>
      <c r="K234" s="197">
        <v>20.275200000000002</v>
      </c>
      <c r="L234" s="201">
        <v>146.99520000000001</v>
      </c>
      <c r="M234" s="198">
        <v>0</v>
      </c>
      <c r="N234" s="48" t="s">
        <v>1453</v>
      </c>
      <c r="O234" s="48" t="s">
        <v>814</v>
      </c>
      <c r="P234" s="48" t="s">
        <v>25</v>
      </c>
      <c r="Q234" s="48" t="s">
        <v>241</v>
      </c>
      <c r="R234" s="48" t="s">
        <v>2727</v>
      </c>
      <c r="S234" s="48" t="s">
        <v>574</v>
      </c>
      <c r="T234" s="114" t="s">
        <v>1617</v>
      </c>
      <c r="U234" s="48"/>
      <c r="V234" s="39" t="s">
        <v>2909</v>
      </c>
      <c r="W234" s="41"/>
      <c r="X234" s="41" t="s">
        <v>2907</v>
      </c>
      <c r="Y234" s="50"/>
    </row>
    <row r="235" spans="1:36" customFormat="1" ht="14.4" x14ac:dyDescent="0.3">
      <c r="A235" s="48">
        <f t="shared" si="14"/>
        <v>4</v>
      </c>
      <c r="B235" s="113">
        <v>46043</v>
      </c>
      <c r="C235" s="48" t="str">
        <f t="shared" si="13"/>
        <v>enero</v>
      </c>
      <c r="D235" s="48" t="s">
        <v>2135</v>
      </c>
      <c r="E235" s="42" t="s">
        <v>2728</v>
      </c>
      <c r="F235" s="47" t="s">
        <v>1724</v>
      </c>
      <c r="G235" s="48">
        <v>1</v>
      </c>
      <c r="H235" s="48" t="s">
        <v>1705</v>
      </c>
      <c r="I235" s="197">
        <v>2356.9</v>
      </c>
      <c r="J235" s="197">
        <v>2356.9</v>
      </c>
      <c r="K235" s="197">
        <v>377.10400000000004</v>
      </c>
      <c r="L235" s="197">
        <v>2734.0039999999999</v>
      </c>
      <c r="M235" s="198">
        <v>0</v>
      </c>
      <c r="N235" s="48" t="s">
        <v>1403</v>
      </c>
      <c r="O235" s="48" t="s">
        <v>195</v>
      </c>
      <c r="P235" s="48" t="s">
        <v>39</v>
      </c>
      <c r="Q235" s="48" t="s">
        <v>241</v>
      </c>
      <c r="R235" s="48" t="s">
        <v>2726</v>
      </c>
      <c r="S235" s="48" t="s">
        <v>1700</v>
      </c>
      <c r="T235" s="114" t="s">
        <v>1701</v>
      </c>
      <c r="U235" s="48"/>
      <c r="V235" s="39"/>
      <c r="W235" s="41"/>
      <c r="X235" s="41" t="s">
        <v>2910</v>
      </c>
      <c r="Y235" s="50"/>
    </row>
    <row r="236" spans="1:36" customFormat="1" ht="14.4" x14ac:dyDescent="0.3">
      <c r="A236" s="48">
        <f t="shared" si="14"/>
        <v>4</v>
      </c>
      <c r="B236" s="113">
        <v>46044</v>
      </c>
      <c r="C236" s="48" t="str">
        <f t="shared" si="13"/>
        <v>enero</v>
      </c>
      <c r="D236" s="48" t="s">
        <v>2135</v>
      </c>
      <c r="E236" s="42" t="s">
        <v>356</v>
      </c>
      <c r="F236" s="47" t="s">
        <v>127</v>
      </c>
      <c r="G236" s="48">
        <v>1</v>
      </c>
      <c r="H236" s="48" t="s">
        <v>1705</v>
      </c>
      <c r="I236" s="197">
        <v>400</v>
      </c>
      <c r="J236" s="197">
        <v>400</v>
      </c>
      <c r="K236" s="197">
        <v>0</v>
      </c>
      <c r="L236" s="197">
        <v>400</v>
      </c>
      <c r="M236" s="198">
        <v>0</v>
      </c>
      <c r="N236" s="48" t="s">
        <v>1617</v>
      </c>
      <c r="O236" s="48" t="s">
        <v>118</v>
      </c>
      <c r="P236" s="48" t="s">
        <v>25</v>
      </c>
      <c r="Q236" s="48" t="s">
        <v>326</v>
      </c>
      <c r="R236" s="48" t="s">
        <v>2726</v>
      </c>
      <c r="S236" s="48" t="s">
        <v>647</v>
      </c>
      <c r="T236" s="114" t="s">
        <v>1617</v>
      </c>
      <c r="U236" s="48" t="s">
        <v>1845</v>
      </c>
      <c r="V236" s="39"/>
      <c r="W236" s="41" t="s">
        <v>1617</v>
      </c>
      <c r="X236" s="41" t="s">
        <v>2911</v>
      </c>
    </row>
    <row r="237" spans="1:36" customFormat="1" ht="14.4" x14ac:dyDescent="0.3">
      <c r="A237" s="48">
        <f t="shared" si="14"/>
        <v>4</v>
      </c>
      <c r="B237" s="113">
        <v>46044</v>
      </c>
      <c r="C237" s="48" t="str">
        <f t="shared" si="13"/>
        <v>enero</v>
      </c>
      <c r="D237" s="48" t="s">
        <v>2135</v>
      </c>
      <c r="E237" s="42" t="s">
        <v>356</v>
      </c>
      <c r="F237" s="47" t="s">
        <v>127</v>
      </c>
      <c r="G237" s="48">
        <v>8.8109999999999999</v>
      </c>
      <c r="H237" s="48" t="s">
        <v>2017</v>
      </c>
      <c r="I237" s="197">
        <v>19.568000000000001</v>
      </c>
      <c r="J237" s="197">
        <v>172.41364800000002</v>
      </c>
      <c r="K237" s="197">
        <v>27.586183680000001</v>
      </c>
      <c r="L237" s="197">
        <v>199.99983168000003</v>
      </c>
      <c r="M237" s="198">
        <v>0</v>
      </c>
      <c r="N237" s="48" t="s">
        <v>1617</v>
      </c>
      <c r="O237" s="48" t="s">
        <v>1736</v>
      </c>
      <c r="P237" s="49" t="s">
        <v>1321</v>
      </c>
      <c r="Q237" s="48" t="s">
        <v>241</v>
      </c>
      <c r="R237" s="48" t="s">
        <v>2801</v>
      </c>
      <c r="S237" s="48" t="s">
        <v>1619</v>
      </c>
      <c r="T237" s="114" t="s">
        <v>2025</v>
      </c>
      <c r="U237" s="48"/>
      <c r="V237" s="39"/>
      <c r="W237" s="41"/>
      <c r="X237" s="41" t="s">
        <v>2912</v>
      </c>
      <c r="Y237" s="50"/>
    </row>
    <row r="238" spans="1:36" customFormat="1" ht="14.4" x14ac:dyDescent="0.3">
      <c r="A238" s="48">
        <f t="shared" si="14"/>
        <v>4</v>
      </c>
      <c r="B238" s="113">
        <v>46044</v>
      </c>
      <c r="C238" s="48" t="str">
        <f t="shared" si="13"/>
        <v>enero</v>
      </c>
      <c r="D238" s="48" t="s">
        <v>2135</v>
      </c>
      <c r="E238" s="42" t="s">
        <v>356</v>
      </c>
      <c r="F238" s="47" t="s">
        <v>127</v>
      </c>
      <c r="G238" s="125">
        <v>8.67</v>
      </c>
      <c r="H238" s="48" t="s">
        <v>2017</v>
      </c>
      <c r="I238" s="197">
        <v>19.885999999999999</v>
      </c>
      <c r="J238" s="197">
        <v>172.41162</v>
      </c>
      <c r="K238" s="197">
        <v>27.585859200000002</v>
      </c>
      <c r="L238" s="197">
        <v>199.99747919999999</v>
      </c>
      <c r="M238" s="198">
        <v>0</v>
      </c>
      <c r="N238" s="48" t="s">
        <v>1617</v>
      </c>
      <c r="O238" s="48" t="s">
        <v>118</v>
      </c>
      <c r="P238" s="48" t="s">
        <v>25</v>
      </c>
      <c r="Q238" s="48" t="s">
        <v>326</v>
      </c>
      <c r="R238" s="48" t="s">
        <v>2726</v>
      </c>
      <c r="S238" s="48" t="s">
        <v>647</v>
      </c>
      <c r="T238" s="114" t="s">
        <v>2025</v>
      </c>
      <c r="U238" s="48"/>
      <c r="V238" s="39"/>
      <c r="W238" s="41" t="s">
        <v>1762</v>
      </c>
      <c r="X238" s="41" t="s">
        <v>2913</v>
      </c>
    </row>
    <row r="239" spans="1:36" customFormat="1" ht="14.4" x14ac:dyDescent="0.3">
      <c r="A239" s="48">
        <f t="shared" si="14"/>
        <v>4</v>
      </c>
      <c r="B239" s="113">
        <v>46044</v>
      </c>
      <c r="C239" s="48" t="str">
        <f t="shared" si="13"/>
        <v>enero</v>
      </c>
      <c r="D239" s="48" t="s">
        <v>2135</v>
      </c>
      <c r="E239" s="42" t="s">
        <v>356</v>
      </c>
      <c r="F239" s="47" t="s">
        <v>127</v>
      </c>
      <c r="G239" s="125">
        <v>30.06</v>
      </c>
      <c r="H239" s="48" t="s">
        <v>2017</v>
      </c>
      <c r="I239" s="197">
        <v>19.8752</v>
      </c>
      <c r="J239" s="197">
        <v>597.44851199999994</v>
      </c>
      <c r="K239" s="197">
        <v>95.591761919999996</v>
      </c>
      <c r="L239" s="197">
        <v>693.04027391999989</v>
      </c>
      <c r="M239" s="198">
        <v>0</v>
      </c>
      <c r="N239" s="48" t="s">
        <v>1312</v>
      </c>
      <c r="O239" s="48" t="s">
        <v>1439</v>
      </c>
      <c r="P239" s="48" t="s">
        <v>25</v>
      </c>
      <c r="Q239" s="48" t="s">
        <v>241</v>
      </c>
      <c r="R239" s="48" t="s">
        <v>2727</v>
      </c>
      <c r="S239" s="48" t="s">
        <v>1619</v>
      </c>
      <c r="T239" s="114" t="s">
        <v>2025</v>
      </c>
      <c r="U239" s="48"/>
      <c r="V239" s="39"/>
      <c r="W239" s="41"/>
      <c r="X239" s="41" t="s">
        <v>2914</v>
      </c>
      <c r="Y239" s="50"/>
    </row>
    <row r="240" spans="1:36" s="132" customFormat="1" ht="14.4" x14ac:dyDescent="0.3">
      <c r="A240" s="48">
        <f t="shared" si="14"/>
        <v>4</v>
      </c>
      <c r="B240" s="113">
        <v>46044</v>
      </c>
      <c r="C240" s="48" t="str">
        <f t="shared" si="13"/>
        <v>enero</v>
      </c>
      <c r="D240" s="48" t="s">
        <v>2135</v>
      </c>
      <c r="E240" s="42" t="s">
        <v>356</v>
      </c>
      <c r="F240" s="47" t="s">
        <v>127</v>
      </c>
      <c r="G240" s="125">
        <v>19.75</v>
      </c>
      <c r="H240" s="48" t="s">
        <v>2017</v>
      </c>
      <c r="I240" s="197">
        <v>19.878499999999999</v>
      </c>
      <c r="J240" s="197">
        <v>392.60037499999999</v>
      </c>
      <c r="K240" s="197">
        <v>62.816059999999993</v>
      </c>
      <c r="L240" s="197">
        <v>455.41643499999998</v>
      </c>
      <c r="M240" s="198">
        <v>0</v>
      </c>
      <c r="N240" s="48" t="s">
        <v>1412</v>
      </c>
      <c r="O240" s="48" t="s">
        <v>774</v>
      </c>
      <c r="P240" s="48" t="s">
        <v>25</v>
      </c>
      <c r="Q240" s="48" t="s">
        <v>241</v>
      </c>
      <c r="R240" s="48" t="s">
        <v>2727</v>
      </c>
      <c r="S240" s="48" t="s">
        <v>1619</v>
      </c>
      <c r="T240" s="114" t="s">
        <v>2025</v>
      </c>
      <c r="U240" s="48"/>
      <c r="V240" s="39"/>
      <c r="W240" s="41"/>
      <c r="X240" s="41" t="s">
        <v>2915</v>
      </c>
      <c r="Y240" s="50"/>
      <c r="Z240"/>
      <c r="AA240"/>
      <c r="AB240"/>
      <c r="AC240"/>
      <c r="AD240"/>
      <c r="AE240"/>
      <c r="AF240"/>
      <c r="AG240"/>
      <c r="AH240"/>
      <c r="AI240"/>
      <c r="AJ240"/>
    </row>
    <row r="241" spans="1:25" customFormat="1" ht="14.4" x14ac:dyDescent="0.3">
      <c r="A241" s="48">
        <f t="shared" si="14"/>
        <v>4</v>
      </c>
      <c r="B241" s="113">
        <v>46044</v>
      </c>
      <c r="C241" s="48" t="str">
        <f t="shared" si="13"/>
        <v>enero</v>
      </c>
      <c r="D241" s="48" t="s">
        <v>2135</v>
      </c>
      <c r="E241" s="42" t="s">
        <v>2728</v>
      </c>
      <c r="F241" s="47" t="s">
        <v>325</v>
      </c>
      <c r="G241" s="48">
        <v>1</v>
      </c>
      <c r="H241" s="48" t="s">
        <v>2138</v>
      </c>
      <c r="I241" s="197">
        <v>930</v>
      </c>
      <c r="J241" s="197">
        <v>930</v>
      </c>
      <c r="K241" s="197">
        <v>0</v>
      </c>
      <c r="L241" s="197">
        <v>930</v>
      </c>
      <c r="M241" s="198">
        <v>0</v>
      </c>
      <c r="N241" s="48" t="s">
        <v>1617</v>
      </c>
      <c r="O241" s="48" t="s">
        <v>118</v>
      </c>
      <c r="P241" s="48" t="s">
        <v>25</v>
      </c>
      <c r="Q241" s="48" t="s">
        <v>325</v>
      </c>
      <c r="R241" s="48" t="s">
        <v>2727</v>
      </c>
      <c r="S241" s="48" t="s">
        <v>1846</v>
      </c>
      <c r="T241" s="114"/>
      <c r="U241" s="48" t="s">
        <v>1839</v>
      </c>
      <c r="V241" s="39"/>
      <c r="W241" s="41" t="s">
        <v>1617</v>
      </c>
      <c r="X241" s="50"/>
    </row>
    <row r="242" spans="1:25" customFormat="1" ht="14.4" x14ac:dyDescent="0.3">
      <c r="A242" s="48">
        <f t="shared" si="14"/>
        <v>4</v>
      </c>
      <c r="B242" s="113">
        <v>46044</v>
      </c>
      <c r="C242" s="48" t="str">
        <f t="shared" si="13"/>
        <v>enero</v>
      </c>
      <c r="D242" s="48" t="s">
        <v>2135</v>
      </c>
      <c r="E242" s="42" t="s">
        <v>2728</v>
      </c>
      <c r="F242" s="47" t="s">
        <v>1731</v>
      </c>
      <c r="G242" s="48">
        <v>1</v>
      </c>
      <c r="H242" s="48" t="s">
        <v>1705</v>
      </c>
      <c r="I242" s="197">
        <v>2630</v>
      </c>
      <c r="J242" s="197">
        <v>2630</v>
      </c>
      <c r="K242" s="197">
        <v>0</v>
      </c>
      <c r="L242" s="197">
        <v>2630</v>
      </c>
      <c r="M242" s="198">
        <v>0</v>
      </c>
      <c r="N242" s="48" t="s">
        <v>1003</v>
      </c>
      <c r="O242" s="48" t="s">
        <v>1409</v>
      </c>
      <c r="P242" s="48" t="s">
        <v>25</v>
      </c>
      <c r="Q242" s="48" t="s">
        <v>241</v>
      </c>
      <c r="R242" s="48" t="s">
        <v>2727</v>
      </c>
      <c r="S242" s="48" t="s">
        <v>618</v>
      </c>
      <c r="T242" s="114" t="s">
        <v>20</v>
      </c>
      <c r="U242" s="48"/>
      <c r="V242" s="39"/>
      <c r="W242" s="41"/>
      <c r="X242" s="50"/>
      <c r="Y242" s="50"/>
    </row>
    <row r="243" spans="1:25" customFormat="1" ht="14.4" x14ac:dyDescent="0.3">
      <c r="A243" s="48">
        <f t="shared" si="14"/>
        <v>4</v>
      </c>
      <c r="B243" s="113">
        <v>46044</v>
      </c>
      <c r="C243" s="48" t="str">
        <f t="shared" si="13"/>
        <v>enero</v>
      </c>
      <c r="D243" s="48" t="s">
        <v>2135</v>
      </c>
      <c r="E243" s="42" t="s">
        <v>2728</v>
      </c>
      <c r="F243" s="47" t="s">
        <v>1731</v>
      </c>
      <c r="G243" s="48">
        <v>1</v>
      </c>
      <c r="H243" s="48" t="s">
        <v>1705</v>
      </c>
      <c r="I243" s="197">
        <v>3200</v>
      </c>
      <c r="J243" s="197">
        <v>3200</v>
      </c>
      <c r="K243" s="197">
        <v>0</v>
      </c>
      <c r="L243" s="197">
        <v>3200</v>
      </c>
      <c r="M243" s="198">
        <v>0</v>
      </c>
      <c r="N243" s="48" t="s">
        <v>1418</v>
      </c>
      <c r="O243" s="48" t="s">
        <v>798</v>
      </c>
      <c r="P243" s="48" t="s">
        <v>39</v>
      </c>
      <c r="Q243" s="48" t="s">
        <v>241</v>
      </c>
      <c r="R243" s="48" t="s">
        <v>2727</v>
      </c>
      <c r="S243" s="48" t="s">
        <v>1732</v>
      </c>
      <c r="T243" s="114" t="s">
        <v>20</v>
      </c>
      <c r="U243" s="48"/>
      <c r="V243" s="39"/>
      <c r="W243" s="41"/>
      <c r="X243" s="50"/>
      <c r="Y243" s="50"/>
    </row>
    <row r="244" spans="1:25" customFormat="1" ht="14.4" x14ac:dyDescent="0.3">
      <c r="A244" s="48">
        <f t="shared" si="14"/>
        <v>4</v>
      </c>
      <c r="B244" s="113">
        <v>46044</v>
      </c>
      <c r="C244" s="48" t="str">
        <f t="shared" si="13"/>
        <v>enero</v>
      </c>
      <c r="D244" s="48" t="s">
        <v>2135</v>
      </c>
      <c r="E244" s="42" t="s">
        <v>1830</v>
      </c>
      <c r="F244" s="47" t="s">
        <v>1733</v>
      </c>
      <c r="G244" s="48">
        <v>1</v>
      </c>
      <c r="H244" s="48" t="s">
        <v>1705</v>
      </c>
      <c r="I244" s="197">
        <v>950.01</v>
      </c>
      <c r="J244" s="197">
        <v>950.01</v>
      </c>
      <c r="K244" s="197">
        <v>0</v>
      </c>
      <c r="L244" s="197">
        <v>950.01</v>
      </c>
      <c r="M244" s="198">
        <v>0</v>
      </c>
      <c r="N244" s="48" t="s">
        <v>62</v>
      </c>
      <c r="O244" s="48" t="s">
        <v>118</v>
      </c>
      <c r="P244" s="48" t="s">
        <v>25</v>
      </c>
      <c r="Q244" s="48" t="s">
        <v>241</v>
      </c>
      <c r="R244" s="48" t="s">
        <v>2727</v>
      </c>
      <c r="S244" s="48" t="s">
        <v>1713</v>
      </c>
      <c r="T244" s="114" t="s">
        <v>20</v>
      </c>
      <c r="U244" s="48" t="s">
        <v>1726</v>
      </c>
      <c r="V244" s="131" t="s">
        <v>2018</v>
      </c>
      <c r="W244" s="41"/>
      <c r="X244" s="50"/>
    </row>
    <row r="245" spans="1:25" customFormat="1" ht="14.4" x14ac:dyDescent="0.3">
      <c r="A245" s="48">
        <f t="shared" si="14"/>
        <v>4</v>
      </c>
      <c r="B245" s="113">
        <v>46044</v>
      </c>
      <c r="C245" s="48" t="str">
        <f t="shared" si="13"/>
        <v>enero</v>
      </c>
      <c r="D245" s="48" t="s">
        <v>2135</v>
      </c>
      <c r="E245" s="42" t="s">
        <v>2728</v>
      </c>
      <c r="F245" s="47" t="s">
        <v>1734</v>
      </c>
      <c r="G245" s="48">
        <v>1</v>
      </c>
      <c r="H245" s="48" t="s">
        <v>1705</v>
      </c>
      <c r="I245" s="197">
        <v>250</v>
      </c>
      <c r="J245" s="197">
        <v>250</v>
      </c>
      <c r="K245" s="197">
        <v>0</v>
      </c>
      <c r="L245" s="197">
        <v>250</v>
      </c>
      <c r="M245" s="198">
        <v>0</v>
      </c>
      <c r="N245" s="48" t="s">
        <v>1418</v>
      </c>
      <c r="O245" s="48" t="s">
        <v>798</v>
      </c>
      <c r="P245" s="48" t="s">
        <v>39</v>
      </c>
      <c r="Q245" s="48" t="s">
        <v>241</v>
      </c>
      <c r="R245" s="48" t="s">
        <v>369</v>
      </c>
      <c r="S245" s="48" t="s">
        <v>1735</v>
      </c>
      <c r="T245" s="114" t="s">
        <v>20</v>
      </c>
      <c r="U245" s="48" t="s">
        <v>1712</v>
      </c>
      <c r="V245" s="39"/>
      <c r="W245" s="41">
        <v>250</v>
      </c>
      <c r="X245" s="50"/>
      <c r="Y245" s="50"/>
    </row>
    <row r="246" spans="1:25" customFormat="1" ht="14.4" x14ac:dyDescent="0.3">
      <c r="A246" s="48">
        <f t="shared" si="14"/>
        <v>4</v>
      </c>
      <c r="B246" s="113">
        <v>46044</v>
      </c>
      <c r="C246" s="48" t="str">
        <f t="shared" si="13"/>
        <v>enero</v>
      </c>
      <c r="D246" s="48" t="s">
        <v>2135</v>
      </c>
      <c r="E246" s="42" t="s">
        <v>2728</v>
      </c>
      <c r="F246" s="47" t="s">
        <v>1851</v>
      </c>
      <c r="G246" s="48">
        <v>1</v>
      </c>
      <c r="H246" s="48" t="s">
        <v>1705</v>
      </c>
      <c r="I246" s="197">
        <v>1100</v>
      </c>
      <c r="J246" s="197">
        <v>1100</v>
      </c>
      <c r="K246" s="197">
        <v>0</v>
      </c>
      <c r="L246" s="197">
        <v>1100</v>
      </c>
      <c r="M246" s="198">
        <v>0</v>
      </c>
      <c r="N246" s="48" t="s">
        <v>1617</v>
      </c>
      <c r="O246" s="48" t="s">
        <v>774</v>
      </c>
      <c r="P246" s="48" t="s">
        <v>25</v>
      </c>
      <c r="Q246" s="48" t="s">
        <v>241</v>
      </c>
      <c r="R246" s="48" t="s">
        <v>2727</v>
      </c>
      <c r="S246" s="48" t="s">
        <v>1852</v>
      </c>
      <c r="T246" s="114" t="s">
        <v>1848</v>
      </c>
      <c r="U246" s="48" t="s">
        <v>1759</v>
      </c>
      <c r="V246" s="39"/>
      <c r="W246" s="41" t="s">
        <v>1617</v>
      </c>
      <c r="X246" s="50"/>
      <c r="Y246" s="50"/>
    </row>
    <row r="247" spans="1:25" customFormat="1" ht="14.4" x14ac:dyDescent="0.3">
      <c r="A247" s="48">
        <f t="shared" si="14"/>
        <v>4</v>
      </c>
      <c r="B247" s="113">
        <v>46044</v>
      </c>
      <c r="C247" s="48" t="str">
        <f t="shared" si="13"/>
        <v>enero</v>
      </c>
      <c r="D247" s="48" t="s">
        <v>2135</v>
      </c>
      <c r="E247" s="42" t="s">
        <v>477</v>
      </c>
      <c r="F247" s="47" t="s">
        <v>2019</v>
      </c>
      <c r="G247" s="38">
        <v>1</v>
      </c>
      <c r="H247" s="48" t="s">
        <v>2138</v>
      </c>
      <c r="I247" s="202">
        <v>2157</v>
      </c>
      <c r="J247" s="197">
        <v>2157</v>
      </c>
      <c r="K247" s="197">
        <v>0</v>
      </c>
      <c r="L247" s="205">
        <v>2157</v>
      </c>
      <c r="M247" s="198">
        <v>0</v>
      </c>
      <c r="N247" s="48" t="s">
        <v>1617</v>
      </c>
      <c r="O247" s="38" t="s">
        <v>2005</v>
      </c>
      <c r="P247" s="48" t="s">
        <v>25</v>
      </c>
      <c r="Q247" s="48" t="s">
        <v>1766</v>
      </c>
      <c r="R247" s="48" t="s">
        <v>2735</v>
      </c>
      <c r="S247" s="38"/>
      <c r="T247" s="115"/>
      <c r="U247" s="38"/>
      <c r="X247" s="50"/>
      <c r="Y247" s="50"/>
    </row>
    <row r="248" spans="1:25" customFormat="1" ht="14.4" x14ac:dyDescent="0.3">
      <c r="A248" s="48">
        <f t="shared" si="14"/>
        <v>4</v>
      </c>
      <c r="B248" s="113">
        <v>46045</v>
      </c>
      <c r="C248" s="48" t="str">
        <f t="shared" si="13"/>
        <v>enero</v>
      </c>
      <c r="D248" s="48" t="s">
        <v>2135</v>
      </c>
      <c r="E248" s="42" t="s">
        <v>356</v>
      </c>
      <c r="F248" s="47" t="s">
        <v>127</v>
      </c>
      <c r="G248" s="48">
        <v>1</v>
      </c>
      <c r="H248" s="48" t="s">
        <v>2138</v>
      </c>
      <c r="I248" s="197">
        <v>230.5</v>
      </c>
      <c r="J248" s="197">
        <v>230.5</v>
      </c>
      <c r="K248" s="197">
        <v>0</v>
      </c>
      <c r="L248" s="197">
        <v>230.5</v>
      </c>
      <c r="M248" s="198">
        <v>0</v>
      </c>
      <c r="N248" s="48" t="s">
        <v>1412</v>
      </c>
      <c r="O248" s="48" t="s">
        <v>774</v>
      </c>
      <c r="P248" s="48" t="s">
        <v>25</v>
      </c>
      <c r="Q248" s="48" t="s">
        <v>241</v>
      </c>
      <c r="R248" s="48" t="s">
        <v>2727</v>
      </c>
      <c r="S248" s="48" t="s">
        <v>1619</v>
      </c>
      <c r="T248" s="114" t="s">
        <v>20</v>
      </c>
      <c r="U248" s="48"/>
      <c r="V248" s="39"/>
      <c r="W248" s="41"/>
      <c r="X248" s="50"/>
      <c r="Y248" s="50"/>
    </row>
    <row r="249" spans="1:25" customFormat="1" ht="14.4" x14ac:dyDescent="0.3">
      <c r="A249" s="48">
        <f t="shared" si="14"/>
        <v>4</v>
      </c>
      <c r="B249" s="113">
        <v>46045</v>
      </c>
      <c r="C249" s="48" t="str">
        <f t="shared" si="13"/>
        <v>enero</v>
      </c>
      <c r="D249" s="48" t="s">
        <v>2135</v>
      </c>
      <c r="E249" s="42" t="s">
        <v>356</v>
      </c>
      <c r="F249" s="47" t="s">
        <v>2916</v>
      </c>
      <c r="G249" s="48">
        <v>1</v>
      </c>
      <c r="H249" s="48" t="s">
        <v>2138</v>
      </c>
      <c r="I249" s="197">
        <v>200</v>
      </c>
      <c r="J249" s="197">
        <v>200</v>
      </c>
      <c r="K249" s="197">
        <v>0</v>
      </c>
      <c r="L249" s="197">
        <v>200</v>
      </c>
      <c r="M249" s="198">
        <v>0</v>
      </c>
      <c r="N249" s="48" t="s">
        <v>2152</v>
      </c>
      <c r="O249" s="48" t="s">
        <v>2826</v>
      </c>
      <c r="P249" s="48" t="s">
        <v>25</v>
      </c>
      <c r="Q249" s="48" t="s">
        <v>241</v>
      </c>
      <c r="R249" s="48" t="s">
        <v>2727</v>
      </c>
      <c r="S249" s="48" t="s">
        <v>1619</v>
      </c>
      <c r="T249" s="114" t="s">
        <v>2025</v>
      </c>
      <c r="U249" s="48" t="s">
        <v>1737</v>
      </c>
      <c r="V249" s="39"/>
      <c r="W249" s="41"/>
      <c r="X249" s="50"/>
    </row>
    <row r="250" spans="1:25" customFormat="1" ht="14.4" x14ac:dyDescent="0.3">
      <c r="A250" s="48">
        <f t="shared" si="14"/>
        <v>4</v>
      </c>
      <c r="B250" s="113">
        <v>46045</v>
      </c>
      <c r="C250" s="48" t="str">
        <f t="shared" si="13"/>
        <v>enero</v>
      </c>
      <c r="D250" s="48" t="s">
        <v>2135</v>
      </c>
      <c r="E250" s="42" t="s">
        <v>356</v>
      </c>
      <c r="F250" s="47" t="s">
        <v>2917</v>
      </c>
      <c r="G250" s="48">
        <v>1</v>
      </c>
      <c r="H250" s="48" t="s">
        <v>2138</v>
      </c>
      <c r="I250" s="197">
        <v>200</v>
      </c>
      <c r="J250" s="197">
        <v>200</v>
      </c>
      <c r="K250" s="197">
        <v>0</v>
      </c>
      <c r="L250" s="197">
        <v>200</v>
      </c>
      <c r="M250" s="198">
        <v>0</v>
      </c>
      <c r="N250" s="48" t="s">
        <v>2153</v>
      </c>
      <c r="O250" s="48" t="s">
        <v>2826</v>
      </c>
      <c r="P250" s="48" t="s">
        <v>25</v>
      </c>
      <c r="Q250" s="48" t="s">
        <v>241</v>
      </c>
      <c r="R250" s="48" t="s">
        <v>2727</v>
      </c>
      <c r="S250" s="48" t="s">
        <v>1619</v>
      </c>
      <c r="T250" s="114" t="s">
        <v>2025</v>
      </c>
      <c r="U250" s="48" t="s">
        <v>1737</v>
      </c>
      <c r="V250" s="49" t="s">
        <v>2154</v>
      </c>
      <c r="W250" s="41"/>
      <c r="X250" s="50"/>
    </row>
    <row r="251" spans="1:25" customFormat="1" ht="14.4" x14ac:dyDescent="0.3">
      <c r="A251" s="48">
        <f t="shared" si="14"/>
        <v>4</v>
      </c>
      <c r="B251" s="113">
        <v>46045</v>
      </c>
      <c r="C251" s="48" t="str">
        <f t="shared" si="13"/>
        <v>enero</v>
      </c>
      <c r="D251" s="48" t="s">
        <v>2135</v>
      </c>
      <c r="E251" s="42" t="s">
        <v>2728</v>
      </c>
      <c r="F251" s="47" t="s">
        <v>1716</v>
      </c>
      <c r="G251" s="48">
        <v>1</v>
      </c>
      <c r="H251" s="48" t="s">
        <v>2138</v>
      </c>
      <c r="I251" s="197">
        <v>420</v>
      </c>
      <c r="J251" s="197">
        <v>420</v>
      </c>
      <c r="K251" s="197">
        <v>0</v>
      </c>
      <c r="L251" s="197">
        <v>420</v>
      </c>
      <c r="M251" s="198">
        <v>0</v>
      </c>
      <c r="N251" s="48" t="s">
        <v>1449</v>
      </c>
      <c r="O251" s="48" t="s">
        <v>123</v>
      </c>
      <c r="P251" s="48" t="s">
        <v>39</v>
      </c>
      <c r="Q251" s="48" t="s">
        <v>241</v>
      </c>
      <c r="R251" s="48" t="s">
        <v>2727</v>
      </c>
      <c r="S251" s="48" t="s">
        <v>454</v>
      </c>
      <c r="T251" s="114" t="s">
        <v>20</v>
      </c>
      <c r="U251" s="48"/>
      <c r="V251" s="39"/>
      <c r="W251" s="41"/>
      <c r="X251" s="50"/>
      <c r="Y251" s="50"/>
    </row>
    <row r="252" spans="1:25" customFormat="1" ht="14.4" x14ac:dyDescent="0.3">
      <c r="A252" s="48">
        <f t="shared" si="14"/>
        <v>4</v>
      </c>
      <c r="B252" s="113">
        <v>46045</v>
      </c>
      <c r="C252" s="48" t="str">
        <f t="shared" si="13"/>
        <v>enero</v>
      </c>
      <c r="D252" s="48" t="s">
        <v>2135</v>
      </c>
      <c r="E252" s="42" t="s">
        <v>2728</v>
      </c>
      <c r="F252" s="47" t="s">
        <v>1738</v>
      </c>
      <c r="G252" s="48">
        <v>1</v>
      </c>
      <c r="H252" s="48" t="s">
        <v>1705</v>
      </c>
      <c r="I252" s="197">
        <v>3023.08</v>
      </c>
      <c r="J252" s="197">
        <v>3023.08</v>
      </c>
      <c r="K252" s="197">
        <v>0</v>
      </c>
      <c r="L252" s="197">
        <v>3023.08</v>
      </c>
      <c r="M252" s="198">
        <v>0</v>
      </c>
      <c r="N252" s="48" t="s">
        <v>1449</v>
      </c>
      <c r="O252" s="48" t="s">
        <v>123</v>
      </c>
      <c r="P252" s="48" t="s">
        <v>39</v>
      </c>
      <c r="Q252" s="48" t="s">
        <v>241</v>
      </c>
      <c r="R252" s="48" t="s">
        <v>2726</v>
      </c>
      <c r="S252" s="48" t="s">
        <v>631</v>
      </c>
      <c r="T252" s="114" t="s">
        <v>20</v>
      </c>
      <c r="U252" s="48"/>
      <c r="V252" s="131" t="s">
        <v>2018</v>
      </c>
      <c r="W252" s="41"/>
      <c r="X252" s="50"/>
      <c r="Y252" s="50"/>
    </row>
    <row r="253" spans="1:25" customFormat="1" ht="14.4" x14ac:dyDescent="0.3">
      <c r="A253" s="48">
        <f t="shared" si="14"/>
        <v>4</v>
      </c>
      <c r="B253" s="113">
        <v>46045</v>
      </c>
      <c r="C253" s="48" t="str">
        <f t="shared" si="13"/>
        <v>enero</v>
      </c>
      <c r="D253" s="48" t="s">
        <v>2135</v>
      </c>
      <c r="E253" s="42" t="s">
        <v>2728</v>
      </c>
      <c r="F253" s="47" t="s">
        <v>1739</v>
      </c>
      <c r="G253" s="48">
        <v>1</v>
      </c>
      <c r="H253" s="48" t="s">
        <v>1705</v>
      </c>
      <c r="I253" s="197">
        <v>174</v>
      </c>
      <c r="J253" s="197">
        <v>174</v>
      </c>
      <c r="K253" s="197">
        <v>0</v>
      </c>
      <c r="L253" s="197">
        <v>174</v>
      </c>
      <c r="M253" s="198">
        <v>0</v>
      </c>
      <c r="N253" s="48" t="s">
        <v>1412</v>
      </c>
      <c r="O253" s="48" t="s">
        <v>774</v>
      </c>
      <c r="P253" s="48" t="s">
        <v>25</v>
      </c>
      <c r="Q253" s="48" t="s">
        <v>241</v>
      </c>
      <c r="R253" s="48" t="s">
        <v>2726</v>
      </c>
      <c r="S253" s="48" t="s">
        <v>1697</v>
      </c>
      <c r="T253" s="114" t="s">
        <v>20</v>
      </c>
      <c r="U253" s="48"/>
      <c r="V253" s="39"/>
      <c r="W253" s="41"/>
      <c r="X253" s="50"/>
      <c r="Y253" s="50"/>
    </row>
    <row r="254" spans="1:25" customFormat="1" ht="14.4" x14ac:dyDescent="0.3">
      <c r="A254" s="48">
        <f t="shared" si="14"/>
        <v>4</v>
      </c>
      <c r="B254" s="113">
        <v>46045</v>
      </c>
      <c r="C254" s="48" t="str">
        <f t="shared" si="13"/>
        <v>enero</v>
      </c>
      <c r="D254" s="48" t="s">
        <v>2135</v>
      </c>
      <c r="E254" s="42" t="s">
        <v>2728</v>
      </c>
      <c r="F254" s="47" t="s">
        <v>1740</v>
      </c>
      <c r="G254" s="48">
        <v>1</v>
      </c>
      <c r="H254" s="48" t="s">
        <v>1705</v>
      </c>
      <c r="I254" s="197">
        <v>517</v>
      </c>
      <c r="J254" s="197">
        <v>517</v>
      </c>
      <c r="K254" s="197">
        <v>0</v>
      </c>
      <c r="L254" s="197">
        <v>517</v>
      </c>
      <c r="M254" s="198">
        <v>0</v>
      </c>
      <c r="N254" s="48" t="s">
        <v>1412</v>
      </c>
      <c r="O254" s="48" t="s">
        <v>774</v>
      </c>
      <c r="P254" s="48" t="s">
        <v>25</v>
      </c>
      <c r="Q254" s="48" t="s">
        <v>241</v>
      </c>
      <c r="R254" s="48" t="s">
        <v>364</v>
      </c>
      <c r="S254" s="48" t="s">
        <v>1741</v>
      </c>
      <c r="T254" s="114"/>
      <c r="U254" s="48" t="s">
        <v>1670</v>
      </c>
      <c r="V254" s="39"/>
      <c r="W254" s="41"/>
      <c r="X254" s="50"/>
      <c r="Y254" s="50"/>
    </row>
    <row r="255" spans="1:25" customFormat="1" ht="14.4" x14ac:dyDescent="0.3">
      <c r="A255" s="48">
        <f t="shared" si="14"/>
        <v>4</v>
      </c>
      <c r="B255" s="113">
        <v>46045</v>
      </c>
      <c r="C255" s="48" t="str">
        <f t="shared" si="13"/>
        <v>enero</v>
      </c>
      <c r="D255" s="48" t="s">
        <v>2135</v>
      </c>
      <c r="E255" s="42" t="s">
        <v>2728</v>
      </c>
      <c r="F255" s="47" t="s">
        <v>1742</v>
      </c>
      <c r="G255" s="48">
        <v>1</v>
      </c>
      <c r="H255" s="48" t="s">
        <v>2138</v>
      </c>
      <c r="I255" s="197">
        <v>800</v>
      </c>
      <c r="J255" s="197">
        <v>800</v>
      </c>
      <c r="K255" s="197">
        <v>0</v>
      </c>
      <c r="L255" s="197">
        <v>800</v>
      </c>
      <c r="M255" s="198">
        <v>0</v>
      </c>
      <c r="N255" s="48" t="s">
        <v>1003</v>
      </c>
      <c r="O255" s="48" t="s">
        <v>104</v>
      </c>
      <c r="P255" s="48" t="s">
        <v>25</v>
      </c>
      <c r="Q255" s="48" t="s">
        <v>241</v>
      </c>
      <c r="R255" s="48" t="s">
        <v>369</v>
      </c>
      <c r="S255" s="48" t="s">
        <v>1743</v>
      </c>
      <c r="T255" s="114" t="s">
        <v>20</v>
      </c>
      <c r="U255" s="48" t="s">
        <v>530</v>
      </c>
      <c r="V255" s="39"/>
      <c r="W255" s="41"/>
      <c r="X255" s="50"/>
      <c r="Y255" s="50"/>
    </row>
    <row r="256" spans="1:25" customFormat="1" ht="14.4" x14ac:dyDescent="0.3">
      <c r="A256" s="48">
        <f t="shared" si="14"/>
        <v>4</v>
      </c>
      <c r="B256" s="113">
        <v>46045</v>
      </c>
      <c r="C256" s="48" t="str">
        <f t="shared" si="13"/>
        <v>enero</v>
      </c>
      <c r="D256" s="48" t="s">
        <v>2135</v>
      </c>
      <c r="E256" s="42" t="s">
        <v>2728</v>
      </c>
      <c r="F256" s="47" t="s">
        <v>1744</v>
      </c>
      <c r="G256" s="48">
        <v>1</v>
      </c>
      <c r="H256" s="48" t="s">
        <v>1705</v>
      </c>
      <c r="I256" s="197">
        <v>1515</v>
      </c>
      <c r="J256" s="197">
        <v>1515</v>
      </c>
      <c r="K256" s="197">
        <v>0</v>
      </c>
      <c r="L256" s="197">
        <v>1515</v>
      </c>
      <c r="M256" s="198">
        <v>0</v>
      </c>
      <c r="N256" s="48" t="s">
        <v>1449</v>
      </c>
      <c r="O256" s="48" t="s">
        <v>123</v>
      </c>
      <c r="P256" s="48" t="s">
        <v>39</v>
      </c>
      <c r="Q256" s="48" t="s">
        <v>241</v>
      </c>
      <c r="R256" s="48" t="s">
        <v>2726</v>
      </c>
      <c r="S256" s="48" t="s">
        <v>1697</v>
      </c>
      <c r="T256" s="114" t="s">
        <v>20</v>
      </c>
      <c r="U256" s="48"/>
      <c r="V256" s="131" t="s">
        <v>2018</v>
      </c>
      <c r="W256" s="41"/>
      <c r="X256" s="50"/>
      <c r="Y256" s="50"/>
    </row>
    <row r="257" spans="1:36" customFormat="1" ht="14.4" x14ac:dyDescent="0.3">
      <c r="A257" s="48">
        <f t="shared" si="14"/>
        <v>4</v>
      </c>
      <c r="B257" s="113">
        <v>46045</v>
      </c>
      <c r="C257" s="48" t="str">
        <f t="shared" si="13"/>
        <v>enero</v>
      </c>
      <c r="D257" s="48" t="s">
        <v>2135</v>
      </c>
      <c r="E257" s="42" t="s">
        <v>118</v>
      </c>
      <c r="F257" s="47" t="s">
        <v>2155</v>
      </c>
      <c r="G257" s="38">
        <v>2</v>
      </c>
      <c r="H257" s="48" t="s">
        <v>1705</v>
      </c>
      <c r="I257" s="197">
        <v>602.59</v>
      </c>
      <c r="J257" s="197">
        <v>1205.18</v>
      </c>
      <c r="K257" s="197">
        <v>192.8288</v>
      </c>
      <c r="L257" s="206">
        <v>1398.0088000000001</v>
      </c>
      <c r="M257" s="198">
        <v>0</v>
      </c>
      <c r="N257" s="48" t="s">
        <v>1617</v>
      </c>
      <c r="O257" s="48" t="s">
        <v>118</v>
      </c>
      <c r="P257" s="48" t="s">
        <v>2734</v>
      </c>
      <c r="Q257" s="38" t="s">
        <v>1766</v>
      </c>
      <c r="R257" s="48" t="s">
        <v>369</v>
      </c>
      <c r="S257" s="38" t="s">
        <v>2156</v>
      </c>
      <c r="T257" s="115"/>
      <c r="U257" s="38" t="s">
        <v>2157</v>
      </c>
      <c r="W257" s="121" t="s">
        <v>2158</v>
      </c>
      <c r="X257" s="207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</row>
    <row r="258" spans="1:36" customFormat="1" ht="14.4" x14ac:dyDescent="0.3">
      <c r="A258" s="48">
        <f t="shared" si="14"/>
        <v>4</v>
      </c>
      <c r="B258" s="113">
        <v>46046</v>
      </c>
      <c r="C258" s="48" t="str">
        <f t="shared" si="13"/>
        <v>enero</v>
      </c>
      <c r="D258" s="48" t="s">
        <v>2135</v>
      </c>
      <c r="E258" s="42" t="s">
        <v>2728</v>
      </c>
      <c r="F258" s="47" t="s">
        <v>1745</v>
      </c>
      <c r="G258" s="48">
        <v>1</v>
      </c>
      <c r="H258" s="48" t="s">
        <v>1705</v>
      </c>
      <c r="I258" s="197">
        <v>96.6</v>
      </c>
      <c r="J258" s="197">
        <v>96.6</v>
      </c>
      <c r="K258" s="197">
        <v>0</v>
      </c>
      <c r="L258" s="197">
        <v>96.6</v>
      </c>
      <c r="M258" s="198">
        <v>0</v>
      </c>
      <c r="N258" s="48" t="s">
        <v>1454</v>
      </c>
      <c r="O258" s="48" t="s">
        <v>152</v>
      </c>
      <c r="P258" s="48" t="s">
        <v>25</v>
      </c>
      <c r="Q258" s="48" t="s">
        <v>241</v>
      </c>
      <c r="R258" s="48" t="s">
        <v>2726</v>
      </c>
      <c r="S258" s="48" t="s">
        <v>508</v>
      </c>
      <c r="T258" s="114" t="s">
        <v>20</v>
      </c>
      <c r="U258" s="48"/>
      <c r="V258" s="39"/>
      <c r="W258" s="41"/>
      <c r="X258" s="50"/>
      <c r="Y258" s="50"/>
    </row>
    <row r="259" spans="1:36" customFormat="1" ht="14.4" x14ac:dyDescent="0.3">
      <c r="A259" s="48">
        <f t="shared" si="14"/>
        <v>4</v>
      </c>
      <c r="B259" s="113">
        <v>46046</v>
      </c>
      <c r="C259" s="48" t="str">
        <f t="shared" ref="C259:C322" si="15">TEXT(B259,"MMMM")</f>
        <v>enero</v>
      </c>
      <c r="D259" s="48" t="s">
        <v>2135</v>
      </c>
      <c r="E259" s="42" t="s">
        <v>2728</v>
      </c>
      <c r="F259" s="47" t="s">
        <v>1746</v>
      </c>
      <c r="G259" s="48">
        <v>1</v>
      </c>
      <c r="H259" s="48" t="s">
        <v>1705</v>
      </c>
      <c r="I259" s="197">
        <v>199.52</v>
      </c>
      <c r="J259" s="197">
        <v>199.52</v>
      </c>
      <c r="K259" s="197">
        <v>0</v>
      </c>
      <c r="L259" s="197">
        <v>199.52</v>
      </c>
      <c r="M259" s="198">
        <v>0</v>
      </c>
      <c r="N259" s="48" t="s">
        <v>1106</v>
      </c>
      <c r="O259" s="48" t="s">
        <v>36</v>
      </c>
      <c r="P259" s="48" t="s">
        <v>25</v>
      </c>
      <c r="Q259" s="48" t="s">
        <v>241</v>
      </c>
      <c r="R259" s="48" t="s">
        <v>2727</v>
      </c>
      <c r="S259" s="48" t="s">
        <v>631</v>
      </c>
      <c r="T259" s="114" t="s">
        <v>20</v>
      </c>
      <c r="U259" s="48"/>
      <c r="V259" s="39"/>
      <c r="W259" s="41"/>
      <c r="X259" s="50"/>
      <c r="Y259" s="50"/>
    </row>
    <row r="260" spans="1:36" customFormat="1" ht="14.4" x14ac:dyDescent="0.3">
      <c r="A260" s="48">
        <f t="shared" si="14"/>
        <v>4</v>
      </c>
      <c r="B260" s="113">
        <v>46046</v>
      </c>
      <c r="C260" s="48" t="str">
        <f t="shared" si="15"/>
        <v>enero</v>
      </c>
      <c r="D260" s="48" t="s">
        <v>2135</v>
      </c>
      <c r="E260" s="42" t="s">
        <v>2728</v>
      </c>
      <c r="F260" s="47" t="s">
        <v>1747</v>
      </c>
      <c r="G260" s="48">
        <v>1</v>
      </c>
      <c r="H260" s="48" t="s">
        <v>1705</v>
      </c>
      <c r="I260" s="197">
        <v>600</v>
      </c>
      <c r="J260" s="197">
        <v>600</v>
      </c>
      <c r="K260" s="197">
        <v>0</v>
      </c>
      <c r="L260" s="197">
        <v>600</v>
      </c>
      <c r="M260" s="198">
        <v>0</v>
      </c>
      <c r="N260" s="48" t="s">
        <v>1106</v>
      </c>
      <c r="O260" s="48" t="s">
        <v>36</v>
      </c>
      <c r="P260" s="48" t="s">
        <v>25</v>
      </c>
      <c r="Q260" s="48" t="s">
        <v>241</v>
      </c>
      <c r="R260" s="48" t="s">
        <v>2726</v>
      </c>
      <c r="S260" s="48" t="s">
        <v>1748</v>
      </c>
      <c r="T260" s="114" t="s">
        <v>20</v>
      </c>
      <c r="U260" s="48"/>
      <c r="V260" s="39"/>
      <c r="W260" s="41"/>
      <c r="X260" s="50"/>
      <c r="Y260" s="50"/>
    </row>
    <row r="261" spans="1:36" customFormat="1" ht="14.4" x14ac:dyDescent="0.3">
      <c r="A261" s="48">
        <f t="shared" si="14"/>
        <v>4</v>
      </c>
      <c r="B261" s="113">
        <v>46046</v>
      </c>
      <c r="C261" s="48" t="str">
        <f t="shared" si="15"/>
        <v>enero</v>
      </c>
      <c r="D261" s="48" t="s">
        <v>2135</v>
      </c>
      <c r="E261" s="42" t="s">
        <v>1830</v>
      </c>
      <c r="F261" s="47" t="s">
        <v>216</v>
      </c>
      <c r="G261" s="48">
        <v>1</v>
      </c>
      <c r="H261" s="48" t="s">
        <v>1705</v>
      </c>
      <c r="I261" s="197">
        <v>280</v>
      </c>
      <c r="J261" s="197">
        <v>280</v>
      </c>
      <c r="K261" s="197">
        <v>0</v>
      </c>
      <c r="L261" s="197">
        <v>280</v>
      </c>
      <c r="M261" s="198">
        <v>0</v>
      </c>
      <c r="N261" s="48" t="s">
        <v>62</v>
      </c>
      <c r="O261" s="48" t="s">
        <v>118</v>
      </c>
      <c r="P261" s="48" t="s">
        <v>25</v>
      </c>
      <c r="Q261" s="48" t="s">
        <v>241</v>
      </c>
      <c r="R261" s="48" t="s">
        <v>2726</v>
      </c>
      <c r="S261" s="48" t="s">
        <v>1748</v>
      </c>
      <c r="T261" s="114" t="s">
        <v>20</v>
      </c>
      <c r="U261" s="48"/>
      <c r="V261" s="39"/>
      <c r="W261" s="41"/>
      <c r="X261" s="50"/>
    </row>
    <row r="262" spans="1:36" customFormat="1" ht="14.4" x14ac:dyDescent="0.3">
      <c r="A262" s="48">
        <f t="shared" si="14"/>
        <v>4</v>
      </c>
      <c r="B262" s="113">
        <v>46046</v>
      </c>
      <c r="C262" s="48" t="str">
        <f t="shared" si="15"/>
        <v>enero</v>
      </c>
      <c r="D262" s="48" t="s">
        <v>2135</v>
      </c>
      <c r="E262" s="42" t="s">
        <v>2728</v>
      </c>
      <c r="F262" s="47" t="s">
        <v>1749</v>
      </c>
      <c r="G262" s="48">
        <v>15</v>
      </c>
      <c r="H262" s="48" t="s">
        <v>1705</v>
      </c>
      <c r="I262" s="197">
        <v>5</v>
      </c>
      <c r="J262" s="197">
        <v>75</v>
      </c>
      <c r="K262" s="197">
        <v>0</v>
      </c>
      <c r="L262" s="197">
        <v>75</v>
      </c>
      <c r="M262" s="198">
        <v>0</v>
      </c>
      <c r="N262" s="48" t="s">
        <v>1106</v>
      </c>
      <c r="O262" s="48" t="s">
        <v>36</v>
      </c>
      <c r="P262" s="48" t="s">
        <v>25</v>
      </c>
      <c r="Q262" s="48" t="s">
        <v>241</v>
      </c>
      <c r="R262" s="48" t="s">
        <v>2726</v>
      </c>
      <c r="S262" s="48" t="s">
        <v>1748</v>
      </c>
      <c r="T262" s="114" t="s">
        <v>20</v>
      </c>
      <c r="U262" s="48"/>
      <c r="V262" s="39"/>
      <c r="W262" s="41"/>
      <c r="X262" s="50"/>
      <c r="Y262" s="50"/>
    </row>
    <row r="263" spans="1:36" customFormat="1" ht="14.4" x14ac:dyDescent="0.3">
      <c r="A263" s="48">
        <f t="shared" si="14"/>
        <v>4</v>
      </c>
      <c r="B263" s="113">
        <v>46046</v>
      </c>
      <c r="C263" s="48" t="str">
        <f t="shared" si="15"/>
        <v>enero</v>
      </c>
      <c r="D263" s="48" t="s">
        <v>2135</v>
      </c>
      <c r="E263" s="42" t="s">
        <v>356</v>
      </c>
      <c r="F263" s="47" t="s">
        <v>127</v>
      </c>
      <c r="G263" s="48">
        <v>1</v>
      </c>
      <c r="H263" s="48" t="s">
        <v>2138</v>
      </c>
      <c r="I263" s="197">
        <v>100</v>
      </c>
      <c r="J263" s="197">
        <v>100</v>
      </c>
      <c r="K263" s="197">
        <v>0</v>
      </c>
      <c r="L263" s="197">
        <v>100</v>
      </c>
      <c r="M263" s="198">
        <v>0</v>
      </c>
      <c r="N263" s="48"/>
      <c r="O263" s="48" t="s">
        <v>64</v>
      </c>
      <c r="P263" s="48" t="s">
        <v>25</v>
      </c>
      <c r="Q263" s="48" t="s">
        <v>241</v>
      </c>
      <c r="R263" s="48" t="s">
        <v>2735</v>
      </c>
      <c r="S263" s="48" t="s">
        <v>388</v>
      </c>
      <c r="T263" s="114" t="s">
        <v>20</v>
      </c>
      <c r="U263" s="48" t="s">
        <v>1750</v>
      </c>
      <c r="V263" s="39"/>
      <c r="W263" s="41"/>
      <c r="X263" s="50"/>
      <c r="Y263" s="50"/>
    </row>
    <row r="264" spans="1:36" customFormat="1" ht="14.4" x14ac:dyDescent="0.3">
      <c r="A264" s="48">
        <f t="shared" si="14"/>
        <v>5</v>
      </c>
      <c r="B264" s="113">
        <v>46050</v>
      </c>
      <c r="C264" s="48" t="str">
        <f t="shared" si="15"/>
        <v>enero</v>
      </c>
      <c r="D264" s="48" t="s">
        <v>2135</v>
      </c>
      <c r="E264" s="42" t="s">
        <v>356</v>
      </c>
      <c r="F264" s="47" t="s">
        <v>127</v>
      </c>
      <c r="G264" s="48">
        <v>1</v>
      </c>
      <c r="H264" s="48" t="s">
        <v>2138</v>
      </c>
      <c r="I264" s="197">
        <v>300</v>
      </c>
      <c r="J264" s="197">
        <v>300</v>
      </c>
      <c r="K264" s="197">
        <v>0</v>
      </c>
      <c r="L264" s="197">
        <v>300</v>
      </c>
      <c r="M264" s="198">
        <v>0</v>
      </c>
      <c r="N264" s="48" t="s">
        <v>1617</v>
      </c>
      <c r="O264" s="48" t="s">
        <v>118</v>
      </c>
      <c r="P264" s="48" t="s">
        <v>25</v>
      </c>
      <c r="Q264" s="48" t="s">
        <v>241</v>
      </c>
      <c r="R264" s="48" t="s">
        <v>2735</v>
      </c>
      <c r="S264" s="48" t="s">
        <v>647</v>
      </c>
      <c r="T264" s="114"/>
      <c r="U264" s="48" t="s">
        <v>1845</v>
      </c>
      <c r="V264" s="39"/>
      <c r="W264" s="41" t="s">
        <v>1617</v>
      </c>
      <c r="X264" s="50"/>
    </row>
    <row r="265" spans="1:36" customFormat="1" ht="14.4" x14ac:dyDescent="0.3">
      <c r="A265" s="48">
        <f t="shared" si="14"/>
        <v>5</v>
      </c>
      <c r="B265" s="113">
        <v>46052</v>
      </c>
      <c r="C265" s="48" t="str">
        <f t="shared" si="15"/>
        <v>enero</v>
      </c>
      <c r="D265" s="48" t="s">
        <v>2135</v>
      </c>
      <c r="E265" s="42" t="s">
        <v>477</v>
      </c>
      <c r="F265" s="47" t="s">
        <v>559</v>
      </c>
      <c r="G265" s="48">
        <v>1</v>
      </c>
      <c r="H265" s="48" t="s">
        <v>1705</v>
      </c>
      <c r="I265" s="197">
        <v>738</v>
      </c>
      <c r="J265" s="197">
        <v>738</v>
      </c>
      <c r="K265" s="197">
        <v>0</v>
      </c>
      <c r="L265" s="197">
        <v>738</v>
      </c>
      <c r="M265" s="198">
        <v>0</v>
      </c>
      <c r="N265" s="48"/>
      <c r="O265" s="48" t="s">
        <v>257</v>
      </c>
      <c r="P265" s="48" t="s">
        <v>25</v>
      </c>
      <c r="Q265" s="48" t="s">
        <v>1766</v>
      </c>
      <c r="R265" s="48" t="s">
        <v>2735</v>
      </c>
      <c r="S265" s="48" t="s">
        <v>1751</v>
      </c>
      <c r="T265" s="114"/>
      <c r="U265" s="48" t="s">
        <v>1752</v>
      </c>
      <c r="V265" s="39"/>
      <c r="W265" s="41" t="s">
        <v>1753</v>
      </c>
      <c r="X265" s="50"/>
      <c r="Y265" s="50"/>
    </row>
    <row r="266" spans="1:36" customFormat="1" ht="14.4" x14ac:dyDescent="0.3">
      <c r="A266" s="48">
        <f t="shared" si="14"/>
        <v>5</v>
      </c>
      <c r="B266" s="113">
        <v>46052</v>
      </c>
      <c r="C266" s="48" t="str">
        <f t="shared" si="15"/>
        <v>enero</v>
      </c>
      <c r="D266" s="48" t="s">
        <v>2135</v>
      </c>
      <c r="E266" s="42" t="s">
        <v>116</v>
      </c>
      <c r="F266" s="47" t="s">
        <v>1754</v>
      </c>
      <c r="G266" s="48">
        <v>2</v>
      </c>
      <c r="H266" s="48" t="s">
        <v>1705</v>
      </c>
      <c r="I266" s="197">
        <v>1</v>
      </c>
      <c r="J266" s="197">
        <v>2</v>
      </c>
      <c r="K266" s="197">
        <v>0</v>
      </c>
      <c r="L266" s="197">
        <v>2</v>
      </c>
      <c r="M266" s="198">
        <v>0</v>
      </c>
      <c r="N266" s="48"/>
      <c r="O266" s="48" t="s">
        <v>257</v>
      </c>
      <c r="P266" s="48" t="s">
        <v>25</v>
      </c>
      <c r="Q266" s="48" t="s">
        <v>1766</v>
      </c>
      <c r="R266" s="48" t="s">
        <v>2735</v>
      </c>
      <c r="S266" s="48" t="s">
        <v>1751</v>
      </c>
      <c r="T266" s="114"/>
      <c r="U266" s="48" t="s">
        <v>1755</v>
      </c>
      <c r="V266" s="39"/>
      <c r="W266" s="41"/>
      <c r="X266" s="50"/>
      <c r="Y266" s="50"/>
    </row>
    <row r="267" spans="1:36" customFormat="1" ht="14.4" x14ac:dyDescent="0.3">
      <c r="A267" s="133">
        <f t="shared" si="14"/>
        <v>6</v>
      </c>
      <c r="B267" s="134">
        <v>46055</v>
      </c>
      <c r="C267" s="48" t="str">
        <f t="shared" si="15"/>
        <v>febrero</v>
      </c>
      <c r="D267" s="133" t="s">
        <v>2135</v>
      </c>
      <c r="E267" s="208" t="s">
        <v>356</v>
      </c>
      <c r="F267" s="135" t="s">
        <v>127</v>
      </c>
      <c r="G267" s="136">
        <v>24.3782</v>
      </c>
      <c r="H267" s="133" t="s">
        <v>2017</v>
      </c>
      <c r="I267" s="204">
        <v>20.51</v>
      </c>
      <c r="J267" s="197">
        <v>499.99688200000003</v>
      </c>
      <c r="K267" s="204">
        <v>79.999501120000005</v>
      </c>
      <c r="L267" s="204">
        <v>579.99638312000002</v>
      </c>
      <c r="M267" s="198">
        <v>0</v>
      </c>
      <c r="N267" s="133" t="s">
        <v>1617</v>
      </c>
      <c r="O267" s="133" t="s">
        <v>563</v>
      </c>
      <c r="P267" s="133" t="s">
        <v>25</v>
      </c>
      <c r="Q267" s="133" t="s">
        <v>241</v>
      </c>
      <c r="R267" s="133" t="s">
        <v>2727</v>
      </c>
      <c r="S267" s="133" t="s">
        <v>593</v>
      </c>
      <c r="T267" s="137" t="s">
        <v>2100</v>
      </c>
      <c r="U267" s="133"/>
      <c r="V267" s="138"/>
      <c r="W267" s="120" t="s">
        <v>1881</v>
      </c>
      <c r="X267" s="50" t="s">
        <v>2159</v>
      </c>
      <c r="Y267" s="50"/>
    </row>
    <row r="268" spans="1:36" customFormat="1" ht="14.4" x14ac:dyDescent="0.3">
      <c r="A268" s="48">
        <f t="shared" si="14"/>
        <v>6</v>
      </c>
      <c r="B268" s="113">
        <v>46055</v>
      </c>
      <c r="C268" s="48" t="str">
        <f t="shared" si="15"/>
        <v>febrero</v>
      </c>
      <c r="D268" s="48" t="s">
        <v>2135</v>
      </c>
      <c r="E268" s="42" t="s">
        <v>356</v>
      </c>
      <c r="F268" s="47" t="s">
        <v>127</v>
      </c>
      <c r="G268" s="125">
        <v>8.6684999999999999</v>
      </c>
      <c r="H268" s="48" t="s">
        <v>2017</v>
      </c>
      <c r="I268" s="197">
        <v>19.89</v>
      </c>
      <c r="J268" s="197">
        <v>172.41646500000002</v>
      </c>
      <c r="K268" s="197">
        <v>27.586634400000005</v>
      </c>
      <c r="L268" s="197">
        <v>200.00309940000002</v>
      </c>
      <c r="M268" s="198">
        <v>0</v>
      </c>
      <c r="N268" s="48" t="s">
        <v>1617</v>
      </c>
      <c r="O268" s="48" t="s">
        <v>1819</v>
      </c>
      <c r="P268" s="49" t="s">
        <v>1321</v>
      </c>
      <c r="Q268" s="48" t="s">
        <v>1856</v>
      </c>
      <c r="R268" s="48" t="s">
        <v>2726</v>
      </c>
      <c r="S268" s="48" t="s">
        <v>647</v>
      </c>
      <c r="T268" s="114" t="s">
        <v>2025</v>
      </c>
      <c r="U268" s="48"/>
      <c r="V268" s="39"/>
      <c r="W268" s="41" t="s">
        <v>1882</v>
      </c>
      <c r="X268" s="50" t="s">
        <v>2160</v>
      </c>
      <c r="Y268" s="50"/>
    </row>
    <row r="269" spans="1:36" customFormat="1" ht="14.4" x14ac:dyDescent="0.3">
      <c r="A269" s="48">
        <f t="shared" si="14"/>
        <v>6</v>
      </c>
      <c r="B269" s="113">
        <v>46055</v>
      </c>
      <c r="C269" s="48" t="str">
        <f t="shared" si="15"/>
        <v>febrero</v>
      </c>
      <c r="D269" s="48" t="s">
        <v>2135</v>
      </c>
      <c r="E269" s="42" t="s">
        <v>2728</v>
      </c>
      <c r="F269" s="47" t="s">
        <v>2166</v>
      </c>
      <c r="G269" s="48">
        <v>2</v>
      </c>
      <c r="H269" s="48" t="s">
        <v>1705</v>
      </c>
      <c r="I269" s="197">
        <v>689.65499999999997</v>
      </c>
      <c r="J269" s="197">
        <v>1379.31</v>
      </c>
      <c r="K269" s="197">
        <v>220.68959999999998</v>
      </c>
      <c r="L269" s="197">
        <v>1599.9995999999999</v>
      </c>
      <c r="M269" s="198">
        <v>0</v>
      </c>
      <c r="N269" s="48" t="s">
        <v>1617</v>
      </c>
      <c r="O269" s="48" t="s">
        <v>183</v>
      </c>
      <c r="P269" s="48" t="s">
        <v>25</v>
      </c>
      <c r="Q269" s="48" t="s">
        <v>241</v>
      </c>
      <c r="R269" s="48" t="s">
        <v>2727</v>
      </c>
      <c r="S269" s="48" t="s">
        <v>1668</v>
      </c>
      <c r="T269" s="114" t="s">
        <v>1669</v>
      </c>
      <c r="U269" s="48"/>
      <c r="V269" s="39"/>
      <c r="W269" s="41" t="s">
        <v>1762</v>
      </c>
      <c r="X269" s="50" t="s">
        <v>2161</v>
      </c>
      <c r="Y269" s="50"/>
    </row>
    <row r="270" spans="1:36" customFormat="1" ht="14.4" x14ac:dyDescent="0.3">
      <c r="A270" s="48">
        <f t="shared" si="14"/>
        <v>6</v>
      </c>
      <c r="B270" s="113">
        <v>46055</v>
      </c>
      <c r="C270" s="48" t="str">
        <f t="shared" si="15"/>
        <v>febrero</v>
      </c>
      <c r="D270" s="48" t="s">
        <v>2135</v>
      </c>
      <c r="E270" s="42" t="s">
        <v>2728</v>
      </c>
      <c r="F270" s="47" t="s">
        <v>95</v>
      </c>
      <c r="G270" s="48">
        <v>1</v>
      </c>
      <c r="H270" s="48" t="s">
        <v>1705</v>
      </c>
      <c r="I270" s="197">
        <v>133.62</v>
      </c>
      <c r="J270" s="197">
        <v>133.62</v>
      </c>
      <c r="K270" s="197">
        <v>21.379200000000001</v>
      </c>
      <c r="L270" s="201">
        <v>154.9992</v>
      </c>
      <c r="M270" s="198">
        <v>0</v>
      </c>
      <c r="N270" s="48" t="s">
        <v>1617</v>
      </c>
      <c r="O270" s="48" t="s">
        <v>183</v>
      </c>
      <c r="P270" s="48" t="s">
        <v>25</v>
      </c>
      <c r="Q270" s="48" t="s">
        <v>241</v>
      </c>
      <c r="R270" s="48" t="s">
        <v>2727</v>
      </c>
      <c r="S270" s="48" t="s">
        <v>1713</v>
      </c>
      <c r="T270" s="114" t="s">
        <v>2168</v>
      </c>
      <c r="U270" s="48"/>
      <c r="V270" s="131" t="s">
        <v>2018</v>
      </c>
      <c r="W270" s="41" t="s">
        <v>1762</v>
      </c>
      <c r="X270" s="50" t="s">
        <v>2162</v>
      </c>
      <c r="Y270" s="50"/>
    </row>
    <row r="271" spans="1:36" customFormat="1" ht="14.4" x14ac:dyDescent="0.3">
      <c r="A271" s="48">
        <f t="shared" si="14"/>
        <v>6</v>
      </c>
      <c r="B271" s="113">
        <v>46055</v>
      </c>
      <c r="C271" s="48" t="str">
        <f t="shared" si="15"/>
        <v>febrero</v>
      </c>
      <c r="D271" s="48" t="s">
        <v>2135</v>
      </c>
      <c r="E271" s="42" t="s">
        <v>2728</v>
      </c>
      <c r="F271" s="47" t="s">
        <v>92</v>
      </c>
      <c r="G271" s="48">
        <v>1</v>
      </c>
      <c r="H271" s="48" t="s">
        <v>1705</v>
      </c>
      <c r="I271" s="197">
        <v>116.38</v>
      </c>
      <c r="J271" s="197">
        <v>116.38</v>
      </c>
      <c r="K271" s="197">
        <v>18.620799999999999</v>
      </c>
      <c r="L271" s="201">
        <v>135.0008</v>
      </c>
      <c r="M271" s="198">
        <v>0</v>
      </c>
      <c r="N271" s="48" t="s">
        <v>1617</v>
      </c>
      <c r="O271" s="48" t="s">
        <v>183</v>
      </c>
      <c r="P271" s="48" t="s">
        <v>25</v>
      </c>
      <c r="Q271" s="48" t="s">
        <v>241</v>
      </c>
      <c r="R271" s="48" t="s">
        <v>2727</v>
      </c>
      <c r="S271" s="48" t="s">
        <v>1713</v>
      </c>
      <c r="T271" s="114" t="s">
        <v>1617</v>
      </c>
      <c r="U271" s="48"/>
      <c r="V271" s="131" t="s">
        <v>2018</v>
      </c>
      <c r="W271" s="41" t="s">
        <v>1762</v>
      </c>
      <c r="X271" s="50" t="s">
        <v>2162</v>
      </c>
      <c r="Y271" s="50"/>
    </row>
    <row r="272" spans="1:36" customFormat="1" ht="14.4" x14ac:dyDescent="0.3">
      <c r="A272" s="48">
        <f t="shared" si="14"/>
        <v>6</v>
      </c>
      <c r="B272" s="113">
        <v>46055</v>
      </c>
      <c r="C272" s="48" t="str">
        <f t="shared" si="15"/>
        <v>febrero</v>
      </c>
      <c r="D272" s="48" t="s">
        <v>2135</v>
      </c>
      <c r="E272" s="42" t="s">
        <v>2728</v>
      </c>
      <c r="F272" s="47" t="s">
        <v>345</v>
      </c>
      <c r="G272" s="48">
        <v>1</v>
      </c>
      <c r="H272" s="48" t="s">
        <v>1705</v>
      </c>
      <c r="I272" s="197">
        <v>327.58999999999997</v>
      </c>
      <c r="J272" s="197">
        <v>327.58999999999997</v>
      </c>
      <c r="K272" s="197">
        <v>52.414400000000001</v>
      </c>
      <c r="L272" s="201">
        <v>380.00439999999998</v>
      </c>
      <c r="M272" s="198">
        <v>0</v>
      </c>
      <c r="N272" s="48" t="s">
        <v>1617</v>
      </c>
      <c r="O272" s="48" t="s">
        <v>183</v>
      </c>
      <c r="P272" s="48" t="s">
        <v>25</v>
      </c>
      <c r="Q272" s="48" t="s">
        <v>241</v>
      </c>
      <c r="R272" s="48" t="s">
        <v>2727</v>
      </c>
      <c r="S272" s="48" t="s">
        <v>1713</v>
      </c>
      <c r="T272" s="114" t="s">
        <v>1617</v>
      </c>
      <c r="U272" s="48"/>
      <c r="V272" s="131" t="s">
        <v>2018</v>
      </c>
      <c r="W272" s="41" t="s">
        <v>1762</v>
      </c>
      <c r="X272" s="50" t="s">
        <v>2162</v>
      </c>
      <c r="Y272" s="50"/>
    </row>
    <row r="273" spans="1:25" customFormat="1" ht="14.4" x14ac:dyDescent="0.3">
      <c r="A273" s="48">
        <f t="shared" si="14"/>
        <v>6</v>
      </c>
      <c r="B273" s="113">
        <v>46055</v>
      </c>
      <c r="C273" s="48" t="str">
        <f t="shared" si="15"/>
        <v>febrero</v>
      </c>
      <c r="D273" s="48" t="s">
        <v>2135</v>
      </c>
      <c r="E273" s="42" t="s">
        <v>2728</v>
      </c>
      <c r="F273" s="47" t="s">
        <v>2172</v>
      </c>
      <c r="G273" s="48">
        <v>4</v>
      </c>
      <c r="H273" s="48" t="s">
        <v>1705</v>
      </c>
      <c r="I273" s="197">
        <v>168.1</v>
      </c>
      <c r="J273" s="197">
        <v>672.4</v>
      </c>
      <c r="K273" s="197">
        <v>107.584</v>
      </c>
      <c r="L273" s="201">
        <v>779.98399999999992</v>
      </c>
      <c r="M273" s="198">
        <v>0</v>
      </c>
      <c r="N273" s="48" t="s">
        <v>1617</v>
      </c>
      <c r="O273" s="48" t="s">
        <v>183</v>
      </c>
      <c r="P273" s="48" t="s">
        <v>25</v>
      </c>
      <c r="Q273" s="48" t="s">
        <v>241</v>
      </c>
      <c r="R273" s="48" t="s">
        <v>2727</v>
      </c>
      <c r="S273" s="48" t="s">
        <v>1713</v>
      </c>
      <c r="T273" s="114" t="s">
        <v>2173</v>
      </c>
      <c r="U273" s="48"/>
      <c r="V273" s="131" t="s">
        <v>2018</v>
      </c>
      <c r="W273" s="41" t="s">
        <v>1762</v>
      </c>
      <c r="X273" s="50" t="s">
        <v>2162</v>
      </c>
      <c r="Y273" s="50"/>
    </row>
    <row r="274" spans="1:25" customFormat="1" ht="14.4" x14ac:dyDescent="0.3">
      <c r="A274" s="48">
        <f t="shared" si="14"/>
        <v>6</v>
      </c>
      <c r="B274" s="113">
        <v>46055</v>
      </c>
      <c r="C274" s="48" t="str">
        <f t="shared" si="15"/>
        <v>febrero</v>
      </c>
      <c r="D274" s="48" t="s">
        <v>2135</v>
      </c>
      <c r="E274" s="42" t="s">
        <v>2728</v>
      </c>
      <c r="F274" s="47" t="s">
        <v>2174</v>
      </c>
      <c r="G274" s="48">
        <v>4</v>
      </c>
      <c r="H274" s="48" t="s">
        <v>1705</v>
      </c>
      <c r="I274" s="197">
        <v>224.14</v>
      </c>
      <c r="J274" s="197">
        <v>896.56</v>
      </c>
      <c r="K274" s="197">
        <v>143.4496</v>
      </c>
      <c r="L274" s="201">
        <v>1040.0095999999999</v>
      </c>
      <c r="M274" s="198">
        <v>0</v>
      </c>
      <c r="N274" s="48" t="s">
        <v>1617</v>
      </c>
      <c r="O274" s="48" t="s">
        <v>1611</v>
      </c>
      <c r="P274" s="48" t="s">
        <v>25</v>
      </c>
      <c r="Q274" s="48" t="s">
        <v>241</v>
      </c>
      <c r="R274" s="48" t="s">
        <v>2727</v>
      </c>
      <c r="S274" s="48" t="s">
        <v>1713</v>
      </c>
      <c r="T274" s="114" t="s">
        <v>1638</v>
      </c>
      <c r="U274" s="48"/>
      <c r="V274" s="131" t="s">
        <v>2018</v>
      </c>
      <c r="W274" s="41" t="s">
        <v>1762</v>
      </c>
      <c r="X274" s="50" t="s">
        <v>2162</v>
      </c>
      <c r="Y274" s="50"/>
    </row>
    <row r="275" spans="1:25" customFormat="1" ht="14.4" x14ac:dyDescent="0.3">
      <c r="A275" s="48">
        <f t="shared" si="14"/>
        <v>6</v>
      </c>
      <c r="B275" s="113">
        <v>46055</v>
      </c>
      <c r="C275" s="48" t="str">
        <f t="shared" si="15"/>
        <v>febrero</v>
      </c>
      <c r="D275" s="48" t="s">
        <v>2175</v>
      </c>
      <c r="E275" s="42" t="s">
        <v>1830</v>
      </c>
      <c r="F275" s="47" t="s">
        <v>345</v>
      </c>
      <c r="G275" s="48">
        <v>3</v>
      </c>
      <c r="H275" s="48" t="s">
        <v>1705</v>
      </c>
      <c r="I275" s="197">
        <v>327.58999999999997</v>
      </c>
      <c r="J275" s="197">
        <v>982.77</v>
      </c>
      <c r="K275" s="197">
        <v>157.2432</v>
      </c>
      <c r="L275" s="201">
        <v>1140.0131999999999</v>
      </c>
      <c r="M275" s="198">
        <v>0</v>
      </c>
      <c r="N275" s="48" t="s">
        <v>62</v>
      </c>
      <c r="O275" s="48" t="s">
        <v>118</v>
      </c>
      <c r="P275" s="48" t="s">
        <v>25</v>
      </c>
      <c r="Q275" s="48" t="s">
        <v>241</v>
      </c>
      <c r="R275" s="48" t="s">
        <v>2727</v>
      </c>
      <c r="S275" s="48" t="s">
        <v>1713</v>
      </c>
      <c r="T275" s="114" t="s">
        <v>1617</v>
      </c>
      <c r="U275" s="48" t="s">
        <v>2176</v>
      </c>
      <c r="V275" s="131" t="s">
        <v>2018</v>
      </c>
      <c r="W275" s="41" t="s">
        <v>1762</v>
      </c>
      <c r="X275" s="50" t="s">
        <v>2162</v>
      </c>
    </row>
    <row r="276" spans="1:25" customFormat="1" ht="14.4" x14ac:dyDescent="0.3">
      <c r="A276" s="48">
        <f t="shared" si="14"/>
        <v>6</v>
      </c>
      <c r="B276" s="113">
        <v>46055</v>
      </c>
      <c r="C276" s="48" t="str">
        <f t="shared" si="15"/>
        <v>febrero</v>
      </c>
      <c r="D276" s="48" t="s">
        <v>2135</v>
      </c>
      <c r="E276" s="42" t="s">
        <v>2728</v>
      </c>
      <c r="F276" s="47" t="s">
        <v>1883</v>
      </c>
      <c r="G276" s="48">
        <v>1</v>
      </c>
      <c r="H276" s="48" t="s">
        <v>1705</v>
      </c>
      <c r="I276" s="197">
        <v>258.62</v>
      </c>
      <c r="J276" s="197">
        <v>258.62</v>
      </c>
      <c r="K276" s="197">
        <v>41.379200000000004</v>
      </c>
      <c r="L276" s="197">
        <v>299.99920000000003</v>
      </c>
      <c r="M276" s="198">
        <v>0</v>
      </c>
      <c r="N276" s="48" t="s">
        <v>1617</v>
      </c>
      <c r="O276" s="48" t="s">
        <v>169</v>
      </c>
      <c r="P276" s="48" t="s">
        <v>39</v>
      </c>
      <c r="Q276" s="48" t="s">
        <v>241</v>
      </c>
      <c r="R276" s="48" t="s">
        <v>2727</v>
      </c>
      <c r="S276" s="48" t="s">
        <v>1884</v>
      </c>
      <c r="T276" s="114" t="s">
        <v>1617</v>
      </c>
      <c r="U276" s="48"/>
      <c r="V276" s="39"/>
      <c r="W276" s="41" t="s">
        <v>1762</v>
      </c>
      <c r="X276" s="50" t="s">
        <v>2163</v>
      </c>
      <c r="Y276" s="50"/>
    </row>
    <row r="277" spans="1:25" customFormat="1" ht="14.4" x14ac:dyDescent="0.3">
      <c r="A277" s="48">
        <f t="shared" si="14"/>
        <v>6</v>
      </c>
      <c r="B277" s="113">
        <v>46055</v>
      </c>
      <c r="C277" s="48" t="str">
        <f t="shared" si="15"/>
        <v>febrero</v>
      </c>
      <c r="D277" s="48" t="s">
        <v>2135</v>
      </c>
      <c r="E277" s="42" t="s">
        <v>356</v>
      </c>
      <c r="F277" s="47" t="s">
        <v>127</v>
      </c>
      <c r="G277" s="48">
        <v>11.454000000000001</v>
      </c>
      <c r="H277" s="48" t="s">
        <v>2017</v>
      </c>
      <c r="I277" s="197">
        <v>20.34</v>
      </c>
      <c r="J277" s="197">
        <v>232.97436000000002</v>
      </c>
      <c r="K277" s="197">
        <v>37.2758976</v>
      </c>
      <c r="L277" s="197">
        <v>270.2502576</v>
      </c>
      <c r="M277" s="198">
        <v>0</v>
      </c>
      <c r="N277" s="48" t="s">
        <v>1617</v>
      </c>
      <c r="O277" s="48" t="s">
        <v>1611</v>
      </c>
      <c r="P277" s="48" t="s">
        <v>25</v>
      </c>
      <c r="Q277" s="48" t="s">
        <v>241</v>
      </c>
      <c r="R277" s="48" t="s">
        <v>2727</v>
      </c>
      <c r="S277" s="48" t="s">
        <v>1619</v>
      </c>
      <c r="T277" s="114" t="s">
        <v>2025</v>
      </c>
      <c r="U277" s="48"/>
      <c r="V277" s="39"/>
      <c r="W277" s="41" t="s">
        <v>1885</v>
      </c>
      <c r="X277" s="50" t="s">
        <v>2164</v>
      </c>
      <c r="Y277" s="50"/>
    </row>
    <row r="278" spans="1:25" customFormat="1" ht="14.4" x14ac:dyDescent="0.3">
      <c r="A278" s="48">
        <f t="shared" si="14"/>
        <v>6</v>
      </c>
      <c r="B278" s="113">
        <v>46056</v>
      </c>
      <c r="C278" s="48" t="str">
        <f t="shared" si="15"/>
        <v>febrero</v>
      </c>
      <c r="D278" s="48" t="s">
        <v>2135</v>
      </c>
      <c r="E278" s="42" t="s">
        <v>2918</v>
      </c>
      <c r="F278" s="47" t="s">
        <v>708</v>
      </c>
      <c r="G278" s="48">
        <v>1</v>
      </c>
      <c r="H278" s="48" t="s">
        <v>1617</v>
      </c>
      <c r="I278" s="197">
        <v>5600</v>
      </c>
      <c r="J278" s="197">
        <v>5600</v>
      </c>
      <c r="K278" s="197">
        <v>0</v>
      </c>
      <c r="L278" s="197">
        <v>5600</v>
      </c>
      <c r="M278" s="198">
        <v>0</v>
      </c>
      <c r="N278" s="48" t="s">
        <v>1617</v>
      </c>
      <c r="O278" s="48" t="s">
        <v>1611</v>
      </c>
      <c r="P278" s="48" t="s">
        <v>25</v>
      </c>
      <c r="Q278" s="48" t="s">
        <v>1844</v>
      </c>
      <c r="R278" s="48" t="s">
        <v>369</v>
      </c>
      <c r="S278" s="48" t="s">
        <v>709</v>
      </c>
      <c r="T278" s="114" t="s">
        <v>1617</v>
      </c>
      <c r="U278" s="48" t="s">
        <v>2919</v>
      </c>
      <c r="V278" s="39" t="s">
        <v>1759</v>
      </c>
      <c r="W278" s="41" t="s">
        <v>1617</v>
      </c>
      <c r="X278" s="50" t="s">
        <v>2920</v>
      </c>
      <c r="Y278" s="50"/>
    </row>
    <row r="279" spans="1:25" customFormat="1" ht="14.4" x14ac:dyDescent="0.3">
      <c r="A279" s="48">
        <f t="shared" si="14"/>
        <v>6</v>
      </c>
      <c r="B279" s="113">
        <v>46056</v>
      </c>
      <c r="C279" s="48" t="str">
        <f t="shared" si="15"/>
        <v>febrero</v>
      </c>
      <c r="D279" s="48" t="s">
        <v>2135</v>
      </c>
      <c r="E279" s="42" t="s">
        <v>356</v>
      </c>
      <c r="F279" s="47" t="s">
        <v>250</v>
      </c>
      <c r="G279" s="48">
        <v>1</v>
      </c>
      <c r="H279" s="48" t="s">
        <v>1617</v>
      </c>
      <c r="I279" s="197">
        <v>10.340999999999999</v>
      </c>
      <c r="J279" s="197">
        <v>10.340999999999999</v>
      </c>
      <c r="K279" s="197">
        <v>1.65456</v>
      </c>
      <c r="L279" s="197">
        <v>11.995559999999999</v>
      </c>
      <c r="M279" s="198">
        <v>0</v>
      </c>
      <c r="N279" s="48" t="s">
        <v>1617</v>
      </c>
      <c r="O279" s="48" t="s">
        <v>118</v>
      </c>
      <c r="P279" s="48" t="s">
        <v>2734</v>
      </c>
      <c r="Q279" s="48" t="s">
        <v>488</v>
      </c>
      <c r="R279" s="48" t="s">
        <v>364</v>
      </c>
      <c r="S279" s="48" t="s">
        <v>250</v>
      </c>
      <c r="T279" s="114" t="s">
        <v>1617</v>
      </c>
      <c r="U279" s="48" t="s">
        <v>2921</v>
      </c>
      <c r="V279" s="39" t="s">
        <v>2178</v>
      </c>
      <c r="W279" s="41" t="s">
        <v>1897</v>
      </c>
      <c r="X279" s="50" t="s">
        <v>2165</v>
      </c>
    </row>
    <row r="280" spans="1:25" customFormat="1" ht="14.4" x14ac:dyDescent="0.3">
      <c r="A280" s="48">
        <f t="shared" si="14"/>
        <v>6</v>
      </c>
      <c r="B280" s="113">
        <v>46056</v>
      </c>
      <c r="C280" s="48" t="str">
        <f t="shared" si="15"/>
        <v>febrero</v>
      </c>
      <c r="D280" s="48" t="s">
        <v>2135</v>
      </c>
      <c r="E280" s="42" t="s">
        <v>356</v>
      </c>
      <c r="F280" s="47" t="s">
        <v>250</v>
      </c>
      <c r="G280" s="48">
        <v>1</v>
      </c>
      <c r="H280" s="48" t="s">
        <v>1617</v>
      </c>
      <c r="I280" s="197">
        <v>10.340999999999999</v>
      </c>
      <c r="J280" s="197">
        <v>10.340999999999999</v>
      </c>
      <c r="K280" s="197">
        <v>1.65456</v>
      </c>
      <c r="L280" s="197">
        <v>11.995559999999999</v>
      </c>
      <c r="M280" s="198">
        <v>0</v>
      </c>
      <c r="N280" s="48" t="s">
        <v>1617</v>
      </c>
      <c r="O280" s="48" t="s">
        <v>118</v>
      </c>
      <c r="P280" s="48" t="s">
        <v>2734</v>
      </c>
      <c r="Q280" s="48" t="s">
        <v>488</v>
      </c>
      <c r="R280" s="48" t="s">
        <v>364</v>
      </c>
      <c r="S280" s="48" t="s">
        <v>250</v>
      </c>
      <c r="T280" s="114" t="s">
        <v>1617</v>
      </c>
      <c r="U280" s="48" t="s">
        <v>2921</v>
      </c>
      <c r="V280" s="39" t="s">
        <v>2178</v>
      </c>
      <c r="W280" s="116" t="s">
        <v>1898</v>
      </c>
      <c r="X280" s="50" t="s">
        <v>2167</v>
      </c>
    </row>
    <row r="281" spans="1:25" customFormat="1" ht="14.4" x14ac:dyDescent="0.3">
      <c r="A281" s="48">
        <f t="shared" si="14"/>
        <v>6</v>
      </c>
      <c r="B281" s="113">
        <v>46056</v>
      </c>
      <c r="C281" s="48" t="str">
        <f t="shared" si="15"/>
        <v>febrero</v>
      </c>
      <c r="D281" s="48" t="s">
        <v>2135</v>
      </c>
      <c r="E281" s="42" t="s">
        <v>356</v>
      </c>
      <c r="F281" s="47" t="s">
        <v>127</v>
      </c>
      <c r="G281" s="125">
        <v>14.94</v>
      </c>
      <c r="H281" s="48" t="s">
        <v>2017</v>
      </c>
      <c r="I281" s="197">
        <v>19.827000000000002</v>
      </c>
      <c r="J281" s="197">
        <v>296.21538000000004</v>
      </c>
      <c r="K281" s="197">
        <v>47.394460800000004</v>
      </c>
      <c r="L281" s="197">
        <v>343.60984080000003</v>
      </c>
      <c r="M281" s="198">
        <v>0</v>
      </c>
      <c r="N281" s="48" t="s">
        <v>1617</v>
      </c>
      <c r="O281" s="48" t="s">
        <v>118</v>
      </c>
      <c r="P281" s="48" t="s">
        <v>25</v>
      </c>
      <c r="Q281" s="48" t="s">
        <v>488</v>
      </c>
      <c r="R281" s="48" t="s">
        <v>2801</v>
      </c>
      <c r="S281" s="48" t="s">
        <v>1877</v>
      </c>
      <c r="T281" s="114" t="s">
        <v>2025</v>
      </c>
      <c r="U281" s="48"/>
      <c r="V281" s="39" t="s">
        <v>2178</v>
      </c>
      <c r="W281" s="41" t="s">
        <v>1878</v>
      </c>
      <c r="X281" s="50" t="s">
        <v>2169</v>
      </c>
    </row>
    <row r="282" spans="1:25" customFormat="1" ht="14.4" x14ac:dyDescent="0.3">
      <c r="A282" s="48">
        <f t="shared" si="14"/>
        <v>6</v>
      </c>
      <c r="B282" s="113">
        <v>46056</v>
      </c>
      <c r="C282" s="48" t="str">
        <f t="shared" si="15"/>
        <v>febrero</v>
      </c>
      <c r="D282" s="48" t="s">
        <v>2135</v>
      </c>
      <c r="E282" s="42" t="s">
        <v>2728</v>
      </c>
      <c r="F282" s="47" t="s">
        <v>2181</v>
      </c>
      <c r="G282" s="48">
        <v>1</v>
      </c>
      <c r="H282" s="48" t="s">
        <v>2016</v>
      </c>
      <c r="I282" s="197">
        <v>517.24</v>
      </c>
      <c r="J282" s="197">
        <v>517.24</v>
      </c>
      <c r="K282" s="197">
        <v>82.758400000000009</v>
      </c>
      <c r="L282" s="197">
        <v>599.99840000000006</v>
      </c>
      <c r="M282" s="198">
        <v>0</v>
      </c>
      <c r="N282" s="48" t="s">
        <v>1617</v>
      </c>
      <c r="O282" s="48" t="s">
        <v>571</v>
      </c>
      <c r="P282" s="48" t="s">
        <v>25</v>
      </c>
      <c r="Q282" s="48" t="s">
        <v>535</v>
      </c>
      <c r="R282" s="48" t="s">
        <v>2727</v>
      </c>
      <c r="S282" s="48" t="s">
        <v>1862</v>
      </c>
      <c r="T282" s="114" t="s">
        <v>2182</v>
      </c>
      <c r="U282" s="48"/>
      <c r="V282" s="39"/>
      <c r="W282" s="41" t="s">
        <v>1617</v>
      </c>
      <c r="X282" s="50" t="s">
        <v>2170</v>
      </c>
      <c r="Y282" s="50"/>
    </row>
    <row r="283" spans="1:25" customFormat="1" ht="14.4" x14ac:dyDescent="0.3">
      <c r="A283" s="48">
        <f t="shared" si="14"/>
        <v>6</v>
      </c>
      <c r="B283" s="113">
        <v>46056</v>
      </c>
      <c r="C283" s="48" t="str">
        <f t="shared" si="15"/>
        <v>febrero</v>
      </c>
      <c r="D283" s="48" t="s">
        <v>2135</v>
      </c>
      <c r="E283" s="42" t="s">
        <v>2728</v>
      </c>
      <c r="F283" s="47" t="s">
        <v>95</v>
      </c>
      <c r="G283" s="48">
        <v>1</v>
      </c>
      <c r="H283" s="48" t="s">
        <v>1705</v>
      </c>
      <c r="I283" s="197">
        <v>57.83</v>
      </c>
      <c r="J283" s="197">
        <v>57.83</v>
      </c>
      <c r="K283" s="197">
        <v>9.2528000000000006</v>
      </c>
      <c r="L283" s="200">
        <v>67.082799999999992</v>
      </c>
      <c r="M283" s="198">
        <v>0</v>
      </c>
      <c r="N283" s="48" t="s">
        <v>1617</v>
      </c>
      <c r="O283" s="48" t="s">
        <v>152</v>
      </c>
      <c r="P283" s="48" t="s">
        <v>25</v>
      </c>
      <c r="Q283" s="48" t="s">
        <v>535</v>
      </c>
      <c r="R283" s="48" t="s">
        <v>2727</v>
      </c>
      <c r="S283" s="48" t="s">
        <v>1665</v>
      </c>
      <c r="T283" s="114" t="s">
        <v>1617</v>
      </c>
      <c r="V283" s="131" t="s">
        <v>2018</v>
      </c>
      <c r="W283" s="41" t="s">
        <v>1762</v>
      </c>
      <c r="X283" s="50" t="s">
        <v>2171</v>
      </c>
      <c r="Y283" s="50"/>
    </row>
    <row r="284" spans="1:25" customFormat="1" ht="14.4" x14ac:dyDescent="0.3">
      <c r="A284" s="48">
        <f t="shared" si="14"/>
        <v>6</v>
      </c>
      <c r="B284" s="113">
        <v>46056</v>
      </c>
      <c r="C284" s="48" t="str">
        <f t="shared" si="15"/>
        <v>febrero</v>
      </c>
      <c r="D284" s="48" t="s">
        <v>2135</v>
      </c>
      <c r="E284" s="42" t="s">
        <v>2728</v>
      </c>
      <c r="F284" s="47" t="s">
        <v>2184</v>
      </c>
      <c r="G284" s="48">
        <v>1</v>
      </c>
      <c r="H284" s="48" t="s">
        <v>1705</v>
      </c>
      <c r="I284" s="197">
        <v>470.56</v>
      </c>
      <c r="J284" s="197">
        <v>470.56</v>
      </c>
      <c r="K284" s="197">
        <v>75.289600000000007</v>
      </c>
      <c r="L284" s="200">
        <v>545.84960000000001</v>
      </c>
      <c r="M284" s="198">
        <v>0</v>
      </c>
      <c r="N284" s="48" t="s">
        <v>1617</v>
      </c>
      <c r="O284" s="48" t="s">
        <v>571</v>
      </c>
      <c r="P284" s="48" t="s">
        <v>25</v>
      </c>
      <c r="Q284" s="48" t="s">
        <v>535</v>
      </c>
      <c r="R284" s="48" t="s">
        <v>2727</v>
      </c>
      <c r="S284" s="48" t="s">
        <v>1665</v>
      </c>
      <c r="T284" s="114" t="s">
        <v>1669</v>
      </c>
      <c r="U284" s="48"/>
      <c r="V284" s="131" t="s">
        <v>2018</v>
      </c>
      <c r="W284" s="41" t="s">
        <v>1762</v>
      </c>
      <c r="X284" s="50" t="s">
        <v>2171</v>
      </c>
      <c r="Y284" s="50"/>
    </row>
    <row r="285" spans="1:25" customFormat="1" ht="14.4" x14ac:dyDescent="0.3">
      <c r="A285" s="48">
        <f t="shared" si="14"/>
        <v>6</v>
      </c>
      <c r="B285" s="113">
        <v>46056</v>
      </c>
      <c r="C285" s="48" t="str">
        <f t="shared" si="15"/>
        <v>febrero</v>
      </c>
      <c r="D285" s="48" t="s">
        <v>2135</v>
      </c>
      <c r="E285" s="42" t="s">
        <v>2728</v>
      </c>
      <c r="F285" s="47" t="s">
        <v>2186</v>
      </c>
      <c r="G285" s="48">
        <v>1</v>
      </c>
      <c r="H285" s="48" t="s">
        <v>1705</v>
      </c>
      <c r="I285" s="197">
        <v>14.08</v>
      </c>
      <c r="J285" s="197">
        <v>14.08</v>
      </c>
      <c r="K285" s="197">
        <v>2.2528000000000001</v>
      </c>
      <c r="L285" s="200">
        <v>16.332799999999999</v>
      </c>
      <c r="M285" s="198">
        <v>0</v>
      </c>
      <c r="N285" s="48" t="s">
        <v>1617</v>
      </c>
      <c r="O285" s="48" t="s">
        <v>571</v>
      </c>
      <c r="P285" s="48" t="s">
        <v>25</v>
      </c>
      <c r="Q285" s="48" t="s">
        <v>535</v>
      </c>
      <c r="R285" s="48" t="s">
        <v>2727</v>
      </c>
      <c r="S285" s="48" t="s">
        <v>1665</v>
      </c>
      <c r="T285" s="114" t="s">
        <v>1617</v>
      </c>
      <c r="U285" s="48" t="s">
        <v>2187</v>
      </c>
      <c r="V285" s="131" t="s">
        <v>2018</v>
      </c>
      <c r="W285" s="41" t="s">
        <v>1762</v>
      </c>
      <c r="X285" s="50" t="s">
        <v>2171</v>
      </c>
      <c r="Y285" s="50"/>
    </row>
    <row r="286" spans="1:25" customFormat="1" ht="14.4" x14ac:dyDescent="0.3">
      <c r="A286" s="48">
        <f t="shared" si="14"/>
        <v>6</v>
      </c>
      <c r="B286" s="113">
        <v>46056</v>
      </c>
      <c r="C286" s="48" t="str">
        <f t="shared" si="15"/>
        <v>febrero</v>
      </c>
      <c r="D286" s="48" t="s">
        <v>2135</v>
      </c>
      <c r="E286" s="42" t="s">
        <v>2728</v>
      </c>
      <c r="F286" s="47" t="s">
        <v>2188</v>
      </c>
      <c r="G286" s="48">
        <v>4</v>
      </c>
      <c r="H286" s="48" t="s">
        <v>1705</v>
      </c>
      <c r="I286" s="197">
        <v>27.04</v>
      </c>
      <c r="J286" s="197">
        <v>108.16</v>
      </c>
      <c r="K286" s="197">
        <v>17.305599999999998</v>
      </c>
      <c r="L286" s="201">
        <v>125.46559999999999</v>
      </c>
      <c r="M286" s="198">
        <v>0</v>
      </c>
      <c r="N286" s="48" t="s">
        <v>1617</v>
      </c>
      <c r="O286" s="48" t="s">
        <v>152</v>
      </c>
      <c r="P286" s="48" t="s">
        <v>25</v>
      </c>
      <c r="Q286" s="48" t="s">
        <v>535</v>
      </c>
      <c r="R286" s="48" t="s">
        <v>2727</v>
      </c>
      <c r="S286" s="48" t="s">
        <v>1665</v>
      </c>
      <c r="T286" s="114" t="s">
        <v>1638</v>
      </c>
      <c r="U286" s="48"/>
      <c r="V286" s="131" t="s">
        <v>2189</v>
      </c>
      <c r="W286" s="41" t="s">
        <v>1762</v>
      </c>
      <c r="X286" s="50" t="s">
        <v>2177</v>
      </c>
      <c r="Y286" s="50"/>
    </row>
    <row r="287" spans="1:25" customFormat="1" ht="14.4" x14ac:dyDescent="0.3">
      <c r="A287" s="48">
        <f t="shared" si="14"/>
        <v>6</v>
      </c>
      <c r="B287" s="113">
        <v>46056</v>
      </c>
      <c r="C287" s="48" t="str">
        <f t="shared" si="15"/>
        <v>febrero</v>
      </c>
      <c r="D287" s="48" t="s">
        <v>2135</v>
      </c>
      <c r="E287" s="42" t="s">
        <v>2728</v>
      </c>
      <c r="F287" s="47" t="s">
        <v>95</v>
      </c>
      <c r="G287" s="48">
        <v>1</v>
      </c>
      <c r="H287" s="48" t="s">
        <v>1705</v>
      </c>
      <c r="I287" s="197">
        <v>37.18</v>
      </c>
      <c r="J287" s="197">
        <v>37.18</v>
      </c>
      <c r="K287" s="197">
        <v>5.9488000000000003</v>
      </c>
      <c r="L287" s="201">
        <v>43.128799999999998</v>
      </c>
      <c r="M287" s="198">
        <v>0</v>
      </c>
      <c r="N287" s="48" t="s">
        <v>1617</v>
      </c>
      <c r="O287" s="48" t="s">
        <v>571</v>
      </c>
      <c r="P287" s="48" t="s">
        <v>25</v>
      </c>
      <c r="Q287" s="48" t="s">
        <v>535</v>
      </c>
      <c r="R287" s="48" t="s">
        <v>2727</v>
      </c>
      <c r="S287" s="48" t="s">
        <v>1665</v>
      </c>
      <c r="T287" s="114" t="s">
        <v>1617</v>
      </c>
      <c r="U287" s="48"/>
      <c r="V287" s="131" t="s">
        <v>2189</v>
      </c>
      <c r="W287" s="41" t="s">
        <v>1762</v>
      </c>
      <c r="X287" s="50" t="s">
        <v>2177</v>
      </c>
      <c r="Y287" s="50"/>
    </row>
    <row r="288" spans="1:25" customFormat="1" ht="14.4" x14ac:dyDescent="0.3">
      <c r="A288" s="48">
        <f t="shared" si="14"/>
        <v>6</v>
      </c>
      <c r="B288" s="113">
        <v>46056</v>
      </c>
      <c r="C288" s="48" t="str">
        <f t="shared" si="15"/>
        <v>febrero</v>
      </c>
      <c r="D288" s="48" t="s">
        <v>2135</v>
      </c>
      <c r="E288" s="42" t="s">
        <v>2728</v>
      </c>
      <c r="F288" s="47" t="s">
        <v>92</v>
      </c>
      <c r="G288" s="48">
        <v>1</v>
      </c>
      <c r="H288" s="48" t="s">
        <v>1705</v>
      </c>
      <c r="I288" s="197">
        <v>45.36</v>
      </c>
      <c r="J288" s="197">
        <v>45.36</v>
      </c>
      <c r="K288" s="197">
        <v>7.2576000000000001</v>
      </c>
      <c r="L288" s="201">
        <v>52.617599999999996</v>
      </c>
      <c r="M288" s="198">
        <v>0</v>
      </c>
      <c r="N288" s="48" t="s">
        <v>1617</v>
      </c>
      <c r="O288" s="48" t="s">
        <v>571</v>
      </c>
      <c r="P288" s="48" t="s">
        <v>25</v>
      </c>
      <c r="Q288" s="48" t="s">
        <v>535</v>
      </c>
      <c r="R288" s="48" t="s">
        <v>2727</v>
      </c>
      <c r="S288" s="48" t="s">
        <v>1665</v>
      </c>
      <c r="T288" s="114" t="s">
        <v>1617</v>
      </c>
      <c r="U288" s="48" t="s">
        <v>2192</v>
      </c>
      <c r="V288" s="131" t="s">
        <v>2189</v>
      </c>
      <c r="W288" s="41" t="s">
        <v>1762</v>
      </c>
      <c r="X288" s="50" t="s">
        <v>2177</v>
      </c>
      <c r="Y288" s="50"/>
    </row>
    <row r="289" spans="1:25" customFormat="1" ht="14.4" x14ac:dyDescent="0.3">
      <c r="A289" s="48">
        <f t="shared" si="14"/>
        <v>6</v>
      </c>
      <c r="B289" s="113">
        <v>46056</v>
      </c>
      <c r="C289" s="48" t="str">
        <f t="shared" si="15"/>
        <v>febrero</v>
      </c>
      <c r="D289" s="48" t="s">
        <v>2135</v>
      </c>
      <c r="E289" s="42" t="s">
        <v>2728</v>
      </c>
      <c r="F289" s="47" t="s">
        <v>2194</v>
      </c>
      <c r="G289" s="48">
        <v>2</v>
      </c>
      <c r="H289" s="48" t="s">
        <v>1705</v>
      </c>
      <c r="I289" s="197">
        <v>16.3</v>
      </c>
      <c r="J289" s="197">
        <v>32.6</v>
      </c>
      <c r="K289" s="197">
        <v>0</v>
      </c>
      <c r="L289" s="200">
        <v>32.6</v>
      </c>
      <c r="M289" s="198">
        <v>0</v>
      </c>
      <c r="N289" s="48" t="s">
        <v>1617</v>
      </c>
      <c r="O289" s="48" t="s">
        <v>152</v>
      </c>
      <c r="P289" s="48" t="s">
        <v>25</v>
      </c>
      <c r="Q289" s="48" t="s">
        <v>535</v>
      </c>
      <c r="R289" s="48" t="s">
        <v>364</v>
      </c>
      <c r="S289" s="48" t="s">
        <v>1758</v>
      </c>
      <c r="T289" s="114" t="s">
        <v>1617</v>
      </c>
      <c r="U289" s="48" t="s">
        <v>1759</v>
      </c>
      <c r="V289" s="39" t="s">
        <v>2195</v>
      </c>
      <c r="W289" s="41" t="s">
        <v>1617</v>
      </c>
      <c r="X289" s="50" t="s">
        <v>2179</v>
      </c>
      <c r="Y289" s="50"/>
    </row>
    <row r="290" spans="1:25" customFormat="1" ht="14.4" x14ac:dyDescent="0.3">
      <c r="A290" s="48">
        <f t="shared" si="14"/>
        <v>6</v>
      </c>
      <c r="B290" s="113">
        <v>46056</v>
      </c>
      <c r="C290" s="48" t="str">
        <f t="shared" si="15"/>
        <v>febrero</v>
      </c>
      <c r="D290" s="48" t="s">
        <v>2135</v>
      </c>
      <c r="E290" s="42" t="s">
        <v>2728</v>
      </c>
      <c r="F290" s="47" t="s">
        <v>2197</v>
      </c>
      <c r="G290" s="48">
        <v>15</v>
      </c>
      <c r="H290" s="48" t="s">
        <v>1705</v>
      </c>
      <c r="I290" s="197">
        <v>6.16</v>
      </c>
      <c r="J290" s="197">
        <v>92.4</v>
      </c>
      <c r="K290" s="197">
        <v>0</v>
      </c>
      <c r="L290" s="200">
        <v>92.4</v>
      </c>
      <c r="M290" s="198">
        <v>0</v>
      </c>
      <c r="N290" s="48" t="s">
        <v>1617</v>
      </c>
      <c r="O290" s="48" t="s">
        <v>152</v>
      </c>
      <c r="P290" s="48" t="s">
        <v>25</v>
      </c>
      <c r="Q290" s="48" t="s">
        <v>535</v>
      </c>
      <c r="R290" s="48" t="s">
        <v>364</v>
      </c>
      <c r="S290" s="48" t="s">
        <v>1758</v>
      </c>
      <c r="T290" s="114" t="s">
        <v>1617</v>
      </c>
      <c r="U290" s="48" t="s">
        <v>1759</v>
      </c>
      <c r="V290" s="48" t="s">
        <v>2198</v>
      </c>
      <c r="W290" s="41" t="s">
        <v>1617</v>
      </c>
      <c r="X290" s="50" t="s">
        <v>2179</v>
      </c>
      <c r="Y290" s="50"/>
    </row>
    <row r="291" spans="1:25" customFormat="1" ht="14.4" x14ac:dyDescent="0.3">
      <c r="A291" s="48">
        <f t="shared" si="14"/>
        <v>6</v>
      </c>
      <c r="B291" s="113">
        <v>46056</v>
      </c>
      <c r="C291" s="48" t="str">
        <f t="shared" si="15"/>
        <v>febrero</v>
      </c>
      <c r="D291" s="48" t="s">
        <v>2135</v>
      </c>
      <c r="E291" s="42" t="s">
        <v>2728</v>
      </c>
      <c r="F291" s="47" t="s">
        <v>1760</v>
      </c>
      <c r="G291" s="48">
        <v>1</v>
      </c>
      <c r="H291" s="48" t="s">
        <v>1705</v>
      </c>
      <c r="I291" s="197">
        <v>930</v>
      </c>
      <c r="J291" s="197">
        <v>930</v>
      </c>
      <c r="K291" s="197">
        <v>0</v>
      </c>
      <c r="L291" s="197">
        <v>930</v>
      </c>
      <c r="M291" s="198">
        <v>0</v>
      </c>
      <c r="N291" s="48" t="s">
        <v>1617</v>
      </c>
      <c r="O291" s="48" t="s">
        <v>152</v>
      </c>
      <c r="P291" s="48" t="s">
        <v>25</v>
      </c>
      <c r="Q291" s="48" t="s">
        <v>535</v>
      </c>
      <c r="R291" s="48" t="s">
        <v>2727</v>
      </c>
      <c r="S291" s="48" t="s">
        <v>2922</v>
      </c>
      <c r="T291" s="114" t="s">
        <v>1617</v>
      </c>
      <c r="U291" s="48" t="s">
        <v>1761</v>
      </c>
      <c r="V291" s="39"/>
      <c r="W291" s="41" t="s">
        <v>1617</v>
      </c>
      <c r="X291" s="50" t="s">
        <v>2180</v>
      </c>
      <c r="Y291" s="50"/>
    </row>
    <row r="292" spans="1:25" customFormat="1" ht="14.4" x14ac:dyDescent="0.3">
      <c r="A292" s="48">
        <f t="shared" si="14"/>
        <v>6</v>
      </c>
      <c r="B292" s="113">
        <v>46056</v>
      </c>
      <c r="C292" s="48" t="str">
        <f t="shared" si="15"/>
        <v>febrero</v>
      </c>
      <c r="D292" s="48" t="s">
        <v>2135</v>
      </c>
      <c r="E292" s="42" t="s">
        <v>477</v>
      </c>
      <c r="F292" s="47" t="s">
        <v>559</v>
      </c>
      <c r="G292" s="48">
        <v>1</v>
      </c>
      <c r="H292" s="48" t="s">
        <v>1617</v>
      </c>
      <c r="I292" s="197">
        <v>767</v>
      </c>
      <c r="J292" s="197">
        <v>767</v>
      </c>
      <c r="K292" s="197">
        <v>0</v>
      </c>
      <c r="L292" s="197">
        <v>767</v>
      </c>
      <c r="M292" s="198">
        <v>0</v>
      </c>
      <c r="N292" s="48" t="s">
        <v>1617</v>
      </c>
      <c r="O292" s="48" t="s">
        <v>150</v>
      </c>
      <c r="P292" s="48" t="s">
        <v>25</v>
      </c>
      <c r="Q292" s="48" t="s">
        <v>1766</v>
      </c>
      <c r="R292" s="48" t="s">
        <v>2735</v>
      </c>
      <c r="S292" s="48" t="s">
        <v>1751</v>
      </c>
      <c r="T292" s="114" t="s">
        <v>1617</v>
      </c>
      <c r="U292" s="48" t="s">
        <v>1752</v>
      </c>
      <c r="V292" s="39"/>
      <c r="W292" s="41" t="s">
        <v>1764</v>
      </c>
      <c r="X292" s="50" t="s">
        <v>2183</v>
      </c>
      <c r="Y292" s="50"/>
    </row>
    <row r="293" spans="1:25" customFormat="1" ht="14.4" x14ac:dyDescent="0.3">
      <c r="A293" s="48">
        <f t="shared" si="14"/>
        <v>6</v>
      </c>
      <c r="B293" s="113">
        <v>46056</v>
      </c>
      <c r="C293" s="48" t="str">
        <f t="shared" si="15"/>
        <v>febrero</v>
      </c>
      <c r="D293" s="48" t="s">
        <v>2135</v>
      </c>
      <c r="E293" s="42" t="s">
        <v>356</v>
      </c>
      <c r="F293" s="47" t="s">
        <v>127</v>
      </c>
      <c r="G293" s="125">
        <v>6.4459999999999997</v>
      </c>
      <c r="H293" s="48" t="s">
        <v>2017</v>
      </c>
      <c r="I293" s="197">
        <v>20.059999999999999</v>
      </c>
      <c r="J293" s="197">
        <v>129.30676</v>
      </c>
      <c r="K293" s="197">
        <v>20.689081600000002</v>
      </c>
      <c r="L293" s="197">
        <v>149.99584160000001</v>
      </c>
      <c r="M293" s="198">
        <v>0</v>
      </c>
      <c r="N293" s="48" t="s">
        <v>1617</v>
      </c>
      <c r="O293" s="48" t="s">
        <v>1736</v>
      </c>
      <c r="P293" s="49" t="s">
        <v>1321</v>
      </c>
      <c r="Q293" s="48" t="s">
        <v>488</v>
      </c>
      <c r="R293" s="48" t="s">
        <v>364</v>
      </c>
      <c r="S293" s="48" t="s">
        <v>1619</v>
      </c>
      <c r="T293" s="114" t="s">
        <v>2025</v>
      </c>
      <c r="U293" s="48" t="s">
        <v>2921</v>
      </c>
      <c r="V293" s="39" t="s">
        <v>1879</v>
      </c>
      <c r="W293" s="41" t="s">
        <v>1617</v>
      </c>
      <c r="X293" s="50" t="s">
        <v>2185</v>
      </c>
      <c r="Y293" s="50"/>
    </row>
    <row r="294" spans="1:25" customFormat="1" ht="14.4" x14ac:dyDescent="0.3">
      <c r="A294" s="48">
        <f t="shared" si="14"/>
        <v>6</v>
      </c>
      <c r="B294" s="113">
        <v>46056</v>
      </c>
      <c r="C294" s="48" t="str">
        <f t="shared" si="15"/>
        <v>febrero</v>
      </c>
      <c r="D294" s="48" t="s">
        <v>2135</v>
      </c>
      <c r="E294" s="42" t="s">
        <v>2732</v>
      </c>
      <c r="F294" s="47" t="s">
        <v>1765</v>
      </c>
      <c r="G294" s="48">
        <v>2</v>
      </c>
      <c r="H294" s="48" t="s">
        <v>2139</v>
      </c>
      <c r="I294" s="197">
        <v>174.14</v>
      </c>
      <c r="J294" s="197">
        <v>348.28</v>
      </c>
      <c r="K294" s="197">
        <v>55.724799999999995</v>
      </c>
      <c r="L294" s="197">
        <v>404.00479999999999</v>
      </c>
      <c r="M294" s="198">
        <v>0</v>
      </c>
      <c r="N294" s="48" t="s">
        <v>1617</v>
      </c>
      <c r="O294" s="48" t="s">
        <v>116</v>
      </c>
      <c r="P294" s="48" t="s">
        <v>25</v>
      </c>
      <c r="Q294" s="48" t="s">
        <v>1766</v>
      </c>
      <c r="R294" s="48" t="s">
        <v>2727</v>
      </c>
      <c r="S294" s="48" t="s">
        <v>1767</v>
      </c>
      <c r="T294" s="114" t="s">
        <v>2201</v>
      </c>
      <c r="U294" s="48" t="s">
        <v>1768</v>
      </c>
      <c r="V294" s="39"/>
      <c r="W294" s="41" t="s">
        <v>1769</v>
      </c>
    </row>
    <row r="295" spans="1:25" customFormat="1" ht="14.4" x14ac:dyDescent="0.3">
      <c r="A295" s="48">
        <f t="shared" si="14"/>
        <v>6</v>
      </c>
      <c r="B295" s="113">
        <v>46057</v>
      </c>
      <c r="C295" s="48" t="str">
        <f t="shared" si="15"/>
        <v>febrero</v>
      </c>
      <c r="D295" s="48" t="s">
        <v>2135</v>
      </c>
      <c r="E295" s="42" t="s">
        <v>477</v>
      </c>
      <c r="F295" s="47" t="s">
        <v>559</v>
      </c>
      <c r="G295" s="48">
        <v>1</v>
      </c>
      <c r="H295" s="48" t="s">
        <v>1705</v>
      </c>
      <c r="I295" s="197">
        <v>610</v>
      </c>
      <c r="J295" s="197">
        <v>610</v>
      </c>
      <c r="K295" s="197">
        <v>0</v>
      </c>
      <c r="L295" s="197">
        <v>610</v>
      </c>
      <c r="M295" s="198">
        <v>0</v>
      </c>
      <c r="N295" s="48" t="s">
        <v>1617</v>
      </c>
      <c r="O295" s="48" t="s">
        <v>120</v>
      </c>
      <c r="P295" s="48" t="s">
        <v>25</v>
      </c>
      <c r="Q295" s="48" t="s">
        <v>1766</v>
      </c>
      <c r="R295" s="48" t="s">
        <v>364</v>
      </c>
      <c r="S295" s="48" t="s">
        <v>1827</v>
      </c>
      <c r="T295" s="114" t="s">
        <v>1617</v>
      </c>
      <c r="U295" s="48" t="s">
        <v>1828</v>
      </c>
      <c r="V295" s="39"/>
      <c r="W295" s="41" t="s">
        <v>1617</v>
      </c>
      <c r="X295" s="50" t="s">
        <v>2190</v>
      </c>
      <c r="Y295" s="50"/>
    </row>
    <row r="296" spans="1:25" customFormat="1" ht="14.4" x14ac:dyDescent="0.3">
      <c r="A296" s="48">
        <f t="shared" si="14"/>
        <v>6</v>
      </c>
      <c r="B296" s="113">
        <v>46057</v>
      </c>
      <c r="C296" s="48" t="str">
        <f t="shared" si="15"/>
        <v>febrero</v>
      </c>
      <c r="D296" s="48" t="s">
        <v>2135</v>
      </c>
      <c r="E296" s="42" t="s">
        <v>356</v>
      </c>
      <c r="F296" s="47" t="s">
        <v>127</v>
      </c>
      <c r="G296" s="117">
        <v>13.010999999999999</v>
      </c>
      <c r="H296" s="48" t="s">
        <v>2017</v>
      </c>
      <c r="I296" s="197">
        <v>19.876999999999999</v>
      </c>
      <c r="J296" s="197">
        <v>258.61964699999999</v>
      </c>
      <c r="K296" s="197">
        <v>41.37914352</v>
      </c>
      <c r="L296" s="197">
        <v>299.99879052</v>
      </c>
      <c r="M296" s="198">
        <v>0</v>
      </c>
      <c r="N296" s="48" t="s">
        <v>1617</v>
      </c>
      <c r="O296" s="48" t="s">
        <v>573</v>
      </c>
      <c r="P296" s="48" t="s">
        <v>25</v>
      </c>
      <c r="Q296" s="48" t="s">
        <v>488</v>
      </c>
      <c r="R296" s="48" t="s">
        <v>2727</v>
      </c>
      <c r="S296" s="48" t="s">
        <v>647</v>
      </c>
      <c r="T296" s="114" t="s">
        <v>2025</v>
      </c>
      <c r="U296" s="48"/>
      <c r="V296" s="39"/>
      <c r="W296" s="41" t="s">
        <v>1864</v>
      </c>
      <c r="X296" s="50" t="s">
        <v>2191</v>
      </c>
      <c r="Y296" s="50"/>
    </row>
    <row r="297" spans="1:25" customFormat="1" ht="14.4" x14ac:dyDescent="0.3">
      <c r="A297" s="48">
        <f t="shared" ref="A297:A360" si="16">WEEKNUM(B297)</f>
        <v>6</v>
      </c>
      <c r="B297" s="113">
        <v>46057</v>
      </c>
      <c r="C297" s="48" t="str">
        <f t="shared" si="15"/>
        <v>febrero</v>
      </c>
      <c r="D297" s="48" t="s">
        <v>2135</v>
      </c>
      <c r="E297" s="42" t="s">
        <v>2728</v>
      </c>
      <c r="F297" s="47" t="s">
        <v>1886</v>
      </c>
      <c r="G297" s="48">
        <v>1</v>
      </c>
      <c r="H297" s="48" t="s">
        <v>1705</v>
      </c>
      <c r="I297" s="197">
        <v>85</v>
      </c>
      <c r="J297" s="197">
        <v>85</v>
      </c>
      <c r="K297" s="197">
        <v>13.6</v>
      </c>
      <c r="L297" s="197">
        <v>98.6</v>
      </c>
      <c r="M297" s="198">
        <v>0</v>
      </c>
      <c r="N297" s="48" t="s">
        <v>1617</v>
      </c>
      <c r="O297" s="48" t="s">
        <v>118</v>
      </c>
      <c r="P297" s="48" t="s">
        <v>25</v>
      </c>
      <c r="Q297" s="48" t="s">
        <v>1853</v>
      </c>
      <c r="R297" s="48" t="s">
        <v>2727</v>
      </c>
      <c r="S297" s="48" t="s">
        <v>1887</v>
      </c>
      <c r="T297" s="114" t="s">
        <v>1617</v>
      </c>
      <c r="U297" s="48"/>
      <c r="V297" s="39"/>
      <c r="W297" s="41" t="s">
        <v>1762</v>
      </c>
      <c r="X297" s="50" t="s">
        <v>2193</v>
      </c>
    </row>
    <row r="298" spans="1:25" customFormat="1" ht="14.4" x14ac:dyDescent="0.3">
      <c r="A298" s="48">
        <f t="shared" si="16"/>
        <v>6</v>
      </c>
      <c r="B298" s="113">
        <v>46057</v>
      </c>
      <c r="C298" s="48" t="str">
        <f t="shared" si="15"/>
        <v>febrero</v>
      </c>
      <c r="D298" s="48" t="s">
        <v>2135</v>
      </c>
      <c r="E298" s="42" t="s">
        <v>2728</v>
      </c>
      <c r="F298" s="47" t="s">
        <v>2202</v>
      </c>
      <c r="G298" s="48">
        <v>1</v>
      </c>
      <c r="H298" s="48" t="s">
        <v>2016</v>
      </c>
      <c r="I298" s="197">
        <v>398</v>
      </c>
      <c r="J298" s="197">
        <v>398</v>
      </c>
      <c r="K298" s="197">
        <v>63.68</v>
      </c>
      <c r="L298" s="197">
        <v>461.68</v>
      </c>
      <c r="M298" s="198">
        <v>0</v>
      </c>
      <c r="N298" s="48" t="s">
        <v>1617</v>
      </c>
      <c r="O298" s="48" t="s">
        <v>1611</v>
      </c>
      <c r="P298" s="48" t="s">
        <v>25</v>
      </c>
      <c r="Q298" s="48" t="s">
        <v>1853</v>
      </c>
      <c r="R298" s="48" t="s">
        <v>2726</v>
      </c>
      <c r="S298" s="48" t="s">
        <v>1875</v>
      </c>
      <c r="T298" s="114" t="s">
        <v>1617</v>
      </c>
      <c r="U298" s="48"/>
      <c r="V298" s="39"/>
      <c r="W298" s="41" t="s">
        <v>2026</v>
      </c>
      <c r="X298" s="50" t="s">
        <v>2196</v>
      </c>
      <c r="Y298" s="50"/>
    </row>
    <row r="299" spans="1:25" customFormat="1" ht="14.4" x14ac:dyDescent="0.3">
      <c r="A299" s="48">
        <f t="shared" si="16"/>
        <v>6</v>
      </c>
      <c r="B299" s="113">
        <v>46057</v>
      </c>
      <c r="C299" s="48" t="str">
        <f t="shared" si="15"/>
        <v>febrero</v>
      </c>
      <c r="D299" s="48" t="s">
        <v>2135</v>
      </c>
      <c r="E299" s="42" t="s">
        <v>2728</v>
      </c>
      <c r="F299" s="47" t="s">
        <v>2203</v>
      </c>
      <c r="G299" s="48">
        <v>4</v>
      </c>
      <c r="H299" s="48" t="s">
        <v>1705</v>
      </c>
      <c r="I299" s="197">
        <v>15</v>
      </c>
      <c r="J299" s="197">
        <v>60</v>
      </c>
      <c r="K299" s="197">
        <v>0</v>
      </c>
      <c r="L299" s="197">
        <v>60</v>
      </c>
      <c r="M299" s="198">
        <v>0</v>
      </c>
      <c r="N299" s="48" t="s">
        <v>1617</v>
      </c>
      <c r="O299" s="48" t="s">
        <v>1611</v>
      </c>
      <c r="P299" s="48" t="s">
        <v>25</v>
      </c>
      <c r="Q299" s="48" t="s">
        <v>535</v>
      </c>
      <c r="R299" s="48" t="s">
        <v>364</v>
      </c>
      <c r="S299" s="48" t="s">
        <v>1763</v>
      </c>
      <c r="T299" s="114" t="s">
        <v>1617</v>
      </c>
      <c r="U299" s="48" t="s">
        <v>1759</v>
      </c>
      <c r="V299" s="39"/>
      <c r="W299" s="41" t="s">
        <v>1617</v>
      </c>
      <c r="X299" s="50" t="s">
        <v>2199</v>
      </c>
      <c r="Y299" s="50"/>
    </row>
    <row r="300" spans="1:25" customFormat="1" ht="14.4" x14ac:dyDescent="0.3">
      <c r="A300" s="48">
        <f t="shared" si="16"/>
        <v>6</v>
      </c>
      <c r="B300" s="113">
        <v>46057</v>
      </c>
      <c r="C300" s="48" t="str">
        <f t="shared" si="15"/>
        <v>febrero</v>
      </c>
      <c r="D300" s="48" t="s">
        <v>2135</v>
      </c>
      <c r="E300" s="42" t="s">
        <v>2728</v>
      </c>
      <c r="F300" s="47" t="s">
        <v>95</v>
      </c>
      <c r="G300" s="48">
        <v>1</v>
      </c>
      <c r="H300" s="48" t="s">
        <v>1705</v>
      </c>
      <c r="I300" s="197">
        <v>68.97</v>
      </c>
      <c r="J300" s="197">
        <v>68.97</v>
      </c>
      <c r="K300" s="197">
        <v>11.0352</v>
      </c>
      <c r="L300" s="200">
        <v>80.005200000000002</v>
      </c>
      <c r="M300" s="198">
        <v>0</v>
      </c>
      <c r="N300" s="48" t="s">
        <v>872</v>
      </c>
      <c r="O300" s="48" t="s">
        <v>256</v>
      </c>
      <c r="P300" s="48" t="s">
        <v>39</v>
      </c>
      <c r="Q300" s="48" t="s">
        <v>241</v>
      </c>
      <c r="R300" s="48" t="s">
        <v>2726</v>
      </c>
      <c r="S300" s="48" t="s">
        <v>1713</v>
      </c>
      <c r="T300" s="114" t="s">
        <v>2168</v>
      </c>
      <c r="U300" s="48"/>
      <c r="V300" s="131" t="s">
        <v>2018</v>
      </c>
      <c r="W300" s="41" t="s">
        <v>1762</v>
      </c>
      <c r="X300" s="50" t="s">
        <v>2200</v>
      </c>
      <c r="Y300" s="50"/>
    </row>
    <row r="301" spans="1:25" customFormat="1" ht="14.4" x14ac:dyDescent="0.3">
      <c r="A301" s="48">
        <f t="shared" si="16"/>
        <v>6</v>
      </c>
      <c r="B301" s="113">
        <v>46057</v>
      </c>
      <c r="C301" s="48" t="str">
        <f t="shared" si="15"/>
        <v>febrero</v>
      </c>
      <c r="D301" s="48" t="s">
        <v>2135</v>
      </c>
      <c r="E301" s="42" t="s">
        <v>2728</v>
      </c>
      <c r="F301" s="47" t="s">
        <v>92</v>
      </c>
      <c r="G301" s="48">
        <v>1</v>
      </c>
      <c r="H301" s="48" t="s">
        <v>1705</v>
      </c>
      <c r="I301" s="197">
        <v>94.83</v>
      </c>
      <c r="J301" s="197">
        <v>94.83</v>
      </c>
      <c r="K301" s="197">
        <v>15.172800000000001</v>
      </c>
      <c r="L301" s="200">
        <v>110.00279999999999</v>
      </c>
      <c r="M301" s="198">
        <v>0</v>
      </c>
      <c r="N301" s="48" t="s">
        <v>872</v>
      </c>
      <c r="O301" s="48" t="s">
        <v>256</v>
      </c>
      <c r="P301" s="48" t="s">
        <v>39</v>
      </c>
      <c r="Q301" s="48" t="s">
        <v>241</v>
      </c>
      <c r="R301" s="48" t="s">
        <v>2726</v>
      </c>
      <c r="S301" s="48" t="s">
        <v>1713</v>
      </c>
      <c r="T301" s="114" t="s">
        <v>1617</v>
      </c>
      <c r="U301" s="48"/>
      <c r="V301" s="131" t="s">
        <v>2018</v>
      </c>
      <c r="W301" s="41" t="s">
        <v>1762</v>
      </c>
      <c r="X301" s="50" t="s">
        <v>2200</v>
      </c>
      <c r="Y301" s="50"/>
    </row>
    <row r="302" spans="1:25" customFormat="1" ht="14.4" x14ac:dyDescent="0.3">
      <c r="A302" s="48">
        <f t="shared" si="16"/>
        <v>6</v>
      </c>
      <c r="B302" s="113">
        <v>46057</v>
      </c>
      <c r="C302" s="48" t="str">
        <f t="shared" si="15"/>
        <v>febrero</v>
      </c>
      <c r="D302" s="48" t="s">
        <v>2135</v>
      </c>
      <c r="E302" s="42" t="s">
        <v>2728</v>
      </c>
      <c r="F302" s="47" t="s">
        <v>2204</v>
      </c>
      <c r="G302" s="48">
        <v>1</v>
      </c>
      <c r="H302" s="48" t="s">
        <v>1705</v>
      </c>
      <c r="I302" s="197">
        <v>431.03</v>
      </c>
      <c r="J302" s="197">
        <v>431.03</v>
      </c>
      <c r="K302" s="197">
        <v>68.964799999999997</v>
      </c>
      <c r="L302" s="200">
        <v>499.99479999999994</v>
      </c>
      <c r="M302" s="198">
        <v>0</v>
      </c>
      <c r="N302" s="48" t="s">
        <v>872</v>
      </c>
      <c r="O302" s="48" t="s">
        <v>256</v>
      </c>
      <c r="P302" s="48" t="s">
        <v>39</v>
      </c>
      <c r="Q302" s="48" t="s">
        <v>241</v>
      </c>
      <c r="R302" s="48" t="s">
        <v>2726</v>
      </c>
      <c r="S302" s="48" t="s">
        <v>1713</v>
      </c>
      <c r="T302" s="114" t="s">
        <v>2205</v>
      </c>
      <c r="U302" s="48"/>
      <c r="V302" s="131" t="s">
        <v>2018</v>
      </c>
      <c r="W302" s="41" t="s">
        <v>1762</v>
      </c>
      <c r="X302" s="50" t="s">
        <v>2200</v>
      </c>
      <c r="Y302" s="50"/>
    </row>
    <row r="303" spans="1:25" customFormat="1" ht="14.4" x14ac:dyDescent="0.3">
      <c r="A303" s="48">
        <f t="shared" si="16"/>
        <v>6</v>
      </c>
      <c r="B303" s="113">
        <v>46057</v>
      </c>
      <c r="C303" s="48" t="str">
        <f t="shared" si="15"/>
        <v>febrero</v>
      </c>
      <c r="D303" s="48" t="s">
        <v>2135</v>
      </c>
      <c r="E303" s="42" t="s">
        <v>2728</v>
      </c>
      <c r="F303" s="47" t="s">
        <v>2188</v>
      </c>
      <c r="G303" s="48">
        <v>4</v>
      </c>
      <c r="H303" s="48" t="s">
        <v>1705</v>
      </c>
      <c r="I303" s="197">
        <v>133.62</v>
      </c>
      <c r="J303" s="197">
        <v>534.48</v>
      </c>
      <c r="K303" s="197">
        <v>85.516800000000003</v>
      </c>
      <c r="L303" s="200">
        <v>619.99680000000001</v>
      </c>
      <c r="M303" s="198">
        <v>0</v>
      </c>
      <c r="N303" s="48" t="s">
        <v>872</v>
      </c>
      <c r="O303" s="48" t="s">
        <v>256</v>
      </c>
      <c r="P303" s="48" t="s">
        <v>39</v>
      </c>
      <c r="Q303" s="48" t="s">
        <v>241</v>
      </c>
      <c r="R303" s="48" t="s">
        <v>2726</v>
      </c>
      <c r="S303" s="48" t="s">
        <v>1713</v>
      </c>
      <c r="T303" s="114" t="s">
        <v>1638</v>
      </c>
      <c r="U303" s="48"/>
      <c r="V303" s="131" t="s">
        <v>2018</v>
      </c>
      <c r="W303" s="41" t="s">
        <v>1762</v>
      </c>
      <c r="X303" s="50" t="s">
        <v>2200</v>
      </c>
      <c r="Y303" s="50"/>
    </row>
    <row r="304" spans="1:25" customFormat="1" ht="14.4" x14ac:dyDescent="0.3">
      <c r="A304" s="48">
        <f t="shared" si="16"/>
        <v>6</v>
      </c>
      <c r="B304" s="113">
        <v>46057</v>
      </c>
      <c r="C304" s="48" t="str">
        <f t="shared" si="15"/>
        <v>febrero</v>
      </c>
      <c r="D304" s="48" t="s">
        <v>2135</v>
      </c>
      <c r="E304" s="42" t="s">
        <v>2728</v>
      </c>
      <c r="F304" s="47" t="s">
        <v>1808</v>
      </c>
      <c r="G304" s="48">
        <v>1</v>
      </c>
      <c r="H304" s="48" t="s">
        <v>2016</v>
      </c>
      <c r="I304" s="197">
        <v>431.03</v>
      </c>
      <c r="J304" s="197">
        <v>431.03</v>
      </c>
      <c r="K304" s="197">
        <v>68.964799999999997</v>
      </c>
      <c r="L304" s="200">
        <v>499.99479999999994</v>
      </c>
      <c r="M304" s="198">
        <v>0</v>
      </c>
      <c r="N304" s="48" t="s">
        <v>872</v>
      </c>
      <c r="O304" s="48" t="s">
        <v>256</v>
      </c>
      <c r="P304" s="48" t="s">
        <v>39</v>
      </c>
      <c r="Q304" s="48" t="s">
        <v>241</v>
      </c>
      <c r="R304" s="48" t="s">
        <v>2726</v>
      </c>
      <c r="S304" s="48" t="s">
        <v>1713</v>
      </c>
      <c r="T304" s="114" t="s">
        <v>1617</v>
      </c>
      <c r="U304" s="48" t="s">
        <v>2206</v>
      </c>
      <c r="V304" s="131" t="s">
        <v>2018</v>
      </c>
      <c r="W304" s="41" t="s">
        <v>1762</v>
      </c>
      <c r="X304" s="50" t="s">
        <v>2200</v>
      </c>
      <c r="Y304" s="50"/>
    </row>
    <row r="305" spans="1:25" customFormat="1" ht="14.4" x14ac:dyDescent="0.3">
      <c r="A305" s="48">
        <f t="shared" si="16"/>
        <v>6</v>
      </c>
      <c r="B305" s="113">
        <v>46058</v>
      </c>
      <c r="C305" s="48" t="str">
        <f t="shared" si="15"/>
        <v>febrero</v>
      </c>
      <c r="D305" s="48" t="s">
        <v>2135</v>
      </c>
      <c r="E305" s="42" t="s">
        <v>477</v>
      </c>
      <c r="F305" s="47" t="s">
        <v>1770</v>
      </c>
      <c r="G305" s="48">
        <v>1</v>
      </c>
      <c r="H305" s="48" t="s">
        <v>2138</v>
      </c>
      <c r="I305" s="197">
        <v>760</v>
      </c>
      <c r="J305" s="197">
        <v>760</v>
      </c>
      <c r="K305" s="197">
        <v>0</v>
      </c>
      <c r="L305" s="197">
        <v>760</v>
      </c>
      <c r="M305" s="198">
        <v>0</v>
      </c>
      <c r="N305" s="48" t="s">
        <v>1617</v>
      </c>
      <c r="O305" s="48" t="s">
        <v>183</v>
      </c>
      <c r="P305" s="48" t="s">
        <v>25</v>
      </c>
      <c r="Q305" s="48" t="s">
        <v>1766</v>
      </c>
      <c r="R305" s="48" t="s">
        <v>364</v>
      </c>
      <c r="S305" s="48" t="s">
        <v>722</v>
      </c>
      <c r="T305" s="114" t="s">
        <v>1617</v>
      </c>
      <c r="U305" s="48" t="s">
        <v>1771</v>
      </c>
      <c r="V305" s="39"/>
      <c r="W305" s="119" t="s">
        <v>1772</v>
      </c>
      <c r="Y305" s="50"/>
    </row>
    <row r="306" spans="1:25" customFormat="1" ht="14.4" x14ac:dyDescent="0.3">
      <c r="A306" s="48">
        <f t="shared" si="16"/>
        <v>6</v>
      </c>
      <c r="B306" s="113">
        <v>46058</v>
      </c>
      <c r="C306" s="48" t="str">
        <f t="shared" si="15"/>
        <v>febrero</v>
      </c>
      <c r="D306" s="48" t="s">
        <v>2135</v>
      </c>
      <c r="E306" s="42" t="s">
        <v>477</v>
      </c>
      <c r="F306" s="47" t="s">
        <v>1770</v>
      </c>
      <c r="G306" s="48">
        <v>1</v>
      </c>
      <c r="H306" s="48" t="s">
        <v>2138</v>
      </c>
      <c r="I306" s="197">
        <v>760</v>
      </c>
      <c r="J306" s="197">
        <v>760</v>
      </c>
      <c r="K306" s="197">
        <v>0</v>
      </c>
      <c r="L306" s="197">
        <v>760</v>
      </c>
      <c r="M306" s="198">
        <v>0</v>
      </c>
      <c r="N306" s="48" t="s">
        <v>1617</v>
      </c>
      <c r="O306" s="48" t="s">
        <v>123</v>
      </c>
      <c r="P306" s="48" t="s">
        <v>39</v>
      </c>
      <c r="Q306" s="48" t="s">
        <v>1766</v>
      </c>
      <c r="R306" s="48" t="s">
        <v>364</v>
      </c>
      <c r="S306" s="48" t="s">
        <v>722</v>
      </c>
      <c r="T306" s="114" t="s">
        <v>1617</v>
      </c>
      <c r="U306" s="48" t="s">
        <v>1771</v>
      </c>
      <c r="V306" s="39"/>
      <c r="W306" s="119" t="s">
        <v>1773</v>
      </c>
      <c r="Y306" s="50"/>
    </row>
    <row r="307" spans="1:25" customFormat="1" ht="14.4" x14ac:dyDescent="0.3">
      <c r="A307" s="48">
        <f t="shared" si="16"/>
        <v>6</v>
      </c>
      <c r="B307" s="113">
        <v>46058</v>
      </c>
      <c r="C307" s="48" t="str">
        <f t="shared" si="15"/>
        <v>febrero</v>
      </c>
      <c r="D307" s="48" t="s">
        <v>2135</v>
      </c>
      <c r="E307" s="42" t="s">
        <v>477</v>
      </c>
      <c r="F307" s="47" t="s">
        <v>1770</v>
      </c>
      <c r="G307" s="48">
        <v>1</v>
      </c>
      <c r="H307" s="48" t="s">
        <v>2138</v>
      </c>
      <c r="I307" s="197">
        <v>760</v>
      </c>
      <c r="J307" s="197">
        <v>760</v>
      </c>
      <c r="K307" s="197">
        <v>0</v>
      </c>
      <c r="L307" s="197">
        <v>760</v>
      </c>
      <c r="M307" s="198">
        <v>0</v>
      </c>
      <c r="N307" s="48" t="s">
        <v>1617</v>
      </c>
      <c r="O307" s="48" t="s">
        <v>150</v>
      </c>
      <c r="P307" s="48" t="s">
        <v>25</v>
      </c>
      <c r="Q307" s="48" t="s">
        <v>1766</v>
      </c>
      <c r="R307" s="48" t="s">
        <v>364</v>
      </c>
      <c r="S307" s="48" t="s">
        <v>722</v>
      </c>
      <c r="T307" s="114" t="s">
        <v>1617</v>
      </c>
      <c r="U307" s="48" t="s">
        <v>1771</v>
      </c>
      <c r="V307" s="39"/>
      <c r="W307" s="119" t="s">
        <v>1774</v>
      </c>
      <c r="Y307" s="50"/>
    </row>
    <row r="308" spans="1:25" customFormat="1" ht="14.4" x14ac:dyDescent="0.3">
      <c r="A308" s="48">
        <f t="shared" si="16"/>
        <v>6</v>
      </c>
      <c r="B308" s="113">
        <v>46058</v>
      </c>
      <c r="C308" s="48" t="str">
        <f t="shared" si="15"/>
        <v>febrero</v>
      </c>
      <c r="D308" s="48" t="s">
        <v>2135</v>
      </c>
      <c r="E308" s="42" t="s">
        <v>477</v>
      </c>
      <c r="F308" s="47" t="s">
        <v>1770</v>
      </c>
      <c r="G308" s="48">
        <v>1</v>
      </c>
      <c r="H308" s="48" t="s">
        <v>2138</v>
      </c>
      <c r="I308" s="197">
        <v>760</v>
      </c>
      <c r="J308" s="197">
        <v>760</v>
      </c>
      <c r="K308" s="197">
        <v>0</v>
      </c>
      <c r="L308" s="197">
        <v>760</v>
      </c>
      <c r="M308" s="198">
        <v>0</v>
      </c>
      <c r="N308" s="48" t="s">
        <v>1617</v>
      </c>
      <c r="O308" s="48" t="s">
        <v>46</v>
      </c>
      <c r="P308" s="48" t="s">
        <v>25</v>
      </c>
      <c r="Q308" s="48" t="s">
        <v>1766</v>
      </c>
      <c r="R308" s="48" t="s">
        <v>364</v>
      </c>
      <c r="S308" s="48" t="s">
        <v>722</v>
      </c>
      <c r="T308" s="114" t="s">
        <v>1617</v>
      </c>
      <c r="U308" s="48" t="s">
        <v>1771</v>
      </c>
      <c r="V308" s="39"/>
      <c r="W308" s="119" t="s">
        <v>1775</v>
      </c>
      <c r="Y308" s="50"/>
    </row>
    <row r="309" spans="1:25" customFormat="1" ht="14.4" x14ac:dyDescent="0.3">
      <c r="A309" s="48">
        <f t="shared" si="16"/>
        <v>6</v>
      </c>
      <c r="B309" s="113">
        <v>46058</v>
      </c>
      <c r="C309" s="48" t="str">
        <f t="shared" si="15"/>
        <v>febrero</v>
      </c>
      <c r="D309" s="48" t="s">
        <v>2135</v>
      </c>
      <c r="E309" s="42" t="s">
        <v>477</v>
      </c>
      <c r="F309" s="47" t="s">
        <v>1770</v>
      </c>
      <c r="G309" s="48">
        <v>1</v>
      </c>
      <c r="H309" s="48" t="s">
        <v>2138</v>
      </c>
      <c r="I309" s="197">
        <v>760</v>
      </c>
      <c r="J309" s="197">
        <v>760</v>
      </c>
      <c r="K309" s="197">
        <v>0</v>
      </c>
      <c r="L309" s="197">
        <v>760</v>
      </c>
      <c r="M309" s="198">
        <v>0</v>
      </c>
      <c r="N309" s="48" t="s">
        <v>1617</v>
      </c>
      <c r="O309" s="48" t="s">
        <v>68</v>
      </c>
      <c r="P309" s="48" t="s">
        <v>25</v>
      </c>
      <c r="Q309" s="48" t="s">
        <v>1766</v>
      </c>
      <c r="R309" s="48" t="s">
        <v>364</v>
      </c>
      <c r="S309" s="48" t="s">
        <v>722</v>
      </c>
      <c r="T309" s="114" t="s">
        <v>1617</v>
      </c>
      <c r="U309" s="48" t="s">
        <v>1771</v>
      </c>
      <c r="V309" s="39"/>
      <c r="W309" s="41" t="s">
        <v>1776</v>
      </c>
      <c r="Y309" s="50"/>
    </row>
    <row r="310" spans="1:25" customFormat="1" ht="14.4" x14ac:dyDescent="0.3">
      <c r="A310" s="48">
        <f t="shared" si="16"/>
        <v>6</v>
      </c>
      <c r="B310" s="113">
        <v>46058</v>
      </c>
      <c r="C310" s="48" t="str">
        <f t="shared" si="15"/>
        <v>febrero</v>
      </c>
      <c r="D310" s="48" t="s">
        <v>2135</v>
      </c>
      <c r="E310" s="42" t="s">
        <v>477</v>
      </c>
      <c r="F310" s="47" t="s">
        <v>1770</v>
      </c>
      <c r="G310" s="48">
        <v>1</v>
      </c>
      <c r="H310" s="48" t="s">
        <v>2138</v>
      </c>
      <c r="I310" s="197">
        <v>760</v>
      </c>
      <c r="J310" s="197">
        <v>760</v>
      </c>
      <c r="K310" s="197">
        <v>0</v>
      </c>
      <c r="L310" s="197">
        <v>760</v>
      </c>
      <c r="M310" s="198">
        <v>0</v>
      </c>
      <c r="N310" s="48" t="s">
        <v>1617</v>
      </c>
      <c r="O310" s="48" t="s">
        <v>372</v>
      </c>
      <c r="P310" s="48" t="s">
        <v>39</v>
      </c>
      <c r="Q310" s="48" t="s">
        <v>1766</v>
      </c>
      <c r="R310" s="48" t="s">
        <v>364</v>
      </c>
      <c r="S310" s="48" t="s">
        <v>722</v>
      </c>
      <c r="T310" s="114" t="s">
        <v>1617</v>
      </c>
      <c r="U310" s="48" t="s">
        <v>1771</v>
      </c>
      <c r="V310" s="39"/>
      <c r="W310" s="119" t="s">
        <v>1777</v>
      </c>
      <c r="Y310" s="50"/>
    </row>
    <row r="311" spans="1:25" customFormat="1" ht="14.4" x14ac:dyDescent="0.3">
      <c r="A311" s="48">
        <f t="shared" si="16"/>
        <v>6</v>
      </c>
      <c r="B311" s="113">
        <v>46058</v>
      </c>
      <c r="C311" s="48" t="str">
        <f t="shared" si="15"/>
        <v>febrero</v>
      </c>
      <c r="D311" s="48" t="s">
        <v>2135</v>
      </c>
      <c r="E311" s="42" t="s">
        <v>477</v>
      </c>
      <c r="F311" s="47" t="s">
        <v>1770</v>
      </c>
      <c r="G311" s="48">
        <v>1</v>
      </c>
      <c r="H311" s="48" t="s">
        <v>2138</v>
      </c>
      <c r="I311" s="197">
        <v>760</v>
      </c>
      <c r="J311" s="197">
        <v>760</v>
      </c>
      <c r="K311" s="197">
        <v>0</v>
      </c>
      <c r="L311" s="197">
        <v>760</v>
      </c>
      <c r="M311" s="198">
        <v>0</v>
      </c>
      <c r="N311" s="48" t="s">
        <v>1617</v>
      </c>
      <c r="O311" s="48" t="s">
        <v>257</v>
      </c>
      <c r="P311" s="48" t="s">
        <v>25</v>
      </c>
      <c r="Q311" s="48" t="s">
        <v>1766</v>
      </c>
      <c r="R311" s="48" t="s">
        <v>364</v>
      </c>
      <c r="S311" s="48" t="s">
        <v>722</v>
      </c>
      <c r="T311" s="114" t="s">
        <v>1617</v>
      </c>
      <c r="U311" s="48" t="s">
        <v>1771</v>
      </c>
      <c r="V311" s="39"/>
      <c r="W311" s="119" t="s">
        <v>1778</v>
      </c>
      <c r="Y311" s="50"/>
    </row>
    <row r="312" spans="1:25" customFormat="1" ht="14.4" x14ac:dyDescent="0.3">
      <c r="A312" s="48">
        <f t="shared" si="16"/>
        <v>6</v>
      </c>
      <c r="B312" s="113">
        <v>46058</v>
      </c>
      <c r="C312" s="48" t="str">
        <f t="shared" si="15"/>
        <v>febrero</v>
      </c>
      <c r="D312" s="48" t="s">
        <v>2135</v>
      </c>
      <c r="E312" s="42" t="s">
        <v>477</v>
      </c>
      <c r="F312" s="47" t="s">
        <v>1770</v>
      </c>
      <c r="G312" s="48">
        <v>1</v>
      </c>
      <c r="H312" s="48" t="s">
        <v>2138</v>
      </c>
      <c r="I312" s="197">
        <v>760</v>
      </c>
      <c r="J312" s="197">
        <v>760</v>
      </c>
      <c r="K312" s="197">
        <v>0</v>
      </c>
      <c r="L312" s="197">
        <v>760</v>
      </c>
      <c r="M312" s="198">
        <v>0</v>
      </c>
      <c r="N312" s="48" t="s">
        <v>1617</v>
      </c>
      <c r="O312" s="48" t="s">
        <v>101</v>
      </c>
      <c r="P312" s="48" t="s">
        <v>25</v>
      </c>
      <c r="Q312" s="48" t="s">
        <v>1766</v>
      </c>
      <c r="R312" s="48" t="s">
        <v>364</v>
      </c>
      <c r="S312" s="48" t="s">
        <v>722</v>
      </c>
      <c r="T312" s="114" t="s">
        <v>1617</v>
      </c>
      <c r="U312" s="48" t="s">
        <v>1771</v>
      </c>
      <c r="V312" s="39"/>
      <c r="W312" s="119" t="s">
        <v>1779</v>
      </c>
      <c r="Y312" s="50"/>
    </row>
    <row r="313" spans="1:25" customFormat="1" ht="14.4" x14ac:dyDescent="0.3">
      <c r="A313" s="48">
        <f t="shared" si="16"/>
        <v>6</v>
      </c>
      <c r="B313" s="113">
        <v>46058</v>
      </c>
      <c r="C313" s="48" t="str">
        <f t="shared" si="15"/>
        <v>febrero</v>
      </c>
      <c r="D313" s="48" t="s">
        <v>2135</v>
      </c>
      <c r="E313" s="42" t="s">
        <v>477</v>
      </c>
      <c r="F313" s="47" t="s">
        <v>1770</v>
      </c>
      <c r="G313" s="48">
        <v>1</v>
      </c>
      <c r="H313" s="48" t="s">
        <v>2138</v>
      </c>
      <c r="I313" s="197">
        <v>760</v>
      </c>
      <c r="J313" s="197">
        <v>760</v>
      </c>
      <c r="K313" s="197">
        <v>0</v>
      </c>
      <c r="L313" s="197">
        <v>760</v>
      </c>
      <c r="M313" s="198">
        <v>0</v>
      </c>
      <c r="N313" s="48" t="s">
        <v>1617</v>
      </c>
      <c r="O313" s="48" t="s">
        <v>256</v>
      </c>
      <c r="P313" s="48" t="s">
        <v>39</v>
      </c>
      <c r="Q313" s="48" t="s">
        <v>1766</v>
      </c>
      <c r="R313" s="48" t="s">
        <v>364</v>
      </c>
      <c r="S313" s="48" t="s">
        <v>722</v>
      </c>
      <c r="T313" s="114" t="s">
        <v>1617</v>
      </c>
      <c r="U313" s="48" t="s">
        <v>1771</v>
      </c>
      <c r="V313" s="39"/>
      <c r="W313" s="41" t="s">
        <v>1780</v>
      </c>
      <c r="Y313" s="50"/>
    </row>
    <row r="314" spans="1:25" customFormat="1" ht="14.4" x14ac:dyDescent="0.3">
      <c r="A314" s="48">
        <f t="shared" si="16"/>
        <v>6</v>
      </c>
      <c r="B314" s="113">
        <v>46058</v>
      </c>
      <c r="C314" s="48" t="str">
        <f t="shared" si="15"/>
        <v>febrero</v>
      </c>
      <c r="D314" s="48" t="s">
        <v>2135</v>
      </c>
      <c r="E314" s="42" t="s">
        <v>477</v>
      </c>
      <c r="F314" s="47" t="s">
        <v>1770</v>
      </c>
      <c r="G314" s="48">
        <v>1</v>
      </c>
      <c r="H314" s="48" t="s">
        <v>2138</v>
      </c>
      <c r="I314" s="197">
        <v>760</v>
      </c>
      <c r="J314" s="197">
        <v>760</v>
      </c>
      <c r="K314" s="197">
        <v>0</v>
      </c>
      <c r="L314" s="197">
        <v>760</v>
      </c>
      <c r="M314" s="198">
        <v>0</v>
      </c>
      <c r="N314" s="48" t="s">
        <v>1617</v>
      </c>
      <c r="O314" s="48" t="s">
        <v>334</v>
      </c>
      <c r="P314" s="48" t="s">
        <v>25</v>
      </c>
      <c r="Q314" s="48" t="s">
        <v>1766</v>
      </c>
      <c r="R314" s="48" t="s">
        <v>364</v>
      </c>
      <c r="S314" s="48" t="s">
        <v>722</v>
      </c>
      <c r="T314" s="114" t="s">
        <v>1617</v>
      </c>
      <c r="U314" s="48" t="s">
        <v>1771</v>
      </c>
      <c r="V314" s="39"/>
      <c r="W314" s="119" t="s">
        <v>1781</v>
      </c>
      <c r="Y314" s="50"/>
    </row>
    <row r="315" spans="1:25" customFormat="1" ht="14.4" x14ac:dyDescent="0.3">
      <c r="A315" s="48">
        <f t="shared" si="16"/>
        <v>6</v>
      </c>
      <c r="B315" s="113">
        <v>46058</v>
      </c>
      <c r="C315" s="48" t="str">
        <f t="shared" si="15"/>
        <v>febrero</v>
      </c>
      <c r="D315" s="48" t="s">
        <v>2135</v>
      </c>
      <c r="E315" s="42" t="s">
        <v>477</v>
      </c>
      <c r="F315" s="47" t="s">
        <v>1770</v>
      </c>
      <c r="G315" s="48">
        <v>1</v>
      </c>
      <c r="H315" s="48" t="s">
        <v>2138</v>
      </c>
      <c r="I315" s="197">
        <v>760</v>
      </c>
      <c r="J315" s="197">
        <v>760</v>
      </c>
      <c r="K315" s="197">
        <v>0</v>
      </c>
      <c r="L315" s="197">
        <v>760</v>
      </c>
      <c r="M315" s="198">
        <v>0</v>
      </c>
      <c r="N315" s="48" t="s">
        <v>1617</v>
      </c>
      <c r="O315" s="48" t="s">
        <v>53</v>
      </c>
      <c r="P315" s="48" t="s">
        <v>25</v>
      </c>
      <c r="Q315" s="48" t="s">
        <v>1766</v>
      </c>
      <c r="R315" s="48" t="s">
        <v>364</v>
      </c>
      <c r="S315" s="48" t="s">
        <v>722</v>
      </c>
      <c r="T315" s="114" t="s">
        <v>1617</v>
      </c>
      <c r="U315" s="48" t="s">
        <v>1771</v>
      </c>
      <c r="V315" s="39"/>
      <c r="W315" s="119" t="s">
        <v>1782</v>
      </c>
      <c r="Y315" s="50"/>
    </row>
    <row r="316" spans="1:25" customFormat="1" ht="14.4" x14ac:dyDescent="0.3">
      <c r="A316" s="48">
        <f t="shared" si="16"/>
        <v>6</v>
      </c>
      <c r="B316" s="113">
        <v>46058</v>
      </c>
      <c r="C316" s="48" t="str">
        <f t="shared" si="15"/>
        <v>febrero</v>
      </c>
      <c r="D316" s="48" t="s">
        <v>2135</v>
      </c>
      <c r="E316" s="42" t="s">
        <v>477</v>
      </c>
      <c r="F316" s="47" t="s">
        <v>1770</v>
      </c>
      <c r="G316" s="48">
        <v>1</v>
      </c>
      <c r="H316" s="48" t="s">
        <v>2138</v>
      </c>
      <c r="I316" s="197">
        <v>760</v>
      </c>
      <c r="J316" s="197">
        <v>760</v>
      </c>
      <c r="K316" s="197">
        <v>0</v>
      </c>
      <c r="L316" s="197">
        <v>760</v>
      </c>
      <c r="M316" s="198">
        <v>0</v>
      </c>
      <c r="N316" s="48" t="s">
        <v>1617</v>
      </c>
      <c r="O316" s="48" t="s">
        <v>55</v>
      </c>
      <c r="P316" s="48" t="s">
        <v>25</v>
      </c>
      <c r="Q316" s="48" t="s">
        <v>1766</v>
      </c>
      <c r="R316" s="48" t="s">
        <v>364</v>
      </c>
      <c r="S316" s="48" t="s">
        <v>722</v>
      </c>
      <c r="T316" s="114" t="s">
        <v>1617</v>
      </c>
      <c r="U316" s="48" t="s">
        <v>1771</v>
      </c>
      <c r="V316" s="39"/>
      <c r="W316" s="119" t="s">
        <v>1783</v>
      </c>
      <c r="Y316" s="50"/>
    </row>
    <row r="317" spans="1:25" customFormat="1" ht="14.4" x14ac:dyDescent="0.3">
      <c r="A317" s="48">
        <f t="shared" si="16"/>
        <v>6</v>
      </c>
      <c r="B317" s="113">
        <v>46058</v>
      </c>
      <c r="C317" s="48" t="str">
        <f t="shared" si="15"/>
        <v>febrero</v>
      </c>
      <c r="D317" s="48" t="s">
        <v>2135</v>
      </c>
      <c r="E317" s="42" t="s">
        <v>477</v>
      </c>
      <c r="F317" s="47" t="s">
        <v>1770</v>
      </c>
      <c r="G317" s="48">
        <v>1</v>
      </c>
      <c r="H317" s="48" t="s">
        <v>2138</v>
      </c>
      <c r="I317" s="197">
        <v>760</v>
      </c>
      <c r="J317" s="197">
        <v>760</v>
      </c>
      <c r="K317" s="197">
        <v>0</v>
      </c>
      <c r="L317" s="197">
        <v>760</v>
      </c>
      <c r="M317" s="198">
        <v>0</v>
      </c>
      <c r="N317" s="48" t="s">
        <v>1617</v>
      </c>
      <c r="O317" s="48" t="s">
        <v>563</v>
      </c>
      <c r="P317" s="48" t="s">
        <v>25</v>
      </c>
      <c r="Q317" s="48" t="s">
        <v>1766</v>
      </c>
      <c r="R317" s="48" t="s">
        <v>364</v>
      </c>
      <c r="S317" s="48" t="s">
        <v>722</v>
      </c>
      <c r="T317" s="114" t="s">
        <v>1617</v>
      </c>
      <c r="U317" s="48" t="s">
        <v>1771</v>
      </c>
      <c r="V317" s="39"/>
      <c r="W317" s="119" t="s">
        <v>1784</v>
      </c>
      <c r="Y317" s="50"/>
    </row>
    <row r="318" spans="1:25" customFormat="1" ht="14.4" x14ac:dyDescent="0.3">
      <c r="A318" s="48">
        <f t="shared" si="16"/>
        <v>6</v>
      </c>
      <c r="B318" s="113">
        <v>46058</v>
      </c>
      <c r="C318" s="48" t="str">
        <f t="shared" si="15"/>
        <v>febrero</v>
      </c>
      <c r="D318" s="48" t="s">
        <v>2135</v>
      </c>
      <c r="E318" s="42" t="s">
        <v>477</v>
      </c>
      <c r="F318" s="47" t="s">
        <v>1770</v>
      </c>
      <c r="G318" s="48">
        <v>1</v>
      </c>
      <c r="H318" s="48" t="s">
        <v>2138</v>
      </c>
      <c r="I318" s="197">
        <v>990</v>
      </c>
      <c r="J318" s="197">
        <v>990</v>
      </c>
      <c r="K318" s="197">
        <v>0</v>
      </c>
      <c r="L318" s="197">
        <v>990</v>
      </c>
      <c r="M318" s="198">
        <v>0</v>
      </c>
      <c r="N318" s="48" t="s">
        <v>1617</v>
      </c>
      <c r="O318" s="48" t="s">
        <v>426</v>
      </c>
      <c r="P318" s="48" t="s">
        <v>25</v>
      </c>
      <c r="Q318" s="48" t="s">
        <v>1766</v>
      </c>
      <c r="R318" s="48" t="s">
        <v>364</v>
      </c>
      <c r="S318" s="48" t="s">
        <v>722</v>
      </c>
      <c r="T318" s="114" t="s">
        <v>1617</v>
      </c>
      <c r="U318" s="48" t="s">
        <v>1771</v>
      </c>
      <c r="V318" s="39"/>
      <c r="W318" s="41" t="s">
        <v>1785</v>
      </c>
      <c r="Y318" s="50"/>
    </row>
    <row r="319" spans="1:25" customFormat="1" ht="14.4" x14ac:dyDescent="0.3">
      <c r="A319" s="48">
        <f t="shared" si="16"/>
        <v>6</v>
      </c>
      <c r="B319" s="113">
        <v>46058</v>
      </c>
      <c r="C319" s="48" t="str">
        <f t="shared" si="15"/>
        <v>febrero</v>
      </c>
      <c r="D319" s="48" t="s">
        <v>2135</v>
      </c>
      <c r="E319" s="42" t="s">
        <v>477</v>
      </c>
      <c r="F319" s="47" t="s">
        <v>1770</v>
      </c>
      <c r="G319" s="48">
        <v>1</v>
      </c>
      <c r="H319" s="48" t="s">
        <v>2138</v>
      </c>
      <c r="I319" s="197">
        <v>990</v>
      </c>
      <c r="J319" s="197">
        <v>990</v>
      </c>
      <c r="K319" s="197">
        <v>0</v>
      </c>
      <c r="L319" s="197">
        <v>990</v>
      </c>
      <c r="M319" s="198">
        <v>0</v>
      </c>
      <c r="N319" s="48" t="s">
        <v>1617</v>
      </c>
      <c r="O319" s="48" t="s">
        <v>409</v>
      </c>
      <c r="P319" s="48" t="s">
        <v>25</v>
      </c>
      <c r="Q319" s="48" t="s">
        <v>1766</v>
      </c>
      <c r="R319" s="48" t="s">
        <v>364</v>
      </c>
      <c r="S319" s="48" t="s">
        <v>722</v>
      </c>
      <c r="T319" s="114" t="s">
        <v>1617</v>
      </c>
      <c r="U319" s="48" t="s">
        <v>1771</v>
      </c>
      <c r="V319" s="39"/>
      <c r="W319" s="119" t="s">
        <v>1786</v>
      </c>
      <c r="Y319" s="50"/>
    </row>
    <row r="320" spans="1:25" customFormat="1" ht="14.4" x14ac:dyDescent="0.3">
      <c r="A320" s="48">
        <f t="shared" si="16"/>
        <v>6</v>
      </c>
      <c r="B320" s="113">
        <v>46058</v>
      </c>
      <c r="C320" s="48" t="str">
        <f t="shared" si="15"/>
        <v>febrero</v>
      </c>
      <c r="D320" s="48" t="s">
        <v>2135</v>
      </c>
      <c r="E320" s="42" t="s">
        <v>477</v>
      </c>
      <c r="F320" s="47" t="s">
        <v>1770</v>
      </c>
      <c r="G320" s="48">
        <v>1</v>
      </c>
      <c r="H320" s="48" t="s">
        <v>2138</v>
      </c>
      <c r="I320" s="197">
        <v>990</v>
      </c>
      <c r="J320" s="197">
        <v>990</v>
      </c>
      <c r="K320" s="197">
        <v>0</v>
      </c>
      <c r="L320" s="197">
        <v>990</v>
      </c>
      <c r="M320" s="198">
        <v>0</v>
      </c>
      <c r="N320" s="48" t="s">
        <v>1617</v>
      </c>
      <c r="O320" s="48" t="s">
        <v>347</v>
      </c>
      <c r="P320" s="48" t="s">
        <v>25</v>
      </c>
      <c r="Q320" s="48" t="s">
        <v>1766</v>
      </c>
      <c r="R320" s="48" t="s">
        <v>364</v>
      </c>
      <c r="S320" s="48" t="s">
        <v>722</v>
      </c>
      <c r="T320" s="114" t="s">
        <v>1617</v>
      </c>
      <c r="U320" s="48" t="s">
        <v>1771</v>
      </c>
      <c r="V320" s="39"/>
      <c r="W320" s="119" t="s">
        <v>1787</v>
      </c>
      <c r="Y320" s="50"/>
    </row>
    <row r="321" spans="1:25" customFormat="1" ht="14.4" x14ac:dyDescent="0.3">
      <c r="A321" s="48">
        <f t="shared" si="16"/>
        <v>6</v>
      </c>
      <c r="B321" s="113">
        <v>46058</v>
      </c>
      <c r="C321" s="48" t="str">
        <f t="shared" si="15"/>
        <v>febrero</v>
      </c>
      <c r="D321" s="48" t="s">
        <v>2135</v>
      </c>
      <c r="E321" s="42" t="s">
        <v>477</v>
      </c>
      <c r="F321" s="47" t="s">
        <v>1770</v>
      </c>
      <c r="G321" s="48">
        <v>1</v>
      </c>
      <c r="H321" s="48" t="s">
        <v>2138</v>
      </c>
      <c r="I321" s="197">
        <v>990</v>
      </c>
      <c r="J321" s="197">
        <v>990</v>
      </c>
      <c r="K321" s="197">
        <v>0</v>
      </c>
      <c r="L321" s="197">
        <v>990</v>
      </c>
      <c r="M321" s="198">
        <v>0</v>
      </c>
      <c r="N321" s="48" t="s">
        <v>1617</v>
      </c>
      <c r="O321" s="48" t="s">
        <v>169</v>
      </c>
      <c r="P321" s="48" t="s">
        <v>39</v>
      </c>
      <c r="Q321" s="48" t="s">
        <v>1766</v>
      </c>
      <c r="R321" s="48" t="s">
        <v>364</v>
      </c>
      <c r="S321" s="48" t="s">
        <v>722</v>
      </c>
      <c r="T321" s="114" t="s">
        <v>1617</v>
      </c>
      <c r="U321" s="48" t="s">
        <v>1771</v>
      </c>
      <c r="V321" s="39"/>
      <c r="W321" s="119" t="s">
        <v>1788</v>
      </c>
      <c r="Y321" s="50"/>
    </row>
    <row r="322" spans="1:25" customFormat="1" ht="14.4" x14ac:dyDescent="0.3">
      <c r="A322" s="48">
        <f t="shared" si="16"/>
        <v>6</v>
      </c>
      <c r="B322" s="113">
        <v>46058</v>
      </c>
      <c r="C322" s="48" t="str">
        <f t="shared" si="15"/>
        <v>febrero</v>
      </c>
      <c r="D322" s="48" t="s">
        <v>2135</v>
      </c>
      <c r="E322" s="42" t="s">
        <v>477</v>
      </c>
      <c r="F322" s="47" t="s">
        <v>1770</v>
      </c>
      <c r="G322" s="48">
        <v>1</v>
      </c>
      <c r="H322" s="48" t="s">
        <v>2138</v>
      </c>
      <c r="I322" s="197">
        <v>990</v>
      </c>
      <c r="J322" s="197">
        <v>990</v>
      </c>
      <c r="K322" s="197">
        <v>0</v>
      </c>
      <c r="L322" s="197">
        <v>990</v>
      </c>
      <c r="M322" s="198">
        <v>0</v>
      </c>
      <c r="N322" s="48" t="s">
        <v>1617</v>
      </c>
      <c r="O322" s="48" t="s">
        <v>195</v>
      </c>
      <c r="P322" s="48" t="s">
        <v>39</v>
      </c>
      <c r="Q322" s="48" t="s">
        <v>1766</v>
      </c>
      <c r="R322" s="48" t="s">
        <v>364</v>
      </c>
      <c r="S322" s="48" t="s">
        <v>722</v>
      </c>
      <c r="T322" s="114" t="s">
        <v>1617</v>
      </c>
      <c r="U322" s="48" t="s">
        <v>1771</v>
      </c>
      <c r="V322" s="39"/>
      <c r="W322" s="119" t="s">
        <v>1789</v>
      </c>
      <c r="Y322" s="50"/>
    </row>
    <row r="323" spans="1:25" customFormat="1" ht="14.4" x14ac:dyDescent="0.3">
      <c r="A323" s="48">
        <f t="shared" si="16"/>
        <v>6</v>
      </c>
      <c r="B323" s="113">
        <v>46058</v>
      </c>
      <c r="C323" s="48" t="str">
        <f t="shared" ref="C323:C386" si="17">TEXT(B323,"MMMM")</f>
        <v>febrero</v>
      </c>
      <c r="D323" s="48" t="s">
        <v>2135</v>
      </c>
      <c r="E323" s="42" t="s">
        <v>477</v>
      </c>
      <c r="F323" s="47" t="s">
        <v>1770</v>
      </c>
      <c r="G323" s="48">
        <v>1</v>
      </c>
      <c r="H323" s="48" t="s">
        <v>2138</v>
      </c>
      <c r="I323" s="197">
        <v>990</v>
      </c>
      <c r="J323" s="197">
        <v>990</v>
      </c>
      <c r="K323" s="197">
        <v>0</v>
      </c>
      <c r="L323" s="197">
        <v>990</v>
      </c>
      <c r="M323" s="198">
        <v>0</v>
      </c>
      <c r="N323" s="48" t="s">
        <v>1617</v>
      </c>
      <c r="O323" s="48" t="s">
        <v>104</v>
      </c>
      <c r="P323" s="48" t="s">
        <v>25</v>
      </c>
      <c r="Q323" s="48" t="s">
        <v>1766</v>
      </c>
      <c r="R323" s="48" t="s">
        <v>364</v>
      </c>
      <c r="S323" s="48" t="s">
        <v>722</v>
      </c>
      <c r="T323" s="114" t="s">
        <v>1617</v>
      </c>
      <c r="U323" s="48" t="s">
        <v>1771</v>
      </c>
      <c r="V323" s="39"/>
      <c r="W323" s="119" t="s">
        <v>1790</v>
      </c>
      <c r="Y323" s="50"/>
    </row>
    <row r="324" spans="1:25" customFormat="1" ht="14.4" x14ac:dyDescent="0.3">
      <c r="A324" s="48">
        <f t="shared" si="16"/>
        <v>6</v>
      </c>
      <c r="B324" s="113">
        <v>46058</v>
      </c>
      <c r="C324" s="48" t="str">
        <f t="shared" si="17"/>
        <v>febrero</v>
      </c>
      <c r="D324" s="48" t="s">
        <v>2135</v>
      </c>
      <c r="E324" s="42" t="s">
        <v>477</v>
      </c>
      <c r="F324" s="47" t="s">
        <v>1770</v>
      </c>
      <c r="G324" s="48">
        <v>1</v>
      </c>
      <c r="H324" s="48" t="s">
        <v>2138</v>
      </c>
      <c r="I324" s="197">
        <v>990</v>
      </c>
      <c r="J324" s="197">
        <v>990</v>
      </c>
      <c r="K324" s="197">
        <v>0</v>
      </c>
      <c r="L324" s="197">
        <v>990</v>
      </c>
      <c r="M324" s="198">
        <v>0</v>
      </c>
      <c r="N324" s="48" t="s">
        <v>1617</v>
      </c>
      <c r="O324" s="48" t="s">
        <v>36</v>
      </c>
      <c r="P324" s="48" t="s">
        <v>25</v>
      </c>
      <c r="Q324" s="48" t="s">
        <v>1766</v>
      </c>
      <c r="R324" s="48" t="s">
        <v>364</v>
      </c>
      <c r="S324" s="48" t="s">
        <v>722</v>
      </c>
      <c r="T324" s="114" t="s">
        <v>1617</v>
      </c>
      <c r="U324" s="48" t="s">
        <v>1771</v>
      </c>
      <c r="V324" s="39"/>
      <c r="W324" s="119" t="s">
        <v>1791</v>
      </c>
      <c r="Y324" s="50"/>
    </row>
    <row r="325" spans="1:25" customFormat="1" ht="14.4" x14ac:dyDescent="0.3">
      <c r="A325" s="48">
        <f t="shared" si="16"/>
        <v>6</v>
      </c>
      <c r="B325" s="113">
        <v>46058</v>
      </c>
      <c r="C325" s="48" t="str">
        <f t="shared" si="17"/>
        <v>febrero</v>
      </c>
      <c r="D325" s="48" t="s">
        <v>2135</v>
      </c>
      <c r="E325" s="42" t="s">
        <v>477</v>
      </c>
      <c r="F325" s="47" t="s">
        <v>1770</v>
      </c>
      <c r="G325" s="48">
        <v>1</v>
      </c>
      <c r="H325" s="48" t="s">
        <v>2138</v>
      </c>
      <c r="I325" s="197">
        <v>990</v>
      </c>
      <c r="J325" s="197">
        <v>990</v>
      </c>
      <c r="K325" s="197">
        <v>0</v>
      </c>
      <c r="L325" s="197">
        <v>990</v>
      </c>
      <c r="M325" s="198">
        <v>0</v>
      </c>
      <c r="N325" s="48" t="s">
        <v>1617</v>
      </c>
      <c r="O325" s="48" t="s">
        <v>120</v>
      </c>
      <c r="P325" s="48" t="s">
        <v>25</v>
      </c>
      <c r="Q325" s="48" t="s">
        <v>1766</v>
      </c>
      <c r="R325" s="48" t="s">
        <v>364</v>
      </c>
      <c r="S325" s="48" t="s">
        <v>722</v>
      </c>
      <c r="T325" s="114" t="s">
        <v>1617</v>
      </c>
      <c r="U325" s="48" t="s">
        <v>1771</v>
      </c>
      <c r="V325" s="39"/>
      <c r="W325" s="119" t="s">
        <v>1792</v>
      </c>
      <c r="Y325" s="50"/>
    </row>
    <row r="326" spans="1:25" customFormat="1" ht="14.4" x14ac:dyDescent="0.3">
      <c r="A326" s="48">
        <f t="shared" si="16"/>
        <v>6</v>
      </c>
      <c r="B326" s="113">
        <v>46058</v>
      </c>
      <c r="C326" s="48" t="str">
        <f t="shared" si="17"/>
        <v>febrero</v>
      </c>
      <c r="D326" s="48" t="s">
        <v>2135</v>
      </c>
      <c r="E326" s="42" t="s">
        <v>477</v>
      </c>
      <c r="F326" s="47" t="s">
        <v>1770</v>
      </c>
      <c r="G326" s="48">
        <v>1</v>
      </c>
      <c r="H326" s="48" t="s">
        <v>2138</v>
      </c>
      <c r="I326" s="197">
        <v>990</v>
      </c>
      <c r="J326" s="197">
        <v>990</v>
      </c>
      <c r="K326" s="197">
        <v>0</v>
      </c>
      <c r="L326" s="197">
        <v>990</v>
      </c>
      <c r="M326" s="198">
        <v>0</v>
      </c>
      <c r="N326" s="48" t="s">
        <v>1617</v>
      </c>
      <c r="O326" s="48" t="s">
        <v>64</v>
      </c>
      <c r="P326" s="48" t="s">
        <v>25</v>
      </c>
      <c r="Q326" s="48" t="s">
        <v>1766</v>
      </c>
      <c r="R326" s="48" t="s">
        <v>364</v>
      </c>
      <c r="S326" s="48" t="s">
        <v>722</v>
      </c>
      <c r="T326" s="114" t="s">
        <v>1617</v>
      </c>
      <c r="U326" s="48" t="s">
        <v>1771</v>
      </c>
      <c r="V326" s="39"/>
      <c r="W326" s="119" t="s">
        <v>1793</v>
      </c>
      <c r="Y326" s="50"/>
    </row>
    <row r="327" spans="1:25" customFormat="1" ht="14.4" x14ac:dyDescent="0.3">
      <c r="A327" s="48">
        <f t="shared" si="16"/>
        <v>6</v>
      </c>
      <c r="B327" s="113">
        <v>46058</v>
      </c>
      <c r="C327" s="48" t="str">
        <f t="shared" si="17"/>
        <v>febrero</v>
      </c>
      <c r="D327" s="48" t="s">
        <v>2135</v>
      </c>
      <c r="E327" s="42" t="s">
        <v>477</v>
      </c>
      <c r="F327" s="47" t="s">
        <v>1770</v>
      </c>
      <c r="G327" s="48">
        <v>1</v>
      </c>
      <c r="H327" s="48" t="s">
        <v>2138</v>
      </c>
      <c r="I327" s="197">
        <v>990</v>
      </c>
      <c r="J327" s="197">
        <v>990</v>
      </c>
      <c r="K327" s="197">
        <v>0</v>
      </c>
      <c r="L327" s="197">
        <v>990</v>
      </c>
      <c r="M327" s="198">
        <v>0</v>
      </c>
      <c r="N327" s="48" t="s">
        <v>1617</v>
      </c>
      <c r="O327" s="48" t="s">
        <v>573</v>
      </c>
      <c r="P327" s="48" t="s">
        <v>25</v>
      </c>
      <c r="Q327" s="48" t="s">
        <v>1766</v>
      </c>
      <c r="R327" s="48" t="s">
        <v>364</v>
      </c>
      <c r="S327" s="48" t="s">
        <v>722</v>
      </c>
      <c r="T327" s="114" t="s">
        <v>1617</v>
      </c>
      <c r="U327" s="48" t="s">
        <v>1771</v>
      </c>
      <c r="V327" s="39"/>
      <c r="W327" s="119" t="s">
        <v>1794</v>
      </c>
      <c r="Y327" s="50"/>
    </row>
    <row r="328" spans="1:25" customFormat="1" ht="14.4" x14ac:dyDescent="0.3">
      <c r="A328" s="48">
        <f t="shared" si="16"/>
        <v>6</v>
      </c>
      <c r="B328" s="113">
        <v>46058</v>
      </c>
      <c r="C328" s="48" t="str">
        <f t="shared" si="17"/>
        <v>febrero</v>
      </c>
      <c r="D328" s="48" t="s">
        <v>2135</v>
      </c>
      <c r="E328" s="42" t="s">
        <v>477</v>
      </c>
      <c r="F328" s="47" t="s">
        <v>1770</v>
      </c>
      <c r="G328" s="48">
        <v>1</v>
      </c>
      <c r="H328" s="48" t="s">
        <v>2138</v>
      </c>
      <c r="I328" s="197">
        <v>990</v>
      </c>
      <c r="J328" s="197">
        <v>990</v>
      </c>
      <c r="K328" s="197">
        <v>0</v>
      </c>
      <c r="L328" s="197">
        <v>990</v>
      </c>
      <c r="M328" s="198">
        <v>0</v>
      </c>
      <c r="N328" s="48" t="s">
        <v>1617</v>
      </c>
      <c r="O328" s="48" t="s">
        <v>42</v>
      </c>
      <c r="P328" s="48" t="s">
        <v>25</v>
      </c>
      <c r="Q328" s="48" t="s">
        <v>1766</v>
      </c>
      <c r="R328" s="48" t="s">
        <v>364</v>
      </c>
      <c r="S328" s="48" t="s">
        <v>722</v>
      </c>
      <c r="T328" s="114" t="s">
        <v>1617</v>
      </c>
      <c r="U328" s="48" t="s">
        <v>1771</v>
      </c>
      <c r="V328" s="39"/>
      <c r="W328" s="119" t="s">
        <v>1795</v>
      </c>
      <c r="Y328" s="50"/>
    </row>
    <row r="329" spans="1:25" customFormat="1" ht="14.4" x14ac:dyDescent="0.3">
      <c r="A329" s="48">
        <f t="shared" si="16"/>
        <v>6</v>
      </c>
      <c r="B329" s="113">
        <v>46058</v>
      </c>
      <c r="C329" s="48" t="str">
        <f t="shared" si="17"/>
        <v>febrero</v>
      </c>
      <c r="D329" s="48" t="s">
        <v>2135</v>
      </c>
      <c r="E329" s="42" t="s">
        <v>477</v>
      </c>
      <c r="F329" s="47" t="s">
        <v>1770</v>
      </c>
      <c r="G329" s="48">
        <v>1</v>
      </c>
      <c r="H329" s="48" t="s">
        <v>2138</v>
      </c>
      <c r="I329" s="197">
        <v>990</v>
      </c>
      <c r="J329" s="197">
        <v>990</v>
      </c>
      <c r="K329" s="197">
        <v>0</v>
      </c>
      <c r="L329" s="197">
        <v>990</v>
      </c>
      <c r="M329" s="198">
        <v>0</v>
      </c>
      <c r="N329" s="48" t="s">
        <v>1617</v>
      </c>
      <c r="O329" s="48" t="s">
        <v>571</v>
      </c>
      <c r="P329" s="48" t="s">
        <v>25</v>
      </c>
      <c r="Q329" s="48" t="s">
        <v>1766</v>
      </c>
      <c r="R329" s="48" t="s">
        <v>364</v>
      </c>
      <c r="S329" s="48" t="s">
        <v>722</v>
      </c>
      <c r="T329" s="114" t="s">
        <v>1617</v>
      </c>
      <c r="U329" s="48" t="s">
        <v>1771</v>
      </c>
      <c r="V329" s="39"/>
      <c r="W329" s="119" t="s">
        <v>1796</v>
      </c>
      <c r="Y329" s="50"/>
    </row>
    <row r="330" spans="1:25" customFormat="1" ht="14.4" x14ac:dyDescent="0.3">
      <c r="A330" s="48">
        <f t="shared" si="16"/>
        <v>6</v>
      </c>
      <c r="B330" s="113">
        <v>46058</v>
      </c>
      <c r="C330" s="48" t="str">
        <f t="shared" si="17"/>
        <v>febrero</v>
      </c>
      <c r="D330" s="48" t="s">
        <v>2135</v>
      </c>
      <c r="E330" s="42" t="s">
        <v>477</v>
      </c>
      <c r="F330" s="47" t="s">
        <v>1770</v>
      </c>
      <c r="G330" s="48">
        <v>1</v>
      </c>
      <c r="H330" s="48" t="s">
        <v>2138</v>
      </c>
      <c r="I330" s="197">
        <v>990</v>
      </c>
      <c r="J330" s="197">
        <v>990</v>
      </c>
      <c r="K330" s="197">
        <v>0</v>
      </c>
      <c r="L330" s="197">
        <v>990</v>
      </c>
      <c r="M330" s="198">
        <v>0</v>
      </c>
      <c r="N330" s="48" t="s">
        <v>1617</v>
      </c>
      <c r="O330" s="48" t="s">
        <v>100</v>
      </c>
      <c r="P330" s="48" t="s">
        <v>25</v>
      </c>
      <c r="Q330" s="48" t="s">
        <v>1766</v>
      </c>
      <c r="R330" s="48" t="s">
        <v>364</v>
      </c>
      <c r="S330" s="48" t="s">
        <v>722</v>
      </c>
      <c r="T330" s="114" t="s">
        <v>1617</v>
      </c>
      <c r="U330" s="48" t="s">
        <v>1771</v>
      </c>
      <c r="V330" s="39"/>
      <c r="W330" s="119" t="s">
        <v>1797</v>
      </c>
      <c r="Y330" s="50"/>
    </row>
    <row r="331" spans="1:25" customFormat="1" ht="14.4" x14ac:dyDescent="0.3">
      <c r="A331" s="48">
        <f t="shared" si="16"/>
        <v>6</v>
      </c>
      <c r="B331" s="113">
        <v>46058</v>
      </c>
      <c r="C331" s="48" t="str">
        <f t="shared" si="17"/>
        <v>febrero</v>
      </c>
      <c r="D331" s="48" t="s">
        <v>2135</v>
      </c>
      <c r="E331" s="42" t="s">
        <v>477</v>
      </c>
      <c r="F331" s="47" t="s">
        <v>1770</v>
      </c>
      <c r="G331" s="48">
        <v>1</v>
      </c>
      <c r="H331" s="48" t="s">
        <v>2138</v>
      </c>
      <c r="I331" s="197">
        <v>990</v>
      </c>
      <c r="J331" s="197">
        <v>990</v>
      </c>
      <c r="K331" s="197">
        <v>0</v>
      </c>
      <c r="L331" s="197">
        <v>990</v>
      </c>
      <c r="M331" s="198">
        <v>0</v>
      </c>
      <c r="N331" s="48" t="s">
        <v>1617</v>
      </c>
      <c r="O331" s="48" t="s">
        <v>152</v>
      </c>
      <c r="P331" s="48" t="s">
        <v>25</v>
      </c>
      <c r="Q331" s="48" t="s">
        <v>1766</v>
      </c>
      <c r="R331" s="48" t="s">
        <v>364</v>
      </c>
      <c r="S331" s="48" t="s">
        <v>722</v>
      </c>
      <c r="T331" s="114" t="s">
        <v>1617</v>
      </c>
      <c r="U331" s="48" t="s">
        <v>1771</v>
      </c>
      <c r="V331" s="39"/>
      <c r="W331" s="119" t="s">
        <v>1798</v>
      </c>
      <c r="Y331" s="50"/>
    </row>
    <row r="332" spans="1:25" customFormat="1" ht="14.4" x14ac:dyDescent="0.3">
      <c r="A332" s="48">
        <f t="shared" si="16"/>
        <v>6</v>
      </c>
      <c r="B332" s="113">
        <v>46058</v>
      </c>
      <c r="C332" s="48" t="str">
        <f t="shared" si="17"/>
        <v>febrero</v>
      </c>
      <c r="D332" s="48" t="s">
        <v>2135</v>
      </c>
      <c r="E332" s="42" t="s">
        <v>477</v>
      </c>
      <c r="F332" s="47" t="s">
        <v>1770</v>
      </c>
      <c r="G332" s="48">
        <v>1</v>
      </c>
      <c r="H332" s="48" t="s">
        <v>2138</v>
      </c>
      <c r="I332" s="197">
        <v>990</v>
      </c>
      <c r="J332" s="197">
        <v>990</v>
      </c>
      <c r="K332" s="197">
        <v>0</v>
      </c>
      <c r="L332" s="197">
        <v>990</v>
      </c>
      <c r="M332" s="198">
        <v>0</v>
      </c>
      <c r="N332" s="48" t="s">
        <v>1617</v>
      </c>
      <c r="O332" s="48" t="s">
        <v>213</v>
      </c>
      <c r="P332" s="48" t="s">
        <v>39</v>
      </c>
      <c r="Q332" s="48" t="s">
        <v>1766</v>
      </c>
      <c r="R332" s="48" t="s">
        <v>364</v>
      </c>
      <c r="S332" s="48" t="s">
        <v>722</v>
      </c>
      <c r="T332" s="114" t="s">
        <v>1617</v>
      </c>
      <c r="U332" s="48" t="s">
        <v>1771</v>
      </c>
      <c r="V332" s="39"/>
      <c r="W332" s="119" t="s">
        <v>1799</v>
      </c>
      <c r="Y332" s="50"/>
    </row>
    <row r="333" spans="1:25" customFormat="1" ht="14.4" x14ac:dyDescent="0.3">
      <c r="A333" s="48">
        <f t="shared" si="16"/>
        <v>6</v>
      </c>
      <c r="B333" s="113">
        <v>46058</v>
      </c>
      <c r="C333" s="48" t="str">
        <f t="shared" si="17"/>
        <v>febrero</v>
      </c>
      <c r="D333" s="48" t="s">
        <v>2135</v>
      </c>
      <c r="E333" s="42" t="s">
        <v>477</v>
      </c>
      <c r="F333" s="47" t="s">
        <v>1770</v>
      </c>
      <c r="G333" s="48">
        <v>1</v>
      </c>
      <c r="H333" s="48" t="s">
        <v>2138</v>
      </c>
      <c r="I333" s="197">
        <v>990</v>
      </c>
      <c r="J333" s="197">
        <v>990</v>
      </c>
      <c r="K333" s="197">
        <v>0</v>
      </c>
      <c r="L333" s="197">
        <v>990</v>
      </c>
      <c r="M333" s="198">
        <v>0</v>
      </c>
      <c r="N333" s="48" t="s">
        <v>1617</v>
      </c>
      <c r="O333" s="48" t="s">
        <v>51</v>
      </c>
      <c r="P333" s="48" t="s">
        <v>25</v>
      </c>
      <c r="Q333" s="48" t="s">
        <v>1766</v>
      </c>
      <c r="R333" s="48" t="s">
        <v>364</v>
      </c>
      <c r="S333" s="48" t="s">
        <v>722</v>
      </c>
      <c r="T333" s="114" t="s">
        <v>1617</v>
      </c>
      <c r="U333" s="48" t="s">
        <v>1771</v>
      </c>
      <c r="V333" s="39"/>
      <c r="W333" s="119" t="s">
        <v>1800</v>
      </c>
      <c r="Y333" s="50"/>
    </row>
    <row r="334" spans="1:25" customFormat="1" ht="14.4" x14ac:dyDescent="0.3">
      <c r="A334" s="48">
        <f t="shared" si="16"/>
        <v>6</v>
      </c>
      <c r="B334" s="113">
        <v>46058</v>
      </c>
      <c r="C334" s="48" t="str">
        <f t="shared" si="17"/>
        <v>febrero</v>
      </c>
      <c r="D334" s="48" t="s">
        <v>2135</v>
      </c>
      <c r="E334" s="42" t="s">
        <v>356</v>
      </c>
      <c r="F334" s="47" t="s">
        <v>127</v>
      </c>
      <c r="G334" s="48">
        <v>42.976999999999997</v>
      </c>
      <c r="H334" s="48" t="s">
        <v>2017</v>
      </c>
      <c r="I334" s="197">
        <v>20.681000000000001</v>
      </c>
      <c r="J334" s="197">
        <v>888.80733699999996</v>
      </c>
      <c r="K334" s="197">
        <v>142.20917391999998</v>
      </c>
      <c r="L334" s="197">
        <v>1031.01651092</v>
      </c>
      <c r="M334" s="198">
        <v>0</v>
      </c>
      <c r="N334" s="48" t="s">
        <v>1617</v>
      </c>
      <c r="O334" s="48" t="s">
        <v>257</v>
      </c>
      <c r="P334" s="48" t="s">
        <v>25</v>
      </c>
      <c r="Q334" s="48" t="s">
        <v>1863</v>
      </c>
      <c r="R334" s="48" t="s">
        <v>2727</v>
      </c>
      <c r="S334" s="48" t="s">
        <v>1857</v>
      </c>
      <c r="T334" s="114" t="s">
        <v>2025</v>
      </c>
      <c r="U334" s="48"/>
      <c r="V334" s="39"/>
      <c r="W334" s="41" t="s">
        <v>1762</v>
      </c>
      <c r="X334" s="50" t="s">
        <v>2207</v>
      </c>
      <c r="Y334" s="50"/>
    </row>
    <row r="335" spans="1:25" customFormat="1" ht="14.4" x14ac:dyDescent="0.3">
      <c r="A335" s="48">
        <f t="shared" si="16"/>
        <v>6</v>
      </c>
      <c r="B335" s="113">
        <v>46058</v>
      </c>
      <c r="C335" s="48" t="str">
        <f t="shared" si="17"/>
        <v>febrero</v>
      </c>
      <c r="D335" s="48" t="s">
        <v>2135</v>
      </c>
      <c r="E335" s="42" t="s">
        <v>2728</v>
      </c>
      <c r="F335" s="47" t="s">
        <v>95</v>
      </c>
      <c r="G335" s="48">
        <v>1</v>
      </c>
      <c r="H335" s="48" t="s">
        <v>1705</v>
      </c>
      <c r="I335" s="197">
        <v>74.14</v>
      </c>
      <c r="J335" s="197">
        <v>74.14</v>
      </c>
      <c r="K335" s="197">
        <v>11.862400000000001</v>
      </c>
      <c r="L335" s="201">
        <v>86.002399999999994</v>
      </c>
      <c r="M335" s="198">
        <v>0</v>
      </c>
      <c r="N335" s="48" t="s">
        <v>1617</v>
      </c>
      <c r="O335" s="48" t="s">
        <v>46</v>
      </c>
      <c r="P335" s="48" t="s">
        <v>25</v>
      </c>
      <c r="Q335" s="48" t="s">
        <v>488</v>
      </c>
      <c r="R335" s="48" t="s">
        <v>2726</v>
      </c>
      <c r="S335" s="48" t="s">
        <v>574</v>
      </c>
      <c r="T335" s="114" t="s">
        <v>1617</v>
      </c>
      <c r="U335" s="48"/>
      <c r="V335" s="131" t="s">
        <v>2018</v>
      </c>
      <c r="W335" s="41" t="s">
        <v>1762</v>
      </c>
      <c r="X335" s="50" t="s">
        <v>2208</v>
      </c>
      <c r="Y335" s="50"/>
    </row>
    <row r="336" spans="1:25" customFormat="1" ht="14.4" x14ac:dyDescent="0.3">
      <c r="A336" s="48">
        <f t="shared" si="16"/>
        <v>6</v>
      </c>
      <c r="B336" s="113">
        <v>46058</v>
      </c>
      <c r="C336" s="48" t="str">
        <f t="shared" si="17"/>
        <v>febrero</v>
      </c>
      <c r="D336" s="48" t="s">
        <v>2135</v>
      </c>
      <c r="E336" s="42" t="s">
        <v>2728</v>
      </c>
      <c r="F336" s="47" t="s">
        <v>92</v>
      </c>
      <c r="G336" s="48">
        <v>1</v>
      </c>
      <c r="H336" s="48" t="s">
        <v>1705</v>
      </c>
      <c r="I336" s="197">
        <v>82.76</v>
      </c>
      <c r="J336" s="197">
        <v>82.76</v>
      </c>
      <c r="K336" s="197">
        <v>13.241600000000002</v>
      </c>
      <c r="L336" s="201">
        <v>96.00160000000001</v>
      </c>
      <c r="M336" s="198">
        <v>0</v>
      </c>
      <c r="N336" s="48" t="s">
        <v>1617</v>
      </c>
      <c r="O336" s="48" t="s">
        <v>46</v>
      </c>
      <c r="P336" s="48" t="s">
        <v>25</v>
      </c>
      <c r="Q336" s="48" t="s">
        <v>488</v>
      </c>
      <c r="R336" s="48" t="s">
        <v>2726</v>
      </c>
      <c r="S336" s="48" t="s">
        <v>574</v>
      </c>
      <c r="T336" s="114" t="s">
        <v>1617</v>
      </c>
      <c r="U336" s="48"/>
      <c r="V336" s="131" t="s">
        <v>2018</v>
      </c>
      <c r="W336" s="41" t="s">
        <v>1762</v>
      </c>
      <c r="X336" s="50" t="s">
        <v>2208</v>
      </c>
      <c r="Y336" s="50"/>
    </row>
    <row r="337" spans="1:25" customFormat="1" ht="14.4" x14ac:dyDescent="0.3">
      <c r="A337" s="48">
        <f t="shared" si="16"/>
        <v>6</v>
      </c>
      <c r="B337" s="113">
        <v>46058</v>
      </c>
      <c r="C337" s="48" t="str">
        <f t="shared" si="17"/>
        <v>febrero</v>
      </c>
      <c r="D337" s="48" t="s">
        <v>2135</v>
      </c>
      <c r="E337" s="42" t="s">
        <v>2728</v>
      </c>
      <c r="F337" s="47" t="s">
        <v>345</v>
      </c>
      <c r="G337" s="48">
        <v>1</v>
      </c>
      <c r="H337" s="48" t="s">
        <v>1705</v>
      </c>
      <c r="I337" s="197">
        <v>100</v>
      </c>
      <c r="J337" s="197">
        <v>100</v>
      </c>
      <c r="K337" s="197">
        <v>16</v>
      </c>
      <c r="L337" s="201">
        <v>116</v>
      </c>
      <c r="M337" s="198">
        <v>0</v>
      </c>
      <c r="N337" s="48" t="s">
        <v>1617</v>
      </c>
      <c r="O337" s="48" t="s">
        <v>46</v>
      </c>
      <c r="P337" s="48" t="s">
        <v>25</v>
      </c>
      <c r="Q337" s="48" t="s">
        <v>488</v>
      </c>
      <c r="R337" s="48" t="s">
        <v>2726</v>
      </c>
      <c r="S337" s="48" t="s">
        <v>574</v>
      </c>
      <c r="T337" s="114" t="s">
        <v>1617</v>
      </c>
      <c r="U337" s="48"/>
      <c r="V337" s="131" t="s">
        <v>2018</v>
      </c>
      <c r="W337" s="41" t="s">
        <v>1762</v>
      </c>
      <c r="X337" s="50" t="s">
        <v>2208</v>
      </c>
      <c r="Y337" s="50"/>
    </row>
    <row r="338" spans="1:25" customFormat="1" ht="14.4" x14ac:dyDescent="0.3">
      <c r="A338" s="48">
        <f t="shared" si="16"/>
        <v>6</v>
      </c>
      <c r="B338" s="113">
        <v>46058</v>
      </c>
      <c r="C338" s="48" t="str">
        <f t="shared" si="17"/>
        <v>febrero</v>
      </c>
      <c r="D338" s="48" t="s">
        <v>2135</v>
      </c>
      <c r="E338" s="42" t="s">
        <v>2728</v>
      </c>
      <c r="F338" s="47" t="s">
        <v>2204</v>
      </c>
      <c r="G338" s="48">
        <v>1</v>
      </c>
      <c r="H338" s="48" t="s">
        <v>1705</v>
      </c>
      <c r="I338" s="197">
        <v>1098.28</v>
      </c>
      <c r="J338" s="197">
        <v>1098.28</v>
      </c>
      <c r="K338" s="197">
        <v>175.72479999999999</v>
      </c>
      <c r="L338" s="201">
        <v>1274.0047999999999</v>
      </c>
      <c r="M338" s="198">
        <v>0</v>
      </c>
      <c r="N338" s="48" t="s">
        <v>1617</v>
      </c>
      <c r="O338" s="48" t="s">
        <v>46</v>
      </c>
      <c r="P338" s="48" t="s">
        <v>25</v>
      </c>
      <c r="Q338" s="48" t="s">
        <v>488</v>
      </c>
      <c r="R338" s="48" t="s">
        <v>2726</v>
      </c>
      <c r="S338" s="48" t="s">
        <v>574</v>
      </c>
      <c r="T338" s="114" t="s">
        <v>1617</v>
      </c>
      <c r="U338" s="48"/>
      <c r="V338" s="131" t="s">
        <v>2018</v>
      </c>
      <c r="W338" s="41" t="s">
        <v>1762</v>
      </c>
      <c r="X338" s="50" t="s">
        <v>2208</v>
      </c>
      <c r="Y338" s="50"/>
    </row>
    <row r="339" spans="1:25" customFormat="1" ht="14.4" x14ac:dyDescent="0.3">
      <c r="A339" s="48">
        <f t="shared" si="16"/>
        <v>6</v>
      </c>
      <c r="B339" s="113">
        <v>46058</v>
      </c>
      <c r="C339" s="48" t="str">
        <f t="shared" si="17"/>
        <v>febrero</v>
      </c>
      <c r="D339" s="48" t="s">
        <v>2135</v>
      </c>
      <c r="E339" s="42" t="s">
        <v>2728</v>
      </c>
      <c r="F339" s="47" t="s">
        <v>2214</v>
      </c>
      <c r="G339" s="48">
        <v>1</v>
      </c>
      <c r="H339" s="48" t="s">
        <v>2016</v>
      </c>
      <c r="I339" s="197">
        <v>847.41</v>
      </c>
      <c r="J339" s="197">
        <v>847.41</v>
      </c>
      <c r="K339" s="197">
        <v>135.5856</v>
      </c>
      <c r="L339" s="201">
        <v>982.99559999999997</v>
      </c>
      <c r="M339" s="198">
        <v>0</v>
      </c>
      <c r="N339" s="48" t="s">
        <v>1617</v>
      </c>
      <c r="O339" s="48" t="s">
        <v>46</v>
      </c>
      <c r="P339" s="48" t="s">
        <v>25</v>
      </c>
      <c r="Q339" s="48" t="s">
        <v>488</v>
      </c>
      <c r="R339" s="48" t="s">
        <v>2726</v>
      </c>
      <c r="S339" s="48" t="s">
        <v>574</v>
      </c>
      <c r="T339" s="114" t="s">
        <v>1617</v>
      </c>
      <c r="U339" s="48"/>
      <c r="V339" s="131" t="s">
        <v>2018</v>
      </c>
      <c r="W339" s="41" t="s">
        <v>1762</v>
      </c>
      <c r="X339" s="50" t="s">
        <v>2208</v>
      </c>
      <c r="Y339" s="50"/>
    </row>
    <row r="340" spans="1:25" customFormat="1" ht="14.4" x14ac:dyDescent="0.3">
      <c r="A340" s="48">
        <f t="shared" si="16"/>
        <v>6</v>
      </c>
      <c r="B340" s="113">
        <v>46058</v>
      </c>
      <c r="C340" s="48" t="str">
        <f t="shared" si="17"/>
        <v>febrero</v>
      </c>
      <c r="D340" s="48" t="s">
        <v>2135</v>
      </c>
      <c r="E340" s="42" t="s">
        <v>2728</v>
      </c>
      <c r="F340" s="47" t="s">
        <v>805</v>
      </c>
      <c r="G340" s="48">
        <v>3</v>
      </c>
      <c r="H340" s="48" t="s">
        <v>1705</v>
      </c>
      <c r="I340" s="197">
        <v>68.965000000000003</v>
      </c>
      <c r="J340" s="197">
        <v>206.89500000000001</v>
      </c>
      <c r="K340" s="197">
        <v>33.103200000000001</v>
      </c>
      <c r="L340" s="201">
        <v>239.9982</v>
      </c>
      <c r="M340" s="198">
        <v>0</v>
      </c>
      <c r="N340" s="48" t="s">
        <v>1617</v>
      </c>
      <c r="O340" s="48" t="s">
        <v>46</v>
      </c>
      <c r="P340" s="48" t="s">
        <v>25</v>
      </c>
      <c r="Q340" s="48" t="s">
        <v>488</v>
      </c>
      <c r="R340" s="48" t="s">
        <v>2726</v>
      </c>
      <c r="S340" s="48" t="s">
        <v>574</v>
      </c>
      <c r="T340" s="114" t="s">
        <v>1617</v>
      </c>
      <c r="U340" s="48"/>
      <c r="V340" s="131" t="s">
        <v>2018</v>
      </c>
      <c r="W340" s="41" t="s">
        <v>1762</v>
      </c>
      <c r="X340" s="50" t="s">
        <v>2208</v>
      </c>
      <c r="Y340" s="50"/>
    </row>
    <row r="341" spans="1:25" customFormat="1" ht="14.4" x14ac:dyDescent="0.3">
      <c r="A341" s="48">
        <f t="shared" si="16"/>
        <v>6</v>
      </c>
      <c r="B341" s="113">
        <v>46058</v>
      </c>
      <c r="C341" s="48" t="str">
        <f t="shared" si="17"/>
        <v>febrero</v>
      </c>
      <c r="D341" s="48" t="s">
        <v>2135</v>
      </c>
      <c r="E341" s="42" t="s">
        <v>2728</v>
      </c>
      <c r="F341" s="47" t="s">
        <v>1840</v>
      </c>
      <c r="G341" s="48">
        <v>2</v>
      </c>
      <c r="H341" s="48" t="s">
        <v>1705</v>
      </c>
      <c r="I341" s="197">
        <v>200</v>
      </c>
      <c r="J341" s="197">
        <v>400</v>
      </c>
      <c r="K341" s="197">
        <v>64</v>
      </c>
      <c r="L341" s="201">
        <v>464</v>
      </c>
      <c r="M341" s="198">
        <v>0</v>
      </c>
      <c r="N341" s="48" t="s">
        <v>1617</v>
      </c>
      <c r="O341" s="48" t="s">
        <v>46</v>
      </c>
      <c r="P341" s="48" t="s">
        <v>25</v>
      </c>
      <c r="Q341" s="48" t="s">
        <v>488</v>
      </c>
      <c r="R341" s="48" t="s">
        <v>2726</v>
      </c>
      <c r="S341" s="48" t="s">
        <v>574</v>
      </c>
      <c r="T341" s="114" t="s">
        <v>1617</v>
      </c>
      <c r="U341" s="48" t="s">
        <v>2217</v>
      </c>
      <c r="V341" s="131" t="s">
        <v>2018</v>
      </c>
      <c r="W341" s="41" t="s">
        <v>1762</v>
      </c>
      <c r="X341" s="50" t="s">
        <v>2208</v>
      </c>
      <c r="Y341" s="50"/>
    </row>
    <row r="342" spans="1:25" customFormat="1" ht="14.4" x14ac:dyDescent="0.3">
      <c r="A342" s="48">
        <f t="shared" si="16"/>
        <v>6</v>
      </c>
      <c r="B342" s="113">
        <v>46058</v>
      </c>
      <c r="C342" s="48" t="str">
        <f t="shared" si="17"/>
        <v>febrero</v>
      </c>
      <c r="D342" s="48" t="s">
        <v>2175</v>
      </c>
      <c r="E342" s="42" t="s">
        <v>1830</v>
      </c>
      <c r="F342" s="47" t="s">
        <v>2218</v>
      </c>
      <c r="G342" s="48">
        <v>1</v>
      </c>
      <c r="H342" s="48" t="s">
        <v>1705</v>
      </c>
      <c r="I342" s="197">
        <v>166.666</v>
      </c>
      <c r="J342" s="197">
        <v>166.666</v>
      </c>
      <c r="K342" s="197">
        <v>0</v>
      </c>
      <c r="L342" s="200">
        <v>166.666</v>
      </c>
      <c r="M342" s="198">
        <v>0</v>
      </c>
      <c r="N342" s="48" t="s">
        <v>62</v>
      </c>
      <c r="O342" s="48" t="s">
        <v>118</v>
      </c>
      <c r="P342" s="48" t="s">
        <v>25</v>
      </c>
      <c r="Q342" s="48" t="s">
        <v>535</v>
      </c>
      <c r="R342" s="48" t="s">
        <v>364</v>
      </c>
      <c r="S342" s="48" t="s">
        <v>1617</v>
      </c>
      <c r="T342" s="114" t="s">
        <v>1617</v>
      </c>
      <c r="U342" s="48" t="s">
        <v>2923</v>
      </c>
      <c r="V342" s="39"/>
      <c r="W342" s="41" t="s">
        <v>1617</v>
      </c>
      <c r="X342" s="50" t="s">
        <v>2209</v>
      </c>
    </row>
    <row r="343" spans="1:25" customFormat="1" ht="14.4" x14ac:dyDescent="0.3">
      <c r="A343" s="48">
        <f t="shared" si="16"/>
        <v>6</v>
      </c>
      <c r="B343" s="113">
        <v>46058</v>
      </c>
      <c r="C343" s="48" t="str">
        <f t="shared" si="17"/>
        <v>febrero</v>
      </c>
      <c r="D343" s="48" t="s">
        <v>2175</v>
      </c>
      <c r="E343" s="42" t="s">
        <v>1830</v>
      </c>
      <c r="F343" s="47" t="s">
        <v>2924</v>
      </c>
      <c r="G343" s="48">
        <v>1</v>
      </c>
      <c r="H343" s="48" t="s">
        <v>1705</v>
      </c>
      <c r="I343" s="197">
        <v>166.666</v>
      </c>
      <c r="J343" s="197">
        <v>166.666</v>
      </c>
      <c r="K343" s="197">
        <v>0</v>
      </c>
      <c r="L343" s="200">
        <v>166.666</v>
      </c>
      <c r="M343" s="198">
        <v>0</v>
      </c>
      <c r="N343" s="48" t="s">
        <v>62</v>
      </c>
      <c r="O343" s="48" t="s">
        <v>118</v>
      </c>
      <c r="P343" s="48" t="s">
        <v>25</v>
      </c>
      <c r="Q343" s="48" t="s">
        <v>535</v>
      </c>
      <c r="R343" s="48" t="s">
        <v>364</v>
      </c>
      <c r="S343" s="48" t="s">
        <v>1617</v>
      </c>
      <c r="T343" s="114" t="s">
        <v>1617</v>
      </c>
      <c r="U343" s="48" t="s">
        <v>2923</v>
      </c>
      <c r="V343" s="39"/>
      <c r="W343" s="41" t="s">
        <v>1617</v>
      </c>
      <c r="X343" s="50" t="s">
        <v>2209</v>
      </c>
    </row>
    <row r="344" spans="1:25" customFormat="1" ht="14.4" x14ac:dyDescent="0.3">
      <c r="A344" s="48">
        <f t="shared" si="16"/>
        <v>6</v>
      </c>
      <c r="B344" s="113">
        <v>46058</v>
      </c>
      <c r="C344" s="48" t="str">
        <f t="shared" si="17"/>
        <v>febrero</v>
      </c>
      <c r="D344" s="48" t="s">
        <v>2175</v>
      </c>
      <c r="E344" s="42" t="s">
        <v>1830</v>
      </c>
      <c r="F344" s="47" t="s">
        <v>2925</v>
      </c>
      <c r="G344" s="48">
        <v>1</v>
      </c>
      <c r="H344" s="48" t="s">
        <v>1705</v>
      </c>
      <c r="I344" s="197">
        <v>166.666</v>
      </c>
      <c r="J344" s="197">
        <v>166.666</v>
      </c>
      <c r="K344" s="197">
        <v>0</v>
      </c>
      <c r="L344" s="200">
        <v>166.666</v>
      </c>
      <c r="M344" s="198">
        <v>0</v>
      </c>
      <c r="N344" s="48" t="s">
        <v>62</v>
      </c>
      <c r="O344" s="48" t="s">
        <v>118</v>
      </c>
      <c r="P344" s="48" t="s">
        <v>25</v>
      </c>
      <c r="Q344" s="48" t="s">
        <v>535</v>
      </c>
      <c r="R344" s="48" t="s">
        <v>364</v>
      </c>
      <c r="S344" s="48" t="s">
        <v>1617</v>
      </c>
      <c r="T344" s="114" t="s">
        <v>1617</v>
      </c>
      <c r="U344" s="48" t="s">
        <v>2221</v>
      </c>
      <c r="V344" s="39"/>
      <c r="W344" s="41" t="s">
        <v>1617</v>
      </c>
      <c r="X344" s="50" t="s">
        <v>2209</v>
      </c>
    </row>
    <row r="345" spans="1:25" customFormat="1" ht="14.4" x14ac:dyDescent="0.3">
      <c r="A345" s="48">
        <f t="shared" si="16"/>
        <v>6</v>
      </c>
      <c r="B345" s="113">
        <v>46058</v>
      </c>
      <c r="C345" s="48" t="str">
        <f t="shared" si="17"/>
        <v>febrero</v>
      </c>
      <c r="D345" s="48" t="s">
        <v>2135</v>
      </c>
      <c r="E345" s="42" t="s">
        <v>2728</v>
      </c>
      <c r="F345" s="47" t="s">
        <v>662</v>
      </c>
      <c r="G345" s="48">
        <v>1</v>
      </c>
      <c r="H345" s="48" t="s">
        <v>1705</v>
      </c>
      <c r="I345" s="197">
        <v>1346</v>
      </c>
      <c r="J345" s="197">
        <v>1346</v>
      </c>
      <c r="K345" s="197">
        <v>215.36</v>
      </c>
      <c r="L345" s="197">
        <v>1561.3600000000001</v>
      </c>
      <c r="M345" s="198">
        <v>0</v>
      </c>
      <c r="N345" s="48" t="s">
        <v>1617</v>
      </c>
      <c r="O345" s="48" t="s">
        <v>1611</v>
      </c>
      <c r="P345" s="48" t="s">
        <v>25</v>
      </c>
      <c r="Q345" s="48" t="s">
        <v>488</v>
      </c>
      <c r="R345" s="48" t="s">
        <v>2727</v>
      </c>
      <c r="S345" s="48" t="s">
        <v>650</v>
      </c>
      <c r="T345" s="114" t="s">
        <v>1617</v>
      </c>
      <c r="U345" s="48" t="s">
        <v>1872</v>
      </c>
      <c r="V345" s="39"/>
      <c r="W345" s="41" t="s">
        <v>1873</v>
      </c>
      <c r="X345" s="50" t="s">
        <v>2210</v>
      </c>
      <c r="Y345" s="50"/>
    </row>
    <row r="346" spans="1:25" customFormat="1" ht="14.4" x14ac:dyDescent="0.3">
      <c r="A346" s="48">
        <f t="shared" si="16"/>
        <v>6</v>
      </c>
      <c r="B346" s="113">
        <v>46058</v>
      </c>
      <c r="C346" s="48" t="str">
        <f t="shared" si="17"/>
        <v>febrero</v>
      </c>
      <c r="D346" s="48" t="s">
        <v>2135</v>
      </c>
      <c r="E346" s="42" t="s">
        <v>2728</v>
      </c>
      <c r="F346" s="47" t="s">
        <v>1874</v>
      </c>
      <c r="G346" s="48">
        <v>1</v>
      </c>
      <c r="H346" s="48" t="s">
        <v>2139</v>
      </c>
      <c r="I346" s="197">
        <v>161.74</v>
      </c>
      <c r="J346" s="197">
        <v>161.74</v>
      </c>
      <c r="K346" s="197">
        <v>25.878400000000003</v>
      </c>
      <c r="L346" s="197">
        <v>187.61840000000001</v>
      </c>
      <c r="M346" s="198">
        <v>0</v>
      </c>
      <c r="N346" s="48" t="s">
        <v>1617</v>
      </c>
      <c r="O346" s="48" t="s">
        <v>1611</v>
      </c>
      <c r="P346" s="48" t="s">
        <v>25</v>
      </c>
      <c r="Q346" s="48" t="s">
        <v>488</v>
      </c>
      <c r="R346" s="48" t="s">
        <v>2727</v>
      </c>
      <c r="S346" s="48" t="s">
        <v>1665</v>
      </c>
      <c r="T346" s="114" t="s">
        <v>1617</v>
      </c>
      <c r="U346" s="48"/>
      <c r="V346" s="39"/>
      <c r="W346" s="120" t="s">
        <v>1762</v>
      </c>
      <c r="X346" s="50" t="s">
        <v>2211</v>
      </c>
      <c r="Y346" s="50"/>
    </row>
    <row r="347" spans="1:25" customFormat="1" ht="14.4" x14ac:dyDescent="0.3">
      <c r="A347" s="48">
        <f t="shared" si="16"/>
        <v>6</v>
      </c>
      <c r="B347" s="113">
        <v>46059</v>
      </c>
      <c r="C347" s="48" t="str">
        <f t="shared" si="17"/>
        <v>febrero</v>
      </c>
      <c r="D347" s="48" t="s">
        <v>2135</v>
      </c>
      <c r="E347" s="42" t="s">
        <v>356</v>
      </c>
      <c r="F347" s="47" t="s">
        <v>127</v>
      </c>
      <c r="G347" s="48">
        <v>26.03</v>
      </c>
      <c r="H347" s="48" t="s">
        <v>2017</v>
      </c>
      <c r="I347" s="197">
        <v>19.870999999999999</v>
      </c>
      <c r="J347" s="197">
        <v>517.24212999999997</v>
      </c>
      <c r="K347" s="197">
        <v>82.758740799999998</v>
      </c>
      <c r="L347" s="197">
        <v>600.00087080000003</v>
      </c>
      <c r="M347" s="198">
        <v>0</v>
      </c>
      <c r="N347" s="48" t="s">
        <v>1617</v>
      </c>
      <c r="O347" s="48" t="s">
        <v>1586</v>
      </c>
      <c r="P347" s="48" t="s">
        <v>25</v>
      </c>
      <c r="Q347" s="48" t="s">
        <v>1853</v>
      </c>
      <c r="R347" s="48" t="s">
        <v>2727</v>
      </c>
      <c r="S347" s="48" t="s">
        <v>647</v>
      </c>
      <c r="T347" s="114" t="s">
        <v>2025</v>
      </c>
      <c r="U347" s="48" t="s">
        <v>2069</v>
      </c>
      <c r="V347" s="39"/>
      <c r="W347" s="41" t="s">
        <v>1854</v>
      </c>
      <c r="X347" s="50" t="s">
        <v>2212</v>
      </c>
      <c r="Y347" s="50"/>
    </row>
    <row r="348" spans="1:25" customFormat="1" ht="14.4" x14ac:dyDescent="0.3">
      <c r="A348" s="48">
        <f t="shared" si="16"/>
        <v>6</v>
      </c>
      <c r="B348" s="113">
        <v>46059</v>
      </c>
      <c r="C348" s="48" t="str">
        <f t="shared" si="17"/>
        <v>febrero</v>
      </c>
      <c r="D348" s="48" t="s">
        <v>2135</v>
      </c>
      <c r="E348" s="42" t="s">
        <v>356</v>
      </c>
      <c r="F348" s="47" t="s">
        <v>127</v>
      </c>
      <c r="G348" s="117">
        <v>29.96</v>
      </c>
      <c r="H348" s="48" t="s">
        <v>2017</v>
      </c>
      <c r="I348" s="197">
        <v>19.875299999999999</v>
      </c>
      <c r="J348" s="197">
        <v>595.46398799999997</v>
      </c>
      <c r="K348" s="197">
        <v>95.274238080000003</v>
      </c>
      <c r="L348" s="197">
        <v>690.73822608</v>
      </c>
      <c r="M348" s="198">
        <v>0</v>
      </c>
      <c r="N348" s="48" t="s">
        <v>1617</v>
      </c>
      <c r="O348" s="48" t="s">
        <v>152</v>
      </c>
      <c r="P348" s="48" t="s">
        <v>25</v>
      </c>
      <c r="Q348" s="48" t="s">
        <v>241</v>
      </c>
      <c r="R348" s="48" t="s">
        <v>2727</v>
      </c>
      <c r="S348" s="48" t="s">
        <v>647</v>
      </c>
      <c r="T348" s="114" t="s">
        <v>2025</v>
      </c>
      <c r="U348" s="48"/>
      <c r="V348" s="39"/>
      <c r="W348" s="118" t="s">
        <v>1880</v>
      </c>
      <c r="X348" s="50" t="s">
        <v>2213</v>
      </c>
      <c r="Y348" s="50"/>
    </row>
    <row r="349" spans="1:25" customFormat="1" ht="14.4" x14ac:dyDescent="0.3">
      <c r="A349" s="48">
        <f t="shared" si="16"/>
        <v>6</v>
      </c>
      <c r="B349" s="113">
        <v>46059</v>
      </c>
      <c r="C349" s="48" t="str">
        <f t="shared" si="17"/>
        <v>febrero</v>
      </c>
      <c r="D349" s="48" t="s">
        <v>2135</v>
      </c>
      <c r="E349" s="42" t="s">
        <v>2728</v>
      </c>
      <c r="F349" s="47" t="s">
        <v>1840</v>
      </c>
      <c r="G349" s="48">
        <v>2</v>
      </c>
      <c r="H349" s="48" t="s">
        <v>1705</v>
      </c>
      <c r="I349" s="197">
        <v>173.81</v>
      </c>
      <c r="J349" s="197">
        <v>347.62</v>
      </c>
      <c r="K349" s="197">
        <v>55.619199999999999</v>
      </c>
      <c r="L349" s="197">
        <v>403.23919999999998</v>
      </c>
      <c r="M349" s="198">
        <v>0</v>
      </c>
      <c r="N349" s="48" t="s">
        <v>1617</v>
      </c>
      <c r="O349" s="48" t="s">
        <v>123</v>
      </c>
      <c r="P349" s="48" t="s">
        <v>39</v>
      </c>
      <c r="Q349" s="48" t="s">
        <v>241</v>
      </c>
      <c r="R349" s="48" t="s">
        <v>2727</v>
      </c>
      <c r="S349" s="48" t="s">
        <v>650</v>
      </c>
      <c r="T349" s="114" t="s">
        <v>1617</v>
      </c>
      <c r="U349" s="48"/>
      <c r="V349" s="39"/>
      <c r="W349" s="41" t="s">
        <v>325</v>
      </c>
      <c r="X349" s="50" t="s">
        <v>2215</v>
      </c>
      <c r="Y349" s="50"/>
    </row>
    <row r="350" spans="1:25" customFormat="1" ht="14.4" x14ac:dyDescent="0.3">
      <c r="A350" s="48">
        <f t="shared" si="16"/>
        <v>6</v>
      </c>
      <c r="B350" s="113">
        <v>46059</v>
      </c>
      <c r="C350" s="48" t="str">
        <f t="shared" si="17"/>
        <v>febrero</v>
      </c>
      <c r="D350" s="48" t="s">
        <v>2135</v>
      </c>
      <c r="E350" s="42" t="s">
        <v>2732</v>
      </c>
      <c r="F350" s="47" t="s">
        <v>2222</v>
      </c>
      <c r="G350" s="48">
        <v>1</v>
      </c>
      <c r="H350" s="48" t="s">
        <v>1705</v>
      </c>
      <c r="I350" s="197">
        <v>599</v>
      </c>
      <c r="J350" s="197">
        <v>599</v>
      </c>
      <c r="K350" s="197">
        <v>0</v>
      </c>
      <c r="L350" s="201">
        <v>599</v>
      </c>
      <c r="M350" s="198">
        <v>0</v>
      </c>
      <c r="N350" s="48" t="s">
        <v>1617</v>
      </c>
      <c r="O350" s="48" t="s">
        <v>116</v>
      </c>
      <c r="P350" s="48" t="s">
        <v>25</v>
      </c>
      <c r="Q350" s="48" t="s">
        <v>488</v>
      </c>
      <c r="R350" s="48" t="s">
        <v>2727</v>
      </c>
      <c r="S350" s="48" t="s">
        <v>1849</v>
      </c>
      <c r="T350" s="48" t="s">
        <v>2223</v>
      </c>
      <c r="U350" s="48"/>
      <c r="V350" s="39"/>
      <c r="W350" s="41" t="s">
        <v>1850</v>
      </c>
      <c r="X350" s="50" t="s">
        <v>2216</v>
      </c>
    </row>
    <row r="351" spans="1:25" customFormat="1" ht="14.4" x14ac:dyDescent="0.3">
      <c r="A351" s="48">
        <f t="shared" si="16"/>
        <v>6</v>
      </c>
      <c r="B351" s="113">
        <v>46059</v>
      </c>
      <c r="C351" s="48" t="str">
        <f t="shared" si="17"/>
        <v>febrero</v>
      </c>
      <c r="D351" s="48" t="s">
        <v>2135</v>
      </c>
      <c r="E351" s="42" t="s">
        <v>2732</v>
      </c>
      <c r="F351" s="47" t="s">
        <v>2225</v>
      </c>
      <c r="G351" s="48">
        <v>1</v>
      </c>
      <c r="H351" s="48" t="s">
        <v>1705</v>
      </c>
      <c r="I351" s="197">
        <v>51.72</v>
      </c>
      <c r="J351" s="197">
        <v>51.72</v>
      </c>
      <c r="K351" s="197">
        <v>8.2751999999999999</v>
      </c>
      <c r="L351" s="201">
        <v>59.995199999999997</v>
      </c>
      <c r="M351" s="198">
        <v>0</v>
      </c>
      <c r="N351" s="48" t="s">
        <v>1617</v>
      </c>
      <c r="O351" s="48" t="s">
        <v>116</v>
      </c>
      <c r="P351" s="48" t="s">
        <v>25</v>
      </c>
      <c r="Q351" s="48" t="s">
        <v>488</v>
      </c>
      <c r="R351" s="48" t="s">
        <v>2727</v>
      </c>
      <c r="S351" s="48" t="s">
        <v>1849</v>
      </c>
      <c r="T351" s="48" t="s">
        <v>2223</v>
      </c>
      <c r="U351" s="48" t="s">
        <v>2226</v>
      </c>
      <c r="V351" s="39"/>
      <c r="W351" s="41" t="s">
        <v>1850</v>
      </c>
      <c r="X351" s="50" t="s">
        <v>2216</v>
      </c>
    </row>
    <row r="352" spans="1:25" customFormat="1" ht="14.4" x14ac:dyDescent="0.3">
      <c r="A352" s="48">
        <f t="shared" si="16"/>
        <v>6</v>
      </c>
      <c r="B352" s="113">
        <v>46059</v>
      </c>
      <c r="C352" s="48" t="str">
        <f t="shared" si="17"/>
        <v>febrero</v>
      </c>
      <c r="D352" s="48" t="s">
        <v>2175</v>
      </c>
      <c r="E352" s="42" t="s">
        <v>1830</v>
      </c>
      <c r="F352" s="47" t="s">
        <v>2926</v>
      </c>
      <c r="G352" s="48">
        <v>1</v>
      </c>
      <c r="H352" s="48" t="s">
        <v>1705</v>
      </c>
      <c r="I352" s="197">
        <v>81.031000000000006</v>
      </c>
      <c r="J352" s="197">
        <v>81.031000000000006</v>
      </c>
      <c r="K352" s="197">
        <v>12.964960000000001</v>
      </c>
      <c r="L352" s="197">
        <v>93.995960000000011</v>
      </c>
      <c r="M352" s="198">
        <v>0</v>
      </c>
      <c r="N352" s="48" t="s">
        <v>62</v>
      </c>
      <c r="O352" s="48" t="s">
        <v>118</v>
      </c>
      <c r="P352" s="48" t="s">
        <v>25</v>
      </c>
      <c r="Q352" s="48" t="s">
        <v>819</v>
      </c>
      <c r="R352" s="48" t="s">
        <v>2727</v>
      </c>
      <c r="S352" s="48" t="s">
        <v>574</v>
      </c>
      <c r="T352" s="114" t="s">
        <v>1617</v>
      </c>
      <c r="U352" s="48"/>
      <c r="V352" s="39"/>
      <c r="W352" s="41" t="s">
        <v>1762</v>
      </c>
      <c r="X352" s="50" t="s">
        <v>2219</v>
      </c>
    </row>
    <row r="353" spans="1:25" customFormat="1" ht="14.4" x14ac:dyDescent="0.3">
      <c r="A353" s="48">
        <f t="shared" si="16"/>
        <v>6</v>
      </c>
      <c r="B353" s="113">
        <v>46059</v>
      </c>
      <c r="C353" s="48" t="str">
        <f t="shared" si="17"/>
        <v>febrero</v>
      </c>
      <c r="D353" s="48" t="s">
        <v>2175</v>
      </c>
      <c r="E353" s="42" t="s">
        <v>1830</v>
      </c>
      <c r="F353" s="47" t="s">
        <v>1874</v>
      </c>
      <c r="G353" s="48">
        <v>1</v>
      </c>
      <c r="H353" s="48" t="s">
        <v>1705</v>
      </c>
      <c r="I353" s="197">
        <v>111.71</v>
      </c>
      <c r="J353" s="197">
        <v>111.71</v>
      </c>
      <c r="K353" s="197">
        <v>17.8736</v>
      </c>
      <c r="L353" s="200">
        <v>129.58359999999999</v>
      </c>
      <c r="M353" s="198">
        <v>0</v>
      </c>
      <c r="N353" s="48" t="s">
        <v>62</v>
      </c>
      <c r="O353" s="48" t="s">
        <v>118</v>
      </c>
      <c r="P353" s="48" t="s">
        <v>25</v>
      </c>
      <c r="Q353" s="48" t="s">
        <v>241</v>
      </c>
      <c r="R353" s="48" t="s">
        <v>2727</v>
      </c>
      <c r="S353" s="48" t="s">
        <v>1665</v>
      </c>
      <c r="T353" s="114" t="s">
        <v>1617</v>
      </c>
      <c r="U353" s="48"/>
      <c r="V353" s="131" t="s">
        <v>2018</v>
      </c>
      <c r="W353" s="41" t="s">
        <v>1762</v>
      </c>
      <c r="X353" s="50" t="s">
        <v>2220</v>
      </c>
    </row>
    <row r="354" spans="1:25" customFormat="1" ht="14.4" x14ac:dyDescent="0.3">
      <c r="A354" s="48">
        <f t="shared" si="16"/>
        <v>6</v>
      </c>
      <c r="B354" s="113">
        <v>46059</v>
      </c>
      <c r="C354" s="48" t="str">
        <f t="shared" si="17"/>
        <v>febrero</v>
      </c>
      <c r="D354" s="48" t="s">
        <v>2175</v>
      </c>
      <c r="E354" s="42" t="s">
        <v>1830</v>
      </c>
      <c r="F354" s="47" t="s">
        <v>1876</v>
      </c>
      <c r="G354" s="48">
        <v>1</v>
      </c>
      <c r="H354" s="48" t="s">
        <v>1705</v>
      </c>
      <c r="I354" s="197">
        <v>35.04</v>
      </c>
      <c r="J354" s="197">
        <v>35.04</v>
      </c>
      <c r="K354" s="197">
        <v>5.6063999999999998</v>
      </c>
      <c r="L354" s="200">
        <v>40.6464</v>
      </c>
      <c r="M354" s="198">
        <v>0</v>
      </c>
      <c r="N354" s="48" t="s">
        <v>62</v>
      </c>
      <c r="O354" s="48" t="s">
        <v>118</v>
      </c>
      <c r="P354" s="48" t="s">
        <v>25</v>
      </c>
      <c r="Q354" s="48" t="s">
        <v>241</v>
      </c>
      <c r="R354" s="48" t="s">
        <v>2727</v>
      </c>
      <c r="S354" s="48" t="s">
        <v>1665</v>
      </c>
      <c r="T354" s="114" t="s">
        <v>1617</v>
      </c>
      <c r="U354" s="48"/>
      <c r="V354" s="131" t="s">
        <v>2018</v>
      </c>
      <c r="W354" s="41" t="s">
        <v>1762</v>
      </c>
      <c r="X354" s="50" t="s">
        <v>2220</v>
      </c>
    </row>
    <row r="355" spans="1:25" customFormat="1" ht="14.4" x14ac:dyDescent="0.3">
      <c r="A355" s="48">
        <f t="shared" si="16"/>
        <v>6</v>
      </c>
      <c r="B355" s="113">
        <v>46059</v>
      </c>
      <c r="C355" s="48" t="str">
        <f t="shared" si="17"/>
        <v>febrero</v>
      </c>
      <c r="D355" s="48" t="s">
        <v>2175</v>
      </c>
      <c r="E355" s="42" t="s">
        <v>1830</v>
      </c>
      <c r="F355" s="47" t="s">
        <v>2230</v>
      </c>
      <c r="G355" s="48">
        <v>10</v>
      </c>
      <c r="H355" s="48" t="s">
        <v>1705</v>
      </c>
      <c r="I355" s="197">
        <v>3.78</v>
      </c>
      <c r="J355" s="197">
        <v>37.799999999999997</v>
      </c>
      <c r="K355" s="197">
        <v>6.048</v>
      </c>
      <c r="L355" s="200">
        <v>43.847999999999999</v>
      </c>
      <c r="M355" s="198">
        <v>0</v>
      </c>
      <c r="N355" s="48" t="s">
        <v>62</v>
      </c>
      <c r="O355" s="48" t="s">
        <v>118</v>
      </c>
      <c r="P355" s="48" t="s">
        <v>25</v>
      </c>
      <c r="Q355" s="48" t="s">
        <v>241</v>
      </c>
      <c r="R355" s="48" t="s">
        <v>2727</v>
      </c>
      <c r="S355" s="48" t="s">
        <v>1665</v>
      </c>
      <c r="T355" s="114" t="s">
        <v>1669</v>
      </c>
      <c r="U355" s="48"/>
      <c r="V355" s="131" t="s">
        <v>2018</v>
      </c>
      <c r="W355" s="41" t="s">
        <v>1762</v>
      </c>
      <c r="X355" s="50" t="s">
        <v>2220</v>
      </c>
    </row>
    <row r="356" spans="1:25" customFormat="1" ht="14.4" x14ac:dyDescent="0.3">
      <c r="A356" s="48">
        <f t="shared" si="16"/>
        <v>6</v>
      </c>
      <c r="B356" s="113">
        <v>46059</v>
      </c>
      <c r="C356" s="48" t="str">
        <f t="shared" si="17"/>
        <v>febrero</v>
      </c>
      <c r="D356" s="48" t="s">
        <v>2175</v>
      </c>
      <c r="E356" s="42" t="s">
        <v>1830</v>
      </c>
      <c r="F356" s="47" t="s">
        <v>2231</v>
      </c>
      <c r="G356" s="48">
        <v>10</v>
      </c>
      <c r="H356" s="48" t="s">
        <v>1705</v>
      </c>
      <c r="I356" s="197">
        <v>17.440000000000001</v>
      </c>
      <c r="J356" s="197">
        <v>174.4</v>
      </c>
      <c r="K356" s="197">
        <v>27.904</v>
      </c>
      <c r="L356" s="200">
        <v>202.304</v>
      </c>
      <c r="M356" s="198">
        <v>0</v>
      </c>
      <c r="N356" s="48" t="s">
        <v>62</v>
      </c>
      <c r="O356" s="48" t="s">
        <v>118</v>
      </c>
      <c r="P356" s="48" t="s">
        <v>25</v>
      </c>
      <c r="Q356" s="48" t="s">
        <v>241</v>
      </c>
      <c r="R356" s="48" t="s">
        <v>2727</v>
      </c>
      <c r="S356" s="48" t="s">
        <v>1665</v>
      </c>
      <c r="T356" s="114" t="s">
        <v>1669</v>
      </c>
      <c r="U356" s="48"/>
      <c r="V356" s="131" t="s">
        <v>2018</v>
      </c>
      <c r="W356" s="41" t="s">
        <v>1762</v>
      </c>
      <c r="X356" s="50" t="s">
        <v>2220</v>
      </c>
    </row>
    <row r="357" spans="1:25" customFormat="1" ht="14.4" x14ac:dyDescent="0.3">
      <c r="A357" s="48">
        <f t="shared" si="16"/>
        <v>6</v>
      </c>
      <c r="B357" s="113">
        <v>46059</v>
      </c>
      <c r="C357" s="48" t="str">
        <f t="shared" si="17"/>
        <v>febrero</v>
      </c>
      <c r="D357" s="48" t="s">
        <v>2175</v>
      </c>
      <c r="E357" s="42" t="s">
        <v>1830</v>
      </c>
      <c r="F357" s="47" t="s">
        <v>2232</v>
      </c>
      <c r="G357" s="48">
        <v>10</v>
      </c>
      <c r="H357" s="48" t="s">
        <v>1705</v>
      </c>
      <c r="I357" s="197">
        <v>2.02</v>
      </c>
      <c r="J357" s="197">
        <v>20.2</v>
      </c>
      <c r="K357" s="197">
        <v>3.2319999999999998</v>
      </c>
      <c r="L357" s="200">
        <v>23.431999999999999</v>
      </c>
      <c r="M357" s="198">
        <v>0</v>
      </c>
      <c r="N357" s="48" t="s">
        <v>62</v>
      </c>
      <c r="O357" s="48" t="s">
        <v>118</v>
      </c>
      <c r="P357" s="48" t="s">
        <v>25</v>
      </c>
      <c r="Q357" s="48" t="s">
        <v>241</v>
      </c>
      <c r="R357" s="48" t="s">
        <v>2727</v>
      </c>
      <c r="S357" s="48" t="s">
        <v>1665</v>
      </c>
      <c r="T357" s="114" t="s">
        <v>1669</v>
      </c>
      <c r="U357" s="48"/>
      <c r="V357" s="131" t="s">
        <v>2018</v>
      </c>
      <c r="W357" s="41" t="s">
        <v>1762</v>
      </c>
      <c r="X357" s="50" t="s">
        <v>2220</v>
      </c>
    </row>
    <row r="358" spans="1:25" customFormat="1" ht="14.4" x14ac:dyDescent="0.3">
      <c r="A358" s="48">
        <f t="shared" si="16"/>
        <v>6</v>
      </c>
      <c r="B358" s="113">
        <v>46059</v>
      </c>
      <c r="C358" s="48" t="str">
        <f t="shared" si="17"/>
        <v>febrero</v>
      </c>
      <c r="D358" s="48" t="s">
        <v>2175</v>
      </c>
      <c r="E358" s="42" t="s">
        <v>1830</v>
      </c>
      <c r="F358" s="47" t="s">
        <v>2234</v>
      </c>
      <c r="G358" s="48">
        <v>1</v>
      </c>
      <c r="H358" s="48" t="s">
        <v>1705</v>
      </c>
      <c r="I358" s="197">
        <v>14.2</v>
      </c>
      <c r="J358" s="197">
        <v>14.2</v>
      </c>
      <c r="K358" s="197">
        <v>2.2719999999999998</v>
      </c>
      <c r="L358" s="200">
        <v>16.471999999999998</v>
      </c>
      <c r="M358" s="198">
        <v>0</v>
      </c>
      <c r="N358" s="48" t="s">
        <v>62</v>
      </c>
      <c r="O358" s="48" t="s">
        <v>118</v>
      </c>
      <c r="P358" s="48" t="s">
        <v>25</v>
      </c>
      <c r="Q358" s="48" t="s">
        <v>241</v>
      </c>
      <c r="R358" s="48" t="s">
        <v>2727</v>
      </c>
      <c r="S358" s="48" t="s">
        <v>1665</v>
      </c>
      <c r="T358" s="114" t="s">
        <v>1669</v>
      </c>
      <c r="U358" s="48" t="s">
        <v>2927</v>
      </c>
      <c r="V358" s="131" t="s">
        <v>2018</v>
      </c>
      <c r="W358" s="41" t="s">
        <v>1762</v>
      </c>
      <c r="X358" s="50" t="s">
        <v>2220</v>
      </c>
    </row>
    <row r="359" spans="1:25" customFormat="1" ht="14.4" x14ac:dyDescent="0.3">
      <c r="A359" s="48">
        <f t="shared" si="16"/>
        <v>6</v>
      </c>
      <c r="B359" s="113">
        <v>46059</v>
      </c>
      <c r="C359" s="48" t="str">
        <f t="shared" si="17"/>
        <v>febrero</v>
      </c>
      <c r="D359" s="48" t="s">
        <v>2135</v>
      </c>
      <c r="E359" s="42" t="s">
        <v>477</v>
      </c>
      <c r="F359" s="47" t="s">
        <v>2019</v>
      </c>
      <c r="G359" s="48">
        <v>1</v>
      </c>
      <c r="H359" s="48" t="s">
        <v>2138</v>
      </c>
      <c r="I359" s="197">
        <v>2157</v>
      </c>
      <c r="J359" s="197">
        <v>2157</v>
      </c>
      <c r="K359" s="197">
        <v>0</v>
      </c>
      <c r="L359" s="197">
        <v>2157</v>
      </c>
      <c r="M359" s="198">
        <v>0</v>
      </c>
      <c r="N359" s="48" t="s">
        <v>1617</v>
      </c>
      <c r="O359" s="48" t="s">
        <v>2027</v>
      </c>
      <c r="P359" s="49" t="s">
        <v>1321</v>
      </c>
      <c r="Q359" s="48" t="s">
        <v>1766</v>
      </c>
      <c r="R359" s="48" t="s">
        <v>369</v>
      </c>
      <c r="S359" s="48" t="s">
        <v>1617</v>
      </c>
      <c r="T359" s="114" t="s">
        <v>1617</v>
      </c>
      <c r="U359" s="48" t="s">
        <v>2028</v>
      </c>
      <c r="V359" s="50" t="s">
        <v>2235</v>
      </c>
      <c r="W359" s="50"/>
      <c r="Y359" s="50"/>
    </row>
    <row r="360" spans="1:25" customFormat="1" ht="14.4" x14ac:dyDescent="0.3">
      <c r="A360" s="38">
        <f t="shared" si="16"/>
        <v>6</v>
      </c>
      <c r="B360" s="126">
        <v>46059</v>
      </c>
      <c r="C360" s="48" t="str">
        <f t="shared" si="17"/>
        <v>febrero</v>
      </c>
      <c r="D360" s="48" t="s">
        <v>2135</v>
      </c>
      <c r="E360" s="50" t="s">
        <v>827</v>
      </c>
      <c r="F360" s="130" t="s">
        <v>2723</v>
      </c>
      <c r="G360" s="48">
        <v>1</v>
      </c>
      <c r="H360" s="48" t="s">
        <v>2138</v>
      </c>
      <c r="I360" s="197">
        <v>1300</v>
      </c>
      <c r="J360" s="197">
        <v>1300</v>
      </c>
      <c r="K360" s="197">
        <v>0</v>
      </c>
      <c r="L360" s="202">
        <v>1300</v>
      </c>
      <c r="M360" s="198">
        <v>0</v>
      </c>
      <c r="N360" s="48" t="s">
        <v>1617</v>
      </c>
      <c r="O360" s="64" t="s">
        <v>1860</v>
      </c>
      <c r="P360" s="48" t="s">
        <v>25</v>
      </c>
      <c r="Q360" s="48" t="s">
        <v>245</v>
      </c>
      <c r="R360" s="64" t="s">
        <v>369</v>
      </c>
      <c r="V360" s="50" t="s">
        <v>1759</v>
      </c>
      <c r="Y360" s="50"/>
    </row>
    <row r="361" spans="1:25" customFormat="1" ht="14.4" x14ac:dyDescent="0.3">
      <c r="A361" s="38">
        <f t="shared" ref="A361:A424" si="18">WEEKNUM(B361)</f>
        <v>6</v>
      </c>
      <c r="B361" s="126">
        <v>46059</v>
      </c>
      <c r="C361" s="48" t="str">
        <f t="shared" si="17"/>
        <v>febrero</v>
      </c>
      <c r="D361" s="48" t="s">
        <v>2135</v>
      </c>
      <c r="E361" s="50" t="s">
        <v>827</v>
      </c>
      <c r="F361" s="130" t="s">
        <v>2723</v>
      </c>
      <c r="G361" s="48">
        <v>1</v>
      </c>
      <c r="H361" s="48" t="s">
        <v>2138</v>
      </c>
      <c r="I361" s="202">
        <v>1300</v>
      </c>
      <c r="J361" s="197">
        <v>1300</v>
      </c>
      <c r="K361" s="197">
        <v>0</v>
      </c>
      <c r="L361" s="202">
        <v>1300</v>
      </c>
      <c r="M361" s="198">
        <v>0</v>
      </c>
      <c r="N361" s="48" t="s">
        <v>1617</v>
      </c>
      <c r="O361" s="64" t="s">
        <v>1829</v>
      </c>
      <c r="P361" s="48" t="s">
        <v>25</v>
      </c>
      <c r="Q361" s="48" t="s">
        <v>245</v>
      </c>
      <c r="R361" s="64" t="s">
        <v>369</v>
      </c>
      <c r="V361" s="50" t="s">
        <v>1759</v>
      </c>
      <c r="Y361" s="50"/>
    </row>
    <row r="362" spans="1:25" customFormat="1" ht="14.4" x14ac:dyDescent="0.3">
      <c r="A362" s="38">
        <f t="shared" si="18"/>
        <v>6</v>
      </c>
      <c r="B362" s="126">
        <v>46059</v>
      </c>
      <c r="C362" s="48" t="str">
        <f t="shared" si="17"/>
        <v>febrero</v>
      </c>
      <c r="D362" s="48" t="s">
        <v>2135</v>
      </c>
      <c r="E362" s="50" t="s">
        <v>827</v>
      </c>
      <c r="F362" s="130" t="s">
        <v>2723</v>
      </c>
      <c r="G362" s="48">
        <v>1</v>
      </c>
      <c r="H362" s="48" t="s">
        <v>2138</v>
      </c>
      <c r="I362" s="202">
        <v>1300</v>
      </c>
      <c r="J362" s="197">
        <v>1300</v>
      </c>
      <c r="K362" s="197">
        <v>0</v>
      </c>
      <c r="L362" s="202">
        <v>1300</v>
      </c>
      <c r="M362" s="198">
        <v>0</v>
      </c>
      <c r="N362" s="48" t="s">
        <v>1617</v>
      </c>
      <c r="O362" s="64" t="s">
        <v>2027</v>
      </c>
      <c r="P362" s="49" t="s">
        <v>1321</v>
      </c>
      <c r="Q362" s="48" t="s">
        <v>245</v>
      </c>
      <c r="R362" s="64" t="s">
        <v>369</v>
      </c>
      <c r="V362" s="50" t="s">
        <v>1759</v>
      </c>
      <c r="Y362" s="50"/>
    </row>
    <row r="363" spans="1:25" customFormat="1" ht="14.4" x14ac:dyDescent="0.3">
      <c r="A363" s="38">
        <f t="shared" si="18"/>
        <v>6</v>
      </c>
      <c r="B363" s="126">
        <v>46059</v>
      </c>
      <c r="C363" s="48" t="str">
        <f t="shared" si="17"/>
        <v>febrero</v>
      </c>
      <c r="D363" s="48" t="s">
        <v>2135</v>
      </c>
      <c r="E363" s="50" t="s">
        <v>827</v>
      </c>
      <c r="F363" s="130" t="s">
        <v>2723</v>
      </c>
      <c r="G363" s="48">
        <v>1</v>
      </c>
      <c r="H363" s="48" t="s">
        <v>2138</v>
      </c>
      <c r="I363" s="202">
        <v>1300</v>
      </c>
      <c r="J363" s="197">
        <v>1300</v>
      </c>
      <c r="K363" s="197">
        <v>0</v>
      </c>
      <c r="L363" s="202">
        <v>1300</v>
      </c>
      <c r="M363" s="198">
        <v>0</v>
      </c>
      <c r="N363" s="48" t="s">
        <v>1617</v>
      </c>
      <c r="O363" s="64" t="s">
        <v>1611</v>
      </c>
      <c r="P363" s="48" t="s">
        <v>25</v>
      </c>
      <c r="Q363" s="48" t="s">
        <v>245</v>
      </c>
      <c r="R363" s="64" t="s">
        <v>369</v>
      </c>
      <c r="V363" s="50" t="s">
        <v>1759</v>
      </c>
      <c r="Y363" s="50"/>
    </row>
    <row r="364" spans="1:25" customFormat="1" ht="14.4" x14ac:dyDescent="0.3">
      <c r="A364" s="48">
        <f t="shared" si="18"/>
        <v>6</v>
      </c>
      <c r="B364" s="113">
        <v>46060</v>
      </c>
      <c r="C364" s="48" t="str">
        <f t="shared" si="17"/>
        <v>febrero</v>
      </c>
      <c r="D364" s="48" t="s">
        <v>2135</v>
      </c>
      <c r="E364" s="42" t="s">
        <v>2918</v>
      </c>
      <c r="F364" s="47" t="s">
        <v>708</v>
      </c>
      <c r="G364" s="48">
        <v>1</v>
      </c>
      <c r="H364" s="48" t="s">
        <v>2138</v>
      </c>
      <c r="I364" s="197">
        <v>5500</v>
      </c>
      <c r="J364" s="197">
        <v>5500</v>
      </c>
      <c r="K364" s="197">
        <v>0</v>
      </c>
      <c r="L364" s="197">
        <v>5500</v>
      </c>
      <c r="M364" s="198">
        <v>0</v>
      </c>
      <c r="N364" s="48" t="s">
        <v>1617</v>
      </c>
      <c r="O364" s="48" t="s">
        <v>1829</v>
      </c>
      <c r="P364" s="48" t="s">
        <v>25</v>
      </c>
      <c r="Q364" s="48" t="s">
        <v>1844</v>
      </c>
      <c r="R364" s="48" t="s">
        <v>369</v>
      </c>
      <c r="S364" s="48" t="s">
        <v>709</v>
      </c>
      <c r="T364" s="114" t="s">
        <v>1617</v>
      </c>
      <c r="U364" s="48" t="s">
        <v>2919</v>
      </c>
      <c r="V364" s="39" t="s">
        <v>1759</v>
      </c>
      <c r="W364" s="50" t="s">
        <v>1617</v>
      </c>
      <c r="X364" s="50" t="s">
        <v>2928</v>
      </c>
      <c r="Y364" s="50"/>
    </row>
    <row r="365" spans="1:25" customFormat="1" ht="14.4" x14ac:dyDescent="0.3">
      <c r="A365" s="48">
        <f t="shared" si="18"/>
        <v>6</v>
      </c>
      <c r="B365" s="113">
        <v>46060</v>
      </c>
      <c r="C365" s="48" t="str">
        <f t="shared" si="17"/>
        <v>febrero</v>
      </c>
      <c r="D365" s="48" t="s">
        <v>2135</v>
      </c>
      <c r="E365" s="42" t="s">
        <v>477</v>
      </c>
      <c r="F365" s="47" t="s">
        <v>559</v>
      </c>
      <c r="G365" s="48">
        <v>1</v>
      </c>
      <c r="H365" s="48" t="s">
        <v>2138</v>
      </c>
      <c r="I365" s="197">
        <v>610</v>
      </c>
      <c r="J365" s="197">
        <v>610</v>
      </c>
      <c r="K365" s="197">
        <v>0</v>
      </c>
      <c r="L365" s="197">
        <v>610</v>
      </c>
      <c r="M365" s="198">
        <v>0</v>
      </c>
      <c r="N365" s="48" t="s">
        <v>1003</v>
      </c>
      <c r="O365" s="48" t="s">
        <v>1409</v>
      </c>
      <c r="P365" s="48" t="s">
        <v>25</v>
      </c>
      <c r="Q365" s="48" t="s">
        <v>1766</v>
      </c>
      <c r="R365" s="48" t="s">
        <v>364</v>
      </c>
      <c r="S365" s="48" t="s">
        <v>1858</v>
      </c>
      <c r="T365" s="114" t="s">
        <v>1617</v>
      </c>
      <c r="U365" s="48" t="s">
        <v>1859</v>
      </c>
      <c r="V365" s="39"/>
      <c r="W365" s="41" t="s">
        <v>1617</v>
      </c>
      <c r="X365" s="50" t="s">
        <v>2224</v>
      </c>
      <c r="Y365" s="50"/>
    </row>
    <row r="366" spans="1:25" customFormat="1" ht="14.4" x14ac:dyDescent="0.3">
      <c r="A366" s="48">
        <f t="shared" si="18"/>
        <v>6</v>
      </c>
      <c r="B366" s="113">
        <v>46060</v>
      </c>
      <c r="C366" s="48" t="str">
        <f t="shared" si="17"/>
        <v>febrero</v>
      </c>
      <c r="D366" s="48" t="s">
        <v>2135</v>
      </c>
      <c r="E366" s="42" t="s">
        <v>477</v>
      </c>
      <c r="F366" s="47" t="s">
        <v>2019</v>
      </c>
      <c r="G366" s="38">
        <v>1</v>
      </c>
      <c r="H366" s="48" t="s">
        <v>2138</v>
      </c>
      <c r="I366" s="202">
        <v>2157</v>
      </c>
      <c r="J366" s="197">
        <v>2157</v>
      </c>
      <c r="K366" s="197">
        <v>0</v>
      </c>
      <c r="L366" s="202">
        <v>2157</v>
      </c>
      <c r="M366" s="198">
        <v>0</v>
      </c>
      <c r="N366" s="48" t="s">
        <v>1617</v>
      </c>
      <c r="O366" s="48" t="s">
        <v>1611</v>
      </c>
      <c r="P366" s="48" t="s">
        <v>25</v>
      </c>
      <c r="Q366" s="48" t="s">
        <v>1766</v>
      </c>
      <c r="R366" s="48" t="s">
        <v>369</v>
      </c>
      <c r="S366" s="38"/>
      <c r="T366" s="115"/>
      <c r="U366" s="48" t="s">
        <v>2028</v>
      </c>
      <c r="V366" s="50" t="s">
        <v>2235</v>
      </c>
      <c r="Y366" s="50"/>
    </row>
    <row r="367" spans="1:25" customFormat="1" ht="14.4" x14ac:dyDescent="0.3">
      <c r="A367" s="48">
        <f t="shared" si="18"/>
        <v>6</v>
      </c>
      <c r="B367" s="113">
        <v>46060</v>
      </c>
      <c r="C367" s="48" t="str">
        <f t="shared" si="17"/>
        <v>febrero</v>
      </c>
      <c r="D367" s="48" t="s">
        <v>2135</v>
      </c>
      <c r="E367" s="42" t="s">
        <v>477</v>
      </c>
      <c r="F367" s="47" t="s">
        <v>2019</v>
      </c>
      <c r="G367" s="38">
        <v>1</v>
      </c>
      <c r="H367" s="48" t="s">
        <v>2138</v>
      </c>
      <c r="I367" s="202">
        <v>2157</v>
      </c>
      <c r="J367" s="197">
        <v>2157</v>
      </c>
      <c r="K367" s="197">
        <v>0</v>
      </c>
      <c r="L367" s="202">
        <v>2157</v>
      </c>
      <c r="M367" s="198">
        <v>0</v>
      </c>
      <c r="N367" s="48" t="s">
        <v>1617</v>
      </c>
      <c r="O367" s="48" t="s">
        <v>1829</v>
      </c>
      <c r="P367" s="48" t="s">
        <v>25</v>
      </c>
      <c r="Q367" s="48" t="s">
        <v>1766</v>
      </c>
      <c r="R367" s="48" t="s">
        <v>369</v>
      </c>
      <c r="S367" s="38"/>
      <c r="T367" s="115"/>
      <c r="U367" s="48" t="s">
        <v>2028</v>
      </c>
      <c r="V367" s="50" t="s">
        <v>2235</v>
      </c>
      <c r="Y367" s="50"/>
    </row>
    <row r="368" spans="1:25" customFormat="1" ht="14.4" x14ac:dyDescent="0.3">
      <c r="A368" s="48">
        <f t="shared" si="18"/>
        <v>6</v>
      </c>
      <c r="B368" s="113">
        <v>46060</v>
      </c>
      <c r="C368" s="48" t="str">
        <f t="shared" si="17"/>
        <v>febrero</v>
      </c>
      <c r="D368" s="48" t="s">
        <v>2135</v>
      </c>
      <c r="E368" s="42" t="s">
        <v>477</v>
      </c>
      <c r="F368" s="47" t="s">
        <v>2019</v>
      </c>
      <c r="G368" s="38">
        <v>1</v>
      </c>
      <c r="H368" s="48" t="s">
        <v>2138</v>
      </c>
      <c r="I368" s="202">
        <v>2157</v>
      </c>
      <c r="J368" s="197">
        <v>2157</v>
      </c>
      <c r="K368" s="197">
        <v>0</v>
      </c>
      <c r="L368" s="202">
        <v>2157</v>
      </c>
      <c r="M368" s="198">
        <v>0</v>
      </c>
      <c r="N368" s="48" t="s">
        <v>1617</v>
      </c>
      <c r="O368" s="48" t="s">
        <v>1860</v>
      </c>
      <c r="P368" s="48" t="s">
        <v>25</v>
      </c>
      <c r="Q368" s="48" t="s">
        <v>1766</v>
      </c>
      <c r="R368" s="48" t="s">
        <v>369</v>
      </c>
      <c r="S368" s="38"/>
      <c r="T368" s="115"/>
      <c r="U368" s="48" t="s">
        <v>2028</v>
      </c>
      <c r="V368" s="50" t="s">
        <v>2235</v>
      </c>
      <c r="Y368" s="50"/>
    </row>
    <row r="369" spans="1:25" customFormat="1" ht="14.4" x14ac:dyDescent="0.3">
      <c r="A369" s="48">
        <f t="shared" si="18"/>
        <v>7</v>
      </c>
      <c r="B369" s="113">
        <v>46062</v>
      </c>
      <c r="C369" s="48" t="str">
        <f t="shared" si="17"/>
        <v>febrero</v>
      </c>
      <c r="D369" s="48" t="s">
        <v>2135</v>
      </c>
      <c r="E369" s="42" t="s">
        <v>356</v>
      </c>
      <c r="F369" s="47" t="s">
        <v>2929</v>
      </c>
      <c r="G369" s="48">
        <v>4.1719999999999997</v>
      </c>
      <c r="H369" s="48" t="s">
        <v>2017</v>
      </c>
      <c r="I369" s="197">
        <v>20.681000000000001</v>
      </c>
      <c r="J369" s="197">
        <v>86.281131999999999</v>
      </c>
      <c r="K369" s="197">
        <v>13.804981120000001</v>
      </c>
      <c r="L369" s="197">
        <v>100.08611311999999</v>
      </c>
      <c r="M369" s="198">
        <v>0</v>
      </c>
      <c r="N369" s="48" t="s">
        <v>2237</v>
      </c>
      <c r="O369" s="48" t="s">
        <v>2826</v>
      </c>
      <c r="P369" s="48" t="s">
        <v>25</v>
      </c>
      <c r="Q369" s="48" t="s">
        <v>241</v>
      </c>
      <c r="R369" s="48" t="s">
        <v>2727</v>
      </c>
      <c r="S369" s="48" t="s">
        <v>1803</v>
      </c>
      <c r="T369" s="114" t="s">
        <v>2025</v>
      </c>
      <c r="U369" s="48" t="s">
        <v>1804</v>
      </c>
      <c r="V369" s="39"/>
      <c r="W369" s="41" t="s">
        <v>1805</v>
      </c>
      <c r="X369" s="50" t="s">
        <v>2227</v>
      </c>
    </row>
    <row r="370" spans="1:25" customFormat="1" ht="14.4" x14ac:dyDescent="0.3">
      <c r="A370" s="48">
        <f t="shared" si="18"/>
        <v>7</v>
      </c>
      <c r="B370" s="113">
        <v>46062</v>
      </c>
      <c r="C370" s="48" t="str">
        <f t="shared" si="17"/>
        <v>febrero</v>
      </c>
      <c r="D370" s="48" t="s">
        <v>2135</v>
      </c>
      <c r="E370" s="42" t="s">
        <v>356</v>
      </c>
      <c r="F370" s="47" t="s">
        <v>127</v>
      </c>
      <c r="G370" s="125">
        <v>10.84</v>
      </c>
      <c r="H370" s="48" t="s">
        <v>2017</v>
      </c>
      <c r="I370" s="197">
        <v>19.882000000000001</v>
      </c>
      <c r="J370" s="197">
        <v>215.52088000000001</v>
      </c>
      <c r="K370" s="197">
        <v>34.483340800000001</v>
      </c>
      <c r="L370" s="197">
        <v>250.00422080000001</v>
      </c>
      <c r="M370" s="198">
        <v>0</v>
      </c>
      <c r="N370" s="48" t="s">
        <v>1617</v>
      </c>
      <c r="O370" s="48" t="s">
        <v>1443</v>
      </c>
      <c r="P370" s="48" t="s">
        <v>25</v>
      </c>
      <c r="Q370" s="48" t="s">
        <v>241</v>
      </c>
      <c r="R370" s="48" t="s">
        <v>2726</v>
      </c>
      <c r="S370" s="48" t="s">
        <v>647</v>
      </c>
      <c r="T370" s="114" t="s">
        <v>2025</v>
      </c>
      <c r="U370" s="48"/>
      <c r="V370" s="39"/>
      <c r="W370" s="41" t="s">
        <v>325</v>
      </c>
      <c r="X370" s="50" t="s">
        <v>2228</v>
      </c>
      <c r="Y370" s="50"/>
    </row>
    <row r="371" spans="1:25" customFormat="1" ht="14.4" x14ac:dyDescent="0.3">
      <c r="A371" s="48">
        <f t="shared" si="18"/>
        <v>7</v>
      </c>
      <c r="B371" s="113">
        <v>46062</v>
      </c>
      <c r="C371" s="48" t="str">
        <f t="shared" si="17"/>
        <v>febrero</v>
      </c>
      <c r="D371" s="48" t="s">
        <v>2135</v>
      </c>
      <c r="E371" s="42" t="s">
        <v>2728</v>
      </c>
      <c r="F371" s="47" t="s">
        <v>2188</v>
      </c>
      <c r="G371" s="48">
        <v>4</v>
      </c>
      <c r="H371" s="48" t="s">
        <v>1705</v>
      </c>
      <c r="I371" s="197">
        <v>64.55</v>
      </c>
      <c r="J371" s="197">
        <v>258.2</v>
      </c>
      <c r="K371" s="197">
        <v>41.311999999999998</v>
      </c>
      <c r="L371" s="201">
        <v>299.512</v>
      </c>
      <c r="M371" s="198">
        <v>0</v>
      </c>
      <c r="N371" s="48" t="s">
        <v>1617</v>
      </c>
      <c r="O371" s="48" t="s">
        <v>101</v>
      </c>
      <c r="P371" s="48" t="s">
        <v>25</v>
      </c>
      <c r="Q371" s="48" t="s">
        <v>241</v>
      </c>
      <c r="R371" s="48" t="s">
        <v>2727</v>
      </c>
      <c r="S371" s="48" t="s">
        <v>1801</v>
      </c>
      <c r="T371" s="114" t="s">
        <v>1638</v>
      </c>
      <c r="U371" s="48"/>
      <c r="V371" s="131" t="s">
        <v>2018</v>
      </c>
      <c r="W371" s="119" t="s">
        <v>1802</v>
      </c>
      <c r="X371" s="50" t="s">
        <v>2229</v>
      </c>
      <c r="Y371" s="50"/>
    </row>
    <row r="372" spans="1:25" customFormat="1" ht="14.4" x14ac:dyDescent="0.3">
      <c r="A372" s="48">
        <f t="shared" si="18"/>
        <v>7</v>
      </c>
      <c r="B372" s="113">
        <v>46062</v>
      </c>
      <c r="C372" s="48" t="str">
        <f t="shared" si="17"/>
        <v>febrero</v>
      </c>
      <c r="D372" s="48" t="s">
        <v>2135</v>
      </c>
      <c r="E372" s="42" t="s">
        <v>2728</v>
      </c>
      <c r="F372" s="47" t="s">
        <v>2239</v>
      </c>
      <c r="G372" s="48">
        <v>1</v>
      </c>
      <c r="H372" s="48" t="s">
        <v>1705</v>
      </c>
      <c r="I372" s="197">
        <v>35.700000000000003</v>
      </c>
      <c r="J372" s="197">
        <v>35.700000000000003</v>
      </c>
      <c r="K372" s="197">
        <v>5.7120000000000006</v>
      </c>
      <c r="L372" s="201">
        <v>41.412000000000006</v>
      </c>
      <c r="M372" s="198">
        <v>0</v>
      </c>
      <c r="N372" s="48" t="s">
        <v>1617</v>
      </c>
      <c r="O372" s="48" t="s">
        <v>101</v>
      </c>
      <c r="P372" s="48" t="s">
        <v>25</v>
      </c>
      <c r="Q372" s="48" t="s">
        <v>241</v>
      </c>
      <c r="R372" s="48" t="s">
        <v>2727</v>
      </c>
      <c r="S372" s="48" t="s">
        <v>1801</v>
      </c>
      <c r="T372" s="114" t="s">
        <v>1617</v>
      </c>
      <c r="U372" s="48"/>
      <c r="V372" s="131" t="s">
        <v>2018</v>
      </c>
      <c r="W372" s="119" t="s">
        <v>1802</v>
      </c>
      <c r="X372" s="50" t="s">
        <v>2229</v>
      </c>
      <c r="Y372" s="50"/>
    </row>
    <row r="373" spans="1:25" customFormat="1" ht="14.4" x14ac:dyDescent="0.3">
      <c r="A373" s="48">
        <f t="shared" si="18"/>
        <v>7</v>
      </c>
      <c r="B373" s="113">
        <v>46062</v>
      </c>
      <c r="C373" s="48" t="str">
        <f t="shared" si="17"/>
        <v>febrero</v>
      </c>
      <c r="D373" s="48" t="s">
        <v>2135</v>
      </c>
      <c r="E373" s="42" t="s">
        <v>2728</v>
      </c>
      <c r="F373" s="47" t="s">
        <v>2240</v>
      </c>
      <c r="G373" s="48">
        <v>1</v>
      </c>
      <c r="H373" s="48" t="s">
        <v>1705</v>
      </c>
      <c r="I373" s="197">
        <v>53.55</v>
      </c>
      <c r="J373" s="197">
        <v>53.55</v>
      </c>
      <c r="K373" s="197">
        <v>8.5679999999999996</v>
      </c>
      <c r="L373" s="201">
        <v>62.117999999999995</v>
      </c>
      <c r="M373" s="198">
        <v>0</v>
      </c>
      <c r="N373" s="48" t="s">
        <v>1617</v>
      </c>
      <c r="O373" s="48" t="s">
        <v>101</v>
      </c>
      <c r="P373" s="48" t="s">
        <v>25</v>
      </c>
      <c r="Q373" s="48" t="s">
        <v>241</v>
      </c>
      <c r="R373" s="48" t="s">
        <v>2727</v>
      </c>
      <c r="S373" s="48" t="s">
        <v>1801</v>
      </c>
      <c r="T373" s="114" t="s">
        <v>1617</v>
      </c>
      <c r="U373" s="48"/>
      <c r="V373" s="131" t="s">
        <v>2018</v>
      </c>
      <c r="W373" s="119" t="s">
        <v>1802</v>
      </c>
      <c r="X373" s="50" t="s">
        <v>2229</v>
      </c>
      <c r="Y373" s="50"/>
    </row>
    <row r="374" spans="1:25" customFormat="1" ht="14.4" x14ac:dyDescent="0.3">
      <c r="A374" s="48">
        <f t="shared" si="18"/>
        <v>7</v>
      </c>
      <c r="B374" s="113">
        <v>46062</v>
      </c>
      <c r="C374" s="48" t="str">
        <f t="shared" si="17"/>
        <v>febrero</v>
      </c>
      <c r="D374" s="48" t="s">
        <v>2135</v>
      </c>
      <c r="E374" s="42" t="s">
        <v>2728</v>
      </c>
      <c r="F374" s="47" t="s">
        <v>2242</v>
      </c>
      <c r="G374" s="48">
        <v>1</v>
      </c>
      <c r="H374" s="48" t="s">
        <v>1705</v>
      </c>
      <c r="I374" s="197">
        <v>900.25</v>
      </c>
      <c r="J374" s="197">
        <v>900.25</v>
      </c>
      <c r="K374" s="197">
        <v>144.04</v>
      </c>
      <c r="L374" s="201">
        <v>1044.29</v>
      </c>
      <c r="M374" s="198">
        <v>0</v>
      </c>
      <c r="N374" s="48" t="s">
        <v>1617</v>
      </c>
      <c r="O374" s="48" t="s">
        <v>101</v>
      </c>
      <c r="P374" s="48" t="s">
        <v>25</v>
      </c>
      <c r="Q374" s="48" t="s">
        <v>241</v>
      </c>
      <c r="R374" s="48" t="s">
        <v>2727</v>
      </c>
      <c r="S374" s="48" t="s">
        <v>1801</v>
      </c>
      <c r="T374" s="114" t="s">
        <v>1617</v>
      </c>
      <c r="U374" s="48" t="s">
        <v>2243</v>
      </c>
      <c r="V374" s="131" t="s">
        <v>2018</v>
      </c>
      <c r="W374" s="119" t="s">
        <v>1802</v>
      </c>
      <c r="X374" s="50" t="s">
        <v>2229</v>
      </c>
      <c r="Y374" s="50"/>
    </row>
    <row r="375" spans="1:25" customFormat="1" ht="14.4" x14ac:dyDescent="0.3">
      <c r="A375" s="48">
        <f t="shared" si="18"/>
        <v>7</v>
      </c>
      <c r="B375" s="113">
        <v>46062</v>
      </c>
      <c r="C375" s="48" t="str">
        <f t="shared" si="17"/>
        <v>febrero</v>
      </c>
      <c r="D375" s="48" t="s">
        <v>2135</v>
      </c>
      <c r="E375" s="42" t="s">
        <v>2728</v>
      </c>
      <c r="F375" s="47" t="s">
        <v>2930</v>
      </c>
      <c r="G375" s="48">
        <v>1</v>
      </c>
      <c r="H375" s="48" t="s">
        <v>1705</v>
      </c>
      <c r="I375" s="197">
        <v>326</v>
      </c>
      <c r="J375" s="197">
        <v>326</v>
      </c>
      <c r="K375" s="197">
        <v>52.160000000000004</v>
      </c>
      <c r="L375" s="200">
        <v>378.16</v>
      </c>
      <c r="M375" s="198">
        <v>0</v>
      </c>
      <c r="N375" s="48" t="s">
        <v>1617</v>
      </c>
      <c r="O375" s="48" t="s">
        <v>123</v>
      </c>
      <c r="P375" s="48" t="s">
        <v>25</v>
      </c>
      <c r="Q375" s="48" t="s">
        <v>241</v>
      </c>
      <c r="R375" s="48" t="s">
        <v>2801</v>
      </c>
      <c r="S375" s="48" t="s">
        <v>1826</v>
      </c>
      <c r="T375" s="114" t="s">
        <v>1617</v>
      </c>
      <c r="U375" s="48" t="s">
        <v>2245</v>
      </c>
      <c r="V375" s="131" t="s">
        <v>2018</v>
      </c>
      <c r="W375" s="41" t="s">
        <v>325</v>
      </c>
      <c r="X375" s="50" t="s">
        <v>2233</v>
      </c>
      <c r="Y375" s="50"/>
    </row>
    <row r="376" spans="1:25" customFormat="1" ht="14.4" x14ac:dyDescent="0.3">
      <c r="A376" s="48">
        <f t="shared" si="18"/>
        <v>7</v>
      </c>
      <c r="B376" s="113">
        <v>46062</v>
      </c>
      <c r="C376" s="48" t="str">
        <f t="shared" si="17"/>
        <v>febrero</v>
      </c>
      <c r="D376" s="48" t="s">
        <v>2135</v>
      </c>
      <c r="E376" s="42" t="s">
        <v>2728</v>
      </c>
      <c r="F376" s="47" t="s">
        <v>551</v>
      </c>
      <c r="G376" s="48">
        <v>1</v>
      </c>
      <c r="H376" s="48" t="s">
        <v>1705</v>
      </c>
      <c r="I376" s="197">
        <v>1298</v>
      </c>
      <c r="J376" s="197">
        <v>1298</v>
      </c>
      <c r="K376" s="197">
        <v>207.68</v>
      </c>
      <c r="L376" s="200">
        <v>1505.68</v>
      </c>
      <c r="M376" s="198">
        <v>0</v>
      </c>
      <c r="N376" s="48" t="s">
        <v>1617</v>
      </c>
      <c r="O376" s="48" t="s">
        <v>123</v>
      </c>
      <c r="P376" s="48" t="s">
        <v>25</v>
      </c>
      <c r="Q376" s="48" t="s">
        <v>241</v>
      </c>
      <c r="R376" s="48" t="s">
        <v>2801</v>
      </c>
      <c r="S376" s="48" t="s">
        <v>1826</v>
      </c>
      <c r="T376" s="114" t="s">
        <v>1617</v>
      </c>
      <c r="U376" s="48" t="s">
        <v>2245</v>
      </c>
      <c r="V376" s="131" t="s">
        <v>2018</v>
      </c>
      <c r="W376" s="41" t="s">
        <v>325</v>
      </c>
      <c r="X376" s="50" t="s">
        <v>2233</v>
      </c>
      <c r="Y376" s="50"/>
    </row>
    <row r="377" spans="1:25" customFormat="1" ht="14.4" x14ac:dyDescent="0.3">
      <c r="A377" s="48">
        <f t="shared" si="18"/>
        <v>7</v>
      </c>
      <c r="B377" s="113">
        <v>46062</v>
      </c>
      <c r="C377" s="48" t="str">
        <f t="shared" si="17"/>
        <v>febrero</v>
      </c>
      <c r="D377" s="48" t="s">
        <v>2135</v>
      </c>
      <c r="E377" s="42" t="s">
        <v>2728</v>
      </c>
      <c r="F377" s="47" t="s">
        <v>90</v>
      </c>
      <c r="G377" s="48">
        <v>4</v>
      </c>
      <c r="H377" s="48" t="s">
        <v>1705</v>
      </c>
      <c r="I377" s="197">
        <v>194.78</v>
      </c>
      <c r="J377" s="197">
        <v>779.12</v>
      </c>
      <c r="K377" s="197">
        <v>124.6592</v>
      </c>
      <c r="L377" s="201">
        <v>903.77919999999995</v>
      </c>
      <c r="M377" s="198">
        <v>0</v>
      </c>
      <c r="N377" s="48" t="s">
        <v>1617</v>
      </c>
      <c r="O377" s="48" t="s">
        <v>120</v>
      </c>
      <c r="P377" s="48" t="s">
        <v>25</v>
      </c>
      <c r="Q377" s="48" t="s">
        <v>241</v>
      </c>
      <c r="R377" s="48" t="s">
        <v>2727</v>
      </c>
      <c r="S377" s="48" t="s">
        <v>1801</v>
      </c>
      <c r="T377" s="114" t="s">
        <v>1638</v>
      </c>
      <c r="U377" s="48"/>
      <c r="V377" s="39"/>
      <c r="W377" s="41" t="s">
        <v>325</v>
      </c>
      <c r="X377" s="50" t="s">
        <v>2236</v>
      </c>
      <c r="Y377" s="50"/>
    </row>
    <row r="378" spans="1:25" customFormat="1" ht="14.4" x14ac:dyDescent="0.3">
      <c r="A378" s="48">
        <f t="shared" si="18"/>
        <v>7</v>
      </c>
      <c r="B378" s="113">
        <v>46062</v>
      </c>
      <c r="C378" s="48" t="str">
        <f t="shared" si="17"/>
        <v>febrero</v>
      </c>
      <c r="D378" s="48" t="s">
        <v>2135</v>
      </c>
      <c r="E378" s="42" t="s">
        <v>2728</v>
      </c>
      <c r="F378" s="47" t="s">
        <v>92</v>
      </c>
      <c r="G378" s="48">
        <v>1</v>
      </c>
      <c r="H378" s="48" t="s">
        <v>1705</v>
      </c>
      <c r="I378" s="197">
        <v>77.349999999999994</v>
      </c>
      <c r="J378" s="197">
        <v>77.349999999999994</v>
      </c>
      <c r="K378" s="197">
        <v>12.375999999999999</v>
      </c>
      <c r="L378" s="201">
        <v>89.725999999999999</v>
      </c>
      <c r="M378" s="198">
        <v>0</v>
      </c>
      <c r="N378" s="48" t="s">
        <v>1617</v>
      </c>
      <c r="O378" s="48" t="s">
        <v>120</v>
      </c>
      <c r="P378" s="48" t="s">
        <v>25</v>
      </c>
      <c r="Q378" s="48" t="s">
        <v>241</v>
      </c>
      <c r="R378" s="48" t="s">
        <v>2727</v>
      </c>
      <c r="S378" s="48" t="s">
        <v>1801</v>
      </c>
      <c r="T378" s="114" t="s">
        <v>1617</v>
      </c>
      <c r="U378" s="48"/>
      <c r="V378" s="39"/>
      <c r="W378" s="41" t="s">
        <v>325</v>
      </c>
      <c r="X378" s="50" t="s">
        <v>2236</v>
      </c>
      <c r="Y378" s="50"/>
    </row>
    <row r="379" spans="1:25" customFormat="1" ht="14.4" x14ac:dyDescent="0.3">
      <c r="A379" s="48">
        <f t="shared" si="18"/>
        <v>7</v>
      </c>
      <c r="B379" s="113">
        <v>46062</v>
      </c>
      <c r="C379" s="48" t="str">
        <f t="shared" si="17"/>
        <v>febrero</v>
      </c>
      <c r="D379" s="48" t="s">
        <v>2135</v>
      </c>
      <c r="E379" s="42" t="s">
        <v>2728</v>
      </c>
      <c r="F379" s="47" t="s">
        <v>95</v>
      </c>
      <c r="G379" s="48">
        <v>1</v>
      </c>
      <c r="H379" s="48" t="s">
        <v>1705</v>
      </c>
      <c r="I379" s="197">
        <v>48.09</v>
      </c>
      <c r="J379" s="197">
        <v>48.09</v>
      </c>
      <c r="K379" s="197">
        <v>7.6944000000000008</v>
      </c>
      <c r="L379" s="201">
        <v>55.784400000000005</v>
      </c>
      <c r="M379" s="198">
        <v>0</v>
      </c>
      <c r="N379" s="48" t="s">
        <v>1617</v>
      </c>
      <c r="O379" s="48" t="s">
        <v>120</v>
      </c>
      <c r="P379" s="48" t="s">
        <v>25</v>
      </c>
      <c r="Q379" s="48" t="s">
        <v>241</v>
      </c>
      <c r="R379" s="48" t="s">
        <v>2727</v>
      </c>
      <c r="S379" s="48" t="s">
        <v>1801</v>
      </c>
      <c r="T379" s="114" t="s">
        <v>1617</v>
      </c>
      <c r="U379" s="48"/>
      <c r="V379" s="39"/>
      <c r="W379" s="41" t="s">
        <v>325</v>
      </c>
      <c r="X379" s="50" t="s">
        <v>2236</v>
      </c>
      <c r="Y379" s="50"/>
    </row>
    <row r="380" spans="1:25" customFormat="1" ht="14.4" x14ac:dyDescent="0.3">
      <c r="A380" s="48">
        <f t="shared" si="18"/>
        <v>7</v>
      </c>
      <c r="B380" s="113">
        <v>46062</v>
      </c>
      <c r="C380" s="48" t="str">
        <f t="shared" si="17"/>
        <v>febrero</v>
      </c>
      <c r="D380" s="48" t="s">
        <v>2135</v>
      </c>
      <c r="E380" s="42" t="s">
        <v>2728</v>
      </c>
      <c r="F380" s="47" t="s">
        <v>2931</v>
      </c>
      <c r="G380" s="48">
        <v>1</v>
      </c>
      <c r="H380" s="48" t="s">
        <v>1705</v>
      </c>
      <c r="I380" s="197">
        <v>619.24</v>
      </c>
      <c r="J380" s="197">
        <v>619.24</v>
      </c>
      <c r="K380" s="197">
        <v>99.078400000000002</v>
      </c>
      <c r="L380" s="201">
        <v>718.3184</v>
      </c>
      <c r="M380" s="198">
        <v>0</v>
      </c>
      <c r="N380" s="48" t="s">
        <v>1617</v>
      </c>
      <c r="O380" s="48" t="s">
        <v>1829</v>
      </c>
      <c r="P380" s="48" t="s">
        <v>25</v>
      </c>
      <c r="Q380" s="48" t="s">
        <v>241</v>
      </c>
      <c r="R380" s="48" t="s">
        <v>2727</v>
      </c>
      <c r="S380" s="48" t="s">
        <v>1801</v>
      </c>
      <c r="T380" s="114" t="s">
        <v>1617</v>
      </c>
      <c r="U380" s="48"/>
      <c r="V380" s="131" t="s">
        <v>2018</v>
      </c>
      <c r="W380" s="41" t="s">
        <v>325</v>
      </c>
      <c r="X380" s="50" t="s">
        <v>2236</v>
      </c>
      <c r="Y380" s="50"/>
    </row>
    <row r="381" spans="1:25" customFormat="1" ht="14.4" x14ac:dyDescent="0.3">
      <c r="A381" s="48">
        <f t="shared" si="18"/>
        <v>7</v>
      </c>
      <c r="B381" s="113">
        <v>46062</v>
      </c>
      <c r="C381" s="48" t="str">
        <f t="shared" si="17"/>
        <v>febrero</v>
      </c>
      <c r="D381" s="48" t="s">
        <v>2135</v>
      </c>
      <c r="E381" s="42" t="s">
        <v>2728</v>
      </c>
      <c r="F381" s="47" t="s">
        <v>2932</v>
      </c>
      <c r="G381" s="48">
        <v>1</v>
      </c>
      <c r="H381" s="48" t="s">
        <v>1705</v>
      </c>
      <c r="I381" s="197">
        <v>632.34</v>
      </c>
      <c r="J381" s="197">
        <v>632.34</v>
      </c>
      <c r="K381" s="197">
        <v>101.17440000000001</v>
      </c>
      <c r="L381" s="201">
        <v>733.51440000000002</v>
      </c>
      <c r="M381" s="198">
        <v>0</v>
      </c>
      <c r="N381" s="48" t="s">
        <v>1617</v>
      </c>
      <c r="O381" s="48" t="s">
        <v>1829</v>
      </c>
      <c r="P381" s="48" t="s">
        <v>25</v>
      </c>
      <c r="Q381" s="48" t="s">
        <v>241</v>
      </c>
      <c r="R381" s="48" t="s">
        <v>2727</v>
      </c>
      <c r="S381" s="48" t="s">
        <v>1801</v>
      </c>
      <c r="T381" s="114" t="s">
        <v>1617</v>
      </c>
      <c r="U381" s="48"/>
      <c r="V381" s="131" t="s">
        <v>2018</v>
      </c>
      <c r="W381" s="41" t="s">
        <v>325</v>
      </c>
      <c r="X381" s="50" t="s">
        <v>2236</v>
      </c>
      <c r="Y381" s="50"/>
    </row>
    <row r="382" spans="1:25" customFormat="1" ht="14.4" x14ac:dyDescent="0.3">
      <c r="A382" s="48">
        <f t="shared" si="18"/>
        <v>7</v>
      </c>
      <c r="B382" s="113">
        <v>46062</v>
      </c>
      <c r="C382" s="48" t="str">
        <f t="shared" si="17"/>
        <v>febrero</v>
      </c>
      <c r="D382" s="48" t="s">
        <v>2135</v>
      </c>
      <c r="E382" s="42" t="s">
        <v>2728</v>
      </c>
      <c r="F382" s="47" t="s">
        <v>2933</v>
      </c>
      <c r="G382" s="48">
        <v>1</v>
      </c>
      <c r="H382" s="48" t="s">
        <v>1705</v>
      </c>
      <c r="I382" s="197">
        <v>529.52</v>
      </c>
      <c r="J382" s="197">
        <v>529.52</v>
      </c>
      <c r="K382" s="197">
        <v>84.723200000000006</v>
      </c>
      <c r="L382" s="201">
        <v>614.2432</v>
      </c>
      <c r="M382" s="198">
        <v>0</v>
      </c>
      <c r="N382" s="48" t="s">
        <v>1617</v>
      </c>
      <c r="O382" s="48" t="s">
        <v>1829</v>
      </c>
      <c r="P382" s="48" t="s">
        <v>25</v>
      </c>
      <c r="Q382" s="48" t="s">
        <v>241</v>
      </c>
      <c r="R382" s="48" t="s">
        <v>2727</v>
      </c>
      <c r="S382" s="48" t="s">
        <v>1801</v>
      </c>
      <c r="T382" s="114" t="s">
        <v>1617</v>
      </c>
      <c r="U382" s="48" t="s">
        <v>2252</v>
      </c>
      <c r="V382" s="131" t="s">
        <v>2018</v>
      </c>
      <c r="W382" s="41" t="s">
        <v>325</v>
      </c>
      <c r="X382" s="50" t="s">
        <v>2236</v>
      </c>
      <c r="Y382" s="50"/>
    </row>
    <row r="383" spans="1:25" customFormat="1" ht="14.4" x14ac:dyDescent="0.3">
      <c r="A383" s="48">
        <f t="shared" si="18"/>
        <v>7</v>
      </c>
      <c r="B383" s="113">
        <v>46062</v>
      </c>
      <c r="C383" s="48" t="str">
        <f t="shared" si="17"/>
        <v>febrero</v>
      </c>
      <c r="D383" s="48" t="s">
        <v>2135</v>
      </c>
      <c r="E383" s="42" t="s">
        <v>2728</v>
      </c>
      <c r="F383" s="47" t="s">
        <v>92</v>
      </c>
      <c r="G383" s="48">
        <v>1</v>
      </c>
      <c r="H383" s="48" t="s">
        <v>1705</v>
      </c>
      <c r="I383" s="197">
        <v>82.76</v>
      </c>
      <c r="J383" s="197">
        <v>82.76</v>
      </c>
      <c r="K383" s="197">
        <v>13.241600000000002</v>
      </c>
      <c r="L383" s="200">
        <v>96.00160000000001</v>
      </c>
      <c r="M383" s="198">
        <v>0</v>
      </c>
      <c r="N383" s="48" t="s">
        <v>1617</v>
      </c>
      <c r="O383" s="48" t="s">
        <v>257</v>
      </c>
      <c r="P383" s="48" t="s">
        <v>25</v>
      </c>
      <c r="Q383" s="48" t="s">
        <v>1813</v>
      </c>
      <c r="R383" s="48" t="s">
        <v>2726</v>
      </c>
      <c r="S383" s="48" t="s">
        <v>1801</v>
      </c>
      <c r="T383" s="114" t="s">
        <v>1617</v>
      </c>
      <c r="U383" s="48"/>
      <c r="V383" s="39"/>
      <c r="W383" s="41" t="s">
        <v>325</v>
      </c>
      <c r="X383" s="50" t="s">
        <v>2238</v>
      </c>
      <c r="Y383" s="50"/>
    </row>
    <row r="384" spans="1:25" customFormat="1" ht="14.4" x14ac:dyDescent="0.3">
      <c r="A384" s="48">
        <f t="shared" si="18"/>
        <v>7</v>
      </c>
      <c r="B384" s="113">
        <v>46062</v>
      </c>
      <c r="C384" s="48" t="str">
        <f t="shared" si="17"/>
        <v>febrero</v>
      </c>
      <c r="D384" s="48" t="s">
        <v>2135</v>
      </c>
      <c r="E384" s="42" t="s">
        <v>2728</v>
      </c>
      <c r="F384" s="47" t="s">
        <v>2188</v>
      </c>
      <c r="G384" s="48">
        <v>4</v>
      </c>
      <c r="H384" s="48" t="s">
        <v>1705</v>
      </c>
      <c r="I384" s="197">
        <v>194.827</v>
      </c>
      <c r="J384" s="197">
        <v>779.30799999999999</v>
      </c>
      <c r="K384" s="197">
        <v>124.68928</v>
      </c>
      <c r="L384" s="200">
        <v>903.99728000000005</v>
      </c>
      <c r="M384" s="198">
        <v>0</v>
      </c>
      <c r="N384" s="48" t="s">
        <v>1617</v>
      </c>
      <c r="O384" s="48" t="s">
        <v>257</v>
      </c>
      <c r="P384" s="48" t="s">
        <v>25</v>
      </c>
      <c r="Q384" s="48" t="s">
        <v>1813</v>
      </c>
      <c r="R384" s="48" t="s">
        <v>2726</v>
      </c>
      <c r="S384" s="48" t="s">
        <v>1801</v>
      </c>
      <c r="T384" s="114" t="s">
        <v>1638</v>
      </c>
      <c r="U384" s="48"/>
      <c r="V384" s="39"/>
      <c r="W384" s="41" t="s">
        <v>325</v>
      </c>
      <c r="X384" s="50" t="s">
        <v>2238</v>
      </c>
      <c r="Y384" s="50"/>
    </row>
    <row r="385" spans="1:25" customFormat="1" ht="14.4" x14ac:dyDescent="0.3">
      <c r="A385" s="48">
        <f t="shared" si="18"/>
        <v>7</v>
      </c>
      <c r="B385" s="113">
        <v>46062</v>
      </c>
      <c r="C385" s="48" t="str">
        <f t="shared" si="17"/>
        <v>febrero</v>
      </c>
      <c r="D385" s="48" t="s">
        <v>2135</v>
      </c>
      <c r="E385" s="42" t="s">
        <v>2728</v>
      </c>
      <c r="F385" s="47" t="s">
        <v>2255</v>
      </c>
      <c r="G385" s="48">
        <v>1</v>
      </c>
      <c r="H385" s="48" t="s">
        <v>1705</v>
      </c>
      <c r="I385" s="197">
        <v>487.93</v>
      </c>
      <c r="J385" s="197">
        <v>487.93</v>
      </c>
      <c r="K385" s="197">
        <v>78.068799999999996</v>
      </c>
      <c r="L385" s="200">
        <v>565.99879999999996</v>
      </c>
      <c r="M385" s="198">
        <v>0</v>
      </c>
      <c r="N385" s="48" t="s">
        <v>1617</v>
      </c>
      <c r="O385" s="48" t="s">
        <v>257</v>
      </c>
      <c r="P385" s="48" t="s">
        <v>25</v>
      </c>
      <c r="Q385" s="48" t="s">
        <v>1813</v>
      </c>
      <c r="R385" s="48" t="s">
        <v>2726</v>
      </c>
      <c r="S385" s="48" t="s">
        <v>1801</v>
      </c>
      <c r="T385" s="114" t="s">
        <v>1617</v>
      </c>
      <c r="U385" s="48" t="s">
        <v>2256</v>
      </c>
      <c r="V385" s="39"/>
      <c r="W385" s="41" t="s">
        <v>325</v>
      </c>
      <c r="X385" s="50" t="s">
        <v>2238</v>
      </c>
      <c r="Y385" s="50"/>
    </row>
    <row r="386" spans="1:25" customFormat="1" ht="14.4" x14ac:dyDescent="0.3">
      <c r="A386" s="48">
        <f t="shared" si="18"/>
        <v>7</v>
      </c>
      <c r="B386" s="113">
        <v>46062</v>
      </c>
      <c r="C386" s="48" t="str">
        <f t="shared" si="17"/>
        <v>febrero</v>
      </c>
      <c r="D386" s="48" t="s">
        <v>2135</v>
      </c>
      <c r="E386" s="42" t="s">
        <v>2728</v>
      </c>
      <c r="F386" s="47" t="s">
        <v>168</v>
      </c>
      <c r="G386" s="48">
        <v>1</v>
      </c>
      <c r="H386" s="48" t="s">
        <v>1705</v>
      </c>
      <c r="I386" s="197">
        <v>2235.23</v>
      </c>
      <c r="J386" s="197">
        <v>2235.23</v>
      </c>
      <c r="K386" s="197">
        <v>357.63679999999999</v>
      </c>
      <c r="L386" s="197">
        <v>2592.8667999999998</v>
      </c>
      <c r="M386" s="198">
        <v>0</v>
      </c>
      <c r="N386" s="48" t="s">
        <v>1617</v>
      </c>
      <c r="O386" s="48" t="s">
        <v>257</v>
      </c>
      <c r="P386" s="48" t="s">
        <v>25</v>
      </c>
      <c r="Q386" s="48" t="s">
        <v>1813</v>
      </c>
      <c r="R386" s="48" t="s">
        <v>2726</v>
      </c>
      <c r="S386" s="48" t="s">
        <v>1665</v>
      </c>
      <c r="T386" s="114" t="s">
        <v>1617</v>
      </c>
      <c r="U386" s="48" t="s">
        <v>2024</v>
      </c>
      <c r="V386" s="39"/>
      <c r="W386" s="41" t="s">
        <v>1617</v>
      </c>
      <c r="X386" s="50" t="s">
        <v>2241</v>
      </c>
      <c r="Y386" s="50"/>
    </row>
    <row r="387" spans="1:25" customFormat="1" ht="14.4" x14ac:dyDescent="0.3">
      <c r="A387" s="48">
        <f t="shared" si="18"/>
        <v>7</v>
      </c>
      <c r="B387" s="113">
        <v>46062</v>
      </c>
      <c r="C387" s="48" t="str">
        <f t="shared" ref="C387:C450" si="19">TEXT(B387,"MMMM")</f>
        <v>febrero</v>
      </c>
      <c r="D387" s="48" t="s">
        <v>2135</v>
      </c>
      <c r="E387" s="42" t="s">
        <v>356</v>
      </c>
      <c r="F387" s="47" t="s">
        <v>127</v>
      </c>
      <c r="G387" s="125">
        <v>38.04</v>
      </c>
      <c r="H387" s="48" t="s">
        <v>2017</v>
      </c>
      <c r="I387" s="197">
        <v>19.875</v>
      </c>
      <c r="J387" s="197">
        <v>756.04499999999996</v>
      </c>
      <c r="K387" s="197">
        <v>120.96719999999999</v>
      </c>
      <c r="L387" s="197">
        <v>877.01219999999989</v>
      </c>
      <c r="M387" s="198">
        <v>0</v>
      </c>
      <c r="N387" s="48" t="s">
        <v>1617</v>
      </c>
      <c r="O387" s="48" t="s">
        <v>1679</v>
      </c>
      <c r="P387" s="49" t="s">
        <v>1321</v>
      </c>
      <c r="Q387" s="48" t="s">
        <v>488</v>
      </c>
      <c r="R387" s="48" t="s">
        <v>2801</v>
      </c>
      <c r="S387" s="48" t="s">
        <v>647</v>
      </c>
      <c r="T387" s="114" t="s">
        <v>2025</v>
      </c>
      <c r="U387" s="48" t="s">
        <v>1820</v>
      </c>
      <c r="V387" s="39"/>
      <c r="W387" s="41" t="s">
        <v>325</v>
      </c>
      <c r="X387" s="50" t="s">
        <v>2244</v>
      </c>
      <c r="Y387" s="50"/>
    </row>
    <row r="388" spans="1:25" customFormat="1" ht="14.4" x14ac:dyDescent="0.3">
      <c r="A388" s="48">
        <f t="shared" si="18"/>
        <v>7</v>
      </c>
      <c r="B388" s="113">
        <v>46062</v>
      </c>
      <c r="C388" s="48" t="str">
        <f t="shared" si="19"/>
        <v>febrero</v>
      </c>
      <c r="D388" s="48" t="s">
        <v>2135</v>
      </c>
      <c r="E388" s="42" t="s">
        <v>2728</v>
      </c>
      <c r="F388" s="47" t="s">
        <v>1806</v>
      </c>
      <c r="G388" s="48">
        <v>1</v>
      </c>
      <c r="H388" s="48" t="s">
        <v>2139</v>
      </c>
      <c r="I388" s="197">
        <v>420</v>
      </c>
      <c r="J388" s="197">
        <v>420</v>
      </c>
      <c r="K388" s="197">
        <v>0</v>
      </c>
      <c r="L388" s="197">
        <v>420</v>
      </c>
      <c r="M388" s="198">
        <v>0</v>
      </c>
      <c r="N388" s="48" t="s">
        <v>1617</v>
      </c>
      <c r="O388" s="48" t="s">
        <v>1611</v>
      </c>
      <c r="P388" s="48" t="s">
        <v>25</v>
      </c>
      <c r="Q388" s="48" t="s">
        <v>241</v>
      </c>
      <c r="R388" s="48" t="s">
        <v>369</v>
      </c>
      <c r="S388" s="48" t="s">
        <v>454</v>
      </c>
      <c r="T388" s="114" t="s">
        <v>1617</v>
      </c>
      <c r="U388" s="48" t="s">
        <v>1807</v>
      </c>
      <c r="V388" s="39"/>
      <c r="W388" s="41" t="s">
        <v>1617</v>
      </c>
      <c r="X388" s="50" t="s">
        <v>2246</v>
      </c>
      <c r="Y388" s="50"/>
    </row>
    <row r="389" spans="1:25" customFormat="1" ht="14.4" x14ac:dyDescent="0.3">
      <c r="A389" s="48">
        <f t="shared" si="18"/>
        <v>7</v>
      </c>
      <c r="B389" s="113">
        <v>46062</v>
      </c>
      <c r="C389" s="48" t="str">
        <f t="shared" si="19"/>
        <v>febrero</v>
      </c>
      <c r="D389" s="48" t="s">
        <v>2135</v>
      </c>
      <c r="E389" s="42" t="s">
        <v>2918</v>
      </c>
      <c r="F389" s="47" t="s">
        <v>708</v>
      </c>
      <c r="G389" s="48">
        <v>1</v>
      </c>
      <c r="H389" s="48" t="s">
        <v>2138</v>
      </c>
      <c r="I389" s="197">
        <v>5500</v>
      </c>
      <c r="J389" s="197">
        <v>5500</v>
      </c>
      <c r="K389" s="197">
        <v>0</v>
      </c>
      <c r="L389" s="201">
        <v>5500</v>
      </c>
      <c r="M389" s="198">
        <v>0</v>
      </c>
      <c r="N389" s="48" t="s">
        <v>1617</v>
      </c>
      <c r="O389" s="49" t="s">
        <v>798</v>
      </c>
      <c r="P389" s="49" t="s">
        <v>39</v>
      </c>
      <c r="Q389" s="48" t="s">
        <v>1844</v>
      </c>
      <c r="R389" s="48" t="s">
        <v>369</v>
      </c>
      <c r="S389" s="48" t="s">
        <v>709</v>
      </c>
      <c r="T389" s="114" t="s">
        <v>1617</v>
      </c>
      <c r="U389" s="49" t="s">
        <v>2934</v>
      </c>
      <c r="V389" s="48" t="s">
        <v>1759</v>
      </c>
      <c r="W389" s="41" t="s">
        <v>1617</v>
      </c>
      <c r="X389" s="50" t="s">
        <v>2935</v>
      </c>
      <c r="Y389" s="50"/>
    </row>
    <row r="390" spans="1:25" customFormat="1" ht="14.4" x14ac:dyDescent="0.3">
      <c r="A390" s="48">
        <f t="shared" si="18"/>
        <v>7</v>
      </c>
      <c r="B390" s="113">
        <v>46062</v>
      </c>
      <c r="C390" s="48" t="str">
        <f t="shared" si="19"/>
        <v>febrero</v>
      </c>
      <c r="D390" s="48" t="s">
        <v>2135</v>
      </c>
      <c r="E390" s="42" t="s">
        <v>2918</v>
      </c>
      <c r="F390" s="47" t="s">
        <v>708</v>
      </c>
      <c r="G390" s="48">
        <v>1</v>
      </c>
      <c r="H390" s="48" t="s">
        <v>2138</v>
      </c>
      <c r="I390" s="197">
        <v>9000</v>
      </c>
      <c r="J390" s="197">
        <v>9000</v>
      </c>
      <c r="K390" s="197">
        <v>0</v>
      </c>
      <c r="L390" s="201">
        <v>9000</v>
      </c>
      <c r="M390" s="198">
        <v>0</v>
      </c>
      <c r="N390" s="48" t="s">
        <v>1617</v>
      </c>
      <c r="O390" s="48" t="s">
        <v>1860</v>
      </c>
      <c r="P390" s="48" t="s">
        <v>25</v>
      </c>
      <c r="Q390" s="48" t="s">
        <v>1844</v>
      </c>
      <c r="R390" s="48" t="s">
        <v>369</v>
      </c>
      <c r="S390" s="48" t="s">
        <v>709</v>
      </c>
      <c r="T390" s="114" t="s">
        <v>1617</v>
      </c>
      <c r="U390" s="49" t="s">
        <v>2934</v>
      </c>
      <c r="V390" s="48" t="s">
        <v>1759</v>
      </c>
      <c r="W390" s="41" t="s">
        <v>1617</v>
      </c>
      <c r="X390" s="50" t="s">
        <v>2935</v>
      </c>
      <c r="Y390" s="50"/>
    </row>
    <row r="391" spans="1:25" customFormat="1" ht="14.4" x14ac:dyDescent="0.3">
      <c r="A391" s="48">
        <f t="shared" si="18"/>
        <v>7</v>
      </c>
      <c r="B391" s="113">
        <v>46063</v>
      </c>
      <c r="C391" s="48" t="str">
        <f t="shared" si="19"/>
        <v>febrero</v>
      </c>
      <c r="D391" s="48" t="s">
        <v>2135</v>
      </c>
      <c r="E391" s="42" t="s">
        <v>2728</v>
      </c>
      <c r="F391" s="47" t="s">
        <v>1808</v>
      </c>
      <c r="G391" s="48">
        <v>1</v>
      </c>
      <c r="H391" s="48" t="s">
        <v>2016</v>
      </c>
      <c r="I391" s="197">
        <v>436.7</v>
      </c>
      <c r="J391" s="197">
        <v>436.7</v>
      </c>
      <c r="K391" s="197">
        <v>69.872</v>
      </c>
      <c r="L391" s="197">
        <v>506.572</v>
      </c>
      <c r="M391" s="198">
        <v>0</v>
      </c>
      <c r="N391" s="48" t="s">
        <v>1617</v>
      </c>
      <c r="O391" s="48" t="s">
        <v>101</v>
      </c>
      <c r="P391" s="48" t="s">
        <v>25</v>
      </c>
      <c r="Q391" s="48" t="s">
        <v>488</v>
      </c>
      <c r="R391" s="48" t="s">
        <v>2801</v>
      </c>
      <c r="S391" s="48" t="s">
        <v>1801</v>
      </c>
      <c r="T391" s="114" t="s">
        <v>1617</v>
      </c>
      <c r="U391" s="48"/>
      <c r="V391" s="39"/>
      <c r="W391" s="119" t="s">
        <v>1809</v>
      </c>
      <c r="X391" s="50" t="s">
        <v>2247</v>
      </c>
      <c r="Y391" s="50"/>
    </row>
    <row r="392" spans="1:25" customFormat="1" ht="14.4" x14ac:dyDescent="0.3">
      <c r="A392" s="48">
        <f t="shared" si="18"/>
        <v>7</v>
      </c>
      <c r="B392" s="113">
        <v>46063</v>
      </c>
      <c r="C392" s="48" t="str">
        <f t="shared" si="19"/>
        <v>febrero</v>
      </c>
      <c r="D392" s="48" t="s">
        <v>2135</v>
      </c>
      <c r="E392" s="42" t="s">
        <v>2728</v>
      </c>
      <c r="F392" s="47" t="s">
        <v>1810</v>
      </c>
      <c r="G392" s="48">
        <v>2</v>
      </c>
      <c r="H392" s="48" t="s">
        <v>1705</v>
      </c>
      <c r="I392" s="197">
        <v>140</v>
      </c>
      <c r="J392" s="197">
        <v>280</v>
      </c>
      <c r="K392" s="197">
        <v>0</v>
      </c>
      <c r="L392" s="197">
        <v>280</v>
      </c>
      <c r="M392" s="198">
        <v>0</v>
      </c>
      <c r="N392" s="48" t="s">
        <v>1617</v>
      </c>
      <c r="O392" s="48" t="s">
        <v>101</v>
      </c>
      <c r="P392" s="48" t="s">
        <v>25</v>
      </c>
      <c r="Q392" s="48" t="s">
        <v>488</v>
      </c>
      <c r="R392" s="48" t="s">
        <v>364</v>
      </c>
      <c r="S392" s="48" t="s">
        <v>20</v>
      </c>
      <c r="T392" s="114" t="s">
        <v>1617</v>
      </c>
      <c r="U392" s="48" t="s">
        <v>2921</v>
      </c>
      <c r="V392" s="39" t="s">
        <v>2258</v>
      </c>
      <c r="W392" s="119" t="s">
        <v>1617</v>
      </c>
      <c r="X392" s="50" t="s">
        <v>2248</v>
      </c>
      <c r="Y392" s="50"/>
    </row>
    <row r="393" spans="1:25" customFormat="1" ht="14.4" x14ac:dyDescent="0.3">
      <c r="A393" s="48">
        <f t="shared" si="18"/>
        <v>7</v>
      </c>
      <c r="B393" s="113">
        <v>46063</v>
      </c>
      <c r="C393" s="48" t="str">
        <f t="shared" si="19"/>
        <v>febrero</v>
      </c>
      <c r="D393" s="48" t="s">
        <v>2135</v>
      </c>
      <c r="E393" s="42" t="s">
        <v>2728</v>
      </c>
      <c r="F393" s="47" t="s">
        <v>1812</v>
      </c>
      <c r="G393" s="48">
        <v>1</v>
      </c>
      <c r="H393" s="48" t="s">
        <v>1705</v>
      </c>
      <c r="I393" s="197">
        <v>623.28</v>
      </c>
      <c r="J393" s="197">
        <v>623.28</v>
      </c>
      <c r="K393" s="197">
        <v>99.724800000000002</v>
      </c>
      <c r="L393" s="200">
        <v>723.00479999999993</v>
      </c>
      <c r="M393" s="198">
        <v>0</v>
      </c>
      <c r="N393" s="48" t="s">
        <v>1617</v>
      </c>
      <c r="O393" s="48" t="s">
        <v>123</v>
      </c>
      <c r="P393" s="48" t="s">
        <v>39</v>
      </c>
      <c r="Q393" s="48" t="s">
        <v>1813</v>
      </c>
      <c r="R393" s="48" t="s">
        <v>2727</v>
      </c>
      <c r="S393" s="48" t="s">
        <v>1814</v>
      </c>
      <c r="T393" s="114" t="s">
        <v>1617</v>
      </c>
      <c r="U393" s="48"/>
      <c r="V393" s="39"/>
      <c r="W393" s="119" t="s">
        <v>1815</v>
      </c>
      <c r="X393" s="50" t="s">
        <v>2249</v>
      </c>
      <c r="Y393" s="50"/>
    </row>
    <row r="394" spans="1:25" customFormat="1" ht="14.4" x14ac:dyDescent="0.3">
      <c r="A394" s="48">
        <f t="shared" si="18"/>
        <v>7</v>
      </c>
      <c r="B394" s="113">
        <v>46063</v>
      </c>
      <c r="C394" s="48" t="str">
        <f t="shared" si="19"/>
        <v>febrero</v>
      </c>
      <c r="D394" s="48" t="s">
        <v>2135</v>
      </c>
      <c r="E394" s="42" t="s">
        <v>2728</v>
      </c>
      <c r="F394" s="47" t="s">
        <v>1816</v>
      </c>
      <c r="G394" s="48">
        <v>1</v>
      </c>
      <c r="H394" s="48" t="s">
        <v>1705</v>
      </c>
      <c r="I394" s="197">
        <v>950.86</v>
      </c>
      <c r="J394" s="197">
        <v>950.86</v>
      </c>
      <c r="K394" s="197">
        <v>152.13759999999999</v>
      </c>
      <c r="L394" s="200">
        <v>1102.9975999999999</v>
      </c>
      <c r="M394" s="198">
        <v>0</v>
      </c>
      <c r="N394" s="48" t="s">
        <v>1617</v>
      </c>
      <c r="O394" s="48" t="s">
        <v>123</v>
      </c>
      <c r="P394" s="48" t="s">
        <v>39</v>
      </c>
      <c r="Q394" s="48" t="s">
        <v>1813</v>
      </c>
      <c r="R394" s="48" t="s">
        <v>2727</v>
      </c>
      <c r="S394" s="48" t="s">
        <v>1814</v>
      </c>
      <c r="T394" s="114" t="s">
        <v>1617</v>
      </c>
      <c r="U394" s="48" t="s">
        <v>2261</v>
      </c>
      <c r="V394" s="39"/>
      <c r="W394" s="119" t="s">
        <v>1815</v>
      </c>
      <c r="X394" s="50" t="s">
        <v>2249</v>
      </c>
      <c r="Y394" s="50"/>
    </row>
    <row r="395" spans="1:25" customFormat="1" ht="14.4" x14ac:dyDescent="0.3">
      <c r="A395" s="48">
        <f t="shared" si="18"/>
        <v>7</v>
      </c>
      <c r="B395" s="113">
        <v>46063</v>
      </c>
      <c r="C395" s="48" t="str">
        <f t="shared" si="19"/>
        <v>febrero</v>
      </c>
      <c r="D395" s="48" t="s">
        <v>2135</v>
      </c>
      <c r="E395" s="42" t="s">
        <v>2728</v>
      </c>
      <c r="F395" s="47" t="s">
        <v>1806</v>
      </c>
      <c r="G395" s="48">
        <v>1</v>
      </c>
      <c r="H395" s="48" t="s">
        <v>2139</v>
      </c>
      <c r="I395" s="197">
        <v>420</v>
      </c>
      <c r="J395" s="197">
        <v>420</v>
      </c>
      <c r="K395" s="197">
        <v>0</v>
      </c>
      <c r="L395" s="197">
        <v>420</v>
      </c>
      <c r="M395" s="198">
        <v>0</v>
      </c>
      <c r="N395" s="48" t="s">
        <v>1617</v>
      </c>
      <c r="O395" s="48" t="s">
        <v>123</v>
      </c>
      <c r="P395" s="48" t="s">
        <v>39</v>
      </c>
      <c r="Q395" s="48" t="s">
        <v>241</v>
      </c>
      <c r="R395" s="48" t="s">
        <v>2726</v>
      </c>
      <c r="S395" s="48" t="s">
        <v>454</v>
      </c>
      <c r="T395" s="114" t="s">
        <v>1617</v>
      </c>
      <c r="U395" s="48" t="s">
        <v>1759</v>
      </c>
      <c r="V395" s="39"/>
      <c r="W395" s="41" t="s">
        <v>1617</v>
      </c>
      <c r="X395" s="50" t="s">
        <v>2250</v>
      </c>
      <c r="Y395" s="50"/>
    </row>
    <row r="396" spans="1:25" customFormat="1" ht="14.4" x14ac:dyDescent="0.3">
      <c r="A396" s="48">
        <f t="shared" si="18"/>
        <v>7</v>
      </c>
      <c r="B396" s="113">
        <v>46063</v>
      </c>
      <c r="C396" s="48" t="str">
        <f t="shared" si="19"/>
        <v>febrero</v>
      </c>
      <c r="D396" s="48" t="s">
        <v>2135</v>
      </c>
      <c r="E396" s="42" t="s">
        <v>2728</v>
      </c>
      <c r="F396" s="47" t="s">
        <v>2262</v>
      </c>
      <c r="G396" s="48">
        <v>10</v>
      </c>
      <c r="H396" s="48" t="s">
        <v>1705</v>
      </c>
      <c r="I396" s="197">
        <v>3.15</v>
      </c>
      <c r="J396" s="197">
        <v>31.5</v>
      </c>
      <c r="K396" s="197">
        <v>5.04</v>
      </c>
      <c r="L396" s="197">
        <v>36.54</v>
      </c>
      <c r="M396" s="198">
        <v>0</v>
      </c>
      <c r="N396" s="48" t="s">
        <v>1617</v>
      </c>
      <c r="O396" s="48" t="s">
        <v>101</v>
      </c>
      <c r="P396" s="48" t="s">
        <v>25</v>
      </c>
      <c r="Q396" s="48" t="s">
        <v>241</v>
      </c>
      <c r="R396" s="48" t="s">
        <v>2726</v>
      </c>
      <c r="S396" s="48" t="s">
        <v>1665</v>
      </c>
      <c r="T396" s="114" t="s">
        <v>1669</v>
      </c>
      <c r="U396" s="48" t="s">
        <v>1817</v>
      </c>
      <c r="V396" s="39"/>
      <c r="W396" s="120" t="s">
        <v>1762</v>
      </c>
      <c r="X396" s="50" t="s">
        <v>2251</v>
      </c>
      <c r="Y396" s="50"/>
    </row>
    <row r="397" spans="1:25" customFormat="1" ht="14.4" x14ac:dyDescent="0.3">
      <c r="A397" s="48">
        <f t="shared" si="18"/>
        <v>7</v>
      </c>
      <c r="B397" s="113">
        <v>46063</v>
      </c>
      <c r="C397" s="48" t="str">
        <f t="shared" si="19"/>
        <v>febrero</v>
      </c>
      <c r="D397" s="48" t="s">
        <v>2135</v>
      </c>
      <c r="E397" s="42" t="s">
        <v>356</v>
      </c>
      <c r="F397" s="47" t="s">
        <v>127</v>
      </c>
      <c r="G397" s="125">
        <v>10.84</v>
      </c>
      <c r="H397" s="48" t="s">
        <v>2017</v>
      </c>
      <c r="I397" s="197">
        <v>19.963000000000001</v>
      </c>
      <c r="J397" s="197">
        <v>216.39892</v>
      </c>
      <c r="K397" s="197">
        <v>33.6</v>
      </c>
      <c r="L397" s="197">
        <v>249.99892</v>
      </c>
      <c r="M397" s="198">
        <v>0</v>
      </c>
      <c r="N397" s="48" t="s">
        <v>1822</v>
      </c>
      <c r="O397" s="48" t="s">
        <v>1823</v>
      </c>
      <c r="P397" s="49" t="s">
        <v>1321</v>
      </c>
      <c r="Q397" s="48" t="s">
        <v>1824</v>
      </c>
      <c r="R397" s="48" t="s">
        <v>2727</v>
      </c>
      <c r="S397" s="48" t="s">
        <v>647</v>
      </c>
      <c r="T397" s="114" t="s">
        <v>2025</v>
      </c>
      <c r="U397" s="48" t="s">
        <v>2936</v>
      </c>
      <c r="V397" s="39"/>
      <c r="W397" s="119" t="s">
        <v>1825</v>
      </c>
      <c r="X397" s="50" t="s">
        <v>2253</v>
      </c>
      <c r="Y397" s="50"/>
    </row>
    <row r="398" spans="1:25" customFormat="1" ht="14.4" x14ac:dyDescent="0.3">
      <c r="A398" s="48">
        <f t="shared" si="18"/>
        <v>7</v>
      </c>
      <c r="B398" s="113">
        <v>46063</v>
      </c>
      <c r="C398" s="48" t="str">
        <f t="shared" si="19"/>
        <v>febrero</v>
      </c>
      <c r="D398" s="48" t="s">
        <v>2135</v>
      </c>
      <c r="E398" s="42" t="s">
        <v>356</v>
      </c>
      <c r="F398" s="47" t="s">
        <v>127</v>
      </c>
      <c r="G398" s="125">
        <v>21.69</v>
      </c>
      <c r="H398" s="48" t="s">
        <v>2017</v>
      </c>
      <c r="I398" s="197">
        <v>19.954000000000001</v>
      </c>
      <c r="J398" s="197">
        <v>432.80226000000005</v>
      </c>
      <c r="K398" s="197">
        <v>67.2</v>
      </c>
      <c r="L398" s="197">
        <v>500.00226000000004</v>
      </c>
      <c r="M398" s="198">
        <v>0</v>
      </c>
      <c r="N398" s="48" t="s">
        <v>1818</v>
      </c>
      <c r="O398" s="48" t="s">
        <v>1819</v>
      </c>
      <c r="P398" s="49" t="s">
        <v>1321</v>
      </c>
      <c r="Q398" s="48" t="s">
        <v>488</v>
      </c>
      <c r="R398" s="48" t="s">
        <v>2727</v>
      </c>
      <c r="S398" s="48" t="s">
        <v>647</v>
      </c>
      <c r="T398" s="114" t="s">
        <v>2025</v>
      </c>
      <c r="U398" s="48" t="s">
        <v>1820</v>
      </c>
      <c r="V398" s="39"/>
      <c r="W398" s="119" t="s">
        <v>1821</v>
      </c>
      <c r="X398" s="50" t="s">
        <v>2254</v>
      </c>
      <c r="Y398" s="50"/>
    </row>
    <row r="399" spans="1:25" customFormat="1" ht="14.4" x14ac:dyDescent="0.3">
      <c r="A399" s="48">
        <f t="shared" si="18"/>
        <v>7</v>
      </c>
      <c r="B399" s="113">
        <v>46063</v>
      </c>
      <c r="C399" s="48" t="str">
        <f t="shared" si="19"/>
        <v>febrero</v>
      </c>
      <c r="D399" s="48" t="s">
        <v>2135</v>
      </c>
      <c r="E399" s="42" t="s">
        <v>477</v>
      </c>
      <c r="F399" s="47" t="s">
        <v>1770</v>
      </c>
      <c r="G399" s="48">
        <v>1</v>
      </c>
      <c r="H399" s="48" t="s">
        <v>2138</v>
      </c>
      <c r="I399" s="197">
        <v>990</v>
      </c>
      <c r="J399" s="197">
        <v>990</v>
      </c>
      <c r="K399" s="197">
        <v>0</v>
      </c>
      <c r="L399" s="197">
        <v>990</v>
      </c>
      <c r="M399" s="198">
        <v>0</v>
      </c>
      <c r="N399" s="48" t="s">
        <v>1617</v>
      </c>
      <c r="O399" s="48" t="s">
        <v>1855</v>
      </c>
      <c r="P399" s="49" t="s">
        <v>1321</v>
      </c>
      <c r="Q399" s="48" t="s">
        <v>1766</v>
      </c>
      <c r="R399" s="48" t="s">
        <v>364</v>
      </c>
      <c r="S399" s="48" t="s">
        <v>722</v>
      </c>
      <c r="T399" s="114" t="s">
        <v>1617</v>
      </c>
      <c r="U399" s="48" t="s">
        <v>2021</v>
      </c>
      <c r="V399" s="49"/>
      <c r="W399" s="139" t="s">
        <v>2029</v>
      </c>
      <c r="Y399" s="50"/>
    </row>
    <row r="400" spans="1:25" customFormat="1" ht="14.4" x14ac:dyDescent="0.3">
      <c r="A400" s="48">
        <f t="shared" si="18"/>
        <v>7</v>
      </c>
      <c r="B400" s="113">
        <v>46063</v>
      </c>
      <c r="C400" s="48" t="str">
        <f t="shared" si="19"/>
        <v>febrero</v>
      </c>
      <c r="D400" s="48" t="s">
        <v>2135</v>
      </c>
      <c r="E400" s="42" t="s">
        <v>477</v>
      </c>
      <c r="F400" s="47" t="s">
        <v>1770</v>
      </c>
      <c r="G400" s="48">
        <v>1</v>
      </c>
      <c r="H400" s="48" t="s">
        <v>2138</v>
      </c>
      <c r="I400" s="197">
        <v>990</v>
      </c>
      <c r="J400" s="197">
        <v>990</v>
      </c>
      <c r="K400" s="197">
        <v>0</v>
      </c>
      <c r="L400" s="197">
        <v>990</v>
      </c>
      <c r="M400" s="198">
        <v>0</v>
      </c>
      <c r="N400" s="48" t="s">
        <v>1617</v>
      </c>
      <c r="O400" s="48" t="s">
        <v>1679</v>
      </c>
      <c r="P400" s="49" t="s">
        <v>1321</v>
      </c>
      <c r="Q400" s="48" t="s">
        <v>1766</v>
      </c>
      <c r="R400" s="48" t="s">
        <v>364</v>
      </c>
      <c r="S400" s="48" t="s">
        <v>722</v>
      </c>
      <c r="T400" s="114" t="s">
        <v>1617</v>
      </c>
      <c r="U400" s="48" t="s">
        <v>2021</v>
      </c>
      <c r="V400" s="49"/>
      <c r="W400" s="139" t="s">
        <v>2030</v>
      </c>
      <c r="Y400" s="50"/>
    </row>
    <row r="401" spans="1:25" customFormat="1" ht="14.4" x14ac:dyDescent="0.3">
      <c r="A401" s="48">
        <f t="shared" si="18"/>
        <v>7</v>
      </c>
      <c r="B401" s="113">
        <v>46063</v>
      </c>
      <c r="C401" s="48" t="str">
        <f t="shared" si="19"/>
        <v>febrero</v>
      </c>
      <c r="D401" s="48" t="s">
        <v>2135</v>
      </c>
      <c r="E401" s="42" t="s">
        <v>477</v>
      </c>
      <c r="F401" s="47" t="s">
        <v>1770</v>
      </c>
      <c r="G401" s="48">
        <v>1</v>
      </c>
      <c r="H401" s="48" t="s">
        <v>2138</v>
      </c>
      <c r="I401" s="197">
        <v>990</v>
      </c>
      <c r="J401" s="197">
        <v>990</v>
      </c>
      <c r="K401" s="197">
        <v>0</v>
      </c>
      <c r="L401" s="197">
        <v>990</v>
      </c>
      <c r="M401" s="198">
        <v>0</v>
      </c>
      <c r="N401" s="48" t="s">
        <v>1617</v>
      </c>
      <c r="O401" s="48" t="s">
        <v>2031</v>
      </c>
      <c r="P401" s="49" t="s">
        <v>1321</v>
      </c>
      <c r="Q401" s="48" t="s">
        <v>1766</v>
      </c>
      <c r="R401" s="48" t="s">
        <v>364</v>
      </c>
      <c r="S401" s="48" t="s">
        <v>722</v>
      </c>
      <c r="T401" s="114" t="s">
        <v>1617</v>
      </c>
      <c r="U401" s="48" t="s">
        <v>2021</v>
      </c>
      <c r="V401" s="49"/>
      <c r="W401" s="139" t="s">
        <v>2032</v>
      </c>
      <c r="Y401" s="50"/>
    </row>
    <row r="402" spans="1:25" customFormat="1" ht="14.4" x14ac:dyDescent="0.3">
      <c r="A402" s="48">
        <f t="shared" si="18"/>
        <v>7</v>
      </c>
      <c r="B402" s="113">
        <v>46063</v>
      </c>
      <c r="C402" s="48" t="str">
        <f t="shared" si="19"/>
        <v>febrero</v>
      </c>
      <c r="D402" s="48" t="s">
        <v>2135</v>
      </c>
      <c r="E402" s="42" t="s">
        <v>477</v>
      </c>
      <c r="F402" s="47" t="s">
        <v>1770</v>
      </c>
      <c r="G402" s="48">
        <v>1</v>
      </c>
      <c r="H402" s="48" t="s">
        <v>2138</v>
      </c>
      <c r="I402" s="197">
        <v>990</v>
      </c>
      <c r="J402" s="197">
        <v>990</v>
      </c>
      <c r="K402" s="197">
        <v>0</v>
      </c>
      <c r="L402" s="197">
        <v>990</v>
      </c>
      <c r="M402" s="198">
        <v>0</v>
      </c>
      <c r="N402" s="48" t="s">
        <v>1617</v>
      </c>
      <c r="O402" s="48" t="s">
        <v>2033</v>
      </c>
      <c r="P402" s="49" t="s">
        <v>1321</v>
      </c>
      <c r="Q402" s="48" t="s">
        <v>1766</v>
      </c>
      <c r="R402" s="48" t="s">
        <v>364</v>
      </c>
      <c r="S402" s="48" t="s">
        <v>722</v>
      </c>
      <c r="T402" s="114" t="s">
        <v>1617</v>
      </c>
      <c r="U402" s="48" t="s">
        <v>2021</v>
      </c>
      <c r="V402" s="49"/>
      <c r="W402" s="139" t="s">
        <v>2034</v>
      </c>
      <c r="Y402" s="50"/>
    </row>
    <row r="403" spans="1:25" customFormat="1" ht="14.4" x14ac:dyDescent="0.3">
      <c r="A403" s="48">
        <f t="shared" si="18"/>
        <v>7</v>
      </c>
      <c r="B403" s="113">
        <v>46063</v>
      </c>
      <c r="C403" s="48" t="str">
        <f t="shared" si="19"/>
        <v>febrero</v>
      </c>
      <c r="D403" s="48" t="s">
        <v>2135</v>
      </c>
      <c r="E403" s="42" t="s">
        <v>477</v>
      </c>
      <c r="F403" s="47" t="s">
        <v>1770</v>
      </c>
      <c r="G403" s="48">
        <v>1</v>
      </c>
      <c r="H403" s="48" t="s">
        <v>2138</v>
      </c>
      <c r="I403" s="197">
        <v>990</v>
      </c>
      <c r="J403" s="197">
        <v>990</v>
      </c>
      <c r="K403" s="197">
        <v>0</v>
      </c>
      <c r="L403" s="197">
        <v>990</v>
      </c>
      <c r="M403" s="198">
        <v>0</v>
      </c>
      <c r="N403" s="48" t="s">
        <v>1617</v>
      </c>
      <c r="O403" s="48" t="s">
        <v>1359</v>
      </c>
      <c r="P403" s="49" t="s">
        <v>1321</v>
      </c>
      <c r="Q403" s="48" t="s">
        <v>1766</v>
      </c>
      <c r="R403" s="48" t="s">
        <v>364</v>
      </c>
      <c r="S403" s="48" t="s">
        <v>722</v>
      </c>
      <c r="T403" s="114" t="s">
        <v>1617</v>
      </c>
      <c r="U403" s="48" t="s">
        <v>2021</v>
      </c>
      <c r="V403" s="49"/>
      <c r="W403" s="139" t="s">
        <v>2035</v>
      </c>
      <c r="Y403" s="50"/>
    </row>
    <row r="404" spans="1:25" customFormat="1" ht="14.4" x14ac:dyDescent="0.3">
      <c r="A404" s="48">
        <f t="shared" si="18"/>
        <v>7</v>
      </c>
      <c r="B404" s="113">
        <v>46063</v>
      </c>
      <c r="C404" s="48" t="str">
        <f t="shared" si="19"/>
        <v>febrero</v>
      </c>
      <c r="D404" s="48" t="s">
        <v>2135</v>
      </c>
      <c r="E404" s="42" t="s">
        <v>477</v>
      </c>
      <c r="F404" s="47" t="s">
        <v>1770</v>
      </c>
      <c r="G404" s="38">
        <v>1</v>
      </c>
      <c r="H404" s="48" t="s">
        <v>2138</v>
      </c>
      <c r="I404" s="202">
        <v>990</v>
      </c>
      <c r="J404" s="197">
        <v>990</v>
      </c>
      <c r="K404" s="197">
        <v>0</v>
      </c>
      <c r="L404" s="205">
        <v>990</v>
      </c>
      <c r="M404" s="198">
        <v>0</v>
      </c>
      <c r="N404" s="48" t="s">
        <v>1617</v>
      </c>
      <c r="O404" s="48" t="s">
        <v>1065</v>
      </c>
      <c r="P404" s="48" t="s">
        <v>25</v>
      </c>
      <c r="Q404" s="38" t="s">
        <v>1766</v>
      </c>
      <c r="R404" s="38" t="s">
        <v>364</v>
      </c>
      <c r="S404" s="38" t="s">
        <v>722</v>
      </c>
      <c r="T404" s="114" t="s">
        <v>1617</v>
      </c>
      <c r="U404" s="38"/>
      <c r="V404" s="130"/>
      <c r="W404" s="139" t="s">
        <v>2267</v>
      </c>
      <c r="Y404" s="50"/>
    </row>
    <row r="405" spans="1:25" customFormat="1" ht="14.4" x14ac:dyDescent="0.3">
      <c r="A405" s="48">
        <f t="shared" si="18"/>
        <v>7</v>
      </c>
      <c r="B405" s="113">
        <v>46063</v>
      </c>
      <c r="C405" s="48" t="str">
        <f t="shared" si="19"/>
        <v>febrero</v>
      </c>
      <c r="D405" s="48" t="s">
        <v>2135</v>
      </c>
      <c r="E405" s="42" t="s">
        <v>477</v>
      </c>
      <c r="F405" s="47" t="s">
        <v>1770</v>
      </c>
      <c r="G405" s="38">
        <v>1</v>
      </c>
      <c r="H405" s="48" t="s">
        <v>2138</v>
      </c>
      <c r="I405" s="202">
        <v>990</v>
      </c>
      <c r="J405" s="197">
        <v>990</v>
      </c>
      <c r="K405" s="197">
        <v>0</v>
      </c>
      <c r="L405" s="205">
        <v>990</v>
      </c>
      <c r="M405" s="198">
        <v>0</v>
      </c>
      <c r="N405" s="48" t="s">
        <v>1617</v>
      </c>
      <c r="O405" s="48" t="s">
        <v>357</v>
      </c>
      <c r="P405" s="48" t="s">
        <v>25</v>
      </c>
      <c r="Q405" s="38" t="s">
        <v>1766</v>
      </c>
      <c r="R405" s="38" t="s">
        <v>364</v>
      </c>
      <c r="S405" s="38" t="s">
        <v>722</v>
      </c>
      <c r="T405" s="114" t="s">
        <v>1617</v>
      </c>
      <c r="U405" s="38"/>
      <c r="V405" s="130"/>
      <c r="W405" s="139" t="s">
        <v>2269</v>
      </c>
      <c r="Y405" s="50"/>
    </row>
    <row r="406" spans="1:25" customFormat="1" ht="14.4" x14ac:dyDescent="0.3">
      <c r="A406" s="48">
        <f t="shared" si="18"/>
        <v>7</v>
      </c>
      <c r="B406" s="113">
        <v>46063</v>
      </c>
      <c r="C406" s="48" t="str">
        <f t="shared" si="19"/>
        <v>febrero</v>
      </c>
      <c r="D406" s="48" t="s">
        <v>2135</v>
      </c>
      <c r="E406" s="42" t="s">
        <v>477</v>
      </c>
      <c r="F406" s="47" t="s">
        <v>1770</v>
      </c>
      <c r="G406" s="38">
        <v>1</v>
      </c>
      <c r="H406" s="48" t="s">
        <v>2138</v>
      </c>
      <c r="I406" s="202">
        <v>990</v>
      </c>
      <c r="J406" s="197">
        <v>990</v>
      </c>
      <c r="K406" s="197">
        <v>0</v>
      </c>
      <c r="L406" s="205">
        <v>990</v>
      </c>
      <c r="M406" s="198">
        <v>0</v>
      </c>
      <c r="N406" s="48" t="s">
        <v>1617</v>
      </c>
      <c r="O406" s="48" t="s">
        <v>360</v>
      </c>
      <c r="P406" s="48" t="s">
        <v>25</v>
      </c>
      <c r="Q406" s="38" t="s">
        <v>1766</v>
      </c>
      <c r="R406" s="38" t="s">
        <v>364</v>
      </c>
      <c r="S406" s="38" t="s">
        <v>722</v>
      </c>
      <c r="T406" s="114" t="s">
        <v>1617</v>
      </c>
      <c r="U406" s="38"/>
      <c r="V406" s="130"/>
      <c r="W406" s="139" t="s">
        <v>2271</v>
      </c>
      <c r="Y406" s="50"/>
    </row>
    <row r="407" spans="1:25" customFormat="1" ht="14.4" x14ac:dyDescent="0.3">
      <c r="A407" s="48">
        <f t="shared" si="18"/>
        <v>7</v>
      </c>
      <c r="B407" s="113">
        <v>46063</v>
      </c>
      <c r="C407" s="48" t="str">
        <f t="shared" si="19"/>
        <v>febrero</v>
      </c>
      <c r="D407" s="48" t="s">
        <v>2135</v>
      </c>
      <c r="E407" s="42" t="s">
        <v>477</v>
      </c>
      <c r="F407" s="47" t="s">
        <v>1770</v>
      </c>
      <c r="G407" s="38">
        <v>1</v>
      </c>
      <c r="H407" s="48" t="s">
        <v>2138</v>
      </c>
      <c r="I407" s="202">
        <v>990</v>
      </c>
      <c r="J407" s="197">
        <v>990</v>
      </c>
      <c r="K407" s="197">
        <v>0</v>
      </c>
      <c r="L407" s="205">
        <v>990</v>
      </c>
      <c r="M407" s="198">
        <v>0</v>
      </c>
      <c r="N407" s="48" t="s">
        <v>1617</v>
      </c>
      <c r="O407" s="48" t="s">
        <v>361</v>
      </c>
      <c r="P407" s="48" t="s">
        <v>25</v>
      </c>
      <c r="Q407" s="38" t="s">
        <v>1766</v>
      </c>
      <c r="R407" s="38" t="s">
        <v>364</v>
      </c>
      <c r="S407" s="38" t="s">
        <v>722</v>
      </c>
      <c r="T407" s="114" t="s">
        <v>1617</v>
      </c>
      <c r="U407" s="38"/>
      <c r="V407" s="130"/>
      <c r="W407" s="139" t="s">
        <v>2273</v>
      </c>
      <c r="Y407" s="50"/>
    </row>
    <row r="408" spans="1:25" customFormat="1" ht="14.4" x14ac:dyDescent="0.3">
      <c r="A408" s="48">
        <f t="shared" si="18"/>
        <v>7</v>
      </c>
      <c r="B408" s="113">
        <v>46063</v>
      </c>
      <c r="C408" s="48" t="str">
        <f t="shared" si="19"/>
        <v>febrero</v>
      </c>
      <c r="D408" s="48" t="s">
        <v>2135</v>
      </c>
      <c r="E408" s="42" t="s">
        <v>477</v>
      </c>
      <c r="F408" s="47" t="s">
        <v>1770</v>
      </c>
      <c r="G408" s="38">
        <v>1</v>
      </c>
      <c r="H408" s="48" t="s">
        <v>2138</v>
      </c>
      <c r="I408" s="202">
        <v>990</v>
      </c>
      <c r="J408" s="197">
        <v>990</v>
      </c>
      <c r="K408" s="197">
        <v>0</v>
      </c>
      <c r="L408" s="205">
        <v>990</v>
      </c>
      <c r="M408" s="198">
        <v>0</v>
      </c>
      <c r="N408" s="48" t="s">
        <v>1617</v>
      </c>
      <c r="O408" s="48" t="s">
        <v>605</v>
      </c>
      <c r="P408" s="48" t="s">
        <v>25</v>
      </c>
      <c r="Q408" s="38" t="s">
        <v>1766</v>
      </c>
      <c r="R408" s="38" t="s">
        <v>364</v>
      </c>
      <c r="S408" s="38" t="s">
        <v>722</v>
      </c>
      <c r="T408" s="114" t="s">
        <v>1617</v>
      </c>
      <c r="U408" s="38"/>
      <c r="V408" s="130"/>
      <c r="W408" s="139" t="s">
        <v>2275</v>
      </c>
      <c r="Y408" s="50"/>
    </row>
    <row r="409" spans="1:25" customFormat="1" ht="14.4" x14ac:dyDescent="0.3">
      <c r="A409" s="48">
        <f t="shared" si="18"/>
        <v>7</v>
      </c>
      <c r="B409" s="113">
        <v>46063</v>
      </c>
      <c r="C409" s="48" t="str">
        <f t="shared" si="19"/>
        <v>febrero</v>
      </c>
      <c r="D409" s="48" t="s">
        <v>2135</v>
      </c>
      <c r="E409" s="42" t="s">
        <v>477</v>
      </c>
      <c r="F409" s="47" t="s">
        <v>1770</v>
      </c>
      <c r="G409" s="38">
        <v>1</v>
      </c>
      <c r="H409" s="48" t="s">
        <v>2138</v>
      </c>
      <c r="I409" s="202">
        <v>990</v>
      </c>
      <c r="J409" s="197">
        <v>990</v>
      </c>
      <c r="K409" s="197">
        <v>0</v>
      </c>
      <c r="L409" s="205">
        <v>990</v>
      </c>
      <c r="M409" s="198">
        <v>0</v>
      </c>
      <c r="N409" s="48" t="s">
        <v>1617</v>
      </c>
      <c r="O409" s="48" t="s">
        <v>480</v>
      </c>
      <c r="P409" s="48" t="s">
        <v>25</v>
      </c>
      <c r="Q409" s="38" t="s">
        <v>1766</v>
      </c>
      <c r="R409" s="38" t="s">
        <v>364</v>
      </c>
      <c r="S409" s="38" t="s">
        <v>722</v>
      </c>
      <c r="T409" s="114" t="s">
        <v>1617</v>
      </c>
      <c r="U409" s="38"/>
      <c r="V409" s="130"/>
      <c r="W409" s="139" t="s">
        <v>2276</v>
      </c>
      <c r="Y409" s="50"/>
    </row>
    <row r="410" spans="1:25" customFormat="1" ht="14.4" x14ac:dyDescent="0.3">
      <c r="A410" s="48">
        <f t="shared" si="18"/>
        <v>7</v>
      </c>
      <c r="B410" s="113">
        <v>46063</v>
      </c>
      <c r="C410" s="48" t="str">
        <f t="shared" si="19"/>
        <v>febrero</v>
      </c>
      <c r="D410" s="48" t="s">
        <v>2135</v>
      </c>
      <c r="E410" s="42" t="s">
        <v>477</v>
      </c>
      <c r="F410" s="47" t="s">
        <v>1770</v>
      </c>
      <c r="G410" s="38">
        <v>1</v>
      </c>
      <c r="H410" s="48" t="s">
        <v>2138</v>
      </c>
      <c r="I410" s="202">
        <v>990</v>
      </c>
      <c r="J410" s="197">
        <v>990</v>
      </c>
      <c r="K410" s="197">
        <v>0</v>
      </c>
      <c r="L410" s="205">
        <v>990</v>
      </c>
      <c r="M410" s="198">
        <v>0</v>
      </c>
      <c r="N410" s="48" t="s">
        <v>1617</v>
      </c>
      <c r="O410" s="48" t="s">
        <v>672</v>
      </c>
      <c r="P410" s="48" t="s">
        <v>25</v>
      </c>
      <c r="Q410" s="38" t="s">
        <v>1766</v>
      </c>
      <c r="R410" s="38" t="s">
        <v>364</v>
      </c>
      <c r="S410" s="38" t="s">
        <v>722</v>
      </c>
      <c r="T410" s="114" t="s">
        <v>1617</v>
      </c>
      <c r="U410" s="38"/>
      <c r="V410" s="130"/>
      <c r="W410" s="139" t="s">
        <v>2277</v>
      </c>
      <c r="Y410" s="50"/>
    </row>
    <row r="411" spans="1:25" customFormat="1" ht="14.4" x14ac:dyDescent="0.3">
      <c r="A411" s="48">
        <f t="shared" si="18"/>
        <v>7</v>
      </c>
      <c r="B411" s="113">
        <v>46063</v>
      </c>
      <c r="C411" s="48" t="str">
        <f t="shared" si="19"/>
        <v>febrero</v>
      </c>
      <c r="D411" s="48" t="s">
        <v>2135</v>
      </c>
      <c r="E411" s="42" t="s">
        <v>477</v>
      </c>
      <c r="F411" s="47" t="s">
        <v>1770</v>
      </c>
      <c r="G411" s="38">
        <v>1</v>
      </c>
      <c r="H411" s="48" t="s">
        <v>2138</v>
      </c>
      <c r="I411" s="202">
        <v>990</v>
      </c>
      <c r="J411" s="197">
        <v>990</v>
      </c>
      <c r="K411" s="197">
        <v>0</v>
      </c>
      <c r="L411" s="205">
        <v>990</v>
      </c>
      <c r="M411" s="198">
        <v>0</v>
      </c>
      <c r="N411" s="48" t="s">
        <v>1617</v>
      </c>
      <c r="O411" s="48" t="s">
        <v>670</v>
      </c>
      <c r="P411" s="48" t="s">
        <v>25</v>
      </c>
      <c r="Q411" s="38" t="s">
        <v>1766</v>
      </c>
      <c r="R411" s="38" t="s">
        <v>364</v>
      </c>
      <c r="S411" s="38" t="s">
        <v>722</v>
      </c>
      <c r="T411" s="114" t="s">
        <v>1617</v>
      </c>
      <c r="U411" s="38"/>
      <c r="V411" s="130"/>
      <c r="W411" s="139" t="s">
        <v>2278</v>
      </c>
      <c r="Y411" s="50"/>
    </row>
    <row r="412" spans="1:25" customFormat="1" ht="14.4" x14ac:dyDescent="0.3">
      <c r="A412" s="48">
        <f t="shared" si="18"/>
        <v>7</v>
      </c>
      <c r="B412" s="113">
        <v>46063</v>
      </c>
      <c r="C412" s="48" t="str">
        <f t="shared" si="19"/>
        <v>febrero</v>
      </c>
      <c r="D412" s="48" t="s">
        <v>2135</v>
      </c>
      <c r="E412" s="42" t="s">
        <v>477</v>
      </c>
      <c r="F412" s="47" t="s">
        <v>1770</v>
      </c>
      <c r="G412" s="38">
        <v>1</v>
      </c>
      <c r="H412" s="48" t="s">
        <v>2138</v>
      </c>
      <c r="I412" s="202">
        <v>990</v>
      </c>
      <c r="J412" s="197">
        <v>990</v>
      </c>
      <c r="K412" s="197">
        <v>0</v>
      </c>
      <c r="L412" s="205">
        <v>990</v>
      </c>
      <c r="M412" s="198">
        <v>0</v>
      </c>
      <c r="N412" s="48" t="s">
        <v>1617</v>
      </c>
      <c r="O412" s="48" t="s">
        <v>814</v>
      </c>
      <c r="P412" s="48" t="s">
        <v>25</v>
      </c>
      <c r="Q412" s="38" t="s">
        <v>1766</v>
      </c>
      <c r="R412" s="38" t="s">
        <v>364</v>
      </c>
      <c r="S412" s="38" t="s">
        <v>722</v>
      </c>
      <c r="T412" s="114" t="s">
        <v>1617</v>
      </c>
      <c r="U412" s="38"/>
      <c r="V412" s="130"/>
      <c r="W412" s="139" t="s">
        <v>2280</v>
      </c>
      <c r="Y412" s="50"/>
    </row>
    <row r="413" spans="1:25" customFormat="1" ht="14.4" x14ac:dyDescent="0.3">
      <c r="A413" s="48">
        <f t="shared" si="18"/>
        <v>7</v>
      </c>
      <c r="B413" s="113">
        <v>46063</v>
      </c>
      <c r="C413" s="48" t="str">
        <f t="shared" si="19"/>
        <v>febrero</v>
      </c>
      <c r="D413" s="48" t="s">
        <v>2135</v>
      </c>
      <c r="E413" s="42" t="s">
        <v>477</v>
      </c>
      <c r="F413" s="47" t="s">
        <v>1770</v>
      </c>
      <c r="G413" s="38">
        <v>1</v>
      </c>
      <c r="H413" s="48" t="s">
        <v>2138</v>
      </c>
      <c r="I413" s="202">
        <v>990</v>
      </c>
      <c r="J413" s="197">
        <v>990</v>
      </c>
      <c r="K413" s="197">
        <v>0</v>
      </c>
      <c r="L413" s="205">
        <v>990</v>
      </c>
      <c r="M413" s="198">
        <v>0</v>
      </c>
      <c r="N413" s="48" t="s">
        <v>1617</v>
      </c>
      <c r="O413" s="48" t="s">
        <v>798</v>
      </c>
      <c r="P413" s="48" t="s">
        <v>39</v>
      </c>
      <c r="Q413" s="38" t="s">
        <v>1766</v>
      </c>
      <c r="R413" s="38" t="s">
        <v>364</v>
      </c>
      <c r="S413" s="38" t="s">
        <v>722</v>
      </c>
      <c r="T413" s="114" t="s">
        <v>1617</v>
      </c>
      <c r="U413" s="38"/>
      <c r="V413" s="130"/>
      <c r="W413" s="139" t="s">
        <v>2281</v>
      </c>
      <c r="Y413" s="50"/>
    </row>
    <row r="414" spans="1:25" customFormat="1" ht="14.4" x14ac:dyDescent="0.3">
      <c r="A414" s="48">
        <f t="shared" si="18"/>
        <v>7</v>
      </c>
      <c r="B414" s="113">
        <v>46063</v>
      </c>
      <c r="C414" s="48" t="str">
        <f t="shared" si="19"/>
        <v>febrero</v>
      </c>
      <c r="D414" s="48" t="s">
        <v>2135</v>
      </c>
      <c r="E414" s="42" t="s">
        <v>477</v>
      </c>
      <c r="F414" s="47" t="s">
        <v>1770</v>
      </c>
      <c r="G414" s="38">
        <v>1</v>
      </c>
      <c r="H414" s="48" t="s">
        <v>2138</v>
      </c>
      <c r="I414" s="202">
        <v>990</v>
      </c>
      <c r="J414" s="197">
        <v>990</v>
      </c>
      <c r="K414" s="197">
        <v>0</v>
      </c>
      <c r="L414" s="205">
        <v>990</v>
      </c>
      <c r="M414" s="198">
        <v>0</v>
      </c>
      <c r="N414" s="48" t="s">
        <v>1617</v>
      </c>
      <c r="O414" s="48" t="s">
        <v>774</v>
      </c>
      <c r="P414" s="48" t="s">
        <v>25</v>
      </c>
      <c r="Q414" s="38" t="s">
        <v>1766</v>
      </c>
      <c r="R414" s="38" t="s">
        <v>364</v>
      </c>
      <c r="S414" s="38" t="s">
        <v>722</v>
      </c>
      <c r="T414" s="114" t="s">
        <v>1617</v>
      </c>
      <c r="U414" s="38"/>
      <c r="V414" s="130"/>
      <c r="W414" s="139" t="s">
        <v>2283</v>
      </c>
      <c r="Y414" s="50"/>
    </row>
    <row r="415" spans="1:25" customFormat="1" ht="14.4" x14ac:dyDescent="0.3">
      <c r="A415" s="48">
        <f t="shared" si="18"/>
        <v>7</v>
      </c>
      <c r="B415" s="113">
        <v>46063</v>
      </c>
      <c r="C415" s="48" t="str">
        <f t="shared" si="19"/>
        <v>febrero</v>
      </c>
      <c r="D415" s="48" t="s">
        <v>2135</v>
      </c>
      <c r="E415" s="42" t="s">
        <v>477</v>
      </c>
      <c r="F415" s="47" t="s">
        <v>1770</v>
      </c>
      <c r="G415" s="38">
        <v>1</v>
      </c>
      <c r="H415" s="48" t="s">
        <v>2138</v>
      </c>
      <c r="I415" s="202">
        <v>990</v>
      </c>
      <c r="J415" s="197">
        <v>990</v>
      </c>
      <c r="K415" s="197">
        <v>0</v>
      </c>
      <c r="L415" s="205">
        <v>990</v>
      </c>
      <c r="M415" s="198">
        <v>0</v>
      </c>
      <c r="N415" s="48" t="s">
        <v>1617</v>
      </c>
      <c r="O415" s="48" t="s">
        <v>645</v>
      </c>
      <c r="P415" s="48" t="s">
        <v>25</v>
      </c>
      <c r="Q415" s="38" t="s">
        <v>1766</v>
      </c>
      <c r="R415" s="38" t="s">
        <v>364</v>
      </c>
      <c r="S415" s="38" t="s">
        <v>722</v>
      </c>
      <c r="T415" s="114" t="s">
        <v>1617</v>
      </c>
      <c r="U415" s="38"/>
      <c r="V415" s="130"/>
      <c r="W415" s="139" t="s">
        <v>2285</v>
      </c>
      <c r="Y415" s="50"/>
    </row>
    <row r="416" spans="1:25" customFormat="1" ht="14.4" x14ac:dyDescent="0.3">
      <c r="A416" s="48">
        <f t="shared" si="18"/>
        <v>7</v>
      </c>
      <c r="B416" s="113">
        <v>46063</v>
      </c>
      <c r="C416" s="48" t="str">
        <f t="shared" si="19"/>
        <v>febrero</v>
      </c>
      <c r="D416" s="48" t="s">
        <v>2135</v>
      </c>
      <c r="E416" s="42" t="s">
        <v>477</v>
      </c>
      <c r="F416" s="47" t="s">
        <v>1770</v>
      </c>
      <c r="G416" s="38">
        <v>1</v>
      </c>
      <c r="H416" s="48" t="s">
        <v>2138</v>
      </c>
      <c r="I416" s="202">
        <v>990</v>
      </c>
      <c r="J416" s="197">
        <v>990</v>
      </c>
      <c r="K416" s="197">
        <v>0</v>
      </c>
      <c r="L416" s="205">
        <v>990</v>
      </c>
      <c r="M416" s="198">
        <v>0</v>
      </c>
      <c r="N416" s="48" t="s">
        <v>1617</v>
      </c>
      <c r="O416" s="48" t="s">
        <v>1265</v>
      </c>
      <c r="P416" s="48" t="s">
        <v>25</v>
      </c>
      <c r="Q416" s="38" t="s">
        <v>1766</v>
      </c>
      <c r="R416" s="38" t="s">
        <v>364</v>
      </c>
      <c r="S416" s="38" t="s">
        <v>722</v>
      </c>
      <c r="T416" s="114" t="s">
        <v>1617</v>
      </c>
      <c r="U416" s="38"/>
      <c r="V416" s="130"/>
      <c r="W416" s="139" t="s">
        <v>2287</v>
      </c>
      <c r="Y416" s="50"/>
    </row>
    <row r="417" spans="1:25" customFormat="1" ht="14.4" x14ac:dyDescent="0.3">
      <c r="A417" s="48">
        <f t="shared" si="18"/>
        <v>7</v>
      </c>
      <c r="B417" s="113">
        <v>46063</v>
      </c>
      <c r="C417" s="48" t="str">
        <f t="shared" si="19"/>
        <v>febrero</v>
      </c>
      <c r="D417" s="48" t="s">
        <v>2135</v>
      </c>
      <c r="E417" s="42" t="s">
        <v>477</v>
      </c>
      <c r="F417" s="47" t="s">
        <v>1770</v>
      </c>
      <c r="G417" s="38">
        <v>1</v>
      </c>
      <c r="H417" s="48" t="s">
        <v>2138</v>
      </c>
      <c r="I417" s="202">
        <v>990</v>
      </c>
      <c r="J417" s="197">
        <v>990</v>
      </c>
      <c r="K417" s="197">
        <v>0</v>
      </c>
      <c r="L417" s="205">
        <v>990</v>
      </c>
      <c r="M417" s="198">
        <v>0</v>
      </c>
      <c r="N417" s="48" t="s">
        <v>1617</v>
      </c>
      <c r="O417" s="48" t="s">
        <v>1285</v>
      </c>
      <c r="P417" s="48" t="s">
        <v>25</v>
      </c>
      <c r="Q417" s="38" t="s">
        <v>1766</v>
      </c>
      <c r="R417" s="38" t="s">
        <v>364</v>
      </c>
      <c r="S417" s="38" t="s">
        <v>722</v>
      </c>
      <c r="T417" s="114" t="s">
        <v>1617</v>
      </c>
      <c r="U417" s="38"/>
      <c r="V417" s="130"/>
      <c r="W417" s="139" t="s">
        <v>2289</v>
      </c>
      <c r="Y417" s="50"/>
    </row>
    <row r="418" spans="1:25" customFormat="1" ht="14.4" x14ac:dyDescent="0.3">
      <c r="A418" s="48">
        <f t="shared" si="18"/>
        <v>7</v>
      </c>
      <c r="B418" s="113">
        <v>46063</v>
      </c>
      <c r="C418" s="48" t="str">
        <f t="shared" si="19"/>
        <v>febrero</v>
      </c>
      <c r="D418" s="48" t="s">
        <v>2135</v>
      </c>
      <c r="E418" s="42" t="s">
        <v>477</v>
      </c>
      <c r="F418" s="47" t="s">
        <v>1770</v>
      </c>
      <c r="G418" s="38">
        <v>1</v>
      </c>
      <c r="H418" s="48" t="s">
        <v>2138</v>
      </c>
      <c r="I418" s="202">
        <v>990</v>
      </c>
      <c r="J418" s="197">
        <v>990</v>
      </c>
      <c r="K418" s="197">
        <v>0</v>
      </c>
      <c r="L418" s="205">
        <v>990</v>
      </c>
      <c r="M418" s="198">
        <v>0</v>
      </c>
      <c r="N418" s="48" t="s">
        <v>1617</v>
      </c>
      <c r="O418" s="48" t="s">
        <v>1273</v>
      </c>
      <c r="P418" s="48" t="s">
        <v>25</v>
      </c>
      <c r="Q418" s="38" t="s">
        <v>1766</v>
      </c>
      <c r="R418" s="38" t="s">
        <v>364</v>
      </c>
      <c r="S418" s="38" t="s">
        <v>722</v>
      </c>
      <c r="T418" s="114" t="s">
        <v>1617</v>
      </c>
      <c r="U418" s="38"/>
      <c r="V418" s="130"/>
      <c r="W418" s="139" t="s">
        <v>2291</v>
      </c>
      <c r="Y418" s="50"/>
    </row>
    <row r="419" spans="1:25" customFormat="1" ht="14.4" customHeight="1" x14ac:dyDescent="0.3">
      <c r="A419" s="48">
        <f t="shared" si="18"/>
        <v>7</v>
      </c>
      <c r="B419" s="113">
        <v>46063</v>
      </c>
      <c r="C419" s="48" t="str">
        <f t="shared" si="19"/>
        <v>febrero</v>
      </c>
      <c r="D419" s="48" t="s">
        <v>2135</v>
      </c>
      <c r="E419" s="42" t="s">
        <v>477</v>
      </c>
      <c r="F419" s="47" t="s">
        <v>1770</v>
      </c>
      <c r="G419" s="38">
        <v>1</v>
      </c>
      <c r="H419" s="48" t="s">
        <v>2138</v>
      </c>
      <c r="I419" s="202">
        <v>990</v>
      </c>
      <c r="J419" s="197">
        <v>990</v>
      </c>
      <c r="K419" s="197">
        <v>0</v>
      </c>
      <c r="L419" s="205">
        <v>990</v>
      </c>
      <c r="M419" s="198">
        <v>0</v>
      </c>
      <c r="N419" s="48" t="s">
        <v>1617</v>
      </c>
      <c r="O419" s="48" t="s">
        <v>1316</v>
      </c>
      <c r="P419" s="48" t="s">
        <v>25</v>
      </c>
      <c r="Q419" s="38" t="s">
        <v>1766</v>
      </c>
      <c r="R419" s="38" t="s">
        <v>364</v>
      </c>
      <c r="S419" s="38" t="s">
        <v>722</v>
      </c>
      <c r="T419" s="114" t="s">
        <v>1617</v>
      </c>
      <c r="U419" s="38"/>
      <c r="V419" s="130"/>
      <c r="W419" s="139" t="s">
        <v>2293</v>
      </c>
      <c r="Y419" s="50"/>
    </row>
    <row r="420" spans="1:25" customFormat="1" ht="14.4" customHeight="1" x14ac:dyDescent="0.3">
      <c r="A420" s="48">
        <f t="shared" si="18"/>
        <v>7</v>
      </c>
      <c r="B420" s="113">
        <v>46063</v>
      </c>
      <c r="C420" s="48" t="str">
        <f t="shared" si="19"/>
        <v>febrero</v>
      </c>
      <c r="D420" s="48" t="s">
        <v>2135</v>
      </c>
      <c r="E420" s="42" t="s">
        <v>477</v>
      </c>
      <c r="F420" s="47" t="s">
        <v>1770</v>
      </c>
      <c r="G420" s="38">
        <v>1</v>
      </c>
      <c r="H420" s="48" t="s">
        <v>2138</v>
      </c>
      <c r="I420" s="202">
        <v>990</v>
      </c>
      <c r="J420" s="197">
        <v>990</v>
      </c>
      <c r="K420" s="197">
        <v>0</v>
      </c>
      <c r="L420" s="205">
        <v>990</v>
      </c>
      <c r="M420" s="198">
        <v>0</v>
      </c>
      <c r="N420" s="48" t="s">
        <v>1617</v>
      </c>
      <c r="O420" s="48" t="s">
        <v>1328</v>
      </c>
      <c r="P420" s="48" t="s">
        <v>25</v>
      </c>
      <c r="Q420" s="38" t="s">
        <v>1766</v>
      </c>
      <c r="R420" s="38" t="s">
        <v>364</v>
      </c>
      <c r="S420" s="38" t="s">
        <v>722</v>
      </c>
      <c r="T420" s="114" t="s">
        <v>1617</v>
      </c>
      <c r="U420" s="38"/>
      <c r="V420" s="130"/>
      <c r="W420" s="139" t="s">
        <v>2295</v>
      </c>
      <c r="Y420" s="50"/>
    </row>
    <row r="421" spans="1:25" customFormat="1" ht="14.4" x14ac:dyDescent="0.3">
      <c r="A421" s="48">
        <f t="shared" si="18"/>
        <v>7</v>
      </c>
      <c r="B421" s="113">
        <v>46064</v>
      </c>
      <c r="C421" s="48" t="str">
        <f t="shared" si="19"/>
        <v>febrero</v>
      </c>
      <c r="D421" s="48" t="s">
        <v>2135</v>
      </c>
      <c r="E421" s="42" t="s">
        <v>356</v>
      </c>
      <c r="F421" s="47" t="s">
        <v>127</v>
      </c>
      <c r="G421" s="48">
        <v>44.587000000000003</v>
      </c>
      <c r="H421" s="48" t="s">
        <v>2017</v>
      </c>
      <c r="I421" s="197">
        <v>20.681000000000001</v>
      </c>
      <c r="J421" s="197">
        <v>922.10374700000011</v>
      </c>
      <c r="K421" s="197">
        <v>147.53659952000001</v>
      </c>
      <c r="L421" s="197">
        <v>1069.6403465200001</v>
      </c>
      <c r="M421" s="198">
        <v>0</v>
      </c>
      <c r="N421" s="48" t="s">
        <v>1617</v>
      </c>
      <c r="O421" s="48" t="s">
        <v>257</v>
      </c>
      <c r="P421" s="48" t="s">
        <v>25</v>
      </c>
      <c r="Q421" s="48" t="s">
        <v>1863</v>
      </c>
      <c r="R421" s="48" t="s">
        <v>2727</v>
      </c>
      <c r="S421" s="48" t="s">
        <v>1857</v>
      </c>
      <c r="T421" s="114" t="s">
        <v>2025</v>
      </c>
      <c r="U421" s="48"/>
      <c r="V421" s="39"/>
      <c r="W421" s="41" t="s">
        <v>1762</v>
      </c>
      <c r="X421" s="50" t="s">
        <v>2257</v>
      </c>
      <c r="Y421" s="50"/>
    </row>
    <row r="422" spans="1:25" customFormat="1" ht="14.4" x14ac:dyDescent="0.3">
      <c r="A422" s="48">
        <f t="shared" si="18"/>
        <v>7</v>
      </c>
      <c r="B422" s="113">
        <v>46064</v>
      </c>
      <c r="C422" s="48" t="str">
        <f t="shared" si="19"/>
        <v>febrero</v>
      </c>
      <c r="D422" s="48" t="s">
        <v>2135</v>
      </c>
      <c r="E422" s="42" t="s">
        <v>2728</v>
      </c>
      <c r="F422" s="47" t="s">
        <v>95</v>
      </c>
      <c r="G422" s="48">
        <v>1</v>
      </c>
      <c r="H422" s="48" t="s">
        <v>1705</v>
      </c>
      <c r="I422" s="197">
        <v>68.97</v>
      </c>
      <c r="J422" s="197">
        <v>68.97</v>
      </c>
      <c r="K422" s="197">
        <v>11.0352</v>
      </c>
      <c r="L422" s="197">
        <v>80.005200000000002</v>
      </c>
      <c r="M422" s="198">
        <v>0</v>
      </c>
      <c r="N422" s="48" t="s">
        <v>1617</v>
      </c>
      <c r="O422" s="48" t="s">
        <v>100</v>
      </c>
      <c r="P422" s="48" t="s">
        <v>25</v>
      </c>
      <c r="Q422" s="48" t="s">
        <v>535</v>
      </c>
      <c r="R422" s="48" t="s">
        <v>2726</v>
      </c>
      <c r="S422" s="48" t="s">
        <v>1713</v>
      </c>
      <c r="T422" s="114" t="s">
        <v>2168</v>
      </c>
      <c r="U422" s="48"/>
      <c r="V422" s="39"/>
      <c r="W422" s="120" t="s">
        <v>1762</v>
      </c>
      <c r="X422" s="50" t="s">
        <v>2259</v>
      </c>
      <c r="Y422" s="50"/>
    </row>
    <row r="423" spans="1:25" customFormat="1" ht="14.4" x14ac:dyDescent="0.3">
      <c r="A423" s="48">
        <f t="shared" si="18"/>
        <v>7</v>
      </c>
      <c r="B423" s="113">
        <v>46064</v>
      </c>
      <c r="C423" s="48" t="str">
        <f t="shared" si="19"/>
        <v>febrero</v>
      </c>
      <c r="D423" s="48" t="s">
        <v>2135</v>
      </c>
      <c r="E423" s="42" t="s">
        <v>2728</v>
      </c>
      <c r="F423" s="47" t="s">
        <v>92</v>
      </c>
      <c r="G423" s="48">
        <v>1</v>
      </c>
      <c r="H423" s="48" t="s">
        <v>1705</v>
      </c>
      <c r="I423" s="197">
        <v>60.97</v>
      </c>
      <c r="J423" s="197">
        <v>60.97</v>
      </c>
      <c r="K423" s="197">
        <v>9.7552000000000003</v>
      </c>
      <c r="L423" s="201">
        <v>70.725200000000001</v>
      </c>
      <c r="M423" s="198">
        <v>0</v>
      </c>
      <c r="N423" s="48" t="s">
        <v>1617</v>
      </c>
      <c r="O423" s="48" t="s">
        <v>100</v>
      </c>
      <c r="P423" s="48" t="s">
        <v>25</v>
      </c>
      <c r="Q423" s="48" t="s">
        <v>535</v>
      </c>
      <c r="R423" s="48" t="s">
        <v>2726</v>
      </c>
      <c r="S423" s="48" t="s">
        <v>1665</v>
      </c>
      <c r="T423" s="114" t="s">
        <v>1617</v>
      </c>
      <c r="U423" s="48"/>
      <c r="V423" s="39"/>
      <c r="W423" s="41" t="s">
        <v>1762</v>
      </c>
      <c r="X423" s="50" t="s">
        <v>2260</v>
      </c>
      <c r="Y423" s="50"/>
    </row>
    <row r="424" spans="1:25" customFormat="1" ht="14.4" x14ac:dyDescent="0.3">
      <c r="A424" s="48">
        <f t="shared" si="18"/>
        <v>7</v>
      </c>
      <c r="B424" s="113">
        <v>46064</v>
      </c>
      <c r="C424" s="48" t="str">
        <f t="shared" si="19"/>
        <v>febrero</v>
      </c>
      <c r="D424" s="48" t="s">
        <v>2135</v>
      </c>
      <c r="E424" s="42" t="s">
        <v>2728</v>
      </c>
      <c r="F424" s="47" t="s">
        <v>703</v>
      </c>
      <c r="G424" s="48">
        <v>1</v>
      </c>
      <c r="H424" s="48" t="s">
        <v>1705</v>
      </c>
      <c r="I424" s="197">
        <v>470.56</v>
      </c>
      <c r="J424" s="197">
        <v>470.56</v>
      </c>
      <c r="K424" s="197">
        <v>75.289600000000007</v>
      </c>
      <c r="L424" s="201">
        <v>545.84960000000001</v>
      </c>
      <c r="M424" s="198">
        <v>0</v>
      </c>
      <c r="N424" s="48" t="s">
        <v>1617</v>
      </c>
      <c r="O424" s="48" t="s">
        <v>100</v>
      </c>
      <c r="P424" s="48" t="s">
        <v>25</v>
      </c>
      <c r="Q424" s="48" t="s">
        <v>535</v>
      </c>
      <c r="R424" s="48" t="s">
        <v>2726</v>
      </c>
      <c r="S424" s="48" t="s">
        <v>1665</v>
      </c>
      <c r="T424" s="114" t="s">
        <v>1617</v>
      </c>
      <c r="V424" s="39"/>
      <c r="W424" s="41" t="s">
        <v>1762</v>
      </c>
      <c r="X424" s="50" t="s">
        <v>2260</v>
      </c>
      <c r="Y424" s="50"/>
    </row>
    <row r="425" spans="1:25" customFormat="1" ht="14.4" x14ac:dyDescent="0.3">
      <c r="A425" s="48">
        <f t="shared" ref="A425:A497" si="20">WEEKNUM(B425)</f>
        <v>7</v>
      </c>
      <c r="B425" s="113">
        <v>46064</v>
      </c>
      <c r="C425" s="48" t="str">
        <f t="shared" si="19"/>
        <v>febrero</v>
      </c>
      <c r="D425" s="48" t="s">
        <v>2135</v>
      </c>
      <c r="E425" s="42" t="s">
        <v>2728</v>
      </c>
      <c r="F425" s="47" t="s">
        <v>2188</v>
      </c>
      <c r="G425" s="48">
        <v>4</v>
      </c>
      <c r="H425" s="48" t="s">
        <v>1705</v>
      </c>
      <c r="I425" s="197">
        <v>120.19</v>
      </c>
      <c r="J425" s="197">
        <v>480.76</v>
      </c>
      <c r="K425" s="197">
        <v>76.921599999999998</v>
      </c>
      <c r="L425" s="201">
        <v>557.6816</v>
      </c>
      <c r="M425" s="198">
        <v>0</v>
      </c>
      <c r="N425" s="48" t="s">
        <v>1617</v>
      </c>
      <c r="O425" s="48" t="s">
        <v>100</v>
      </c>
      <c r="P425" s="48" t="s">
        <v>25</v>
      </c>
      <c r="Q425" s="48" t="s">
        <v>535</v>
      </c>
      <c r="R425" s="48" t="s">
        <v>2726</v>
      </c>
      <c r="S425" s="48" t="s">
        <v>1665</v>
      </c>
      <c r="T425" s="114" t="s">
        <v>1638</v>
      </c>
      <c r="U425" s="48" t="s">
        <v>2300</v>
      </c>
      <c r="V425" s="39"/>
      <c r="W425" s="41" t="s">
        <v>1762</v>
      </c>
      <c r="X425" s="50" t="s">
        <v>2260</v>
      </c>
      <c r="Y425" s="50"/>
    </row>
    <row r="426" spans="1:25" customFormat="1" ht="14.4" x14ac:dyDescent="0.3">
      <c r="A426" s="48">
        <f t="shared" si="20"/>
        <v>7</v>
      </c>
      <c r="B426" s="113">
        <v>46064</v>
      </c>
      <c r="C426" s="48" t="str">
        <f t="shared" si="19"/>
        <v>febrero</v>
      </c>
      <c r="D426" s="48" t="s">
        <v>2135</v>
      </c>
      <c r="E426" s="42" t="s">
        <v>2728</v>
      </c>
      <c r="F426" s="47" t="s">
        <v>2301</v>
      </c>
      <c r="G426" s="48">
        <v>1</v>
      </c>
      <c r="H426" s="48" t="s">
        <v>1705</v>
      </c>
      <c r="I426" s="197">
        <v>2978.45</v>
      </c>
      <c r="J426" s="197">
        <v>2978.45</v>
      </c>
      <c r="K426" s="197">
        <v>476.55199999999996</v>
      </c>
      <c r="L426" s="200">
        <v>3455.002</v>
      </c>
      <c r="M426" s="198">
        <v>0</v>
      </c>
      <c r="N426" s="48" t="s">
        <v>1617</v>
      </c>
      <c r="O426" s="48" t="s">
        <v>1829</v>
      </c>
      <c r="P426" s="48" t="s">
        <v>25</v>
      </c>
      <c r="Q426" s="48" t="s">
        <v>241</v>
      </c>
      <c r="R426" s="48" t="s">
        <v>2726</v>
      </c>
      <c r="S426" s="48" t="s">
        <v>574</v>
      </c>
      <c r="T426" s="114" t="s">
        <v>1701</v>
      </c>
      <c r="U426" s="48"/>
      <c r="V426" s="130"/>
      <c r="W426" s="41" t="s">
        <v>1762</v>
      </c>
      <c r="X426" s="50" t="s">
        <v>2263</v>
      </c>
      <c r="Y426" s="50"/>
    </row>
    <row r="427" spans="1:25" customFormat="1" ht="14.4" customHeight="1" x14ac:dyDescent="0.3">
      <c r="A427" s="48">
        <f t="shared" si="20"/>
        <v>7</v>
      </c>
      <c r="B427" s="113">
        <v>46064</v>
      </c>
      <c r="C427" s="48" t="str">
        <f t="shared" si="19"/>
        <v>febrero</v>
      </c>
      <c r="D427" s="48" t="s">
        <v>2135</v>
      </c>
      <c r="E427" s="42" t="s">
        <v>2728</v>
      </c>
      <c r="F427" s="47" t="s">
        <v>2302</v>
      </c>
      <c r="G427" s="48">
        <v>1</v>
      </c>
      <c r="H427" s="48" t="s">
        <v>1705</v>
      </c>
      <c r="I427" s="197">
        <v>0</v>
      </c>
      <c r="J427" s="197">
        <v>0</v>
      </c>
      <c r="K427" s="197">
        <v>0</v>
      </c>
      <c r="L427" s="200">
        <v>0</v>
      </c>
      <c r="M427" s="198">
        <v>0</v>
      </c>
      <c r="N427" s="48" t="s">
        <v>1617</v>
      </c>
      <c r="O427" s="48" t="s">
        <v>1829</v>
      </c>
      <c r="P427" s="48" t="s">
        <v>25</v>
      </c>
      <c r="Q427" s="48" t="s">
        <v>241</v>
      </c>
      <c r="R427" s="48" t="s">
        <v>2726</v>
      </c>
      <c r="S427" s="48" t="s">
        <v>574</v>
      </c>
      <c r="T427" s="114" t="s">
        <v>1701</v>
      </c>
      <c r="U427" s="48" t="s">
        <v>2303</v>
      </c>
      <c r="V427" s="39" t="s">
        <v>2304</v>
      </c>
      <c r="W427" s="41" t="s">
        <v>1762</v>
      </c>
      <c r="X427" s="50" t="s">
        <v>2263</v>
      </c>
      <c r="Y427" s="50"/>
    </row>
    <row r="428" spans="1:25" customFormat="1" ht="14.4" customHeight="1" x14ac:dyDescent="0.3">
      <c r="A428" s="48">
        <f t="shared" si="20"/>
        <v>7</v>
      </c>
      <c r="B428" s="113">
        <v>46064</v>
      </c>
      <c r="C428" s="48" t="str">
        <f t="shared" si="19"/>
        <v>febrero</v>
      </c>
      <c r="D428" s="48" t="s">
        <v>2135</v>
      </c>
      <c r="E428" s="42" t="s">
        <v>118</v>
      </c>
      <c r="F428" s="47" t="s">
        <v>2155</v>
      </c>
      <c r="G428" s="38">
        <v>1</v>
      </c>
      <c r="H428" s="48" t="s">
        <v>1705</v>
      </c>
      <c r="I428" s="197">
        <v>602.59</v>
      </c>
      <c r="J428" s="197">
        <v>602.59</v>
      </c>
      <c r="K428" s="197">
        <v>96.414400000000001</v>
      </c>
      <c r="L428" s="206">
        <v>699.00440000000003</v>
      </c>
      <c r="M428" s="198">
        <v>0</v>
      </c>
      <c r="N428" s="48" t="s">
        <v>1617</v>
      </c>
      <c r="O428" s="48" t="s">
        <v>118</v>
      </c>
      <c r="P428" s="48" t="s">
        <v>2734</v>
      </c>
      <c r="Q428" s="38" t="s">
        <v>1766</v>
      </c>
      <c r="R428" s="48" t="s">
        <v>369</v>
      </c>
      <c r="S428" s="38" t="s">
        <v>2156</v>
      </c>
      <c r="T428" s="115"/>
      <c r="U428" s="38" t="s">
        <v>2157</v>
      </c>
      <c r="W428" s="121" t="s">
        <v>2305</v>
      </c>
      <c r="X428" t="s">
        <v>2306</v>
      </c>
    </row>
    <row r="429" spans="1:25" customFormat="1" ht="14.4" customHeight="1" x14ac:dyDescent="0.3">
      <c r="A429" s="48">
        <f t="shared" si="20"/>
        <v>7</v>
      </c>
      <c r="B429" s="113">
        <v>46064</v>
      </c>
      <c r="C429" s="48" t="str">
        <f t="shared" si="19"/>
        <v>febrero</v>
      </c>
      <c r="D429" s="48" t="s">
        <v>2135</v>
      </c>
      <c r="E429" s="50" t="s">
        <v>116</v>
      </c>
      <c r="F429" s="47" t="s">
        <v>2307</v>
      </c>
      <c r="G429" s="38">
        <v>2</v>
      </c>
      <c r="H429" s="48" t="s">
        <v>1705</v>
      </c>
      <c r="I429" s="197">
        <v>191.38</v>
      </c>
      <c r="J429" s="197">
        <v>382.76</v>
      </c>
      <c r="K429" s="197">
        <v>61.241599999999998</v>
      </c>
      <c r="L429" s="206">
        <v>444.0016</v>
      </c>
      <c r="M429" s="198">
        <v>0</v>
      </c>
      <c r="N429" s="48" t="s">
        <v>1617</v>
      </c>
      <c r="O429" s="48" t="s">
        <v>116</v>
      </c>
      <c r="P429" s="48" t="s">
        <v>2734</v>
      </c>
      <c r="Q429" s="38" t="s">
        <v>1766</v>
      </c>
      <c r="R429" s="48" t="s">
        <v>369</v>
      </c>
      <c r="S429" s="38" t="s">
        <v>2308</v>
      </c>
      <c r="T429" s="115"/>
      <c r="U429" s="38" t="s">
        <v>2157</v>
      </c>
      <c r="W429" s="121" t="s">
        <v>2309</v>
      </c>
      <c r="X429" t="s">
        <v>2306</v>
      </c>
    </row>
    <row r="430" spans="1:25" customFormat="1" ht="14.4" customHeight="1" x14ac:dyDescent="0.3">
      <c r="A430" s="48">
        <f t="shared" si="20"/>
        <v>7</v>
      </c>
      <c r="B430" s="195">
        <v>46064</v>
      </c>
      <c r="C430" s="48" t="str">
        <f t="shared" si="19"/>
        <v>febrero</v>
      </c>
      <c r="D430" s="48" t="s">
        <v>2135</v>
      </c>
      <c r="E430" s="50" t="s">
        <v>850</v>
      </c>
      <c r="F430" s="209" t="s">
        <v>2937</v>
      </c>
      <c r="G430" s="199">
        <v>1</v>
      </c>
      <c r="H430" s="48" t="s">
        <v>2138</v>
      </c>
      <c r="I430" s="197">
        <v>32752.931034482761</v>
      </c>
      <c r="J430" s="197">
        <v>32752.931034482761</v>
      </c>
      <c r="K430" s="197">
        <v>5240.4689655172415</v>
      </c>
      <c r="L430" s="202">
        <v>37993.4</v>
      </c>
      <c r="M430" s="198">
        <v>0</v>
      </c>
      <c r="N430" s="50"/>
      <c r="O430" s="48" t="s">
        <v>2005</v>
      </c>
      <c r="P430" s="49" t="s">
        <v>25</v>
      </c>
      <c r="Q430" s="199" t="s">
        <v>1766</v>
      </c>
      <c r="R430" s="48" t="s">
        <v>2735</v>
      </c>
      <c r="S430" s="50" t="s">
        <v>669</v>
      </c>
      <c r="T430" s="50"/>
      <c r="U430" s="50"/>
      <c r="V430" s="196"/>
      <c r="W430" s="50"/>
      <c r="X430" s="50"/>
      <c r="Y430" s="50"/>
    </row>
    <row r="431" spans="1:25" customFormat="1" ht="14.4" customHeight="1" x14ac:dyDescent="0.3">
      <c r="A431" s="48">
        <f t="shared" si="20"/>
        <v>7</v>
      </c>
      <c r="B431" s="113">
        <v>46065</v>
      </c>
      <c r="C431" s="48" t="str">
        <f t="shared" si="19"/>
        <v>febrero</v>
      </c>
      <c r="D431" s="48" t="s">
        <v>2135</v>
      </c>
      <c r="E431" s="42" t="s">
        <v>2728</v>
      </c>
      <c r="F431" s="47" t="s">
        <v>90</v>
      </c>
      <c r="G431" s="48">
        <v>4</v>
      </c>
      <c r="H431" s="48" t="s">
        <v>1705</v>
      </c>
      <c r="I431" s="197">
        <v>193.96549999999999</v>
      </c>
      <c r="J431" s="197">
        <v>775.86199999999997</v>
      </c>
      <c r="K431" s="197">
        <v>124.13791999999999</v>
      </c>
      <c r="L431" s="197">
        <v>899.99991999999997</v>
      </c>
      <c r="M431" s="198">
        <v>0</v>
      </c>
      <c r="N431" s="48" t="s">
        <v>1617</v>
      </c>
      <c r="O431" s="48" t="s">
        <v>150</v>
      </c>
      <c r="P431" s="48" t="s">
        <v>25</v>
      </c>
      <c r="Q431" s="48" t="s">
        <v>535</v>
      </c>
      <c r="R431" s="48" t="s">
        <v>2726</v>
      </c>
      <c r="S431" s="48" t="s">
        <v>1836</v>
      </c>
      <c r="T431" s="114" t="s">
        <v>1617</v>
      </c>
      <c r="U431" s="48"/>
      <c r="V431" s="39"/>
      <c r="W431" s="119" t="s">
        <v>2036</v>
      </c>
      <c r="X431" s="50" t="s">
        <v>2264</v>
      </c>
      <c r="Y431" s="50"/>
    </row>
    <row r="432" spans="1:25" customFormat="1" ht="14.4" x14ac:dyDescent="0.3">
      <c r="A432" s="48">
        <f t="shared" si="20"/>
        <v>7</v>
      </c>
      <c r="B432" s="113">
        <v>46065</v>
      </c>
      <c r="C432" s="48" t="str">
        <f t="shared" si="19"/>
        <v>febrero</v>
      </c>
      <c r="D432" s="48" t="s">
        <v>2135</v>
      </c>
      <c r="E432" s="42" t="s">
        <v>2728</v>
      </c>
      <c r="F432" s="47" t="s">
        <v>95</v>
      </c>
      <c r="G432" s="48">
        <v>1</v>
      </c>
      <c r="H432" s="48" t="s">
        <v>1705</v>
      </c>
      <c r="I432" s="197">
        <v>37.18</v>
      </c>
      <c r="J432" s="197">
        <v>37.18</v>
      </c>
      <c r="K432" s="197">
        <v>5.9488000000000003</v>
      </c>
      <c r="L432" s="201">
        <v>43.128799999999998</v>
      </c>
      <c r="M432" s="198">
        <v>0</v>
      </c>
      <c r="N432" s="48" t="s">
        <v>1617</v>
      </c>
      <c r="O432" s="48" t="s">
        <v>150</v>
      </c>
      <c r="P432" s="48" t="s">
        <v>25</v>
      </c>
      <c r="Q432" s="48" t="s">
        <v>535</v>
      </c>
      <c r="R432" s="48" t="s">
        <v>2726</v>
      </c>
      <c r="S432" s="48" t="s">
        <v>1665</v>
      </c>
      <c r="T432" s="114" t="s">
        <v>1617</v>
      </c>
      <c r="U432" s="48"/>
      <c r="V432" s="131" t="s">
        <v>2018</v>
      </c>
      <c r="W432" s="119" t="s">
        <v>1833</v>
      </c>
      <c r="X432" s="50" t="s">
        <v>2265</v>
      </c>
      <c r="Y432" s="50"/>
    </row>
    <row r="433" spans="1:25" customFormat="1" ht="14.4" x14ac:dyDescent="0.3">
      <c r="A433" s="48">
        <f t="shared" si="20"/>
        <v>7</v>
      </c>
      <c r="B433" s="113">
        <v>46065</v>
      </c>
      <c r="C433" s="48" t="str">
        <f t="shared" si="19"/>
        <v>febrero</v>
      </c>
      <c r="D433" s="48" t="s">
        <v>2135</v>
      </c>
      <c r="E433" s="42" t="s">
        <v>2728</v>
      </c>
      <c r="F433" s="47" t="s">
        <v>2240</v>
      </c>
      <c r="G433" s="48">
        <v>1</v>
      </c>
      <c r="H433" s="48" t="s">
        <v>1705</v>
      </c>
      <c r="I433" s="197">
        <v>60.97</v>
      </c>
      <c r="J433" s="197">
        <v>60.97</v>
      </c>
      <c r="K433" s="197">
        <v>9.7552000000000003</v>
      </c>
      <c r="L433" s="201">
        <v>70.725200000000001</v>
      </c>
      <c r="M433" s="198">
        <v>0</v>
      </c>
      <c r="N433" s="48" t="s">
        <v>1617</v>
      </c>
      <c r="O433" s="48" t="s">
        <v>150</v>
      </c>
      <c r="P433" s="48" t="s">
        <v>25</v>
      </c>
      <c r="Q433" s="48" t="s">
        <v>535</v>
      </c>
      <c r="R433" s="48" t="s">
        <v>2726</v>
      </c>
      <c r="S433" s="48" t="s">
        <v>1665</v>
      </c>
      <c r="T433" s="114" t="s">
        <v>1617</v>
      </c>
      <c r="U433" s="48"/>
      <c r="V433" s="131" t="s">
        <v>2018</v>
      </c>
      <c r="W433" s="119" t="s">
        <v>1833</v>
      </c>
      <c r="X433" s="50" t="s">
        <v>2265</v>
      </c>
      <c r="Y433" s="50"/>
    </row>
    <row r="434" spans="1:25" customFormat="1" ht="14.4" customHeight="1" x14ac:dyDescent="0.3">
      <c r="A434" s="48">
        <f t="shared" si="20"/>
        <v>7</v>
      </c>
      <c r="B434" s="113">
        <v>46065</v>
      </c>
      <c r="C434" s="48" t="str">
        <f t="shared" si="19"/>
        <v>febrero</v>
      </c>
      <c r="D434" s="48" t="s">
        <v>2135</v>
      </c>
      <c r="E434" s="42" t="s">
        <v>2728</v>
      </c>
      <c r="F434" s="47" t="s">
        <v>2204</v>
      </c>
      <c r="G434" s="48">
        <v>1</v>
      </c>
      <c r="H434" s="48" t="s">
        <v>1705</v>
      </c>
      <c r="I434" s="197">
        <v>470.56</v>
      </c>
      <c r="J434" s="197">
        <v>470.56</v>
      </c>
      <c r="K434" s="197">
        <v>75.289600000000007</v>
      </c>
      <c r="L434" s="201">
        <v>545.84960000000001</v>
      </c>
      <c r="M434" s="198">
        <v>0</v>
      </c>
      <c r="N434" s="48" t="s">
        <v>1617</v>
      </c>
      <c r="O434" s="48" t="s">
        <v>150</v>
      </c>
      <c r="P434" s="48" t="s">
        <v>25</v>
      </c>
      <c r="Q434" s="48" t="s">
        <v>535</v>
      </c>
      <c r="R434" s="48" t="s">
        <v>2726</v>
      </c>
      <c r="S434" s="48" t="s">
        <v>1665</v>
      </c>
      <c r="T434" s="114" t="s">
        <v>1617</v>
      </c>
      <c r="U434" s="48"/>
      <c r="V434" s="131" t="s">
        <v>2018</v>
      </c>
      <c r="W434" s="119" t="s">
        <v>1833</v>
      </c>
      <c r="X434" s="50" t="s">
        <v>2265</v>
      </c>
      <c r="Y434" s="50"/>
    </row>
    <row r="435" spans="1:25" customFormat="1" ht="14.4" customHeight="1" x14ac:dyDescent="0.3">
      <c r="A435" s="48">
        <f t="shared" si="20"/>
        <v>7</v>
      </c>
      <c r="B435" s="113">
        <v>46065</v>
      </c>
      <c r="C435" s="48" t="str">
        <f t="shared" si="19"/>
        <v>febrero</v>
      </c>
      <c r="D435" s="48" t="s">
        <v>2135</v>
      </c>
      <c r="E435" s="42" t="s">
        <v>2728</v>
      </c>
      <c r="F435" s="47" t="s">
        <v>2214</v>
      </c>
      <c r="G435" s="48">
        <v>1</v>
      </c>
      <c r="H435" s="48" t="s">
        <v>2016</v>
      </c>
      <c r="I435" s="197">
        <v>405.33</v>
      </c>
      <c r="J435" s="197">
        <v>405.33</v>
      </c>
      <c r="K435" s="197">
        <v>64.852800000000002</v>
      </c>
      <c r="L435" s="201">
        <v>470.18279999999999</v>
      </c>
      <c r="M435" s="198">
        <v>0</v>
      </c>
      <c r="N435" s="48" t="s">
        <v>1617</v>
      </c>
      <c r="O435" s="48" t="s">
        <v>150</v>
      </c>
      <c r="P435" s="48" t="s">
        <v>25</v>
      </c>
      <c r="Q435" s="48" t="s">
        <v>535</v>
      </c>
      <c r="R435" s="48" t="s">
        <v>2726</v>
      </c>
      <c r="S435" s="48" t="s">
        <v>1665</v>
      </c>
      <c r="T435" s="114" t="s">
        <v>1617</v>
      </c>
      <c r="U435" s="48" t="s">
        <v>2313</v>
      </c>
      <c r="V435" s="131" t="s">
        <v>2018</v>
      </c>
      <c r="W435" s="119" t="s">
        <v>1833</v>
      </c>
      <c r="X435" s="50" t="s">
        <v>2265</v>
      </c>
      <c r="Y435" s="50"/>
    </row>
    <row r="436" spans="1:25" customFormat="1" ht="14.4" customHeight="1" x14ac:dyDescent="0.3">
      <c r="A436" s="48">
        <f t="shared" si="20"/>
        <v>7</v>
      </c>
      <c r="B436" s="113">
        <v>46065</v>
      </c>
      <c r="C436" s="48" t="str">
        <f t="shared" si="19"/>
        <v>febrero</v>
      </c>
      <c r="D436" s="48" t="s">
        <v>2135</v>
      </c>
      <c r="E436" s="42" t="s">
        <v>2728</v>
      </c>
      <c r="F436" s="47" t="s">
        <v>2314</v>
      </c>
      <c r="G436" s="48">
        <v>2</v>
      </c>
      <c r="H436" s="48" t="s">
        <v>1705</v>
      </c>
      <c r="I436" s="197">
        <v>100</v>
      </c>
      <c r="J436" s="197">
        <v>200</v>
      </c>
      <c r="K436" s="197">
        <v>0</v>
      </c>
      <c r="L436" s="197">
        <v>200</v>
      </c>
      <c r="M436" s="198">
        <v>0</v>
      </c>
      <c r="N436" s="48" t="s">
        <v>1617</v>
      </c>
      <c r="O436" s="48" t="s">
        <v>150</v>
      </c>
      <c r="P436" s="48" t="s">
        <v>25</v>
      </c>
      <c r="Q436" s="48" t="s">
        <v>535</v>
      </c>
      <c r="R436" s="48" t="s">
        <v>364</v>
      </c>
      <c r="S436" s="48" t="s">
        <v>2083</v>
      </c>
      <c r="T436" s="114" t="s">
        <v>1617</v>
      </c>
      <c r="U436" s="48" t="s">
        <v>2923</v>
      </c>
      <c r="V436" s="39" t="s">
        <v>1759</v>
      </c>
      <c r="W436" s="119" t="s">
        <v>1617</v>
      </c>
      <c r="X436" s="50" t="s">
        <v>2266</v>
      </c>
      <c r="Y436" s="50"/>
    </row>
    <row r="437" spans="1:25" customFormat="1" ht="14.4" customHeight="1" x14ac:dyDescent="0.3">
      <c r="A437" s="48">
        <f t="shared" si="20"/>
        <v>7</v>
      </c>
      <c r="B437" s="113">
        <v>46065</v>
      </c>
      <c r="C437" s="48" t="str">
        <f t="shared" si="19"/>
        <v>febrero</v>
      </c>
      <c r="D437" s="48" t="s">
        <v>2135</v>
      </c>
      <c r="E437" s="42" t="s">
        <v>2728</v>
      </c>
      <c r="F437" s="47" t="s">
        <v>2315</v>
      </c>
      <c r="G437" s="48">
        <v>10</v>
      </c>
      <c r="H437" s="48" t="s">
        <v>1705</v>
      </c>
      <c r="I437" s="197">
        <v>7</v>
      </c>
      <c r="J437" s="197">
        <v>70</v>
      </c>
      <c r="K437" s="197">
        <v>0</v>
      </c>
      <c r="L437" s="197">
        <v>70</v>
      </c>
      <c r="M437" s="198">
        <v>0</v>
      </c>
      <c r="N437" s="48" t="s">
        <v>1617</v>
      </c>
      <c r="O437" s="48" t="s">
        <v>150</v>
      </c>
      <c r="P437" s="48" t="s">
        <v>25</v>
      </c>
      <c r="Q437" s="48" t="s">
        <v>535</v>
      </c>
      <c r="R437" s="48" t="s">
        <v>364</v>
      </c>
      <c r="S437" s="48" t="s">
        <v>601</v>
      </c>
      <c r="T437" s="114" t="s">
        <v>1617</v>
      </c>
      <c r="U437" s="48" t="s">
        <v>2923</v>
      </c>
      <c r="V437" s="39" t="s">
        <v>1759</v>
      </c>
      <c r="W437" s="119" t="s">
        <v>1617</v>
      </c>
      <c r="X437" s="50" t="s">
        <v>2268</v>
      </c>
      <c r="Y437" s="50"/>
    </row>
    <row r="438" spans="1:25" customFormat="1" ht="14.4" customHeight="1" x14ac:dyDescent="0.3">
      <c r="A438" s="48">
        <f t="shared" si="20"/>
        <v>7</v>
      </c>
      <c r="B438" s="113">
        <v>46065</v>
      </c>
      <c r="C438" s="48" t="str">
        <f t="shared" si="19"/>
        <v>febrero</v>
      </c>
      <c r="D438" s="48" t="s">
        <v>2135</v>
      </c>
      <c r="E438" s="42" t="s">
        <v>2728</v>
      </c>
      <c r="F438" s="47" t="s">
        <v>2938</v>
      </c>
      <c r="G438" s="48">
        <v>1</v>
      </c>
      <c r="H438" s="48" t="s">
        <v>2016</v>
      </c>
      <c r="I438" s="197">
        <v>1120.69</v>
      </c>
      <c r="J438" s="197">
        <v>1120.69</v>
      </c>
      <c r="K438" s="197">
        <v>179.31040000000002</v>
      </c>
      <c r="L438" s="197">
        <v>1300.0004000000001</v>
      </c>
      <c r="M438" s="198">
        <v>0</v>
      </c>
      <c r="N438" s="48" t="s">
        <v>1617</v>
      </c>
      <c r="O438" s="48" t="s">
        <v>150</v>
      </c>
      <c r="P438" s="48" t="s">
        <v>25</v>
      </c>
      <c r="Q438" s="48" t="s">
        <v>535</v>
      </c>
      <c r="R438" s="48" t="s">
        <v>2726</v>
      </c>
      <c r="S438" s="48" t="s">
        <v>1837</v>
      </c>
      <c r="T438" s="114" t="s">
        <v>1617</v>
      </c>
      <c r="U438" s="48"/>
      <c r="V438" s="39"/>
      <c r="W438" s="41" t="s">
        <v>1762</v>
      </c>
      <c r="X438" s="50" t="s">
        <v>2270</v>
      </c>
      <c r="Y438" s="50"/>
    </row>
    <row r="439" spans="1:25" customFormat="1" ht="14.4" customHeight="1" x14ac:dyDescent="0.3">
      <c r="A439" s="48">
        <f t="shared" si="20"/>
        <v>7</v>
      </c>
      <c r="B439" s="113">
        <v>46065</v>
      </c>
      <c r="C439" s="48" t="str">
        <f t="shared" si="19"/>
        <v>febrero</v>
      </c>
      <c r="D439" s="48" t="s">
        <v>2135</v>
      </c>
      <c r="E439" s="42" t="s">
        <v>2728</v>
      </c>
      <c r="F439" s="47" t="s">
        <v>2939</v>
      </c>
      <c r="G439" s="48">
        <v>13</v>
      </c>
      <c r="H439" s="48" t="s">
        <v>1705</v>
      </c>
      <c r="I439" s="197">
        <v>6.8970000000000002</v>
      </c>
      <c r="J439" s="197">
        <v>89.661000000000001</v>
      </c>
      <c r="K439" s="197">
        <v>14.34576</v>
      </c>
      <c r="L439" s="197">
        <v>104.00676</v>
      </c>
      <c r="M439" s="198">
        <v>0</v>
      </c>
      <c r="N439" s="48" t="s">
        <v>1617</v>
      </c>
      <c r="O439" s="48" t="s">
        <v>150</v>
      </c>
      <c r="P439" s="48" t="s">
        <v>25</v>
      </c>
      <c r="Q439" s="48" t="s">
        <v>535</v>
      </c>
      <c r="R439" s="48" t="s">
        <v>2726</v>
      </c>
      <c r="S439" s="48" t="s">
        <v>1834</v>
      </c>
      <c r="T439" s="114" t="s">
        <v>1617</v>
      </c>
      <c r="U439" s="48" t="s">
        <v>1835</v>
      </c>
      <c r="V439" s="39"/>
      <c r="W439" s="119" t="s">
        <v>1617</v>
      </c>
      <c r="X439" s="50" t="s">
        <v>2272</v>
      </c>
      <c r="Y439" s="50"/>
    </row>
    <row r="440" spans="1:25" customFormat="1" ht="14.4" customHeight="1" x14ac:dyDescent="0.3">
      <c r="A440" s="48">
        <f t="shared" si="20"/>
        <v>7</v>
      </c>
      <c r="B440" s="113">
        <v>46065</v>
      </c>
      <c r="C440" s="48" t="str">
        <f t="shared" si="19"/>
        <v>febrero</v>
      </c>
      <c r="D440" s="48" t="s">
        <v>2135</v>
      </c>
      <c r="E440" s="42" t="s">
        <v>2728</v>
      </c>
      <c r="F440" s="47" t="s">
        <v>90</v>
      </c>
      <c r="G440" s="48">
        <v>4</v>
      </c>
      <c r="H440" s="48" t="s">
        <v>1705</v>
      </c>
      <c r="I440" s="197">
        <v>211.20679999999999</v>
      </c>
      <c r="J440" s="197">
        <v>844.82719999999995</v>
      </c>
      <c r="K440" s="197">
        <v>135.17235199999999</v>
      </c>
      <c r="L440" s="200">
        <v>979.99955199999999</v>
      </c>
      <c r="M440" s="198">
        <v>0</v>
      </c>
      <c r="N440" s="48" t="s">
        <v>1617</v>
      </c>
      <c r="O440" s="48" t="s">
        <v>213</v>
      </c>
      <c r="P440" s="48" t="s">
        <v>39</v>
      </c>
      <c r="Q440" s="48" t="s">
        <v>241</v>
      </c>
      <c r="R440" s="48" t="s">
        <v>2735</v>
      </c>
      <c r="S440" s="48" t="s">
        <v>574</v>
      </c>
      <c r="T440" s="114" t="s">
        <v>1638</v>
      </c>
      <c r="U440" s="48" t="s">
        <v>2940</v>
      </c>
      <c r="V440" s="131" t="s">
        <v>2018</v>
      </c>
      <c r="W440" s="41" t="s">
        <v>1762</v>
      </c>
      <c r="X440" s="50" t="s">
        <v>2274</v>
      </c>
      <c r="Y440" s="50"/>
    </row>
    <row r="441" spans="1:25" customFormat="1" ht="14.4" customHeight="1" x14ac:dyDescent="0.3">
      <c r="A441" s="48">
        <f t="shared" si="20"/>
        <v>7</v>
      </c>
      <c r="B441" s="113">
        <v>46065</v>
      </c>
      <c r="C441" s="48" t="str">
        <f t="shared" si="19"/>
        <v>febrero</v>
      </c>
      <c r="D441" s="48" t="s">
        <v>2135</v>
      </c>
      <c r="E441" s="42" t="s">
        <v>2728</v>
      </c>
      <c r="F441" s="47" t="s">
        <v>2204</v>
      </c>
      <c r="G441" s="48">
        <v>1</v>
      </c>
      <c r="H441" s="48" t="s">
        <v>1705</v>
      </c>
      <c r="I441" s="197">
        <v>400</v>
      </c>
      <c r="J441" s="197">
        <v>400</v>
      </c>
      <c r="K441" s="197">
        <v>64</v>
      </c>
      <c r="L441" s="200">
        <v>464</v>
      </c>
      <c r="M441" s="198">
        <v>0</v>
      </c>
      <c r="N441" s="48" t="s">
        <v>1617</v>
      </c>
      <c r="O441" s="48" t="s">
        <v>213</v>
      </c>
      <c r="P441" s="48" t="s">
        <v>39</v>
      </c>
      <c r="Q441" s="48" t="s">
        <v>241</v>
      </c>
      <c r="R441" s="48" t="s">
        <v>2735</v>
      </c>
      <c r="S441" s="48" t="s">
        <v>574</v>
      </c>
      <c r="T441" s="114" t="s">
        <v>1617</v>
      </c>
      <c r="U441" s="48" t="s">
        <v>2940</v>
      </c>
      <c r="V441" s="131" t="s">
        <v>2018</v>
      </c>
      <c r="W441" s="41" t="s">
        <v>1762</v>
      </c>
      <c r="X441" s="50" t="s">
        <v>2274</v>
      </c>
      <c r="Y441" s="50"/>
    </row>
    <row r="442" spans="1:25" customFormat="1" ht="14.4" customHeight="1" x14ac:dyDescent="0.3">
      <c r="A442" s="48">
        <f t="shared" si="20"/>
        <v>7</v>
      </c>
      <c r="B442" s="113">
        <v>46065</v>
      </c>
      <c r="C442" s="48" t="str">
        <f t="shared" si="19"/>
        <v>febrero</v>
      </c>
      <c r="D442" s="48" t="s">
        <v>2135</v>
      </c>
      <c r="E442" s="42" t="s">
        <v>2728</v>
      </c>
      <c r="F442" s="47" t="s">
        <v>95</v>
      </c>
      <c r="G442" s="48">
        <v>1</v>
      </c>
      <c r="H442" s="48" t="s">
        <v>1705</v>
      </c>
      <c r="I442" s="197">
        <v>63.79</v>
      </c>
      <c r="J442" s="197">
        <v>63.79</v>
      </c>
      <c r="K442" s="197">
        <v>10.2064</v>
      </c>
      <c r="L442" s="200">
        <v>73.996399999999994</v>
      </c>
      <c r="M442" s="198">
        <v>0</v>
      </c>
      <c r="N442" s="48" t="s">
        <v>1617</v>
      </c>
      <c r="O442" s="48" t="s">
        <v>213</v>
      </c>
      <c r="P442" s="48" t="s">
        <v>39</v>
      </c>
      <c r="Q442" s="48" t="s">
        <v>241</v>
      </c>
      <c r="R442" s="48" t="s">
        <v>2735</v>
      </c>
      <c r="S442" s="48" t="s">
        <v>574</v>
      </c>
      <c r="T442" s="114" t="s">
        <v>1617</v>
      </c>
      <c r="U442" s="48" t="s">
        <v>2940</v>
      </c>
      <c r="V442" s="48" t="s">
        <v>2319</v>
      </c>
      <c r="W442" s="41" t="s">
        <v>1762</v>
      </c>
      <c r="X442" s="50" t="s">
        <v>2274</v>
      </c>
      <c r="Y442" s="50"/>
    </row>
    <row r="443" spans="1:25" customFormat="1" ht="14.4" customHeight="1" x14ac:dyDescent="0.3">
      <c r="A443" s="48">
        <f t="shared" si="20"/>
        <v>7</v>
      </c>
      <c r="B443" s="113">
        <v>46065</v>
      </c>
      <c r="C443" s="48" t="str">
        <f t="shared" si="19"/>
        <v>febrero</v>
      </c>
      <c r="D443" s="48" t="s">
        <v>2135</v>
      </c>
      <c r="E443" s="42" t="s">
        <v>422</v>
      </c>
      <c r="F443" s="47" t="s">
        <v>2136</v>
      </c>
      <c r="G443" s="48">
        <v>1</v>
      </c>
      <c r="H443" s="48" t="s">
        <v>1705</v>
      </c>
      <c r="I443" s="197">
        <v>1800</v>
      </c>
      <c r="J443" s="197">
        <f>+I443*G443</f>
        <v>1800</v>
      </c>
      <c r="K443" s="197">
        <v>0</v>
      </c>
      <c r="L443" s="197">
        <f>+J443</f>
        <v>1800</v>
      </c>
      <c r="M443" s="198">
        <v>0</v>
      </c>
      <c r="N443" s="48" t="s">
        <v>1617</v>
      </c>
      <c r="O443" s="48" t="s">
        <v>1359</v>
      </c>
      <c r="P443" s="48" t="s">
        <v>1321</v>
      </c>
      <c r="Q443" s="48" t="s">
        <v>1824</v>
      </c>
      <c r="R443" s="48" t="s">
        <v>369</v>
      </c>
      <c r="S443" s="48" t="s">
        <v>1618</v>
      </c>
      <c r="T443" s="114" t="s">
        <v>1617</v>
      </c>
      <c r="U443" s="48" t="s">
        <v>1759</v>
      </c>
      <c r="V443" s="39" t="s">
        <v>2320</v>
      </c>
      <c r="W443" s="41" t="s">
        <v>1617</v>
      </c>
    </row>
    <row r="444" spans="1:25" customFormat="1" ht="14.4" customHeight="1" x14ac:dyDescent="0.3">
      <c r="A444" s="48">
        <f t="shared" si="20"/>
        <v>7</v>
      </c>
      <c r="B444" s="113">
        <v>46065</v>
      </c>
      <c r="C444" s="48" t="str">
        <f t="shared" si="19"/>
        <v>febrero</v>
      </c>
      <c r="D444" s="48" t="s">
        <v>2135</v>
      </c>
      <c r="E444" s="42" t="s">
        <v>422</v>
      </c>
      <c r="F444" s="47" t="s">
        <v>2136</v>
      </c>
      <c r="G444" s="48">
        <v>1</v>
      </c>
      <c r="H444" s="48" t="s">
        <v>1705</v>
      </c>
      <c r="I444" s="197">
        <v>1800</v>
      </c>
      <c r="J444" s="197">
        <f t="shared" ref="J444:J452" si="21">+I444*G444</f>
        <v>1800</v>
      </c>
      <c r="K444" s="197">
        <v>0</v>
      </c>
      <c r="L444" s="197">
        <f t="shared" ref="L444:L452" si="22">+J444</f>
        <v>1800</v>
      </c>
      <c r="M444" s="198">
        <v>0</v>
      </c>
      <c r="N444" s="48" t="s">
        <v>1617</v>
      </c>
      <c r="O444" s="48" t="s">
        <v>2020</v>
      </c>
      <c r="P444" s="48" t="s">
        <v>1321</v>
      </c>
      <c r="Q444" s="48" t="s">
        <v>1824</v>
      </c>
      <c r="R444" s="48" t="s">
        <v>369</v>
      </c>
      <c r="S444" s="48" t="s">
        <v>1618</v>
      </c>
      <c r="T444" s="114" t="s">
        <v>1617</v>
      </c>
      <c r="U444" s="48" t="s">
        <v>1759</v>
      </c>
      <c r="V444" s="39" t="s">
        <v>2320</v>
      </c>
      <c r="W444" s="41" t="s">
        <v>1617</v>
      </c>
    </row>
    <row r="445" spans="1:25" customFormat="1" ht="14.4" customHeight="1" x14ac:dyDescent="0.3">
      <c r="A445" s="48">
        <f t="shared" si="20"/>
        <v>7</v>
      </c>
      <c r="B445" s="113">
        <v>46065</v>
      </c>
      <c r="C445" s="48" t="str">
        <f t="shared" si="19"/>
        <v>febrero</v>
      </c>
      <c r="D445" s="48" t="s">
        <v>2135</v>
      </c>
      <c r="E445" s="42" t="s">
        <v>422</v>
      </c>
      <c r="F445" s="47" t="s">
        <v>2136</v>
      </c>
      <c r="G445" s="48">
        <v>1</v>
      </c>
      <c r="H445" s="48" t="s">
        <v>1705</v>
      </c>
      <c r="I445" s="197">
        <v>1800</v>
      </c>
      <c r="J445" s="197">
        <f t="shared" si="21"/>
        <v>1800</v>
      </c>
      <c r="K445" s="197">
        <v>0</v>
      </c>
      <c r="L445" s="197">
        <f t="shared" si="22"/>
        <v>1800</v>
      </c>
      <c r="M445" s="198">
        <v>0</v>
      </c>
      <c r="N445" s="48" t="s">
        <v>1617</v>
      </c>
      <c r="O445" s="48" t="s">
        <v>1736</v>
      </c>
      <c r="P445" s="48" t="s">
        <v>1321</v>
      </c>
      <c r="Q445" s="48" t="s">
        <v>1824</v>
      </c>
      <c r="R445" s="48" t="s">
        <v>369</v>
      </c>
      <c r="S445" s="48" t="s">
        <v>1618</v>
      </c>
      <c r="T445" s="114" t="s">
        <v>1617</v>
      </c>
      <c r="U445" s="48" t="s">
        <v>1759</v>
      </c>
      <c r="V445" s="39" t="s">
        <v>2320</v>
      </c>
      <c r="W445" s="41" t="s">
        <v>1617</v>
      </c>
    </row>
    <row r="446" spans="1:25" customFormat="1" ht="14.4" customHeight="1" x14ac:dyDescent="0.3">
      <c r="A446" s="48">
        <f t="shared" si="20"/>
        <v>7</v>
      </c>
      <c r="B446" s="113">
        <v>46065</v>
      </c>
      <c r="C446" s="48" t="str">
        <f t="shared" si="19"/>
        <v>febrero</v>
      </c>
      <c r="D446" s="48" t="s">
        <v>2135</v>
      </c>
      <c r="E446" s="42" t="s">
        <v>422</v>
      </c>
      <c r="F446" s="47" t="s">
        <v>2136</v>
      </c>
      <c r="G446" s="48">
        <v>1</v>
      </c>
      <c r="H446" s="48" t="s">
        <v>1705</v>
      </c>
      <c r="I446" s="197">
        <v>1800</v>
      </c>
      <c r="J446" s="197">
        <f t="shared" si="21"/>
        <v>1800</v>
      </c>
      <c r="K446" s="197">
        <v>0</v>
      </c>
      <c r="L446" s="197">
        <f t="shared" si="22"/>
        <v>1800</v>
      </c>
      <c r="M446" s="198">
        <v>0</v>
      </c>
      <c r="N446" s="48" t="s">
        <v>1617</v>
      </c>
      <c r="O446" s="48" t="s">
        <v>2022</v>
      </c>
      <c r="P446" s="48" t="s">
        <v>1321</v>
      </c>
      <c r="Q446" s="48" t="s">
        <v>1824</v>
      </c>
      <c r="R446" s="48" t="s">
        <v>369</v>
      </c>
      <c r="S446" s="48" t="s">
        <v>1618</v>
      </c>
      <c r="T446" s="114" t="s">
        <v>1617</v>
      </c>
      <c r="U446" s="48" t="s">
        <v>1759</v>
      </c>
      <c r="V446" s="39" t="s">
        <v>2320</v>
      </c>
      <c r="W446" s="41" t="s">
        <v>1617</v>
      </c>
    </row>
    <row r="447" spans="1:25" customFormat="1" ht="14.4" customHeight="1" x14ac:dyDescent="0.3">
      <c r="A447" s="48">
        <f t="shared" si="20"/>
        <v>7</v>
      </c>
      <c r="B447" s="113">
        <v>46065</v>
      </c>
      <c r="C447" s="48" t="str">
        <f t="shared" si="19"/>
        <v>febrero</v>
      </c>
      <c r="D447" s="48" t="s">
        <v>2135</v>
      </c>
      <c r="E447" s="42" t="s">
        <v>422</v>
      </c>
      <c r="F447" s="47" t="s">
        <v>2136</v>
      </c>
      <c r="G447" s="48">
        <v>1</v>
      </c>
      <c r="H447" s="48" t="s">
        <v>1705</v>
      </c>
      <c r="I447" s="197">
        <v>1800</v>
      </c>
      <c r="J447" s="197">
        <f t="shared" si="21"/>
        <v>1800</v>
      </c>
      <c r="K447" s="197">
        <v>0</v>
      </c>
      <c r="L447" s="197">
        <f t="shared" si="22"/>
        <v>1800</v>
      </c>
      <c r="M447" s="198">
        <v>0</v>
      </c>
      <c r="N447" s="48" t="s">
        <v>1617</v>
      </c>
      <c r="O447" s="48" t="s">
        <v>1823</v>
      </c>
      <c r="P447" s="48" t="s">
        <v>1321</v>
      </c>
      <c r="Q447" s="48" t="s">
        <v>1824</v>
      </c>
      <c r="R447" s="48" t="s">
        <v>369</v>
      </c>
      <c r="S447" s="48" t="s">
        <v>1618</v>
      </c>
      <c r="T447" s="114" t="s">
        <v>1617</v>
      </c>
      <c r="U447" s="48" t="s">
        <v>1759</v>
      </c>
      <c r="V447" s="39" t="s">
        <v>2320</v>
      </c>
      <c r="W447" s="41" t="s">
        <v>1617</v>
      </c>
    </row>
    <row r="448" spans="1:25" customFormat="1" ht="14.4" customHeight="1" x14ac:dyDescent="0.3">
      <c r="A448" s="48">
        <f t="shared" si="20"/>
        <v>7</v>
      </c>
      <c r="B448" s="113">
        <v>46065</v>
      </c>
      <c r="C448" s="48" t="str">
        <f t="shared" si="19"/>
        <v>febrero</v>
      </c>
      <c r="D448" s="48" t="s">
        <v>2135</v>
      </c>
      <c r="E448" s="42" t="s">
        <v>422</v>
      </c>
      <c r="F448" s="47" t="s">
        <v>2136</v>
      </c>
      <c r="G448" s="48">
        <v>1</v>
      </c>
      <c r="H448" s="48" t="s">
        <v>1705</v>
      </c>
      <c r="I448" s="197">
        <v>1800</v>
      </c>
      <c r="J448" s="197">
        <f t="shared" si="21"/>
        <v>1800</v>
      </c>
      <c r="K448" s="197">
        <v>0</v>
      </c>
      <c r="L448" s="197">
        <f t="shared" si="22"/>
        <v>1800</v>
      </c>
      <c r="M448" s="198">
        <v>0</v>
      </c>
      <c r="N448" s="48" t="s">
        <v>1617</v>
      </c>
      <c r="O448" s="48" t="s">
        <v>1819</v>
      </c>
      <c r="P448" s="48" t="s">
        <v>1321</v>
      </c>
      <c r="Q448" s="48" t="s">
        <v>1824</v>
      </c>
      <c r="R448" s="48" t="s">
        <v>369</v>
      </c>
      <c r="S448" s="48" t="s">
        <v>1618</v>
      </c>
      <c r="T448" s="114" t="s">
        <v>1617</v>
      </c>
      <c r="U448" s="48" t="s">
        <v>1759</v>
      </c>
      <c r="V448" s="39" t="s">
        <v>2320</v>
      </c>
      <c r="W448" s="41" t="s">
        <v>1617</v>
      </c>
    </row>
    <row r="449" spans="1:25" customFormat="1" ht="14.4" customHeight="1" x14ac:dyDescent="0.3">
      <c r="A449" s="48">
        <f t="shared" si="20"/>
        <v>7</v>
      </c>
      <c r="B449" s="113">
        <v>46065</v>
      </c>
      <c r="C449" s="48" t="str">
        <f t="shared" si="19"/>
        <v>febrero</v>
      </c>
      <c r="D449" s="48" t="s">
        <v>2135</v>
      </c>
      <c r="E449" s="42" t="s">
        <v>422</v>
      </c>
      <c r="F449" s="47" t="s">
        <v>2136</v>
      </c>
      <c r="G449" s="48">
        <v>1</v>
      </c>
      <c r="H449" s="48" t="s">
        <v>1705</v>
      </c>
      <c r="I449" s="197">
        <v>1800</v>
      </c>
      <c r="J449" s="197">
        <f t="shared" si="21"/>
        <v>1800</v>
      </c>
      <c r="K449" s="197">
        <v>0</v>
      </c>
      <c r="L449" s="197">
        <f t="shared" si="22"/>
        <v>1800</v>
      </c>
      <c r="M449" s="198">
        <v>0</v>
      </c>
      <c r="N449" s="48" t="s">
        <v>1617</v>
      </c>
      <c r="O449" s="48" t="s">
        <v>2023</v>
      </c>
      <c r="P449" s="48" t="s">
        <v>1321</v>
      </c>
      <c r="Q449" s="48" t="s">
        <v>1824</v>
      </c>
      <c r="R449" s="48" t="s">
        <v>369</v>
      </c>
      <c r="S449" s="48" t="s">
        <v>1618</v>
      </c>
      <c r="T449" s="114" t="s">
        <v>1617</v>
      </c>
      <c r="U449" s="48" t="s">
        <v>1759</v>
      </c>
      <c r="V449" s="39" t="s">
        <v>2320</v>
      </c>
      <c r="W449" s="41" t="s">
        <v>1617</v>
      </c>
    </row>
    <row r="450" spans="1:25" customFormat="1" ht="14.4" customHeight="1" x14ac:dyDescent="0.3">
      <c r="A450" s="48">
        <f t="shared" si="20"/>
        <v>7</v>
      </c>
      <c r="B450" s="113">
        <v>46065</v>
      </c>
      <c r="C450" s="48" t="str">
        <f t="shared" si="19"/>
        <v>febrero</v>
      </c>
      <c r="D450" s="48" t="s">
        <v>2135</v>
      </c>
      <c r="E450" s="42" t="s">
        <v>422</v>
      </c>
      <c r="F450" s="47" t="s">
        <v>2136</v>
      </c>
      <c r="G450" s="48">
        <v>1</v>
      </c>
      <c r="H450" s="48" t="s">
        <v>1705</v>
      </c>
      <c r="I450" s="197">
        <v>1800</v>
      </c>
      <c r="J450" s="197">
        <f t="shared" si="21"/>
        <v>1800</v>
      </c>
      <c r="K450" s="197">
        <v>0</v>
      </c>
      <c r="L450" s="197">
        <f t="shared" si="22"/>
        <v>1800</v>
      </c>
      <c r="M450" s="198">
        <v>0</v>
      </c>
      <c r="N450" s="48" t="s">
        <v>1617</v>
      </c>
      <c r="O450" s="48" t="s">
        <v>2941</v>
      </c>
      <c r="P450" s="48" t="s">
        <v>25</v>
      </c>
      <c r="Q450" s="48" t="s">
        <v>1824</v>
      </c>
      <c r="R450" s="48" t="s">
        <v>369</v>
      </c>
      <c r="S450" s="48" t="s">
        <v>1618</v>
      </c>
      <c r="T450" s="114" t="s">
        <v>1617</v>
      </c>
      <c r="U450" s="48" t="s">
        <v>1759</v>
      </c>
      <c r="V450" s="39" t="s">
        <v>2320</v>
      </c>
      <c r="W450" s="41" t="s">
        <v>1617</v>
      </c>
    </row>
    <row r="451" spans="1:25" customFormat="1" ht="14.4" customHeight="1" x14ac:dyDescent="0.3">
      <c r="A451" s="48">
        <f t="shared" si="20"/>
        <v>7</v>
      </c>
      <c r="B451" s="113">
        <v>46065</v>
      </c>
      <c r="C451" s="48" t="str">
        <f t="shared" ref="C451:C514" si="23">TEXT(B451,"MMMM")</f>
        <v>febrero</v>
      </c>
      <c r="D451" s="48" t="s">
        <v>2135</v>
      </c>
      <c r="E451" s="42" t="s">
        <v>422</v>
      </c>
      <c r="F451" s="47" t="s">
        <v>2136</v>
      </c>
      <c r="G451" s="48">
        <v>1</v>
      </c>
      <c r="H451" s="48" t="s">
        <v>1705</v>
      </c>
      <c r="I451" s="197">
        <v>1800</v>
      </c>
      <c r="J451" s="197">
        <f t="shared" si="21"/>
        <v>1800</v>
      </c>
      <c r="K451" s="197">
        <v>0</v>
      </c>
      <c r="L451" s="197">
        <f t="shared" si="22"/>
        <v>1800</v>
      </c>
      <c r="M451" s="198">
        <v>0</v>
      </c>
      <c r="N451" s="48" t="s">
        <v>1617</v>
      </c>
      <c r="O451" s="48" t="s">
        <v>2027</v>
      </c>
      <c r="P451" s="48" t="s">
        <v>1321</v>
      </c>
      <c r="Q451" s="48" t="s">
        <v>1824</v>
      </c>
      <c r="R451" s="48" t="s">
        <v>369</v>
      </c>
      <c r="S451" s="48" t="s">
        <v>1618</v>
      </c>
      <c r="T451" s="114" t="s">
        <v>1617</v>
      </c>
      <c r="U451" s="48" t="s">
        <v>1759</v>
      </c>
      <c r="V451" s="39" t="s">
        <v>2320</v>
      </c>
      <c r="W451" s="41" t="s">
        <v>1617</v>
      </c>
    </row>
    <row r="452" spans="1:25" customFormat="1" ht="14.4" customHeight="1" x14ac:dyDescent="0.3">
      <c r="A452" s="48">
        <f t="shared" si="20"/>
        <v>7</v>
      </c>
      <c r="B452" s="113">
        <v>46065</v>
      </c>
      <c r="C452" s="48" t="str">
        <f t="shared" si="23"/>
        <v>febrero</v>
      </c>
      <c r="D452" s="48" t="s">
        <v>2135</v>
      </c>
      <c r="E452" s="42" t="s">
        <v>422</v>
      </c>
      <c r="F452" s="47" t="s">
        <v>2136</v>
      </c>
      <c r="G452" s="48">
        <v>1</v>
      </c>
      <c r="H452" s="48" t="s">
        <v>1705</v>
      </c>
      <c r="I452" s="197">
        <v>1800</v>
      </c>
      <c r="J452" s="197">
        <f t="shared" si="21"/>
        <v>1800</v>
      </c>
      <c r="K452" s="197">
        <v>0</v>
      </c>
      <c r="L452" s="197">
        <f t="shared" si="22"/>
        <v>1800</v>
      </c>
      <c r="M452" s="198">
        <v>0</v>
      </c>
      <c r="N452" s="48" t="s">
        <v>1617</v>
      </c>
      <c r="O452" s="48" t="s">
        <v>2942</v>
      </c>
      <c r="P452" s="48" t="s">
        <v>25</v>
      </c>
      <c r="Q452" s="48" t="s">
        <v>1824</v>
      </c>
      <c r="R452" s="48" t="s">
        <v>369</v>
      </c>
      <c r="S452" s="48" t="s">
        <v>1618</v>
      </c>
      <c r="T452" s="114" t="s">
        <v>1617</v>
      </c>
      <c r="U452" s="48" t="s">
        <v>1759</v>
      </c>
      <c r="V452" s="39" t="s">
        <v>2320</v>
      </c>
      <c r="W452" s="41" t="s">
        <v>1617</v>
      </c>
    </row>
    <row r="453" spans="1:25" customFormat="1" ht="14.4" customHeight="1" x14ac:dyDescent="0.3">
      <c r="A453" s="48">
        <f t="shared" si="20"/>
        <v>7</v>
      </c>
      <c r="B453" s="113">
        <v>46065</v>
      </c>
      <c r="C453" s="48" t="str">
        <f t="shared" si="23"/>
        <v>febrero</v>
      </c>
      <c r="D453" s="48" t="s">
        <v>2135</v>
      </c>
      <c r="E453" s="42" t="s">
        <v>2728</v>
      </c>
      <c r="F453" s="47" t="s">
        <v>168</v>
      </c>
      <c r="G453" s="48">
        <v>1</v>
      </c>
      <c r="H453" s="48" t="s">
        <v>1617</v>
      </c>
      <c r="I453" s="197">
        <v>1939.6557</v>
      </c>
      <c r="J453" s="197">
        <v>1939.6557</v>
      </c>
      <c r="K453" s="197">
        <v>310.34491200000002</v>
      </c>
      <c r="L453" s="201">
        <v>2250.0006119999998</v>
      </c>
      <c r="M453" s="198">
        <v>0</v>
      </c>
      <c r="N453" s="48" t="s">
        <v>1617</v>
      </c>
      <c r="O453" s="48" t="s">
        <v>1860</v>
      </c>
      <c r="P453" s="48" t="s">
        <v>25</v>
      </c>
      <c r="Q453" s="48" t="s">
        <v>241</v>
      </c>
      <c r="R453" s="48" t="s">
        <v>2726</v>
      </c>
      <c r="S453" s="48" t="s">
        <v>1861</v>
      </c>
      <c r="T453" s="114" t="s">
        <v>1666</v>
      </c>
      <c r="U453" s="48"/>
      <c r="V453" s="39"/>
      <c r="W453" s="41" t="s">
        <v>2943</v>
      </c>
      <c r="X453" s="50" t="s">
        <v>2279</v>
      </c>
      <c r="Y453" s="50"/>
    </row>
    <row r="454" spans="1:25" customFormat="1" ht="14.4" customHeight="1" x14ac:dyDescent="0.3">
      <c r="A454" s="48">
        <f t="shared" si="20"/>
        <v>7</v>
      </c>
      <c r="B454" s="113">
        <v>46065</v>
      </c>
      <c r="C454" s="48" t="str">
        <f t="shared" si="23"/>
        <v>febrero</v>
      </c>
      <c r="D454" s="48" t="s">
        <v>2135</v>
      </c>
      <c r="E454" s="42" t="s">
        <v>2728</v>
      </c>
      <c r="F454" s="47" t="s">
        <v>2323</v>
      </c>
      <c r="G454" s="48">
        <v>1</v>
      </c>
      <c r="H454" s="48" t="s">
        <v>1617</v>
      </c>
      <c r="I454" s="197">
        <v>215.5172</v>
      </c>
      <c r="J454" s="197">
        <v>215.5172</v>
      </c>
      <c r="K454" s="197">
        <v>34.482751999999998</v>
      </c>
      <c r="L454" s="201">
        <v>249.99995200000001</v>
      </c>
      <c r="M454" s="198">
        <v>0</v>
      </c>
      <c r="N454" s="48" t="s">
        <v>1617</v>
      </c>
      <c r="O454" s="48" t="s">
        <v>1860</v>
      </c>
      <c r="P454" s="48" t="s">
        <v>25</v>
      </c>
      <c r="Q454" s="48" t="s">
        <v>241</v>
      </c>
      <c r="R454" s="48" t="s">
        <v>2726</v>
      </c>
      <c r="S454" s="48" t="s">
        <v>1861</v>
      </c>
      <c r="T454" s="114" t="s">
        <v>1666</v>
      </c>
      <c r="U454" s="48" t="s">
        <v>2324</v>
      </c>
      <c r="V454" s="39"/>
      <c r="W454" s="41" t="s">
        <v>2943</v>
      </c>
      <c r="X454" s="50" t="s">
        <v>2279</v>
      </c>
      <c r="Y454" s="50"/>
    </row>
    <row r="455" spans="1:25" customFormat="1" ht="14.4" customHeight="1" x14ac:dyDescent="0.3">
      <c r="A455" s="48">
        <f t="shared" si="20"/>
        <v>7</v>
      </c>
      <c r="B455" s="113">
        <v>46065</v>
      </c>
      <c r="C455" s="48" t="str">
        <f t="shared" si="23"/>
        <v>febrero</v>
      </c>
      <c r="D455" s="48" t="s">
        <v>2135</v>
      </c>
      <c r="E455" s="42" t="s">
        <v>2728</v>
      </c>
      <c r="F455" s="140" t="s">
        <v>2037</v>
      </c>
      <c r="G455" s="48">
        <v>1</v>
      </c>
      <c r="H455" s="48" t="s">
        <v>1705</v>
      </c>
      <c r="I455" s="197">
        <v>217.24170000000001</v>
      </c>
      <c r="J455" s="197">
        <v>217.24170000000001</v>
      </c>
      <c r="K455" s="197">
        <v>34.758672000000004</v>
      </c>
      <c r="L455" s="197">
        <v>252.00037200000003</v>
      </c>
      <c r="M455" s="198">
        <v>0</v>
      </c>
      <c r="N455" s="48" t="s">
        <v>1617</v>
      </c>
      <c r="O455" s="48" t="s">
        <v>1860</v>
      </c>
      <c r="P455" s="48" t="s">
        <v>25</v>
      </c>
      <c r="Q455" s="48" t="s">
        <v>241</v>
      </c>
      <c r="R455" s="48" t="s">
        <v>2726</v>
      </c>
      <c r="S455" s="48" t="s">
        <v>381</v>
      </c>
      <c r="T455" s="114" t="s">
        <v>2038</v>
      </c>
      <c r="U455" s="48"/>
      <c r="V455" s="39"/>
      <c r="W455" s="118" t="s">
        <v>2039</v>
      </c>
      <c r="X455" s="50" t="s">
        <v>2282</v>
      </c>
      <c r="Y455" s="50"/>
    </row>
    <row r="456" spans="1:25" customFormat="1" ht="14.4" customHeight="1" x14ac:dyDescent="0.3">
      <c r="A456" s="48">
        <f t="shared" si="20"/>
        <v>7</v>
      </c>
      <c r="B456" s="113">
        <v>46065</v>
      </c>
      <c r="C456" s="48" t="str">
        <f t="shared" si="23"/>
        <v>febrero</v>
      </c>
      <c r="D456" s="48" t="s">
        <v>2135</v>
      </c>
      <c r="E456" s="42" t="s">
        <v>2728</v>
      </c>
      <c r="F456" s="47" t="s">
        <v>330</v>
      </c>
      <c r="G456" s="48">
        <v>1</v>
      </c>
      <c r="H456" s="48" t="s">
        <v>2016</v>
      </c>
      <c r="I456" s="197">
        <v>599.13789999999995</v>
      </c>
      <c r="J456" s="197">
        <v>599.13789999999995</v>
      </c>
      <c r="K456" s="197">
        <v>95.86206399999999</v>
      </c>
      <c r="L456" s="197">
        <v>694.99996399999998</v>
      </c>
      <c r="M456" s="198">
        <v>0</v>
      </c>
      <c r="N456" s="48" t="s">
        <v>1617</v>
      </c>
      <c r="O456" s="48" t="s">
        <v>1860</v>
      </c>
      <c r="P456" s="48" t="s">
        <v>25</v>
      </c>
      <c r="Q456" s="48" t="s">
        <v>241</v>
      </c>
      <c r="R456" s="48" t="s">
        <v>2726</v>
      </c>
      <c r="S456" s="48" t="s">
        <v>1862</v>
      </c>
      <c r="T456" s="114" t="s">
        <v>1617</v>
      </c>
      <c r="U456" s="48"/>
      <c r="V456" s="39"/>
      <c r="W456" s="41" t="s">
        <v>1762</v>
      </c>
      <c r="X456" s="50" t="s">
        <v>2284</v>
      </c>
      <c r="Y456" s="50"/>
    </row>
    <row r="457" spans="1:25" customFormat="1" ht="14.4" customHeight="1" x14ac:dyDescent="0.3">
      <c r="A457" s="48">
        <f t="shared" si="20"/>
        <v>7</v>
      </c>
      <c r="B457" s="113">
        <v>46066</v>
      </c>
      <c r="C457" s="48" t="str">
        <f t="shared" si="23"/>
        <v>febrero</v>
      </c>
      <c r="D457" s="48" t="s">
        <v>2135</v>
      </c>
      <c r="E457" s="42" t="s">
        <v>2728</v>
      </c>
      <c r="F457" s="47" t="s">
        <v>92</v>
      </c>
      <c r="G457" s="48">
        <v>1</v>
      </c>
      <c r="H457" s="48" t="s">
        <v>1705</v>
      </c>
      <c r="I457" s="197">
        <v>139.72999999999999</v>
      </c>
      <c r="J457" s="197">
        <v>139.72999999999999</v>
      </c>
      <c r="K457" s="197">
        <v>22.3568</v>
      </c>
      <c r="L457" s="197">
        <v>162.08679999999998</v>
      </c>
      <c r="M457" s="198">
        <v>0</v>
      </c>
      <c r="N457" s="48" t="s">
        <v>1617</v>
      </c>
      <c r="O457" s="48" t="s">
        <v>195</v>
      </c>
      <c r="P457" s="48" t="s">
        <v>39</v>
      </c>
      <c r="Q457" s="48" t="s">
        <v>535</v>
      </c>
      <c r="R457" s="48" t="s">
        <v>2735</v>
      </c>
      <c r="S457" s="48" t="s">
        <v>1665</v>
      </c>
      <c r="T457" s="114" t="s">
        <v>1617</v>
      </c>
      <c r="U457" s="48" t="s">
        <v>2923</v>
      </c>
      <c r="V457" s="39"/>
      <c r="W457" s="41" t="s">
        <v>1762</v>
      </c>
      <c r="X457" s="50" t="s">
        <v>2286</v>
      </c>
      <c r="Y457" s="50"/>
    </row>
    <row r="458" spans="1:25" customFormat="1" ht="14.4" customHeight="1" x14ac:dyDescent="0.3">
      <c r="A458" s="48">
        <f t="shared" si="20"/>
        <v>7</v>
      </c>
      <c r="B458" s="113">
        <v>46066</v>
      </c>
      <c r="C458" s="48" t="str">
        <f t="shared" si="23"/>
        <v>febrero</v>
      </c>
      <c r="D458" s="48" t="s">
        <v>2135</v>
      </c>
      <c r="E458" s="42" t="s">
        <v>2728</v>
      </c>
      <c r="F458" s="47" t="s">
        <v>97</v>
      </c>
      <c r="G458" s="48">
        <v>1</v>
      </c>
      <c r="H458" s="48" t="s">
        <v>2016</v>
      </c>
      <c r="I458" s="197">
        <v>508.62</v>
      </c>
      <c r="J458" s="197">
        <v>508.62</v>
      </c>
      <c r="K458" s="197">
        <v>81.379199999999997</v>
      </c>
      <c r="L458" s="197">
        <v>589.99919999999997</v>
      </c>
      <c r="M458" s="198">
        <v>0</v>
      </c>
      <c r="N458" s="48" t="s">
        <v>1617</v>
      </c>
      <c r="O458" s="48" t="s">
        <v>195</v>
      </c>
      <c r="P458" s="48" t="s">
        <v>39</v>
      </c>
      <c r="Q458" s="48" t="s">
        <v>535</v>
      </c>
      <c r="R458" s="48" t="s">
        <v>2735</v>
      </c>
      <c r="S458" s="48" t="s">
        <v>1832</v>
      </c>
      <c r="T458" s="114" t="s">
        <v>2329</v>
      </c>
      <c r="U458" s="48" t="s">
        <v>2923</v>
      </c>
      <c r="V458" s="39"/>
      <c r="W458" s="41" t="s">
        <v>1762</v>
      </c>
      <c r="X458" s="50" t="s">
        <v>2288</v>
      </c>
      <c r="Y458" s="50"/>
    </row>
    <row r="459" spans="1:25" customFormat="1" ht="14.4" customHeight="1" x14ac:dyDescent="0.3">
      <c r="A459" s="48">
        <f t="shared" si="20"/>
        <v>7</v>
      </c>
      <c r="B459" s="113">
        <v>46066</v>
      </c>
      <c r="C459" s="48" t="str">
        <f t="shared" si="23"/>
        <v>febrero</v>
      </c>
      <c r="D459" s="48" t="s">
        <v>2135</v>
      </c>
      <c r="E459" s="42" t="s">
        <v>356</v>
      </c>
      <c r="F459" s="47" t="s">
        <v>127</v>
      </c>
      <c r="G459" s="125">
        <v>10.84</v>
      </c>
      <c r="H459" s="48" t="s">
        <v>2017</v>
      </c>
      <c r="I459" s="197">
        <v>19.882000000000001</v>
      </c>
      <c r="J459" s="197">
        <v>215.52088000000001</v>
      </c>
      <c r="K459" s="197">
        <v>34.483340800000001</v>
      </c>
      <c r="L459" s="197">
        <v>250.00422080000001</v>
      </c>
      <c r="M459" s="198">
        <v>0</v>
      </c>
      <c r="N459" s="48" t="s">
        <v>1617</v>
      </c>
      <c r="O459" s="48" t="s">
        <v>118</v>
      </c>
      <c r="P459" s="49" t="s">
        <v>1321</v>
      </c>
      <c r="Q459" s="48" t="s">
        <v>241</v>
      </c>
      <c r="R459" s="48" t="s">
        <v>2727</v>
      </c>
      <c r="S459" s="48" t="s">
        <v>647</v>
      </c>
      <c r="T459" s="114" t="s">
        <v>2025</v>
      </c>
      <c r="U459" s="48"/>
      <c r="V459" s="39"/>
      <c r="W459" s="41" t="s">
        <v>1762</v>
      </c>
      <c r="X459" s="50" t="s">
        <v>2290</v>
      </c>
    </row>
    <row r="460" spans="1:25" customFormat="1" ht="14.4" customHeight="1" x14ac:dyDescent="0.3">
      <c r="A460" s="48">
        <f t="shared" si="20"/>
        <v>7</v>
      </c>
      <c r="B460" s="113">
        <v>46066</v>
      </c>
      <c r="C460" s="48" t="str">
        <f t="shared" si="23"/>
        <v>febrero</v>
      </c>
      <c r="D460" s="48" t="s">
        <v>2135</v>
      </c>
      <c r="E460" s="42" t="s">
        <v>356</v>
      </c>
      <c r="F460" s="47" t="s">
        <v>127</v>
      </c>
      <c r="G460" s="125">
        <v>21.69</v>
      </c>
      <c r="H460" s="48" t="s">
        <v>2017</v>
      </c>
      <c r="I460" s="197">
        <v>19.872499999999999</v>
      </c>
      <c r="J460" s="197">
        <v>431.03452499999997</v>
      </c>
      <c r="K460" s="197">
        <v>68.965524000000002</v>
      </c>
      <c r="L460" s="197">
        <v>500.00004899999999</v>
      </c>
      <c r="M460" s="198">
        <v>0</v>
      </c>
      <c r="N460" s="48" t="s">
        <v>1617</v>
      </c>
      <c r="O460" s="48" t="s">
        <v>1819</v>
      </c>
      <c r="P460" s="49" t="s">
        <v>1321</v>
      </c>
      <c r="Q460" s="48" t="s">
        <v>1853</v>
      </c>
      <c r="R460" s="48" t="s">
        <v>2727</v>
      </c>
      <c r="S460" s="48" t="s">
        <v>647</v>
      </c>
      <c r="T460" s="114" t="s">
        <v>2025</v>
      </c>
      <c r="U460" s="48"/>
      <c r="V460" s="39"/>
      <c r="W460" s="41" t="s">
        <v>1762</v>
      </c>
      <c r="X460" s="50" t="s">
        <v>2292</v>
      </c>
      <c r="Y460" s="50"/>
    </row>
    <row r="461" spans="1:25" customFormat="1" ht="14.4" customHeight="1" x14ac:dyDescent="0.3">
      <c r="A461" s="48">
        <f t="shared" si="20"/>
        <v>7</v>
      </c>
      <c r="B461" s="113">
        <v>46066</v>
      </c>
      <c r="C461" s="48" t="str">
        <f t="shared" si="23"/>
        <v>febrero</v>
      </c>
      <c r="D461" s="48" t="s">
        <v>2135</v>
      </c>
      <c r="E461" s="42" t="s">
        <v>356</v>
      </c>
      <c r="F461" s="47" t="s">
        <v>127</v>
      </c>
      <c r="G461" s="48">
        <v>20</v>
      </c>
      <c r="H461" s="48" t="s">
        <v>2017</v>
      </c>
      <c r="I461" s="197">
        <v>20.681000000000001</v>
      </c>
      <c r="J461" s="197">
        <v>413.62</v>
      </c>
      <c r="K461" s="197">
        <v>66.179200000000009</v>
      </c>
      <c r="L461" s="197">
        <v>479.79920000000004</v>
      </c>
      <c r="M461" s="198">
        <v>0</v>
      </c>
      <c r="N461" s="48" t="s">
        <v>1617</v>
      </c>
      <c r="O461" s="48" t="s">
        <v>1855</v>
      </c>
      <c r="P461" s="49" t="s">
        <v>1321</v>
      </c>
      <c r="Q461" s="48" t="s">
        <v>1856</v>
      </c>
      <c r="R461" s="48" t="s">
        <v>2727</v>
      </c>
      <c r="S461" s="48" t="s">
        <v>1857</v>
      </c>
      <c r="T461" s="114" t="s">
        <v>2025</v>
      </c>
      <c r="U461" s="48"/>
      <c r="V461" s="39"/>
      <c r="W461" s="41" t="s">
        <v>1762</v>
      </c>
      <c r="X461" s="50" t="s">
        <v>2294</v>
      </c>
      <c r="Y461" s="50"/>
    </row>
    <row r="462" spans="1:25" customFormat="1" ht="14.4" customHeight="1" x14ac:dyDescent="0.3">
      <c r="A462" s="48">
        <f t="shared" si="20"/>
        <v>7</v>
      </c>
      <c r="B462" s="113">
        <v>46067</v>
      </c>
      <c r="C462" s="48" t="str">
        <f t="shared" si="23"/>
        <v>febrero</v>
      </c>
      <c r="D462" s="48" t="s">
        <v>2135</v>
      </c>
      <c r="E462" s="42" t="s">
        <v>2732</v>
      </c>
      <c r="F462" s="47" t="s">
        <v>2331</v>
      </c>
      <c r="G462" s="48">
        <v>15</v>
      </c>
      <c r="H462" s="48" t="s">
        <v>1705</v>
      </c>
      <c r="I462" s="197">
        <v>26.293099999999999</v>
      </c>
      <c r="J462" s="197">
        <v>394.3965</v>
      </c>
      <c r="K462" s="197">
        <v>63.103439999999999</v>
      </c>
      <c r="L462" s="200">
        <v>457.49993999999998</v>
      </c>
      <c r="M462" s="198">
        <v>0</v>
      </c>
      <c r="N462" s="48" t="s">
        <v>1617</v>
      </c>
      <c r="O462" s="48" t="s">
        <v>116</v>
      </c>
      <c r="P462" s="48" t="s">
        <v>25</v>
      </c>
      <c r="Q462" s="48" t="s">
        <v>1889</v>
      </c>
      <c r="R462" s="48" t="s">
        <v>2726</v>
      </c>
      <c r="S462" s="48" t="s">
        <v>1890</v>
      </c>
      <c r="T462" s="114" t="s">
        <v>2332</v>
      </c>
      <c r="U462" s="48"/>
      <c r="V462" s="39"/>
      <c r="W462" s="41" t="s">
        <v>1891</v>
      </c>
      <c r="X462" s="50" t="s">
        <v>2296</v>
      </c>
    </row>
    <row r="463" spans="1:25" customFormat="1" ht="14.4" customHeight="1" x14ac:dyDescent="0.3">
      <c r="A463" s="48">
        <f t="shared" si="20"/>
        <v>7</v>
      </c>
      <c r="B463" s="113">
        <v>46067</v>
      </c>
      <c r="C463" s="48" t="str">
        <f t="shared" si="23"/>
        <v>febrero</v>
      </c>
      <c r="D463" s="48" t="s">
        <v>2135</v>
      </c>
      <c r="E463" s="42" t="s">
        <v>2732</v>
      </c>
      <c r="F463" s="47" t="s">
        <v>2333</v>
      </c>
      <c r="G463" s="48">
        <v>2</v>
      </c>
      <c r="H463" s="48" t="s">
        <v>1705</v>
      </c>
      <c r="I463" s="197">
        <v>10.991379310344829</v>
      </c>
      <c r="J463" s="197">
        <v>21.982758620689658</v>
      </c>
      <c r="K463" s="197">
        <v>3.5172413793103452</v>
      </c>
      <c r="L463" s="200">
        <v>25.499871999999996</v>
      </c>
      <c r="M463" s="198">
        <v>0</v>
      </c>
      <c r="N463" s="48" t="s">
        <v>1617</v>
      </c>
      <c r="O463" s="48" t="s">
        <v>116</v>
      </c>
      <c r="P463" s="48" t="s">
        <v>25</v>
      </c>
      <c r="Q463" s="48" t="s">
        <v>1889</v>
      </c>
      <c r="R463" s="48" t="s">
        <v>2726</v>
      </c>
      <c r="S463" s="48" t="s">
        <v>1890</v>
      </c>
      <c r="T463" s="114" t="s">
        <v>2334</v>
      </c>
      <c r="U463" s="48" t="s">
        <v>2335</v>
      </c>
      <c r="V463" s="39" t="s">
        <v>2944</v>
      </c>
      <c r="W463" s="41" t="s">
        <v>1891</v>
      </c>
      <c r="X463" s="50" t="s">
        <v>2296</v>
      </c>
    </row>
    <row r="464" spans="1:25" customFormat="1" ht="14.4" customHeight="1" x14ac:dyDescent="0.3">
      <c r="A464" s="48">
        <f t="shared" si="20"/>
        <v>7</v>
      </c>
      <c r="B464" s="113">
        <v>46067</v>
      </c>
      <c r="C464" s="48" t="str">
        <f t="shared" si="23"/>
        <v>febrero</v>
      </c>
      <c r="D464" s="48" t="s">
        <v>2135</v>
      </c>
      <c r="E464" s="42" t="s">
        <v>2732</v>
      </c>
      <c r="F464" s="47" t="s">
        <v>2337</v>
      </c>
      <c r="G464" s="48">
        <v>1</v>
      </c>
      <c r="H464" s="48" t="s">
        <v>2139</v>
      </c>
      <c r="I464" s="197">
        <v>589.65509999999995</v>
      </c>
      <c r="J464" s="197">
        <v>589.65509999999995</v>
      </c>
      <c r="K464" s="197">
        <v>94.344815999999994</v>
      </c>
      <c r="L464" s="197">
        <v>683.99991599999998</v>
      </c>
      <c r="M464" s="198">
        <v>0</v>
      </c>
      <c r="N464" s="48" t="s">
        <v>1617</v>
      </c>
      <c r="O464" s="48" t="s">
        <v>116</v>
      </c>
      <c r="P464" s="48" t="s">
        <v>25</v>
      </c>
      <c r="Q464" s="48" t="s">
        <v>488</v>
      </c>
      <c r="R464" s="48" t="s">
        <v>2727</v>
      </c>
      <c r="S464" s="48" t="s">
        <v>1890</v>
      </c>
      <c r="T464" s="114" t="s">
        <v>2332</v>
      </c>
      <c r="U464" s="48"/>
      <c r="V464" s="39"/>
      <c r="W464" s="41" t="s">
        <v>1892</v>
      </c>
      <c r="X464" s="50" t="s">
        <v>2297</v>
      </c>
    </row>
    <row r="465" spans="1:25" customFormat="1" ht="14.4" customHeight="1" x14ac:dyDescent="0.3">
      <c r="A465" s="48">
        <f t="shared" si="20"/>
        <v>7</v>
      </c>
      <c r="B465" s="113">
        <v>46067</v>
      </c>
      <c r="C465" s="48" t="str">
        <f t="shared" si="23"/>
        <v>febrero</v>
      </c>
      <c r="D465" s="48" t="s">
        <v>2135</v>
      </c>
      <c r="E465" s="42" t="s">
        <v>2732</v>
      </c>
      <c r="F465" s="47" t="s">
        <v>1893</v>
      </c>
      <c r="G465" s="48">
        <v>1</v>
      </c>
      <c r="H465" s="48" t="s">
        <v>1617</v>
      </c>
      <c r="I465" s="197">
        <v>37</v>
      </c>
      <c r="J465" s="197">
        <v>37</v>
      </c>
      <c r="K465" s="197">
        <v>0</v>
      </c>
      <c r="L465" s="197">
        <v>37</v>
      </c>
      <c r="M465" s="198">
        <v>0</v>
      </c>
      <c r="N465" s="48" t="s">
        <v>1617</v>
      </c>
      <c r="O465" s="48" t="s">
        <v>116</v>
      </c>
      <c r="P465" s="48" t="s">
        <v>25</v>
      </c>
      <c r="Q465" s="48" t="s">
        <v>488</v>
      </c>
      <c r="R465" s="48" t="s">
        <v>2727</v>
      </c>
      <c r="S465" s="48" t="s">
        <v>424</v>
      </c>
      <c r="T465" s="114" t="s">
        <v>1617</v>
      </c>
      <c r="U465" s="48"/>
      <c r="V465" s="39"/>
      <c r="W465" s="41" t="s">
        <v>1894</v>
      </c>
      <c r="X465" s="50" t="s">
        <v>2298</v>
      </c>
    </row>
    <row r="466" spans="1:25" customFormat="1" ht="14.4" customHeight="1" x14ac:dyDescent="0.3">
      <c r="A466" s="48">
        <f t="shared" si="20"/>
        <v>7</v>
      </c>
      <c r="B466" s="113">
        <v>46067</v>
      </c>
      <c r="C466" s="48" t="str">
        <f t="shared" si="23"/>
        <v>febrero</v>
      </c>
      <c r="D466" s="48" t="s">
        <v>2135</v>
      </c>
      <c r="E466" s="42" t="s">
        <v>2732</v>
      </c>
      <c r="F466" s="47" t="s">
        <v>2339</v>
      </c>
      <c r="G466" s="48">
        <v>3</v>
      </c>
      <c r="H466" s="48" t="s">
        <v>1705</v>
      </c>
      <c r="I466" s="197">
        <v>13.792</v>
      </c>
      <c r="J466" s="197">
        <v>41.375999999999998</v>
      </c>
      <c r="K466" s="197">
        <v>6.6201599999999994</v>
      </c>
      <c r="L466" s="201">
        <v>47.996159999999996</v>
      </c>
      <c r="M466" s="198">
        <v>0</v>
      </c>
      <c r="N466" s="48" t="s">
        <v>1617</v>
      </c>
      <c r="O466" s="48" t="s">
        <v>116</v>
      </c>
      <c r="P466" s="48" t="s">
        <v>25</v>
      </c>
      <c r="Q466" s="48" t="s">
        <v>488</v>
      </c>
      <c r="R466" s="48" t="s">
        <v>2727</v>
      </c>
      <c r="S466" s="48" t="s">
        <v>424</v>
      </c>
      <c r="T466" s="114" t="s">
        <v>2052</v>
      </c>
      <c r="U466" s="48"/>
      <c r="V466" s="39"/>
      <c r="W466" s="41" t="s">
        <v>1895</v>
      </c>
      <c r="X466" s="50" t="s">
        <v>2299</v>
      </c>
    </row>
    <row r="467" spans="1:25" customFormat="1" ht="14.4" customHeight="1" x14ac:dyDescent="0.3">
      <c r="A467" s="48">
        <f t="shared" si="20"/>
        <v>7</v>
      </c>
      <c r="B467" s="113">
        <v>46067</v>
      </c>
      <c r="C467" s="48" t="str">
        <f t="shared" si="23"/>
        <v>febrero</v>
      </c>
      <c r="D467" s="48" t="s">
        <v>2135</v>
      </c>
      <c r="E467" s="42" t="s">
        <v>2732</v>
      </c>
      <c r="F467" s="47" t="s">
        <v>2341</v>
      </c>
      <c r="G467" s="48">
        <v>1</v>
      </c>
      <c r="H467" s="48" t="s">
        <v>1705</v>
      </c>
      <c r="I467" s="197">
        <v>55.172400000000003</v>
      </c>
      <c r="J467" s="197">
        <v>55.172400000000003</v>
      </c>
      <c r="K467" s="197">
        <v>8.8275839999999999</v>
      </c>
      <c r="L467" s="201">
        <v>63.999984000000005</v>
      </c>
      <c r="M467" s="198">
        <v>0</v>
      </c>
      <c r="N467" s="48" t="s">
        <v>1617</v>
      </c>
      <c r="O467" s="48" t="s">
        <v>116</v>
      </c>
      <c r="P467" s="48" t="s">
        <v>25</v>
      </c>
      <c r="Q467" s="48" t="s">
        <v>488</v>
      </c>
      <c r="R467" s="48" t="s">
        <v>2727</v>
      </c>
      <c r="S467" s="48" t="s">
        <v>424</v>
      </c>
      <c r="T467" s="114" t="s">
        <v>2342</v>
      </c>
      <c r="U467" s="48"/>
      <c r="V467" s="39"/>
      <c r="W467" s="41" t="s">
        <v>1895</v>
      </c>
      <c r="X467" s="50" t="s">
        <v>2299</v>
      </c>
    </row>
    <row r="468" spans="1:25" customFormat="1" ht="14.4" customHeight="1" x14ac:dyDescent="0.3">
      <c r="A468" s="48">
        <f t="shared" si="20"/>
        <v>7</v>
      </c>
      <c r="B468" s="113">
        <v>46067</v>
      </c>
      <c r="C468" s="48" t="str">
        <f t="shared" si="23"/>
        <v>febrero</v>
      </c>
      <c r="D468" s="48" t="s">
        <v>2135</v>
      </c>
      <c r="E468" s="42" t="s">
        <v>2732</v>
      </c>
      <c r="F468" s="47" t="s">
        <v>2344</v>
      </c>
      <c r="G468" s="48">
        <v>1</v>
      </c>
      <c r="H468" s="48" t="s">
        <v>1705</v>
      </c>
      <c r="I468" s="197">
        <v>82.758600000000001</v>
      </c>
      <c r="J468" s="197">
        <v>82.758600000000001</v>
      </c>
      <c r="K468" s="197">
        <v>13.241376000000001</v>
      </c>
      <c r="L468" s="201">
        <v>95.999976000000004</v>
      </c>
      <c r="M468" s="198">
        <v>0</v>
      </c>
      <c r="N468" s="48" t="s">
        <v>1617</v>
      </c>
      <c r="O468" s="48" t="s">
        <v>116</v>
      </c>
      <c r="P468" s="48" t="s">
        <v>25</v>
      </c>
      <c r="Q468" s="48" t="s">
        <v>488</v>
      </c>
      <c r="R468" s="48" t="s">
        <v>2727</v>
      </c>
      <c r="S468" s="48" t="s">
        <v>424</v>
      </c>
      <c r="T468" s="114" t="s">
        <v>2342</v>
      </c>
      <c r="U468" s="48"/>
      <c r="V468" s="39"/>
      <c r="W468" s="41" t="s">
        <v>1895</v>
      </c>
      <c r="X468" s="50" t="s">
        <v>2299</v>
      </c>
    </row>
    <row r="469" spans="1:25" customFormat="1" ht="14.4" customHeight="1" x14ac:dyDescent="0.3">
      <c r="A469" s="48">
        <f t="shared" si="20"/>
        <v>7</v>
      </c>
      <c r="B469" s="113">
        <v>46067</v>
      </c>
      <c r="C469" s="48" t="str">
        <f t="shared" si="23"/>
        <v>febrero</v>
      </c>
      <c r="D469" s="48" t="s">
        <v>2135</v>
      </c>
      <c r="E469" s="42" t="s">
        <v>2732</v>
      </c>
      <c r="F469" s="47" t="s">
        <v>2346</v>
      </c>
      <c r="G469" s="48">
        <v>1</v>
      </c>
      <c r="H469" s="48" t="s">
        <v>1705</v>
      </c>
      <c r="I469" s="197">
        <v>82.758600000000001</v>
      </c>
      <c r="J469" s="197">
        <v>82.758600000000001</v>
      </c>
      <c r="K469" s="197">
        <v>13.241376000000001</v>
      </c>
      <c r="L469" s="201">
        <v>95.999976000000004</v>
      </c>
      <c r="M469" s="198">
        <v>0</v>
      </c>
      <c r="N469" s="48" t="s">
        <v>1617</v>
      </c>
      <c r="O469" s="48" t="s">
        <v>116</v>
      </c>
      <c r="P469" s="48" t="s">
        <v>25</v>
      </c>
      <c r="Q469" s="48" t="s">
        <v>488</v>
      </c>
      <c r="R469" s="48" t="s">
        <v>2727</v>
      </c>
      <c r="S469" s="48" t="s">
        <v>424</v>
      </c>
      <c r="T469" s="114" t="s">
        <v>2347</v>
      </c>
      <c r="U469" s="48" t="s">
        <v>2348</v>
      </c>
      <c r="V469" s="39"/>
      <c r="W469" s="41" t="s">
        <v>1895</v>
      </c>
      <c r="X469" s="50" t="s">
        <v>2299</v>
      </c>
    </row>
    <row r="470" spans="1:25" customFormat="1" ht="14.4" customHeight="1" x14ac:dyDescent="0.3">
      <c r="A470" s="48">
        <f t="shared" si="20"/>
        <v>7</v>
      </c>
      <c r="B470" s="113">
        <v>46067</v>
      </c>
      <c r="C470" s="48" t="str">
        <f t="shared" si="23"/>
        <v>febrero</v>
      </c>
      <c r="D470" s="48" t="s">
        <v>2135</v>
      </c>
      <c r="E470" s="42" t="s">
        <v>2732</v>
      </c>
      <c r="F470" s="47" t="s">
        <v>2350</v>
      </c>
      <c r="G470" s="48">
        <v>1</v>
      </c>
      <c r="H470" s="48" t="s">
        <v>2017</v>
      </c>
      <c r="I470" s="197">
        <v>20.258600000000001</v>
      </c>
      <c r="J470" s="197">
        <v>20.258600000000001</v>
      </c>
      <c r="K470" s="197">
        <v>3.2413760000000003</v>
      </c>
      <c r="L470" s="200">
        <v>23.499976</v>
      </c>
      <c r="M470" s="198">
        <v>0</v>
      </c>
      <c r="N470" s="48" t="s">
        <v>1617</v>
      </c>
      <c r="O470" s="48" t="s">
        <v>116</v>
      </c>
      <c r="P470" s="48" t="s">
        <v>25</v>
      </c>
      <c r="Q470" s="48" t="s">
        <v>488</v>
      </c>
      <c r="R470" s="48" t="s">
        <v>2727</v>
      </c>
      <c r="S470" s="48" t="s">
        <v>424</v>
      </c>
      <c r="T470" s="114" t="s">
        <v>2945</v>
      </c>
      <c r="U470" s="48"/>
      <c r="V470" s="39"/>
      <c r="W470" s="41" t="s">
        <v>1888</v>
      </c>
      <c r="X470" s="50" t="s">
        <v>2306</v>
      </c>
    </row>
    <row r="471" spans="1:25" customFormat="1" ht="14.4" customHeight="1" x14ac:dyDescent="0.3">
      <c r="A471" s="48">
        <f t="shared" si="20"/>
        <v>7</v>
      </c>
      <c r="B471" s="113">
        <v>46067</v>
      </c>
      <c r="C471" s="48" t="str">
        <f t="shared" si="23"/>
        <v>febrero</v>
      </c>
      <c r="D471" s="48" t="s">
        <v>2135</v>
      </c>
      <c r="E471" s="42" t="s">
        <v>2732</v>
      </c>
      <c r="F471" s="47" t="s">
        <v>2352</v>
      </c>
      <c r="G471" s="48">
        <v>1</v>
      </c>
      <c r="H471" s="48" t="s">
        <v>2139</v>
      </c>
      <c r="I471" s="197">
        <v>400</v>
      </c>
      <c r="J471" s="197">
        <v>400</v>
      </c>
      <c r="K471" s="197">
        <v>64</v>
      </c>
      <c r="L471" s="197">
        <v>464</v>
      </c>
      <c r="M471" s="198">
        <v>0</v>
      </c>
      <c r="N471" s="48" t="s">
        <v>1617</v>
      </c>
      <c r="O471" s="48" t="s">
        <v>116</v>
      </c>
      <c r="P471" s="48" t="s">
        <v>25</v>
      </c>
      <c r="Q471" s="48" t="s">
        <v>488</v>
      </c>
      <c r="R471" s="48" t="s">
        <v>2727</v>
      </c>
      <c r="S471" s="48" t="s">
        <v>424</v>
      </c>
      <c r="T471" s="114" t="s">
        <v>2332</v>
      </c>
      <c r="U471" s="48"/>
      <c r="V471" s="39"/>
      <c r="W471" s="41" t="s">
        <v>1888</v>
      </c>
      <c r="X471" s="50" t="s">
        <v>2306</v>
      </c>
    </row>
    <row r="472" spans="1:25" customFormat="1" ht="14.4" customHeight="1" x14ac:dyDescent="0.3">
      <c r="A472" s="48">
        <f t="shared" si="20"/>
        <v>7</v>
      </c>
      <c r="B472" s="113">
        <v>46067</v>
      </c>
      <c r="C472" s="48" t="str">
        <f t="shared" si="23"/>
        <v>febrero</v>
      </c>
      <c r="D472" s="48" t="s">
        <v>2135</v>
      </c>
      <c r="E472" s="42" t="s">
        <v>2732</v>
      </c>
      <c r="F472" s="47" t="s">
        <v>2354</v>
      </c>
      <c r="G472" s="48">
        <v>1</v>
      </c>
      <c r="H472" s="48" t="s">
        <v>1705</v>
      </c>
      <c r="I472" s="197">
        <v>18.965499999999999</v>
      </c>
      <c r="J472" s="197">
        <v>18.965499999999999</v>
      </c>
      <c r="K472" s="197">
        <v>3.0344799999999998</v>
      </c>
      <c r="L472" s="200">
        <v>21.999979999999997</v>
      </c>
      <c r="M472" s="198">
        <v>0</v>
      </c>
      <c r="N472" s="48" t="s">
        <v>1617</v>
      </c>
      <c r="O472" s="48" t="s">
        <v>116</v>
      </c>
      <c r="P472" s="48" t="s">
        <v>25</v>
      </c>
      <c r="Q472" s="48" t="s">
        <v>488</v>
      </c>
      <c r="R472" s="48" t="s">
        <v>2727</v>
      </c>
      <c r="S472" s="48" t="s">
        <v>424</v>
      </c>
      <c r="T472" s="114" t="s">
        <v>1617</v>
      </c>
      <c r="U472" s="48" t="s">
        <v>2355</v>
      </c>
      <c r="V472" s="39"/>
      <c r="W472" s="41" t="s">
        <v>1888</v>
      </c>
      <c r="X472" s="50" t="s">
        <v>2306</v>
      </c>
    </row>
    <row r="473" spans="1:25" customFormat="1" ht="14.4" customHeight="1" x14ac:dyDescent="0.3">
      <c r="A473" s="48">
        <f t="shared" si="20"/>
        <v>7</v>
      </c>
      <c r="B473" s="113">
        <v>46067</v>
      </c>
      <c r="C473" s="48" t="str">
        <f t="shared" si="23"/>
        <v>febrero</v>
      </c>
      <c r="D473" s="48" t="s">
        <v>2135</v>
      </c>
      <c r="E473" s="42" t="s">
        <v>356</v>
      </c>
      <c r="F473" s="47" t="s">
        <v>127</v>
      </c>
      <c r="G473" s="48">
        <v>4.1859999999999999</v>
      </c>
      <c r="H473" s="48" t="s">
        <v>2017</v>
      </c>
      <c r="I473" s="197">
        <v>20.594799999999999</v>
      </c>
      <c r="J473" s="197">
        <v>86.209832800000001</v>
      </c>
      <c r="K473" s="197">
        <v>13.793573248000001</v>
      </c>
      <c r="L473" s="197">
        <v>100.003406048</v>
      </c>
      <c r="M473" s="198">
        <v>0</v>
      </c>
      <c r="N473" s="48" t="s">
        <v>1617</v>
      </c>
      <c r="O473" s="48" t="s">
        <v>1611</v>
      </c>
      <c r="P473" s="48" t="s">
        <v>25</v>
      </c>
      <c r="Q473" s="48" t="s">
        <v>1853</v>
      </c>
      <c r="R473" s="48" t="s">
        <v>2726</v>
      </c>
      <c r="S473" s="48" t="s">
        <v>1865</v>
      </c>
      <c r="T473" s="114" t="s">
        <v>2025</v>
      </c>
      <c r="U473" s="48"/>
      <c r="V473" s="39"/>
      <c r="W473" s="41" t="s">
        <v>1866</v>
      </c>
      <c r="X473" s="50" t="s">
        <v>2310</v>
      </c>
      <c r="Y473" s="50"/>
    </row>
    <row r="474" spans="1:25" customFormat="1" ht="14.4" customHeight="1" x14ac:dyDescent="0.3">
      <c r="A474" s="48">
        <f t="shared" si="20"/>
        <v>7</v>
      </c>
      <c r="B474" s="113">
        <v>46067</v>
      </c>
      <c r="C474" s="48" t="str">
        <f t="shared" si="23"/>
        <v>febrero</v>
      </c>
      <c r="D474" s="48" t="s">
        <v>2135</v>
      </c>
      <c r="E474" s="42" t="s">
        <v>356</v>
      </c>
      <c r="F474" s="47" t="s">
        <v>127</v>
      </c>
      <c r="G474" s="48">
        <v>4.1859999999999999</v>
      </c>
      <c r="H474" s="48" t="s">
        <v>2017</v>
      </c>
      <c r="I474" s="197">
        <v>20.594799999999999</v>
      </c>
      <c r="J474" s="197">
        <v>86.209832800000001</v>
      </c>
      <c r="K474" s="197">
        <v>13.793573248000001</v>
      </c>
      <c r="L474" s="197">
        <v>100.003406048</v>
      </c>
      <c r="M474" s="198">
        <v>0</v>
      </c>
      <c r="N474" s="48" t="s">
        <v>1617</v>
      </c>
      <c r="O474" s="48" t="s">
        <v>1829</v>
      </c>
      <c r="P474" s="48" t="s">
        <v>25</v>
      </c>
      <c r="Q474" s="48" t="s">
        <v>1856</v>
      </c>
      <c r="R474" s="48" t="s">
        <v>2726</v>
      </c>
      <c r="S474" s="48" t="s">
        <v>1865</v>
      </c>
      <c r="T474" s="114" t="s">
        <v>2025</v>
      </c>
      <c r="U474" s="48"/>
      <c r="V474" s="39"/>
      <c r="W474" s="41" t="s">
        <v>1867</v>
      </c>
      <c r="X474" s="50" t="s">
        <v>2311</v>
      </c>
      <c r="Y474" s="50"/>
    </row>
    <row r="475" spans="1:25" customFormat="1" ht="14.4" customHeight="1" x14ac:dyDescent="0.3">
      <c r="A475" s="48">
        <f t="shared" si="20"/>
        <v>7</v>
      </c>
      <c r="B475" s="113">
        <v>46067</v>
      </c>
      <c r="C475" s="48" t="str">
        <f t="shared" si="23"/>
        <v>febrero</v>
      </c>
      <c r="D475" s="48" t="s">
        <v>2135</v>
      </c>
      <c r="E475" s="42" t="s">
        <v>2728</v>
      </c>
      <c r="F475" s="47" t="s">
        <v>2356</v>
      </c>
      <c r="G475" s="48">
        <v>1</v>
      </c>
      <c r="H475" s="48" t="s">
        <v>1705</v>
      </c>
      <c r="I475" s="197">
        <v>165</v>
      </c>
      <c r="J475" s="197">
        <v>165</v>
      </c>
      <c r="K475" s="197">
        <v>0</v>
      </c>
      <c r="L475" s="201">
        <v>165</v>
      </c>
      <c r="M475" s="198">
        <v>0</v>
      </c>
      <c r="N475" s="48" t="s">
        <v>1617</v>
      </c>
      <c r="O475" s="48" t="s">
        <v>1860</v>
      </c>
      <c r="P475" s="48" t="s">
        <v>25</v>
      </c>
      <c r="Q475" s="48" t="s">
        <v>241</v>
      </c>
      <c r="R475" s="48" t="s">
        <v>2727</v>
      </c>
      <c r="S475" s="48" t="s">
        <v>792</v>
      </c>
      <c r="T475" s="114" t="s">
        <v>1725</v>
      </c>
      <c r="U475" s="48" t="s">
        <v>1759</v>
      </c>
      <c r="V475" s="131" t="s">
        <v>2358</v>
      </c>
      <c r="W475" s="41" t="s">
        <v>1617</v>
      </c>
      <c r="X475" s="50" t="s">
        <v>2312</v>
      </c>
      <c r="Y475" s="50"/>
    </row>
    <row r="476" spans="1:25" customFormat="1" ht="14.4" x14ac:dyDescent="0.3">
      <c r="A476" s="48">
        <f t="shared" si="20"/>
        <v>7</v>
      </c>
      <c r="B476" s="113">
        <v>46067</v>
      </c>
      <c r="C476" s="48" t="str">
        <f t="shared" si="23"/>
        <v>febrero</v>
      </c>
      <c r="D476" s="48" t="s">
        <v>2135</v>
      </c>
      <c r="E476" s="42" t="s">
        <v>2728</v>
      </c>
      <c r="F476" s="47" t="s">
        <v>2359</v>
      </c>
      <c r="G476" s="48">
        <v>10</v>
      </c>
      <c r="H476" s="48" t="s">
        <v>1705</v>
      </c>
      <c r="I476" s="197">
        <v>5</v>
      </c>
      <c r="J476" s="197">
        <v>50</v>
      </c>
      <c r="K476" s="197">
        <v>0</v>
      </c>
      <c r="L476" s="201">
        <v>50</v>
      </c>
      <c r="M476" s="198">
        <v>0</v>
      </c>
      <c r="N476" s="48" t="s">
        <v>1617</v>
      </c>
      <c r="O476" s="48" t="s">
        <v>1860</v>
      </c>
      <c r="P476" s="48" t="s">
        <v>25</v>
      </c>
      <c r="Q476" s="48" t="s">
        <v>241</v>
      </c>
      <c r="R476" s="48" t="s">
        <v>2727</v>
      </c>
      <c r="S476" s="48" t="s">
        <v>792</v>
      </c>
      <c r="T476" s="114" t="s">
        <v>1617</v>
      </c>
      <c r="U476" s="48" t="s">
        <v>1759</v>
      </c>
      <c r="V476" s="131" t="s">
        <v>2358</v>
      </c>
      <c r="W476" s="41" t="s">
        <v>1617</v>
      </c>
      <c r="X476" s="50" t="s">
        <v>2312</v>
      </c>
      <c r="Y476" s="50"/>
    </row>
    <row r="477" spans="1:25" customFormat="1" ht="14.4" x14ac:dyDescent="0.3">
      <c r="A477" s="48">
        <f t="shared" si="20"/>
        <v>7</v>
      </c>
      <c r="B477" s="113">
        <v>46067</v>
      </c>
      <c r="C477" s="48" t="str">
        <f t="shared" si="23"/>
        <v>febrero</v>
      </c>
      <c r="D477" s="48" t="s">
        <v>2135</v>
      </c>
      <c r="E477" s="42" t="s">
        <v>2728</v>
      </c>
      <c r="F477" s="47" t="s">
        <v>2360</v>
      </c>
      <c r="G477" s="48">
        <v>2</v>
      </c>
      <c r="H477" s="48" t="s">
        <v>1705</v>
      </c>
      <c r="I477" s="197">
        <v>60</v>
      </c>
      <c r="J477" s="197">
        <v>120</v>
      </c>
      <c r="K477" s="197">
        <v>0</v>
      </c>
      <c r="L477" s="201">
        <v>120</v>
      </c>
      <c r="M477" s="198">
        <v>0</v>
      </c>
      <c r="N477" s="48" t="s">
        <v>1617</v>
      </c>
      <c r="O477" s="48" t="s">
        <v>1860</v>
      </c>
      <c r="P477" s="48" t="s">
        <v>25</v>
      </c>
      <c r="Q477" s="48" t="s">
        <v>241</v>
      </c>
      <c r="R477" s="48" t="s">
        <v>2727</v>
      </c>
      <c r="S477" s="48" t="s">
        <v>792</v>
      </c>
      <c r="T477" s="114" t="s">
        <v>1617</v>
      </c>
      <c r="U477" s="48" t="s">
        <v>1759</v>
      </c>
      <c r="V477" s="131" t="s">
        <v>2358</v>
      </c>
      <c r="W477" s="41" t="s">
        <v>1617</v>
      </c>
      <c r="X477" s="50" t="s">
        <v>2312</v>
      </c>
      <c r="Y477" s="50"/>
    </row>
    <row r="478" spans="1:25" customFormat="1" ht="14.4" x14ac:dyDescent="0.3">
      <c r="A478" s="48">
        <f t="shared" si="20"/>
        <v>7</v>
      </c>
      <c r="B478" s="113">
        <v>46067</v>
      </c>
      <c r="C478" s="48" t="str">
        <f t="shared" si="23"/>
        <v>febrero</v>
      </c>
      <c r="D478" s="48" t="s">
        <v>2135</v>
      </c>
      <c r="E478" s="42" t="s">
        <v>2728</v>
      </c>
      <c r="F478" s="47" t="s">
        <v>2361</v>
      </c>
      <c r="G478" s="48">
        <v>1</v>
      </c>
      <c r="H478" s="48" t="s">
        <v>1705</v>
      </c>
      <c r="I478" s="197">
        <v>50</v>
      </c>
      <c r="J478" s="197">
        <v>50</v>
      </c>
      <c r="K478" s="197">
        <v>0</v>
      </c>
      <c r="L478" s="201">
        <v>50</v>
      </c>
      <c r="M478" s="198">
        <v>0</v>
      </c>
      <c r="N478" s="48" t="s">
        <v>1617</v>
      </c>
      <c r="O478" s="48" t="s">
        <v>1860</v>
      </c>
      <c r="P478" s="48" t="s">
        <v>25</v>
      </c>
      <c r="Q478" s="48" t="s">
        <v>241</v>
      </c>
      <c r="R478" s="48" t="s">
        <v>2727</v>
      </c>
      <c r="S478" s="48" t="s">
        <v>792</v>
      </c>
      <c r="T478" s="114" t="s">
        <v>2362</v>
      </c>
      <c r="U478" s="48" t="s">
        <v>1759</v>
      </c>
      <c r="V478" s="46" t="s">
        <v>2363</v>
      </c>
      <c r="W478" s="41" t="s">
        <v>1617</v>
      </c>
      <c r="X478" s="50" t="s">
        <v>2312</v>
      </c>
      <c r="Y478" s="50"/>
    </row>
    <row r="479" spans="1:25" customFormat="1" ht="14.4" x14ac:dyDescent="0.3">
      <c r="A479" s="48">
        <f t="shared" si="20"/>
        <v>7</v>
      </c>
      <c r="B479" s="113">
        <v>46067</v>
      </c>
      <c r="C479" s="48" t="str">
        <f t="shared" si="23"/>
        <v>febrero</v>
      </c>
      <c r="D479" s="48" t="s">
        <v>2135</v>
      </c>
      <c r="E479" s="42" t="s">
        <v>356</v>
      </c>
      <c r="F479" s="47" t="s">
        <v>127</v>
      </c>
      <c r="G479" s="117">
        <v>10.846</v>
      </c>
      <c r="H479" s="48" t="s">
        <v>2017</v>
      </c>
      <c r="I479" s="197">
        <v>19.952000000000002</v>
      </c>
      <c r="J479" s="197">
        <v>216.39939200000003</v>
      </c>
      <c r="K479" s="197">
        <v>33.6</v>
      </c>
      <c r="L479" s="197">
        <v>249.99939200000003</v>
      </c>
      <c r="M479" s="198">
        <v>0</v>
      </c>
      <c r="N479" s="48" t="s">
        <v>1617</v>
      </c>
      <c r="O479" s="48" t="s">
        <v>2027</v>
      </c>
      <c r="P479" s="49" t="s">
        <v>1321</v>
      </c>
      <c r="Q479" s="48" t="s">
        <v>488</v>
      </c>
      <c r="R479" s="48" t="s">
        <v>2801</v>
      </c>
      <c r="S479" s="48" t="s">
        <v>647</v>
      </c>
      <c r="T479" s="114" t="s">
        <v>2025</v>
      </c>
      <c r="U479" s="48"/>
      <c r="V479" s="39"/>
      <c r="W479" s="41" t="s">
        <v>1868</v>
      </c>
      <c r="X479" s="50" t="s">
        <v>2316</v>
      </c>
      <c r="Y479" s="50"/>
    </row>
    <row r="480" spans="1:25" customFormat="1" ht="14.4" x14ac:dyDescent="0.3">
      <c r="A480" s="48">
        <f t="shared" si="20"/>
        <v>7</v>
      </c>
      <c r="B480" s="113">
        <v>46067</v>
      </c>
      <c r="C480" s="48" t="str">
        <f t="shared" si="23"/>
        <v>febrero</v>
      </c>
      <c r="D480" s="48" t="s">
        <v>2135</v>
      </c>
      <c r="E480" s="42" t="s">
        <v>477</v>
      </c>
      <c r="F480" s="47" t="s">
        <v>559</v>
      </c>
      <c r="G480" s="48">
        <v>1</v>
      </c>
      <c r="H480" s="48" t="s">
        <v>2138</v>
      </c>
      <c r="I480" s="197">
        <v>610</v>
      </c>
      <c r="J480" s="197">
        <v>610</v>
      </c>
      <c r="K480" s="197">
        <v>0</v>
      </c>
      <c r="L480" s="197">
        <v>610</v>
      </c>
      <c r="M480" s="198">
        <v>0</v>
      </c>
      <c r="N480" s="48" t="s">
        <v>1617</v>
      </c>
      <c r="O480" s="48" t="s">
        <v>2027</v>
      </c>
      <c r="P480" s="49" t="s">
        <v>1321</v>
      </c>
      <c r="Q480" s="48" t="s">
        <v>1766</v>
      </c>
      <c r="R480" s="48" t="s">
        <v>2801</v>
      </c>
      <c r="S480" s="48" t="s">
        <v>1827</v>
      </c>
      <c r="T480" s="114" t="s">
        <v>1617</v>
      </c>
      <c r="U480" s="48"/>
      <c r="V480" s="49"/>
      <c r="W480" s="41" t="s">
        <v>2040</v>
      </c>
      <c r="X480" s="210"/>
      <c r="Y480" s="50"/>
    </row>
    <row r="481" spans="1:25" customFormat="1" ht="14.4" customHeight="1" x14ac:dyDescent="0.3">
      <c r="A481" s="48">
        <f t="shared" si="20"/>
        <v>7</v>
      </c>
      <c r="B481" s="113">
        <v>46067</v>
      </c>
      <c r="C481" s="48" t="str">
        <f t="shared" si="23"/>
        <v>febrero</v>
      </c>
      <c r="D481" s="48" t="s">
        <v>2135</v>
      </c>
      <c r="E481" s="42" t="s">
        <v>477</v>
      </c>
      <c r="F481" s="47" t="s">
        <v>559</v>
      </c>
      <c r="G481" s="38">
        <v>1</v>
      </c>
      <c r="H481" s="48" t="s">
        <v>2138</v>
      </c>
      <c r="I481" s="197">
        <v>610</v>
      </c>
      <c r="J481" s="197">
        <v>610</v>
      </c>
      <c r="K481" s="197">
        <v>0</v>
      </c>
      <c r="L481" s="197">
        <v>610</v>
      </c>
      <c r="M481" s="198">
        <v>0</v>
      </c>
      <c r="N481" s="38" t="s">
        <v>1617</v>
      </c>
      <c r="O481" s="38" t="s">
        <v>1829</v>
      </c>
      <c r="P481" s="48" t="s">
        <v>25</v>
      </c>
      <c r="Q481" s="48" t="s">
        <v>1766</v>
      </c>
      <c r="R481" s="48" t="s">
        <v>2726</v>
      </c>
      <c r="S481" s="38" t="s">
        <v>1827</v>
      </c>
      <c r="T481" s="115" t="s">
        <v>1617</v>
      </c>
      <c r="U481" s="38"/>
      <c r="W481" s="41" t="s">
        <v>2364</v>
      </c>
      <c r="X481" s="210"/>
      <c r="Y481" s="50"/>
    </row>
    <row r="482" spans="1:25" customFormat="1" ht="14.4" customHeight="1" x14ac:dyDescent="0.3">
      <c r="A482" s="48">
        <f t="shared" si="20"/>
        <v>7</v>
      </c>
      <c r="B482" s="113">
        <v>46067</v>
      </c>
      <c r="C482" s="48" t="str">
        <f t="shared" si="23"/>
        <v>febrero</v>
      </c>
      <c r="D482" s="48" t="s">
        <v>2135</v>
      </c>
      <c r="E482" s="42" t="s">
        <v>477</v>
      </c>
      <c r="F482" s="47" t="s">
        <v>559</v>
      </c>
      <c r="G482" s="48">
        <v>1</v>
      </c>
      <c r="H482" s="48" t="s">
        <v>2138</v>
      </c>
      <c r="I482" s="197">
        <v>610</v>
      </c>
      <c r="J482" s="197">
        <v>610</v>
      </c>
      <c r="K482" s="197">
        <v>0</v>
      </c>
      <c r="L482" s="197">
        <v>610</v>
      </c>
      <c r="M482" s="198">
        <v>0</v>
      </c>
      <c r="N482" s="48" t="s">
        <v>1617</v>
      </c>
      <c r="O482" s="48" t="s">
        <v>1611</v>
      </c>
      <c r="P482" s="48" t="s">
        <v>25</v>
      </c>
      <c r="Q482" s="48" t="s">
        <v>1766</v>
      </c>
      <c r="R482" s="48" t="s">
        <v>2726</v>
      </c>
      <c r="S482" s="48" t="s">
        <v>1827</v>
      </c>
      <c r="T482" s="114" t="s">
        <v>1617</v>
      </c>
      <c r="U482" s="48"/>
      <c r="V482" s="39"/>
      <c r="W482" s="41" t="s">
        <v>2366</v>
      </c>
      <c r="X482" s="210"/>
      <c r="Y482" s="50"/>
    </row>
    <row r="483" spans="1:25" customFormat="1" ht="14.4" customHeight="1" x14ac:dyDescent="0.3">
      <c r="A483" s="48">
        <f t="shared" si="20"/>
        <v>8</v>
      </c>
      <c r="B483" s="113">
        <v>46069</v>
      </c>
      <c r="C483" s="48" t="str">
        <f t="shared" si="23"/>
        <v>febrero</v>
      </c>
      <c r="D483" s="48" t="s">
        <v>2135</v>
      </c>
      <c r="E483" s="42" t="s">
        <v>356</v>
      </c>
      <c r="F483" s="47" t="s">
        <v>127</v>
      </c>
      <c r="G483" s="125">
        <v>10.84</v>
      </c>
      <c r="H483" s="48" t="s">
        <v>2017</v>
      </c>
      <c r="I483" s="197">
        <v>19.963000000000001</v>
      </c>
      <c r="J483" s="197">
        <v>216.39892</v>
      </c>
      <c r="K483" s="197">
        <v>33.6</v>
      </c>
      <c r="L483" s="197">
        <v>249.99892</v>
      </c>
      <c r="M483" s="198">
        <v>0</v>
      </c>
      <c r="N483" s="48" t="s">
        <v>1617</v>
      </c>
      <c r="O483" s="48" t="s">
        <v>46</v>
      </c>
      <c r="P483" s="48" t="s">
        <v>25</v>
      </c>
      <c r="Q483" s="48" t="s">
        <v>1869</v>
      </c>
      <c r="R483" s="48" t="s">
        <v>2801</v>
      </c>
      <c r="S483" s="48" t="s">
        <v>647</v>
      </c>
      <c r="T483" s="114" t="s">
        <v>2025</v>
      </c>
      <c r="U483" s="48"/>
      <c r="V483" s="39"/>
      <c r="W483" s="41" t="s">
        <v>1870</v>
      </c>
      <c r="X483" s="50" t="s">
        <v>2317</v>
      </c>
      <c r="Y483" s="50"/>
    </row>
    <row r="484" spans="1:25" customFormat="1" ht="14.4" customHeight="1" x14ac:dyDescent="0.3">
      <c r="A484" s="48">
        <f t="shared" si="20"/>
        <v>8</v>
      </c>
      <c r="B484" s="113">
        <v>46069</v>
      </c>
      <c r="C484" s="48" t="str">
        <f t="shared" si="23"/>
        <v>febrero</v>
      </c>
      <c r="D484" s="48" t="s">
        <v>2135</v>
      </c>
      <c r="E484" s="42" t="s">
        <v>2728</v>
      </c>
      <c r="F484" s="140" t="s">
        <v>2041</v>
      </c>
      <c r="G484" s="122">
        <v>2</v>
      </c>
      <c r="H484" s="48" t="s">
        <v>1705</v>
      </c>
      <c r="I484" s="197">
        <v>112.07</v>
      </c>
      <c r="J484" s="197">
        <v>224.14</v>
      </c>
      <c r="K484" s="197">
        <v>35.862400000000001</v>
      </c>
      <c r="L484" s="200">
        <v>260.00239999999997</v>
      </c>
      <c r="M484" s="198">
        <v>0</v>
      </c>
      <c r="N484" s="48" t="s">
        <v>1617</v>
      </c>
      <c r="O484" s="48" t="s">
        <v>51</v>
      </c>
      <c r="P484" s="48" t="s">
        <v>25</v>
      </c>
      <c r="Q484" s="48" t="s">
        <v>1871</v>
      </c>
      <c r="R484" s="48" t="s">
        <v>2727</v>
      </c>
      <c r="S484" s="48" t="s">
        <v>381</v>
      </c>
      <c r="T484" s="123" t="s">
        <v>2042</v>
      </c>
      <c r="U484" s="48"/>
      <c r="V484" s="39"/>
      <c r="W484" s="41" t="s">
        <v>2043</v>
      </c>
      <c r="X484" s="50" t="s">
        <v>2318</v>
      </c>
      <c r="Y484" s="50"/>
    </row>
    <row r="485" spans="1:25" customFormat="1" ht="14.4" customHeight="1" x14ac:dyDescent="0.3">
      <c r="A485" s="48">
        <f t="shared" si="20"/>
        <v>8</v>
      </c>
      <c r="B485" s="113">
        <v>46069</v>
      </c>
      <c r="C485" s="48" t="str">
        <f t="shared" si="23"/>
        <v>febrero</v>
      </c>
      <c r="D485" s="48" t="s">
        <v>2135</v>
      </c>
      <c r="E485" s="42" t="s">
        <v>2728</v>
      </c>
      <c r="F485" s="141" t="s">
        <v>2044</v>
      </c>
      <c r="G485" s="124">
        <v>1</v>
      </c>
      <c r="H485" s="48" t="s">
        <v>1705</v>
      </c>
      <c r="I485" s="197">
        <v>418.1</v>
      </c>
      <c r="J485" s="197">
        <v>418.1</v>
      </c>
      <c r="K485" s="197">
        <v>66.896000000000001</v>
      </c>
      <c r="L485" s="200">
        <v>484.99600000000004</v>
      </c>
      <c r="M485" s="198">
        <v>0</v>
      </c>
      <c r="N485" s="48" t="s">
        <v>1617</v>
      </c>
      <c r="O485" s="48" t="s">
        <v>51</v>
      </c>
      <c r="P485" s="48" t="s">
        <v>25</v>
      </c>
      <c r="Q485" s="48" t="s">
        <v>1871</v>
      </c>
      <c r="R485" s="48" t="s">
        <v>2727</v>
      </c>
      <c r="S485" s="48" t="s">
        <v>381</v>
      </c>
      <c r="T485" s="123" t="s">
        <v>2045</v>
      </c>
      <c r="U485" s="48"/>
      <c r="V485" s="39"/>
      <c r="W485" s="41" t="s">
        <v>2043</v>
      </c>
      <c r="X485" s="50" t="s">
        <v>2318</v>
      </c>
      <c r="Y485" s="50"/>
    </row>
    <row r="486" spans="1:25" customFormat="1" ht="14.4" customHeight="1" x14ac:dyDescent="0.3">
      <c r="A486" s="48">
        <f t="shared" si="20"/>
        <v>8</v>
      </c>
      <c r="B486" s="113">
        <v>46069</v>
      </c>
      <c r="C486" s="48" t="str">
        <f t="shared" si="23"/>
        <v>febrero</v>
      </c>
      <c r="D486" s="48" t="s">
        <v>2135</v>
      </c>
      <c r="E486" s="42" t="s">
        <v>2728</v>
      </c>
      <c r="F486" s="47" t="s">
        <v>2946</v>
      </c>
      <c r="G486" s="48">
        <v>1</v>
      </c>
      <c r="H486" s="48" t="s">
        <v>2016</v>
      </c>
      <c r="I486" s="197">
        <v>65.52</v>
      </c>
      <c r="J486" s="197">
        <v>65.52</v>
      </c>
      <c r="K486" s="197">
        <v>10.4832</v>
      </c>
      <c r="L486" s="197">
        <v>76.003199999999993</v>
      </c>
      <c r="M486" s="198">
        <v>0</v>
      </c>
      <c r="N486" s="48" t="s">
        <v>1617</v>
      </c>
      <c r="O486" s="48" t="s">
        <v>51</v>
      </c>
      <c r="P486" s="48" t="s">
        <v>25</v>
      </c>
      <c r="Q486" s="48" t="s">
        <v>1871</v>
      </c>
      <c r="R486" s="48" t="s">
        <v>2727</v>
      </c>
      <c r="S486" s="48" t="s">
        <v>381</v>
      </c>
      <c r="T486" s="114" t="s">
        <v>1617</v>
      </c>
      <c r="U486" s="48"/>
      <c r="V486" s="39"/>
      <c r="W486" s="41" t="s">
        <v>1762</v>
      </c>
      <c r="X486" s="50" t="s">
        <v>2321</v>
      </c>
      <c r="Y486" s="50"/>
    </row>
    <row r="487" spans="1:25" customFormat="1" ht="14.4" customHeight="1" x14ac:dyDescent="0.3">
      <c r="A487" s="48">
        <f t="shared" si="20"/>
        <v>8</v>
      </c>
      <c r="B487" s="113">
        <v>46069</v>
      </c>
      <c r="C487" s="48" t="str">
        <f t="shared" si="23"/>
        <v>febrero</v>
      </c>
      <c r="D487" s="48" t="s">
        <v>2135</v>
      </c>
      <c r="E487" s="42" t="s">
        <v>2918</v>
      </c>
      <c r="F487" s="47" t="s">
        <v>708</v>
      </c>
      <c r="G487" s="48">
        <v>1</v>
      </c>
      <c r="H487" s="48" t="s">
        <v>1617</v>
      </c>
      <c r="I487" s="197">
        <v>1200</v>
      </c>
      <c r="J487" s="197">
        <v>1200</v>
      </c>
      <c r="K487" s="197">
        <v>0</v>
      </c>
      <c r="L487" s="197">
        <v>1200</v>
      </c>
      <c r="M487" s="198">
        <v>0</v>
      </c>
      <c r="N487" s="48" t="s">
        <v>1617</v>
      </c>
      <c r="O487" s="48" t="s">
        <v>1860</v>
      </c>
      <c r="P487" s="48" t="s">
        <v>25</v>
      </c>
      <c r="Q487" s="48" t="s">
        <v>1844</v>
      </c>
      <c r="R487" s="48" t="s">
        <v>364</v>
      </c>
      <c r="S487" s="48" t="s">
        <v>1617</v>
      </c>
      <c r="T487" s="114" t="s">
        <v>1617</v>
      </c>
      <c r="U487" s="48" t="s">
        <v>1759</v>
      </c>
      <c r="V487" s="39"/>
      <c r="W487" s="41" t="s">
        <v>1617</v>
      </c>
      <c r="X487" s="50" t="s">
        <v>2322</v>
      </c>
      <c r="Y487" s="50"/>
    </row>
    <row r="488" spans="1:25" customFormat="1" ht="14.4" customHeight="1" x14ac:dyDescent="0.3">
      <c r="A488" s="48">
        <f t="shared" si="20"/>
        <v>8</v>
      </c>
      <c r="B488" s="113">
        <v>46070</v>
      </c>
      <c r="C488" s="48" t="str">
        <f t="shared" si="23"/>
        <v>febrero</v>
      </c>
      <c r="D488" s="48" t="s">
        <v>2135</v>
      </c>
      <c r="E488" s="42" t="s">
        <v>356</v>
      </c>
      <c r="F488" s="47" t="s">
        <v>127</v>
      </c>
      <c r="G488" s="48">
        <v>39.862000000000002</v>
      </c>
      <c r="H488" s="48" t="s">
        <v>2017</v>
      </c>
      <c r="I488" s="197">
        <v>20.611999999999998</v>
      </c>
      <c r="J488" s="197">
        <v>821.63554399999998</v>
      </c>
      <c r="K488" s="197">
        <v>131.46168703999999</v>
      </c>
      <c r="L488" s="197">
        <v>953.09723104</v>
      </c>
      <c r="M488" s="198">
        <v>0</v>
      </c>
      <c r="N488" s="48" t="s">
        <v>1617</v>
      </c>
      <c r="O488" s="48" t="s">
        <v>426</v>
      </c>
      <c r="P488" s="48" t="s">
        <v>25</v>
      </c>
      <c r="Q488" s="48" t="s">
        <v>1869</v>
      </c>
      <c r="R488" s="48" t="s">
        <v>2947</v>
      </c>
      <c r="S488" s="48" t="s">
        <v>1905</v>
      </c>
      <c r="T488" s="114" t="s">
        <v>2371</v>
      </c>
      <c r="U488" s="48" t="s">
        <v>1906</v>
      </c>
      <c r="V488" s="39"/>
      <c r="W488" s="41" t="s">
        <v>1617</v>
      </c>
      <c r="X488" s="50" t="s">
        <v>2325</v>
      </c>
      <c r="Y488" s="50"/>
    </row>
    <row r="489" spans="1:25" customFormat="1" ht="14.4" customHeight="1" x14ac:dyDescent="0.3">
      <c r="A489" s="48">
        <f t="shared" si="20"/>
        <v>8</v>
      </c>
      <c r="B489" s="113">
        <v>46070</v>
      </c>
      <c r="C489" s="48" t="str">
        <f t="shared" si="23"/>
        <v>febrero</v>
      </c>
      <c r="D489" s="48" t="s">
        <v>2135</v>
      </c>
      <c r="E489" s="42" t="s">
        <v>356</v>
      </c>
      <c r="F489" s="47" t="s">
        <v>127</v>
      </c>
      <c r="G489" s="48">
        <v>10.4213</v>
      </c>
      <c r="H489" s="48" t="s">
        <v>2017</v>
      </c>
      <c r="I489" s="197">
        <v>20.680099999999999</v>
      </c>
      <c r="J489" s="197">
        <v>215.51352613</v>
      </c>
      <c r="K489" s="197">
        <v>34.482164180799998</v>
      </c>
      <c r="L489" s="197">
        <v>249.9956903108</v>
      </c>
      <c r="M489" s="198">
        <v>0</v>
      </c>
      <c r="N489" s="48" t="s">
        <v>1617</v>
      </c>
      <c r="O489" s="48" t="s">
        <v>46</v>
      </c>
      <c r="P489" s="48" t="s">
        <v>25</v>
      </c>
      <c r="Q489" s="48" t="s">
        <v>488</v>
      </c>
      <c r="R489" s="48" t="s">
        <v>364</v>
      </c>
      <c r="S489" s="48" t="s">
        <v>388</v>
      </c>
      <c r="T489" s="114" t="s">
        <v>2372</v>
      </c>
      <c r="U489" s="48" t="s">
        <v>1902</v>
      </c>
      <c r="V489" s="39" t="s">
        <v>1879</v>
      </c>
      <c r="W489" s="41" t="s">
        <v>1617</v>
      </c>
      <c r="X489" s="50" t="s">
        <v>2326</v>
      </c>
      <c r="Y489" s="50"/>
    </row>
    <row r="490" spans="1:25" customFormat="1" ht="14.4" customHeight="1" x14ac:dyDescent="0.3">
      <c r="A490" s="48">
        <f t="shared" si="20"/>
        <v>8</v>
      </c>
      <c r="B490" s="113">
        <v>46070</v>
      </c>
      <c r="C490" s="48" t="str">
        <f t="shared" si="23"/>
        <v>febrero</v>
      </c>
      <c r="D490" s="48" t="s">
        <v>2135</v>
      </c>
      <c r="E490" s="42" t="s">
        <v>356</v>
      </c>
      <c r="F490" s="47" t="s">
        <v>127</v>
      </c>
      <c r="G490" s="125">
        <v>10.84</v>
      </c>
      <c r="H490" s="48" t="s">
        <v>2017</v>
      </c>
      <c r="I490" s="197">
        <v>19.963000000000001</v>
      </c>
      <c r="J490" s="197">
        <v>216.39892</v>
      </c>
      <c r="K490" s="197">
        <v>33.6</v>
      </c>
      <c r="L490" s="197">
        <v>249.99892</v>
      </c>
      <c r="M490" s="198">
        <v>0</v>
      </c>
      <c r="N490" s="48" t="s">
        <v>1617</v>
      </c>
      <c r="O490" s="48" t="s">
        <v>46</v>
      </c>
      <c r="P490" s="48" t="s">
        <v>25</v>
      </c>
      <c r="Q490" s="48" t="s">
        <v>488</v>
      </c>
      <c r="R490" s="48" t="s">
        <v>2727</v>
      </c>
      <c r="S490" s="48" t="s">
        <v>647</v>
      </c>
      <c r="T490" s="114" t="s">
        <v>2025</v>
      </c>
      <c r="U490" s="48"/>
      <c r="V490" s="39"/>
      <c r="W490" s="41" t="s">
        <v>1899</v>
      </c>
      <c r="X490" s="50" t="s">
        <v>2327</v>
      </c>
      <c r="Y490" s="50"/>
    </row>
    <row r="491" spans="1:25" customFormat="1" ht="14.4" customHeight="1" x14ac:dyDescent="0.3">
      <c r="A491" s="48">
        <f t="shared" si="20"/>
        <v>8</v>
      </c>
      <c r="B491" s="113">
        <v>46070</v>
      </c>
      <c r="C491" s="48" t="str">
        <f t="shared" si="23"/>
        <v>febrero</v>
      </c>
      <c r="D491" s="48" t="s">
        <v>2135</v>
      </c>
      <c r="E491" s="42" t="s">
        <v>356</v>
      </c>
      <c r="F491" s="47" t="s">
        <v>127</v>
      </c>
      <c r="G491" s="48">
        <v>20</v>
      </c>
      <c r="H491" s="48" t="s">
        <v>2017</v>
      </c>
      <c r="I491" s="197">
        <v>19.8706</v>
      </c>
      <c r="J491" s="197">
        <v>397.41199999999998</v>
      </c>
      <c r="K491" s="197">
        <v>63.585919999999994</v>
      </c>
      <c r="L491" s="197">
        <v>460.99791999999997</v>
      </c>
      <c r="M491" s="198">
        <v>0</v>
      </c>
      <c r="N491" s="48" t="s">
        <v>1449</v>
      </c>
      <c r="O491" s="48" t="s">
        <v>1611</v>
      </c>
      <c r="P491" s="48" t="s">
        <v>25</v>
      </c>
      <c r="Q491" s="48" t="s">
        <v>241</v>
      </c>
      <c r="R491" s="48" t="s">
        <v>2727</v>
      </c>
      <c r="S491" s="48" t="s">
        <v>1916</v>
      </c>
      <c r="T491" s="114" t="s">
        <v>2025</v>
      </c>
      <c r="U491" s="48" t="s">
        <v>1915</v>
      </c>
      <c r="V491" s="39"/>
      <c r="W491" s="41" t="s">
        <v>1917</v>
      </c>
      <c r="X491" s="50" t="s">
        <v>2328</v>
      </c>
      <c r="Y491" s="50"/>
    </row>
    <row r="492" spans="1:25" customFormat="1" ht="14.4" customHeight="1" x14ac:dyDescent="0.3">
      <c r="A492" s="48">
        <f t="shared" si="20"/>
        <v>8</v>
      </c>
      <c r="B492" s="113">
        <v>46070</v>
      </c>
      <c r="C492" s="48" t="str">
        <f t="shared" si="23"/>
        <v>febrero</v>
      </c>
      <c r="D492" s="48" t="s">
        <v>2135</v>
      </c>
      <c r="E492" s="42" t="s">
        <v>2728</v>
      </c>
      <c r="F492" s="47" t="s">
        <v>2375</v>
      </c>
      <c r="G492" s="48">
        <v>1</v>
      </c>
      <c r="H492" s="48" t="s">
        <v>1705</v>
      </c>
      <c r="I492" s="197">
        <v>1726.72</v>
      </c>
      <c r="J492" s="197">
        <v>1726.72</v>
      </c>
      <c r="K492" s="197">
        <v>276.27519999999998</v>
      </c>
      <c r="L492" s="200">
        <v>2002.9952000000001</v>
      </c>
      <c r="M492" s="198">
        <v>0</v>
      </c>
      <c r="N492" s="48" t="s">
        <v>1617</v>
      </c>
      <c r="O492" s="48" t="s">
        <v>152</v>
      </c>
      <c r="P492" s="48" t="s">
        <v>25</v>
      </c>
      <c r="Q492" s="48" t="s">
        <v>1813</v>
      </c>
      <c r="R492" s="48" t="s">
        <v>2727</v>
      </c>
      <c r="S492" s="48" t="s">
        <v>381</v>
      </c>
      <c r="T492" s="114" t="s">
        <v>1617</v>
      </c>
      <c r="U492" s="48"/>
      <c r="V492" s="131" t="s">
        <v>2018</v>
      </c>
      <c r="W492" s="41" t="s">
        <v>1762</v>
      </c>
      <c r="X492" s="50" t="s">
        <v>2330</v>
      </c>
      <c r="Y492" s="50"/>
    </row>
    <row r="493" spans="1:25" customFormat="1" ht="14.4" customHeight="1" x14ac:dyDescent="0.3">
      <c r="A493" s="48">
        <f t="shared" si="20"/>
        <v>8</v>
      </c>
      <c r="B493" s="113">
        <v>46070</v>
      </c>
      <c r="C493" s="48" t="str">
        <f t="shared" si="23"/>
        <v>febrero</v>
      </c>
      <c r="D493" s="48" t="s">
        <v>2135</v>
      </c>
      <c r="E493" s="42" t="s">
        <v>2728</v>
      </c>
      <c r="F493" s="47" t="s">
        <v>2376</v>
      </c>
      <c r="G493" s="48">
        <v>3</v>
      </c>
      <c r="H493" s="48" t="s">
        <v>1705</v>
      </c>
      <c r="I493" s="197">
        <v>69.83</v>
      </c>
      <c r="J493" s="197">
        <v>209.49</v>
      </c>
      <c r="K493" s="197">
        <v>33.5184</v>
      </c>
      <c r="L493" s="200">
        <v>243.00839999999999</v>
      </c>
      <c r="M493" s="198">
        <v>0</v>
      </c>
      <c r="N493" s="48" t="s">
        <v>1617</v>
      </c>
      <c r="O493" s="48" t="s">
        <v>152</v>
      </c>
      <c r="P493" s="48" t="s">
        <v>25</v>
      </c>
      <c r="Q493" s="48" t="s">
        <v>1813</v>
      </c>
      <c r="R493" s="48" t="s">
        <v>2727</v>
      </c>
      <c r="S493" s="48" t="s">
        <v>381</v>
      </c>
      <c r="T493" s="114" t="s">
        <v>1617</v>
      </c>
      <c r="U493" s="48"/>
      <c r="V493" s="131" t="s">
        <v>2018</v>
      </c>
      <c r="W493" s="41" t="s">
        <v>1762</v>
      </c>
      <c r="X493" s="50" t="s">
        <v>2330</v>
      </c>
      <c r="Y493" s="50"/>
    </row>
    <row r="494" spans="1:25" customFormat="1" ht="14.4" customHeight="1" x14ac:dyDescent="0.3">
      <c r="A494" s="48">
        <f t="shared" si="20"/>
        <v>8</v>
      </c>
      <c r="B494" s="113">
        <v>46070</v>
      </c>
      <c r="C494" s="48" t="str">
        <f t="shared" si="23"/>
        <v>febrero</v>
      </c>
      <c r="D494" s="48" t="s">
        <v>2135</v>
      </c>
      <c r="E494" s="42" t="s">
        <v>2728</v>
      </c>
      <c r="F494" s="47" t="s">
        <v>492</v>
      </c>
      <c r="G494" s="48">
        <v>1</v>
      </c>
      <c r="H494" s="48" t="s">
        <v>1705</v>
      </c>
      <c r="I494" s="197">
        <v>819.83</v>
      </c>
      <c r="J494" s="197">
        <v>819.83</v>
      </c>
      <c r="K494" s="197">
        <v>131.1728</v>
      </c>
      <c r="L494" s="200">
        <v>951.00279999999998</v>
      </c>
      <c r="M494" s="198">
        <v>0</v>
      </c>
      <c r="N494" s="48" t="s">
        <v>1617</v>
      </c>
      <c r="O494" s="48" t="s">
        <v>152</v>
      </c>
      <c r="P494" s="48" t="s">
        <v>25</v>
      </c>
      <c r="Q494" s="48" t="s">
        <v>1813</v>
      </c>
      <c r="R494" s="48" t="s">
        <v>2727</v>
      </c>
      <c r="S494" s="48" t="s">
        <v>381</v>
      </c>
      <c r="T494" s="114" t="s">
        <v>1617</v>
      </c>
      <c r="U494" s="48"/>
      <c r="V494" s="131" t="s">
        <v>2018</v>
      </c>
      <c r="W494" s="41" t="s">
        <v>1762</v>
      </c>
      <c r="X494" s="50" t="s">
        <v>2330</v>
      </c>
      <c r="Y494" s="50"/>
    </row>
    <row r="495" spans="1:25" customFormat="1" ht="14.4" customHeight="1" x14ac:dyDescent="0.3">
      <c r="A495" s="48">
        <f t="shared" si="20"/>
        <v>8</v>
      </c>
      <c r="B495" s="113">
        <v>46070</v>
      </c>
      <c r="C495" s="48" t="str">
        <f t="shared" si="23"/>
        <v>febrero</v>
      </c>
      <c r="D495" s="48" t="s">
        <v>2135</v>
      </c>
      <c r="E495" s="42" t="s">
        <v>2728</v>
      </c>
      <c r="F495" s="47" t="s">
        <v>498</v>
      </c>
      <c r="G495" s="48">
        <v>1</v>
      </c>
      <c r="H495" s="48" t="s">
        <v>1705</v>
      </c>
      <c r="I495" s="197">
        <v>619.83000000000004</v>
      </c>
      <c r="J495" s="197">
        <v>619.83000000000004</v>
      </c>
      <c r="K495" s="197">
        <v>99.172800000000009</v>
      </c>
      <c r="L495" s="200">
        <v>719.00280000000009</v>
      </c>
      <c r="M495" s="198">
        <v>0</v>
      </c>
      <c r="N495" s="48" t="s">
        <v>1617</v>
      </c>
      <c r="O495" s="48" t="s">
        <v>152</v>
      </c>
      <c r="P495" s="48" t="s">
        <v>25</v>
      </c>
      <c r="Q495" s="48" t="s">
        <v>1813</v>
      </c>
      <c r="R495" s="48" t="s">
        <v>2727</v>
      </c>
      <c r="S495" s="48" t="s">
        <v>381</v>
      </c>
      <c r="T495" s="114" t="s">
        <v>1617</v>
      </c>
      <c r="U495" s="48"/>
      <c r="V495" s="131" t="s">
        <v>2018</v>
      </c>
      <c r="W495" s="41" t="s">
        <v>1762</v>
      </c>
      <c r="X495" s="50" t="s">
        <v>2330</v>
      </c>
      <c r="Y495" s="50"/>
    </row>
    <row r="496" spans="1:25" customFormat="1" ht="14.4" customHeight="1" x14ac:dyDescent="0.3">
      <c r="A496" s="48">
        <f t="shared" si="20"/>
        <v>8</v>
      </c>
      <c r="B496" s="113">
        <v>46070</v>
      </c>
      <c r="C496" s="48" t="str">
        <f t="shared" si="23"/>
        <v>febrero</v>
      </c>
      <c r="D496" s="48" t="s">
        <v>2135</v>
      </c>
      <c r="E496" s="42" t="s">
        <v>2728</v>
      </c>
      <c r="F496" s="47" t="s">
        <v>2378</v>
      </c>
      <c r="G496" s="48">
        <v>1</v>
      </c>
      <c r="H496" s="48" t="s">
        <v>1705</v>
      </c>
      <c r="I496" s="197">
        <v>0</v>
      </c>
      <c r="J496" s="197">
        <v>0</v>
      </c>
      <c r="K496" s="197">
        <v>0</v>
      </c>
      <c r="L496" s="200">
        <v>0</v>
      </c>
      <c r="M496" s="198">
        <v>0</v>
      </c>
      <c r="N496" s="48" t="s">
        <v>1617</v>
      </c>
      <c r="O496" s="48" t="s">
        <v>152</v>
      </c>
      <c r="P496" s="48" t="s">
        <v>25</v>
      </c>
      <c r="Q496" s="48" t="s">
        <v>1813</v>
      </c>
      <c r="R496" s="48" t="s">
        <v>2727</v>
      </c>
      <c r="S496" s="48" t="s">
        <v>381</v>
      </c>
      <c r="T496" s="114" t="s">
        <v>1617</v>
      </c>
      <c r="U496" s="48" t="s">
        <v>2379</v>
      </c>
      <c r="V496" s="45" t="s">
        <v>2948</v>
      </c>
      <c r="W496" s="41" t="s">
        <v>1762</v>
      </c>
      <c r="X496" s="50" t="s">
        <v>2330</v>
      </c>
      <c r="Y496" s="50"/>
    </row>
    <row r="497" spans="1:25" customFormat="1" ht="14.4" customHeight="1" x14ac:dyDescent="0.3">
      <c r="A497" s="48">
        <f t="shared" si="20"/>
        <v>8</v>
      </c>
      <c r="B497" s="113">
        <v>46070</v>
      </c>
      <c r="C497" s="48" t="str">
        <f t="shared" si="23"/>
        <v>febrero</v>
      </c>
      <c r="D497" s="48" t="s">
        <v>2135</v>
      </c>
      <c r="E497" s="42" t="s">
        <v>2728</v>
      </c>
      <c r="F497" s="47" t="s">
        <v>1912</v>
      </c>
      <c r="G497" s="48">
        <v>1</v>
      </c>
      <c r="H497" s="48" t="s">
        <v>1705</v>
      </c>
      <c r="I497" s="197">
        <v>172.41</v>
      </c>
      <c r="J497" s="197">
        <v>172.41</v>
      </c>
      <c r="K497" s="197">
        <v>27.585599999999999</v>
      </c>
      <c r="L497" s="197">
        <v>199.9956</v>
      </c>
      <c r="M497" s="198">
        <v>0</v>
      </c>
      <c r="N497" s="48" t="s">
        <v>1617</v>
      </c>
      <c r="O497" s="48" t="s">
        <v>36</v>
      </c>
      <c r="P497" s="48" t="s">
        <v>25</v>
      </c>
      <c r="Q497" s="48" t="s">
        <v>1813</v>
      </c>
      <c r="R497" s="48" t="s">
        <v>2727</v>
      </c>
      <c r="S497" s="48" t="s">
        <v>1913</v>
      </c>
      <c r="T497" s="114" t="s">
        <v>1617</v>
      </c>
      <c r="U497" s="48" t="s">
        <v>1872</v>
      </c>
      <c r="V497" s="39"/>
      <c r="W497" s="41" t="s">
        <v>1914</v>
      </c>
      <c r="X497" s="50" t="s">
        <v>2336</v>
      </c>
      <c r="Y497" s="50"/>
    </row>
    <row r="498" spans="1:25" customFormat="1" ht="14.4" customHeight="1" x14ac:dyDescent="0.3">
      <c r="A498" s="48">
        <f t="shared" ref="A498:A561" si="24">WEEKNUM(B498)</f>
        <v>8</v>
      </c>
      <c r="B498" s="113">
        <v>46070</v>
      </c>
      <c r="C498" s="48" t="str">
        <f t="shared" si="23"/>
        <v>febrero</v>
      </c>
      <c r="D498" s="48" t="s">
        <v>2135</v>
      </c>
      <c r="E498" s="42" t="s">
        <v>477</v>
      </c>
      <c r="F498" s="47" t="s">
        <v>559</v>
      </c>
      <c r="G498" s="48">
        <v>1</v>
      </c>
      <c r="H498" s="48" t="s">
        <v>1617</v>
      </c>
      <c r="I498" s="197">
        <v>610</v>
      </c>
      <c r="J498" s="197">
        <v>610</v>
      </c>
      <c r="K498" s="197">
        <v>0</v>
      </c>
      <c r="L498" s="197">
        <v>610</v>
      </c>
      <c r="M498" s="198">
        <v>0</v>
      </c>
      <c r="N498" s="48" t="s">
        <v>1617</v>
      </c>
      <c r="O498" s="48" t="s">
        <v>426</v>
      </c>
      <c r="P498" s="48" t="s">
        <v>25</v>
      </c>
      <c r="Q498" s="48" t="s">
        <v>1869</v>
      </c>
      <c r="R498" s="48" t="s">
        <v>2727</v>
      </c>
      <c r="S498" s="48" t="s">
        <v>1903</v>
      </c>
      <c r="T498" s="114" t="s">
        <v>1617</v>
      </c>
      <c r="U498" s="48" t="s">
        <v>1904</v>
      </c>
      <c r="V498" s="39"/>
      <c r="W498" s="41" t="s">
        <v>1617</v>
      </c>
      <c r="X498" s="50"/>
      <c r="Y498" s="50"/>
    </row>
    <row r="499" spans="1:25" customFormat="1" ht="14.4" customHeight="1" x14ac:dyDescent="0.3">
      <c r="A499" s="48">
        <f t="shared" si="24"/>
        <v>8</v>
      </c>
      <c r="B499" s="113">
        <v>46071</v>
      </c>
      <c r="C499" s="48" t="str">
        <f t="shared" si="23"/>
        <v>febrero</v>
      </c>
      <c r="D499" s="48" t="s">
        <v>2135</v>
      </c>
      <c r="E499" s="42" t="s">
        <v>356</v>
      </c>
      <c r="F499" s="47" t="s">
        <v>2949</v>
      </c>
      <c r="G499" s="125">
        <v>11.595000000000001</v>
      </c>
      <c r="H499" s="48" t="s">
        <v>2017</v>
      </c>
      <c r="I499" s="197">
        <v>19.8706</v>
      </c>
      <c r="J499" s="197">
        <v>230.399607</v>
      </c>
      <c r="K499" s="197">
        <v>36.863937120000003</v>
      </c>
      <c r="L499" s="201">
        <v>267.26354412000001</v>
      </c>
      <c r="M499" s="198">
        <v>0</v>
      </c>
      <c r="N499" s="48" t="s">
        <v>2067</v>
      </c>
      <c r="O499" s="48" t="s">
        <v>2826</v>
      </c>
      <c r="P499" s="48" t="s">
        <v>25</v>
      </c>
      <c r="Q499" s="48" t="s">
        <v>1869</v>
      </c>
      <c r="R499" s="48" t="s">
        <v>364</v>
      </c>
      <c r="S499" s="48" t="s">
        <v>647</v>
      </c>
      <c r="T499" s="114" t="s">
        <v>2025</v>
      </c>
      <c r="U499" s="48" t="s">
        <v>1879</v>
      </c>
      <c r="V499" s="39"/>
      <c r="W499" s="41" t="s">
        <v>1617</v>
      </c>
      <c r="X499" s="50" t="s">
        <v>2338</v>
      </c>
    </row>
    <row r="500" spans="1:25" customFormat="1" ht="14.4" customHeight="1" x14ac:dyDescent="0.3">
      <c r="A500" s="48">
        <f t="shared" si="24"/>
        <v>8</v>
      </c>
      <c r="B500" s="113">
        <v>46071</v>
      </c>
      <c r="C500" s="48" t="str">
        <f t="shared" si="23"/>
        <v>febrero</v>
      </c>
      <c r="D500" s="48" t="s">
        <v>2135</v>
      </c>
      <c r="E500" s="42" t="s">
        <v>356</v>
      </c>
      <c r="F500" s="47" t="s">
        <v>2950</v>
      </c>
      <c r="G500" s="125">
        <v>11.595000000000001</v>
      </c>
      <c r="H500" s="48" t="s">
        <v>2017</v>
      </c>
      <c r="I500" s="197">
        <v>19.8706</v>
      </c>
      <c r="J500" s="197">
        <v>230.399607</v>
      </c>
      <c r="K500" s="197">
        <v>36.863937120000003</v>
      </c>
      <c r="L500" s="201">
        <v>267.26354412000001</v>
      </c>
      <c r="M500" s="198">
        <v>0</v>
      </c>
      <c r="N500" s="48" t="s">
        <v>2382</v>
      </c>
      <c r="O500" s="48" t="s">
        <v>2826</v>
      </c>
      <c r="P500" s="48" t="s">
        <v>25</v>
      </c>
      <c r="Q500" s="48" t="s">
        <v>1869</v>
      </c>
      <c r="R500" s="48" t="s">
        <v>364</v>
      </c>
      <c r="S500" s="48" t="s">
        <v>647</v>
      </c>
      <c r="T500" s="114" t="s">
        <v>2025</v>
      </c>
      <c r="U500" s="48" t="s">
        <v>1879</v>
      </c>
      <c r="V500" s="39" t="s">
        <v>2383</v>
      </c>
      <c r="W500" s="41" t="s">
        <v>1617</v>
      </c>
      <c r="X500" s="50" t="s">
        <v>2338</v>
      </c>
    </row>
    <row r="501" spans="1:25" customFormat="1" ht="14.4" customHeight="1" x14ac:dyDescent="0.3">
      <c r="A501" s="48">
        <f t="shared" si="24"/>
        <v>8</v>
      </c>
      <c r="B501" s="113">
        <v>46071</v>
      </c>
      <c r="C501" s="48" t="str">
        <f t="shared" si="23"/>
        <v>febrero</v>
      </c>
      <c r="D501" s="48" t="s">
        <v>2135</v>
      </c>
      <c r="E501" s="42" t="s">
        <v>356</v>
      </c>
      <c r="F501" s="47" t="s">
        <v>2951</v>
      </c>
      <c r="G501" s="48">
        <v>4.2030000000000003</v>
      </c>
      <c r="H501" s="48" t="s">
        <v>2017</v>
      </c>
      <c r="I501" s="197">
        <v>20.509799999999998</v>
      </c>
      <c r="J501" s="197">
        <v>86.202689399999997</v>
      </c>
      <c r="K501" s="197">
        <v>13.792430304</v>
      </c>
      <c r="L501" s="197">
        <v>99.99511970399999</v>
      </c>
      <c r="M501" s="198">
        <v>0</v>
      </c>
      <c r="N501" s="48" t="s">
        <v>2384</v>
      </c>
      <c r="O501" s="48" t="s">
        <v>2826</v>
      </c>
      <c r="P501" s="48" t="s">
        <v>25</v>
      </c>
      <c r="Q501" s="48" t="s">
        <v>1871</v>
      </c>
      <c r="R501" s="48" t="s">
        <v>2727</v>
      </c>
      <c r="S501" s="48" t="s">
        <v>593</v>
      </c>
      <c r="T501" s="114" t="s">
        <v>2100</v>
      </c>
      <c r="U501" s="48" t="s">
        <v>2385</v>
      </c>
      <c r="V501" s="39"/>
      <c r="W501" s="41" t="s">
        <v>1900</v>
      </c>
      <c r="X501" s="50" t="s">
        <v>2340</v>
      </c>
    </row>
    <row r="502" spans="1:25" customFormat="1" ht="14.4" customHeight="1" x14ac:dyDescent="0.3">
      <c r="A502" s="48">
        <f t="shared" si="24"/>
        <v>8</v>
      </c>
      <c r="B502" s="113">
        <v>46071</v>
      </c>
      <c r="C502" s="48" t="str">
        <f t="shared" si="23"/>
        <v>febrero</v>
      </c>
      <c r="D502" s="48" t="s">
        <v>2135</v>
      </c>
      <c r="E502" s="42" t="s">
        <v>2728</v>
      </c>
      <c r="F502" s="47" t="s">
        <v>2386</v>
      </c>
      <c r="G502" s="48">
        <v>3</v>
      </c>
      <c r="H502" s="48" t="s">
        <v>1705</v>
      </c>
      <c r="I502" s="197">
        <v>75</v>
      </c>
      <c r="J502" s="197">
        <v>225</v>
      </c>
      <c r="K502" s="197">
        <v>0</v>
      </c>
      <c r="L502" s="197">
        <v>225</v>
      </c>
      <c r="M502" s="198">
        <v>0</v>
      </c>
      <c r="N502" s="48" t="s">
        <v>1617</v>
      </c>
      <c r="O502" s="48" t="s">
        <v>1860</v>
      </c>
      <c r="P502" s="48" t="s">
        <v>25</v>
      </c>
      <c r="Q502" s="48" t="s">
        <v>535</v>
      </c>
      <c r="R502" s="48" t="s">
        <v>364</v>
      </c>
      <c r="S502" s="48" t="s">
        <v>1901</v>
      </c>
      <c r="T502" s="114" t="s">
        <v>1617</v>
      </c>
      <c r="U502" s="48" t="s">
        <v>2923</v>
      </c>
      <c r="V502" s="39" t="s">
        <v>1761</v>
      </c>
      <c r="W502" s="41" t="s">
        <v>1617</v>
      </c>
      <c r="X502" s="50" t="s">
        <v>2343</v>
      </c>
      <c r="Y502" s="50"/>
    </row>
    <row r="503" spans="1:25" customFormat="1" ht="14.4" customHeight="1" x14ac:dyDescent="0.3">
      <c r="A503" s="48">
        <f t="shared" si="24"/>
        <v>8</v>
      </c>
      <c r="B503" s="113">
        <v>46071</v>
      </c>
      <c r="C503" s="48" t="str">
        <f t="shared" si="23"/>
        <v>febrero</v>
      </c>
      <c r="D503" s="48" t="s">
        <v>2135</v>
      </c>
      <c r="E503" s="42" t="s">
        <v>2728</v>
      </c>
      <c r="F503" s="47" t="s">
        <v>133</v>
      </c>
      <c r="G503" s="48">
        <v>1</v>
      </c>
      <c r="H503" s="48" t="s">
        <v>1617</v>
      </c>
      <c r="I503" s="197">
        <v>2900</v>
      </c>
      <c r="J503" s="197">
        <v>2900</v>
      </c>
      <c r="K503" s="197">
        <v>0</v>
      </c>
      <c r="L503" s="197">
        <v>2900</v>
      </c>
      <c r="M503" s="198">
        <v>0</v>
      </c>
      <c r="N503" s="48" t="s">
        <v>1617</v>
      </c>
      <c r="O503" s="48" t="s">
        <v>1860</v>
      </c>
      <c r="P503" s="48" t="s">
        <v>25</v>
      </c>
      <c r="Q503" s="48" t="s">
        <v>535</v>
      </c>
      <c r="R503" s="48" t="s">
        <v>364</v>
      </c>
      <c r="S503" s="48" t="s">
        <v>133</v>
      </c>
      <c r="T503" s="114" t="s">
        <v>1617</v>
      </c>
      <c r="U503" s="48" t="s">
        <v>2923</v>
      </c>
      <c r="V503" s="39" t="s">
        <v>1759</v>
      </c>
      <c r="W503" s="41" t="s">
        <v>1617</v>
      </c>
      <c r="X503" s="50" t="s">
        <v>2345</v>
      </c>
      <c r="Y503" s="50"/>
    </row>
    <row r="504" spans="1:25" customFormat="1" ht="14.4" customHeight="1" x14ac:dyDescent="0.3">
      <c r="A504" s="48">
        <f t="shared" si="24"/>
        <v>8</v>
      </c>
      <c r="B504" s="113">
        <v>46071</v>
      </c>
      <c r="C504" s="48" t="str">
        <f t="shared" si="23"/>
        <v>febrero</v>
      </c>
      <c r="D504" s="48" t="s">
        <v>2135</v>
      </c>
      <c r="E504" s="42" t="s">
        <v>2728</v>
      </c>
      <c r="F504" s="47" t="s">
        <v>2388</v>
      </c>
      <c r="G504" s="48">
        <v>1</v>
      </c>
      <c r="H504" s="48" t="s">
        <v>1705</v>
      </c>
      <c r="I504" s="197">
        <v>50</v>
      </c>
      <c r="J504" s="197">
        <v>50</v>
      </c>
      <c r="K504" s="197">
        <v>0</v>
      </c>
      <c r="L504" s="197">
        <v>50</v>
      </c>
      <c r="M504" s="198">
        <v>0</v>
      </c>
      <c r="N504" s="48" t="s">
        <v>1617</v>
      </c>
      <c r="O504" s="48" t="s">
        <v>118</v>
      </c>
      <c r="P504" s="48" t="s">
        <v>25</v>
      </c>
      <c r="Q504" s="48" t="s">
        <v>241</v>
      </c>
      <c r="R504" s="48" t="s">
        <v>2727</v>
      </c>
      <c r="S504" s="48" t="s">
        <v>1907</v>
      </c>
      <c r="T504" s="114" t="s">
        <v>1617</v>
      </c>
      <c r="U504" s="48" t="s">
        <v>1759</v>
      </c>
      <c r="V504" s="39"/>
      <c r="W504" s="41" t="s">
        <v>1617</v>
      </c>
      <c r="X504" s="50" t="s">
        <v>2349</v>
      </c>
    </row>
    <row r="505" spans="1:25" customFormat="1" ht="14.4" customHeight="1" x14ac:dyDescent="0.3">
      <c r="A505" s="48">
        <f t="shared" si="24"/>
        <v>8</v>
      </c>
      <c r="B505" s="113">
        <v>46071</v>
      </c>
      <c r="C505" s="48" t="str">
        <f t="shared" si="23"/>
        <v>febrero</v>
      </c>
      <c r="D505" s="48" t="s">
        <v>2135</v>
      </c>
      <c r="E505" s="42" t="s">
        <v>2728</v>
      </c>
      <c r="F505" s="47" t="s">
        <v>2390</v>
      </c>
      <c r="G505" s="48">
        <v>1</v>
      </c>
      <c r="H505" s="48" t="s">
        <v>2016</v>
      </c>
      <c r="I505" s="197">
        <v>42</v>
      </c>
      <c r="J505" s="197">
        <v>42</v>
      </c>
      <c r="K505" s="197">
        <v>0</v>
      </c>
      <c r="L505" s="197">
        <v>42</v>
      </c>
      <c r="M505" s="198">
        <v>0</v>
      </c>
      <c r="N505" s="48" t="s">
        <v>1617</v>
      </c>
      <c r="O505" s="48" t="s">
        <v>118</v>
      </c>
      <c r="P505" s="48" t="s">
        <v>25</v>
      </c>
      <c r="Q505" s="48" t="s">
        <v>241</v>
      </c>
      <c r="R505" s="48" t="s">
        <v>2727</v>
      </c>
      <c r="S505" s="48" t="s">
        <v>1907</v>
      </c>
      <c r="T505" s="114" t="s">
        <v>1617</v>
      </c>
      <c r="U505" s="48" t="s">
        <v>1759</v>
      </c>
      <c r="V505" s="39"/>
      <c r="W505" s="41" t="s">
        <v>1617</v>
      </c>
      <c r="X505" s="50" t="s">
        <v>2351</v>
      </c>
    </row>
    <row r="506" spans="1:25" customFormat="1" ht="14.4" customHeight="1" x14ac:dyDescent="0.3">
      <c r="A506" s="48">
        <f t="shared" si="24"/>
        <v>8</v>
      </c>
      <c r="B506" s="113">
        <v>46071</v>
      </c>
      <c r="C506" s="48" t="str">
        <f t="shared" si="23"/>
        <v>febrero</v>
      </c>
      <c r="D506" s="48" t="s">
        <v>2135</v>
      </c>
      <c r="E506" s="42" t="s">
        <v>2728</v>
      </c>
      <c r="F506" s="47" t="s">
        <v>90</v>
      </c>
      <c r="G506" s="48">
        <v>4</v>
      </c>
      <c r="H506" s="48" t="s">
        <v>1705</v>
      </c>
      <c r="I506" s="197">
        <v>68.965500000000006</v>
      </c>
      <c r="J506" s="197">
        <v>275.86200000000002</v>
      </c>
      <c r="K506" s="197">
        <v>44.137920000000001</v>
      </c>
      <c r="L506" s="200">
        <v>319.99992000000003</v>
      </c>
      <c r="M506" s="198">
        <v>0</v>
      </c>
      <c r="N506" s="48" t="s">
        <v>1617</v>
      </c>
      <c r="O506" s="48" t="s">
        <v>426</v>
      </c>
      <c r="P506" s="48" t="s">
        <v>25</v>
      </c>
      <c r="Q506" s="48" t="s">
        <v>241</v>
      </c>
      <c r="R506" s="48" t="s">
        <v>2821</v>
      </c>
      <c r="S506" s="48" t="s">
        <v>381</v>
      </c>
      <c r="T506" s="114" t="s">
        <v>1617</v>
      </c>
      <c r="U506" s="48"/>
      <c r="V506" s="131" t="s">
        <v>2189</v>
      </c>
      <c r="W506" s="41" t="s">
        <v>2392</v>
      </c>
      <c r="X506" s="50" t="s">
        <v>2353</v>
      </c>
      <c r="Y506" s="50"/>
    </row>
    <row r="507" spans="1:25" customFormat="1" ht="14.4" customHeight="1" x14ac:dyDescent="0.3">
      <c r="A507" s="48">
        <f t="shared" si="24"/>
        <v>8</v>
      </c>
      <c r="B507" s="113">
        <v>46071</v>
      </c>
      <c r="C507" s="48" t="str">
        <f t="shared" si="23"/>
        <v>febrero</v>
      </c>
      <c r="D507" s="48" t="s">
        <v>2135</v>
      </c>
      <c r="E507" s="42" t="s">
        <v>2728</v>
      </c>
      <c r="F507" s="47" t="s">
        <v>2394</v>
      </c>
      <c r="G507" s="48">
        <v>1</v>
      </c>
      <c r="H507" s="48" t="s">
        <v>1705</v>
      </c>
      <c r="I507" s="197">
        <v>69.827500000000001</v>
      </c>
      <c r="J507" s="197">
        <v>69.827500000000001</v>
      </c>
      <c r="K507" s="197">
        <v>11.1724</v>
      </c>
      <c r="L507" s="200">
        <v>80.999899999999997</v>
      </c>
      <c r="M507" s="198">
        <v>0</v>
      </c>
      <c r="N507" s="48" t="s">
        <v>1617</v>
      </c>
      <c r="O507" s="48" t="s">
        <v>426</v>
      </c>
      <c r="P507" s="48" t="s">
        <v>25</v>
      </c>
      <c r="Q507" s="48" t="s">
        <v>241</v>
      </c>
      <c r="R507" s="48" t="s">
        <v>2821</v>
      </c>
      <c r="S507" s="48" t="s">
        <v>381</v>
      </c>
      <c r="T507" s="114" t="s">
        <v>1617</v>
      </c>
      <c r="U507" s="48"/>
      <c r="V507" s="131" t="s">
        <v>2189</v>
      </c>
      <c r="W507" s="41" t="s">
        <v>2392</v>
      </c>
      <c r="X507" s="50" t="s">
        <v>2353</v>
      </c>
      <c r="Y507" s="50"/>
    </row>
    <row r="508" spans="1:25" customFormat="1" ht="14.4" customHeight="1" x14ac:dyDescent="0.3">
      <c r="A508" s="48">
        <f t="shared" si="24"/>
        <v>8</v>
      </c>
      <c r="B508" s="113">
        <v>46071</v>
      </c>
      <c r="C508" s="48" t="str">
        <f t="shared" si="23"/>
        <v>febrero</v>
      </c>
      <c r="D508" s="48" t="s">
        <v>2135</v>
      </c>
      <c r="E508" s="42" t="s">
        <v>2728</v>
      </c>
      <c r="F508" s="47" t="s">
        <v>2396</v>
      </c>
      <c r="G508" s="48">
        <v>1</v>
      </c>
      <c r="H508" s="48" t="s">
        <v>1705</v>
      </c>
      <c r="I508" s="197">
        <v>78.4482</v>
      </c>
      <c r="J508" s="197">
        <v>78.4482</v>
      </c>
      <c r="K508" s="197">
        <v>12.551712</v>
      </c>
      <c r="L508" s="200">
        <v>90.999911999999995</v>
      </c>
      <c r="M508" s="198">
        <v>0</v>
      </c>
      <c r="N508" s="48" t="s">
        <v>1617</v>
      </c>
      <c r="O508" s="48" t="s">
        <v>426</v>
      </c>
      <c r="P508" s="48" t="s">
        <v>25</v>
      </c>
      <c r="Q508" s="48" t="s">
        <v>241</v>
      </c>
      <c r="R508" s="48" t="s">
        <v>2821</v>
      </c>
      <c r="S508" s="48" t="s">
        <v>381</v>
      </c>
      <c r="T508" s="114" t="s">
        <v>1617</v>
      </c>
      <c r="U508" s="48"/>
      <c r="V508" s="131" t="s">
        <v>2189</v>
      </c>
      <c r="W508" s="41" t="s">
        <v>2392</v>
      </c>
      <c r="X508" s="50" t="s">
        <v>2353</v>
      </c>
      <c r="Y508" s="50"/>
    </row>
    <row r="509" spans="1:25" customFormat="1" ht="14.4" customHeight="1" x14ac:dyDescent="0.3">
      <c r="A509" s="48">
        <f t="shared" si="24"/>
        <v>8</v>
      </c>
      <c r="B509" s="113">
        <v>46071</v>
      </c>
      <c r="C509" s="48" t="str">
        <f t="shared" si="23"/>
        <v>febrero</v>
      </c>
      <c r="D509" s="48" t="s">
        <v>2135</v>
      </c>
      <c r="E509" s="42" t="s">
        <v>2728</v>
      </c>
      <c r="F509" s="47" t="s">
        <v>95</v>
      </c>
      <c r="G509" s="48">
        <v>1</v>
      </c>
      <c r="H509" s="48" t="s">
        <v>1705</v>
      </c>
      <c r="I509" s="197">
        <v>69.827500000000001</v>
      </c>
      <c r="J509" s="197">
        <v>69.827500000000001</v>
      </c>
      <c r="K509" s="197">
        <v>11.1724</v>
      </c>
      <c r="L509" s="200">
        <v>80.999899999999997</v>
      </c>
      <c r="M509" s="198">
        <v>0</v>
      </c>
      <c r="N509" s="48" t="s">
        <v>1617</v>
      </c>
      <c r="O509" s="48" t="s">
        <v>426</v>
      </c>
      <c r="P509" s="48" t="s">
        <v>25</v>
      </c>
      <c r="Q509" s="48" t="s">
        <v>241</v>
      </c>
      <c r="R509" s="48" t="s">
        <v>2821</v>
      </c>
      <c r="S509" s="48" t="s">
        <v>381</v>
      </c>
      <c r="T509" s="114" t="s">
        <v>1617</v>
      </c>
      <c r="U509" s="48"/>
      <c r="V509" s="131" t="s">
        <v>2189</v>
      </c>
      <c r="W509" s="41" t="s">
        <v>2392</v>
      </c>
      <c r="X509" s="50" t="s">
        <v>2353</v>
      </c>
      <c r="Y509" s="50"/>
    </row>
    <row r="510" spans="1:25" customFormat="1" ht="14.4" customHeight="1" x14ac:dyDescent="0.3">
      <c r="A510" s="48">
        <f t="shared" si="24"/>
        <v>8</v>
      </c>
      <c r="B510" s="113">
        <v>46071</v>
      </c>
      <c r="C510" s="48" t="str">
        <f t="shared" si="23"/>
        <v>febrero</v>
      </c>
      <c r="D510" s="48" t="s">
        <v>2135</v>
      </c>
      <c r="E510" s="42" t="s">
        <v>2728</v>
      </c>
      <c r="F510" s="47" t="s">
        <v>90</v>
      </c>
      <c r="G510" s="48">
        <v>4</v>
      </c>
      <c r="H510" s="48" t="s">
        <v>1705</v>
      </c>
      <c r="I510" s="197">
        <v>207.7586</v>
      </c>
      <c r="J510" s="197">
        <v>831.03440000000001</v>
      </c>
      <c r="K510" s="197">
        <v>132.96550400000001</v>
      </c>
      <c r="L510" s="200">
        <v>963.99990400000002</v>
      </c>
      <c r="M510" s="198">
        <v>0</v>
      </c>
      <c r="N510" s="48" t="s">
        <v>1617</v>
      </c>
      <c r="O510" s="48" t="s">
        <v>36</v>
      </c>
      <c r="P510" s="48" t="s">
        <v>25</v>
      </c>
      <c r="Q510" s="48" t="s">
        <v>241</v>
      </c>
      <c r="R510" s="48" t="s">
        <v>2821</v>
      </c>
      <c r="S510" s="48" t="s">
        <v>381</v>
      </c>
      <c r="T510" s="114" t="s">
        <v>1617</v>
      </c>
      <c r="U510" s="48"/>
      <c r="V510" s="131" t="s">
        <v>2189</v>
      </c>
      <c r="W510" s="41" t="s">
        <v>2392</v>
      </c>
      <c r="X510" s="50" t="s">
        <v>2353</v>
      </c>
      <c r="Y510" s="50"/>
    </row>
    <row r="511" spans="1:25" customFormat="1" ht="14.4" customHeight="1" x14ac:dyDescent="0.3">
      <c r="A511" s="48">
        <f t="shared" si="24"/>
        <v>8</v>
      </c>
      <c r="B511" s="113">
        <v>46071</v>
      </c>
      <c r="C511" s="48" t="str">
        <f t="shared" si="23"/>
        <v>febrero</v>
      </c>
      <c r="D511" s="48" t="s">
        <v>2135</v>
      </c>
      <c r="E511" s="42" t="s">
        <v>2728</v>
      </c>
      <c r="F511" s="47" t="s">
        <v>2400</v>
      </c>
      <c r="G511" s="48">
        <v>1</v>
      </c>
      <c r="H511" s="48" t="s">
        <v>1705</v>
      </c>
      <c r="I511" s="197">
        <v>65.517200000000003</v>
      </c>
      <c r="J511" s="197">
        <v>65.517200000000003</v>
      </c>
      <c r="K511" s="197">
        <v>10.482752000000001</v>
      </c>
      <c r="L511" s="200">
        <v>75.999952000000008</v>
      </c>
      <c r="M511" s="198">
        <v>0</v>
      </c>
      <c r="N511" s="48" t="s">
        <v>1617</v>
      </c>
      <c r="O511" s="48" t="s">
        <v>36</v>
      </c>
      <c r="P511" s="48" t="s">
        <v>25</v>
      </c>
      <c r="Q511" s="48" t="s">
        <v>241</v>
      </c>
      <c r="R511" s="48" t="s">
        <v>2821</v>
      </c>
      <c r="S511" s="48" t="s">
        <v>381</v>
      </c>
      <c r="T511" s="114" t="s">
        <v>2401</v>
      </c>
      <c r="U511" s="48"/>
      <c r="V511" s="131" t="s">
        <v>2189</v>
      </c>
      <c r="W511" s="41" t="s">
        <v>2392</v>
      </c>
      <c r="X511" s="50" t="s">
        <v>2353</v>
      </c>
      <c r="Y511" s="50"/>
    </row>
    <row r="512" spans="1:25" customFormat="1" ht="14.4" customHeight="1" x14ac:dyDescent="0.3">
      <c r="A512" s="48">
        <f t="shared" si="24"/>
        <v>8</v>
      </c>
      <c r="B512" s="113">
        <v>46071</v>
      </c>
      <c r="C512" s="48" t="str">
        <f t="shared" si="23"/>
        <v>febrero</v>
      </c>
      <c r="D512" s="48" t="s">
        <v>2135</v>
      </c>
      <c r="E512" s="42" t="s">
        <v>2728</v>
      </c>
      <c r="F512" s="47" t="s">
        <v>2402</v>
      </c>
      <c r="G512" s="48">
        <v>1</v>
      </c>
      <c r="H512" s="48" t="s">
        <v>1705</v>
      </c>
      <c r="I512" s="197">
        <v>82.758600000000001</v>
      </c>
      <c r="J512" s="197">
        <v>82.758600000000001</v>
      </c>
      <c r="K512" s="197">
        <v>13.241376000000001</v>
      </c>
      <c r="L512" s="200">
        <v>95.999976000000004</v>
      </c>
      <c r="M512" s="198">
        <v>0</v>
      </c>
      <c r="N512" s="48" t="s">
        <v>1617</v>
      </c>
      <c r="O512" s="48" t="s">
        <v>36</v>
      </c>
      <c r="P512" s="48" t="s">
        <v>25</v>
      </c>
      <c r="Q512" s="48" t="s">
        <v>241</v>
      </c>
      <c r="R512" s="48" t="s">
        <v>2821</v>
      </c>
      <c r="S512" s="48" t="s">
        <v>381</v>
      </c>
      <c r="T512" s="114" t="s">
        <v>1617</v>
      </c>
      <c r="U512" s="48"/>
      <c r="V512" s="131" t="s">
        <v>2189</v>
      </c>
      <c r="W512" s="41" t="s">
        <v>2392</v>
      </c>
      <c r="X512" s="50" t="s">
        <v>2353</v>
      </c>
      <c r="Y512" s="50"/>
    </row>
    <row r="513" spans="1:25" customFormat="1" ht="14.4" customHeight="1" x14ac:dyDescent="0.3">
      <c r="A513" s="48">
        <f t="shared" si="24"/>
        <v>8</v>
      </c>
      <c r="B513" s="113">
        <v>46071</v>
      </c>
      <c r="C513" s="48" t="str">
        <f t="shared" si="23"/>
        <v>febrero</v>
      </c>
      <c r="D513" s="48" t="s">
        <v>2135</v>
      </c>
      <c r="E513" s="42" t="s">
        <v>2728</v>
      </c>
      <c r="F513" s="47" t="s">
        <v>90</v>
      </c>
      <c r="G513" s="48">
        <v>4</v>
      </c>
      <c r="H513" s="48" t="s">
        <v>1705</v>
      </c>
      <c r="I513" s="197">
        <v>207.7586</v>
      </c>
      <c r="J513" s="197">
        <v>831.03440000000001</v>
      </c>
      <c r="K513" s="197">
        <v>132.96550400000001</v>
      </c>
      <c r="L513" s="200">
        <v>963.99990400000002</v>
      </c>
      <c r="M513" s="198">
        <v>0</v>
      </c>
      <c r="N513" s="48" t="s">
        <v>1617</v>
      </c>
      <c r="O513" s="48" t="s">
        <v>42</v>
      </c>
      <c r="P513" s="48" t="s">
        <v>25</v>
      </c>
      <c r="Q513" s="48" t="s">
        <v>241</v>
      </c>
      <c r="R513" s="48" t="s">
        <v>2821</v>
      </c>
      <c r="S513" s="48" t="s">
        <v>381</v>
      </c>
      <c r="T513" s="114" t="s">
        <v>1617</v>
      </c>
      <c r="U513" s="48"/>
      <c r="V513" s="131" t="s">
        <v>2189</v>
      </c>
      <c r="W513" s="41" t="s">
        <v>2392</v>
      </c>
      <c r="X513" s="50" t="s">
        <v>2353</v>
      </c>
      <c r="Y513" s="50"/>
    </row>
    <row r="514" spans="1:25" customFormat="1" ht="14.4" customHeight="1" x14ac:dyDescent="0.3">
      <c r="A514" s="48">
        <f t="shared" si="24"/>
        <v>8</v>
      </c>
      <c r="B514" s="113">
        <v>46071</v>
      </c>
      <c r="C514" s="48" t="str">
        <f t="shared" si="23"/>
        <v>febrero</v>
      </c>
      <c r="D514" s="48" t="s">
        <v>2135</v>
      </c>
      <c r="E514" s="42" t="s">
        <v>2728</v>
      </c>
      <c r="F514" s="47" t="s">
        <v>2400</v>
      </c>
      <c r="G514" s="48">
        <v>1</v>
      </c>
      <c r="H514" s="48" t="s">
        <v>1705</v>
      </c>
      <c r="I514" s="197">
        <v>65.517200000000003</v>
      </c>
      <c r="J514" s="197">
        <v>65.517200000000003</v>
      </c>
      <c r="K514" s="197">
        <v>10.482752000000001</v>
      </c>
      <c r="L514" s="200">
        <v>75.999952000000008</v>
      </c>
      <c r="M514" s="198">
        <v>0</v>
      </c>
      <c r="N514" s="48" t="s">
        <v>1617</v>
      </c>
      <c r="O514" s="48" t="s">
        <v>42</v>
      </c>
      <c r="P514" s="48" t="s">
        <v>25</v>
      </c>
      <c r="Q514" s="48" t="s">
        <v>241</v>
      </c>
      <c r="R514" s="48" t="s">
        <v>2821</v>
      </c>
      <c r="S514" s="48" t="s">
        <v>381</v>
      </c>
      <c r="T514" s="114" t="s">
        <v>2401</v>
      </c>
      <c r="U514" s="48"/>
      <c r="V514" s="131" t="s">
        <v>2189</v>
      </c>
      <c r="W514" s="41" t="s">
        <v>2392</v>
      </c>
      <c r="X514" s="50" t="s">
        <v>2353</v>
      </c>
      <c r="Y514" s="50"/>
    </row>
    <row r="515" spans="1:25" customFormat="1" ht="14.4" customHeight="1" x14ac:dyDescent="0.3">
      <c r="A515" s="48">
        <f t="shared" si="24"/>
        <v>8</v>
      </c>
      <c r="B515" s="113">
        <v>46071</v>
      </c>
      <c r="C515" s="48" t="str">
        <f t="shared" ref="C515:C578" si="25">TEXT(B515,"MMMM")</f>
        <v>febrero</v>
      </c>
      <c r="D515" s="48" t="s">
        <v>2135</v>
      </c>
      <c r="E515" s="42" t="s">
        <v>2728</v>
      </c>
      <c r="F515" s="47" t="s">
        <v>2402</v>
      </c>
      <c r="G515" s="48">
        <v>1</v>
      </c>
      <c r="H515" s="48" t="s">
        <v>1705</v>
      </c>
      <c r="I515" s="197">
        <v>82.758600000000001</v>
      </c>
      <c r="J515" s="197">
        <v>82.758600000000001</v>
      </c>
      <c r="K515" s="197">
        <v>13.241376000000001</v>
      </c>
      <c r="L515" s="200">
        <v>95.999976000000004</v>
      </c>
      <c r="M515" s="198">
        <v>0</v>
      </c>
      <c r="N515" s="48" t="s">
        <v>1617</v>
      </c>
      <c r="O515" s="48" t="s">
        <v>42</v>
      </c>
      <c r="P515" s="48" t="s">
        <v>25</v>
      </c>
      <c r="Q515" s="48" t="s">
        <v>241</v>
      </c>
      <c r="R515" s="48" t="s">
        <v>2821</v>
      </c>
      <c r="S515" s="48" t="s">
        <v>381</v>
      </c>
      <c r="T515" s="114" t="s">
        <v>1617</v>
      </c>
      <c r="U515" s="48" t="s">
        <v>2403</v>
      </c>
      <c r="V515" s="131" t="s">
        <v>2189</v>
      </c>
      <c r="W515" s="41" t="s">
        <v>2392</v>
      </c>
      <c r="X515" s="50" t="s">
        <v>2353</v>
      </c>
      <c r="Y515" s="50"/>
    </row>
    <row r="516" spans="1:25" customFormat="1" ht="14.4" customHeight="1" x14ac:dyDescent="0.3">
      <c r="A516" s="48">
        <f t="shared" si="24"/>
        <v>8</v>
      </c>
      <c r="B516" s="113">
        <v>46071</v>
      </c>
      <c r="C516" s="48" t="str">
        <f t="shared" si="25"/>
        <v>febrero</v>
      </c>
      <c r="D516" s="48" t="s">
        <v>2135</v>
      </c>
      <c r="E516" s="42" t="s">
        <v>2728</v>
      </c>
      <c r="F516" s="47" t="s">
        <v>2404</v>
      </c>
      <c r="G516" s="48">
        <v>1</v>
      </c>
      <c r="H516" s="48" t="s">
        <v>1705</v>
      </c>
      <c r="I516" s="197">
        <v>689.65509999999995</v>
      </c>
      <c r="J516" s="197">
        <v>689.65509999999995</v>
      </c>
      <c r="K516" s="197">
        <v>110.34481599999999</v>
      </c>
      <c r="L516" s="197">
        <v>799.99991599999998</v>
      </c>
      <c r="M516" s="198">
        <v>0</v>
      </c>
      <c r="N516" s="48" t="s">
        <v>1617</v>
      </c>
      <c r="O516" s="48" t="s">
        <v>426</v>
      </c>
      <c r="P516" s="48" t="s">
        <v>25</v>
      </c>
      <c r="Q516" s="48" t="s">
        <v>241</v>
      </c>
      <c r="R516" s="48" t="s">
        <v>2821</v>
      </c>
      <c r="S516" s="48" t="s">
        <v>1919</v>
      </c>
      <c r="T516" s="114" t="s">
        <v>2405</v>
      </c>
      <c r="U516" s="48"/>
      <c r="V516" s="39"/>
      <c r="W516" s="41" t="s">
        <v>2406</v>
      </c>
      <c r="X516" s="50" t="s">
        <v>2365</v>
      </c>
      <c r="Y516" s="50"/>
    </row>
    <row r="517" spans="1:25" customFormat="1" ht="14.4" customHeight="1" x14ac:dyDescent="0.3">
      <c r="A517" s="48">
        <f t="shared" si="24"/>
        <v>8</v>
      </c>
      <c r="B517" s="113">
        <v>46071</v>
      </c>
      <c r="C517" s="48" t="str">
        <f t="shared" si="25"/>
        <v>febrero</v>
      </c>
      <c r="D517" s="48" t="s">
        <v>2135</v>
      </c>
      <c r="E517" s="42" t="s">
        <v>2728</v>
      </c>
      <c r="F517" s="47" t="s">
        <v>2407</v>
      </c>
      <c r="G517" s="48">
        <v>1</v>
      </c>
      <c r="H517" s="48" t="s">
        <v>1705</v>
      </c>
      <c r="I517" s="197">
        <v>534.48270000000002</v>
      </c>
      <c r="J517" s="197">
        <v>534.48270000000002</v>
      </c>
      <c r="K517" s="197">
        <v>85.517232000000007</v>
      </c>
      <c r="L517" s="201">
        <v>619.99993200000006</v>
      </c>
      <c r="M517" s="198">
        <v>0</v>
      </c>
      <c r="N517" s="48" t="s">
        <v>1617</v>
      </c>
      <c r="O517" s="48" t="s">
        <v>36</v>
      </c>
      <c r="P517" s="48" t="s">
        <v>25</v>
      </c>
      <c r="Q517" s="48" t="s">
        <v>241</v>
      </c>
      <c r="R517" s="48" t="s">
        <v>2821</v>
      </c>
      <c r="S517" s="48" t="s">
        <v>1919</v>
      </c>
      <c r="T517" s="114" t="s">
        <v>1669</v>
      </c>
      <c r="U517" s="48"/>
      <c r="V517" s="39"/>
      <c r="W517" s="41" t="s">
        <v>2408</v>
      </c>
      <c r="X517" s="50" t="s">
        <v>2367</v>
      </c>
      <c r="Y517" s="50"/>
    </row>
    <row r="518" spans="1:25" customFormat="1" ht="14.4" customHeight="1" x14ac:dyDescent="0.3">
      <c r="A518" s="48">
        <f t="shared" si="24"/>
        <v>8</v>
      </c>
      <c r="B518" s="113">
        <v>46071</v>
      </c>
      <c r="C518" s="48" t="str">
        <f t="shared" si="25"/>
        <v>febrero</v>
      </c>
      <c r="D518" s="48" t="s">
        <v>2135</v>
      </c>
      <c r="E518" s="42" t="s">
        <v>2728</v>
      </c>
      <c r="F518" s="47" t="s">
        <v>2407</v>
      </c>
      <c r="G518" s="48">
        <v>1</v>
      </c>
      <c r="H518" s="48" t="s">
        <v>1705</v>
      </c>
      <c r="I518" s="197">
        <v>534.48270000000002</v>
      </c>
      <c r="J518" s="197">
        <v>534.48270000000002</v>
      </c>
      <c r="K518" s="197">
        <v>85.517232000000007</v>
      </c>
      <c r="L518" s="201">
        <v>619.99993200000006</v>
      </c>
      <c r="M518" s="198">
        <v>0</v>
      </c>
      <c r="N518" s="48" t="s">
        <v>1617</v>
      </c>
      <c r="O518" s="48" t="s">
        <v>42</v>
      </c>
      <c r="P518" s="48" t="s">
        <v>25</v>
      </c>
      <c r="Q518" s="48" t="s">
        <v>241</v>
      </c>
      <c r="R518" s="48" t="s">
        <v>2821</v>
      </c>
      <c r="S518" s="48" t="s">
        <v>1919</v>
      </c>
      <c r="T518" s="114" t="s">
        <v>1669</v>
      </c>
      <c r="U518" s="48" t="s">
        <v>2409</v>
      </c>
      <c r="V518" s="39"/>
      <c r="W518" s="41" t="s">
        <v>2408</v>
      </c>
      <c r="X518" s="50" t="s">
        <v>2367</v>
      </c>
      <c r="Y518" s="50"/>
    </row>
    <row r="519" spans="1:25" customFormat="1" ht="14.4" customHeight="1" x14ac:dyDescent="0.3">
      <c r="A519" s="48">
        <f t="shared" si="24"/>
        <v>8</v>
      </c>
      <c r="B519" s="113">
        <v>46071</v>
      </c>
      <c r="C519" s="48" t="str">
        <f t="shared" si="25"/>
        <v>febrero</v>
      </c>
      <c r="D519" s="48" t="s">
        <v>2135</v>
      </c>
      <c r="E519" s="42" t="s">
        <v>2728</v>
      </c>
      <c r="F519" s="47" t="s">
        <v>2410</v>
      </c>
      <c r="G519" s="48">
        <v>1</v>
      </c>
      <c r="H519" s="48" t="s">
        <v>1705</v>
      </c>
      <c r="I519" s="197">
        <v>1119.8275000000001</v>
      </c>
      <c r="J519" s="197">
        <v>1119.8275000000001</v>
      </c>
      <c r="K519" s="197">
        <v>179.17240000000001</v>
      </c>
      <c r="L519" s="200">
        <v>1298.9999</v>
      </c>
      <c r="M519" s="198">
        <v>0</v>
      </c>
      <c r="N519" s="48" t="s">
        <v>1617</v>
      </c>
      <c r="O519" s="48" t="s">
        <v>118</v>
      </c>
      <c r="P519" s="48" t="s">
        <v>25</v>
      </c>
      <c r="Q519" s="48" t="s">
        <v>1813</v>
      </c>
      <c r="R519" s="48" t="s">
        <v>2821</v>
      </c>
      <c r="S519" s="48" t="s">
        <v>1908</v>
      </c>
      <c r="T519" s="114" t="s">
        <v>2411</v>
      </c>
      <c r="U519" s="48" t="s">
        <v>1909</v>
      </c>
      <c r="V519" s="131" t="s">
        <v>2018</v>
      </c>
      <c r="W519" s="41" t="s">
        <v>1910</v>
      </c>
      <c r="X519" s="50" t="s">
        <v>2368</v>
      </c>
    </row>
    <row r="520" spans="1:25" customFormat="1" ht="14.4" customHeight="1" x14ac:dyDescent="0.3">
      <c r="A520" s="48">
        <f t="shared" si="24"/>
        <v>8</v>
      </c>
      <c r="B520" s="113">
        <v>46071</v>
      </c>
      <c r="C520" s="48" t="str">
        <f t="shared" si="25"/>
        <v>febrero</v>
      </c>
      <c r="D520" s="48" t="s">
        <v>2135</v>
      </c>
      <c r="E520" s="42" t="s">
        <v>2728</v>
      </c>
      <c r="F520" s="47" t="s">
        <v>2412</v>
      </c>
      <c r="G520" s="48">
        <v>1</v>
      </c>
      <c r="H520" s="48" t="s">
        <v>2016</v>
      </c>
      <c r="I520" s="197">
        <v>365.65</v>
      </c>
      <c r="J520" s="197">
        <v>365.65</v>
      </c>
      <c r="K520" s="197">
        <v>58.503999999999998</v>
      </c>
      <c r="L520" s="200">
        <v>424.154</v>
      </c>
      <c r="M520" s="198">
        <v>0</v>
      </c>
      <c r="N520" s="48" t="s">
        <v>1617</v>
      </c>
      <c r="O520" s="48" t="s">
        <v>118</v>
      </c>
      <c r="P520" s="48" t="s">
        <v>25</v>
      </c>
      <c r="Q520" s="48" t="s">
        <v>1813</v>
      </c>
      <c r="R520" s="48" t="s">
        <v>2821</v>
      </c>
      <c r="S520" s="48" t="s">
        <v>1908</v>
      </c>
      <c r="T520" s="114" t="s">
        <v>2413</v>
      </c>
      <c r="U520" s="48" t="s">
        <v>2414</v>
      </c>
      <c r="V520" s="130" t="s">
        <v>2415</v>
      </c>
      <c r="W520" s="41" t="s">
        <v>1910</v>
      </c>
      <c r="X520" s="50" t="s">
        <v>2368</v>
      </c>
    </row>
    <row r="521" spans="1:25" customFormat="1" ht="14.4" customHeight="1" x14ac:dyDescent="0.3">
      <c r="A521" s="48">
        <f t="shared" si="24"/>
        <v>8</v>
      </c>
      <c r="B521" s="113">
        <v>46072</v>
      </c>
      <c r="C521" s="48" t="str">
        <f t="shared" si="25"/>
        <v>febrero</v>
      </c>
      <c r="D521" s="48" t="s">
        <v>2135</v>
      </c>
      <c r="E521" s="42" t="s">
        <v>2732</v>
      </c>
      <c r="F521" s="47" t="s">
        <v>1920</v>
      </c>
      <c r="G521" s="48">
        <v>1</v>
      </c>
      <c r="H521" s="48" t="s">
        <v>1705</v>
      </c>
      <c r="I521" s="197">
        <v>16.809999999999999</v>
      </c>
      <c r="J521" s="197">
        <v>16.809999999999999</v>
      </c>
      <c r="K521" s="197">
        <v>2.6896</v>
      </c>
      <c r="L521" s="197">
        <v>19.499599999999997</v>
      </c>
      <c r="M521" s="198">
        <v>0</v>
      </c>
      <c r="N521" s="48" t="s">
        <v>1617</v>
      </c>
      <c r="O521" s="48" t="s">
        <v>116</v>
      </c>
      <c r="P521" s="48" t="s">
        <v>25</v>
      </c>
      <c r="Q521" s="48" t="s">
        <v>1921</v>
      </c>
      <c r="R521" s="48" t="s">
        <v>2821</v>
      </c>
      <c r="S521" s="48" t="s">
        <v>424</v>
      </c>
      <c r="T521" s="114" t="s">
        <v>1617</v>
      </c>
      <c r="U521" s="48" t="s">
        <v>2416</v>
      </c>
      <c r="V521" s="39"/>
      <c r="W521" s="41" t="s">
        <v>1922</v>
      </c>
      <c r="X521" s="50" t="s">
        <v>2369</v>
      </c>
    </row>
    <row r="522" spans="1:25" customFormat="1" ht="14.4" customHeight="1" x14ac:dyDescent="0.3">
      <c r="A522" s="48">
        <f t="shared" si="24"/>
        <v>8</v>
      </c>
      <c r="B522" s="113">
        <v>46072</v>
      </c>
      <c r="C522" s="48" t="str">
        <f t="shared" si="25"/>
        <v>febrero</v>
      </c>
      <c r="D522" s="48" t="s">
        <v>2135</v>
      </c>
      <c r="E522" s="42" t="s">
        <v>2728</v>
      </c>
      <c r="F522" s="47" t="s">
        <v>111</v>
      </c>
      <c r="G522" s="48">
        <v>1</v>
      </c>
      <c r="H522" s="48" t="s">
        <v>1617</v>
      </c>
      <c r="I522" s="197">
        <v>25</v>
      </c>
      <c r="J522" s="197">
        <v>25</v>
      </c>
      <c r="K522" s="197">
        <v>0</v>
      </c>
      <c r="L522" s="201">
        <v>25</v>
      </c>
      <c r="M522" s="198">
        <v>0</v>
      </c>
      <c r="N522" s="48" t="s">
        <v>1617</v>
      </c>
      <c r="O522" s="48" t="s">
        <v>257</v>
      </c>
      <c r="P522" s="48" t="s">
        <v>25</v>
      </c>
      <c r="Q522" s="48" t="s">
        <v>535</v>
      </c>
      <c r="R522" s="48" t="s">
        <v>364</v>
      </c>
      <c r="S522" s="48" t="s">
        <v>2046</v>
      </c>
      <c r="T522" s="114" t="s">
        <v>1617</v>
      </c>
      <c r="U522" s="48" t="s">
        <v>1759</v>
      </c>
      <c r="V522" s="39"/>
      <c r="W522" s="41" t="s">
        <v>1617</v>
      </c>
      <c r="X522" s="50" t="s">
        <v>2370</v>
      </c>
      <c r="Y522" s="50"/>
    </row>
    <row r="523" spans="1:25" customFormat="1" ht="14.4" customHeight="1" x14ac:dyDescent="0.3">
      <c r="A523" s="48">
        <f t="shared" si="24"/>
        <v>8</v>
      </c>
      <c r="B523" s="113">
        <v>46072</v>
      </c>
      <c r="C523" s="48" t="str">
        <f t="shared" si="25"/>
        <v>febrero</v>
      </c>
      <c r="D523" s="48" t="s">
        <v>2135</v>
      </c>
      <c r="E523" s="42" t="s">
        <v>2728</v>
      </c>
      <c r="F523" s="47" t="s">
        <v>2419</v>
      </c>
      <c r="G523" s="48">
        <v>1</v>
      </c>
      <c r="H523" s="48" t="s">
        <v>1617</v>
      </c>
      <c r="I523" s="197">
        <v>25</v>
      </c>
      <c r="J523" s="197">
        <v>25</v>
      </c>
      <c r="K523" s="197">
        <v>0</v>
      </c>
      <c r="L523" s="201">
        <v>25</v>
      </c>
      <c r="M523" s="198">
        <v>0</v>
      </c>
      <c r="N523" s="48" t="s">
        <v>1617</v>
      </c>
      <c r="O523" s="48" t="s">
        <v>257</v>
      </c>
      <c r="P523" s="48" t="s">
        <v>25</v>
      </c>
      <c r="Q523" s="48" t="s">
        <v>535</v>
      </c>
      <c r="R523" s="48" t="s">
        <v>364</v>
      </c>
      <c r="S523" s="48" t="s">
        <v>2046</v>
      </c>
      <c r="T523" s="114" t="s">
        <v>1617</v>
      </c>
      <c r="U523" s="48" t="s">
        <v>1759</v>
      </c>
      <c r="V523" s="39" t="s">
        <v>2420</v>
      </c>
      <c r="W523" s="41" t="s">
        <v>1617</v>
      </c>
      <c r="X523" s="50" t="s">
        <v>2370</v>
      </c>
      <c r="Y523" s="50"/>
    </row>
    <row r="524" spans="1:25" customFormat="1" ht="14.4" customHeight="1" x14ac:dyDescent="0.3">
      <c r="A524" s="48">
        <f t="shared" si="24"/>
        <v>8</v>
      </c>
      <c r="B524" s="113">
        <v>46072</v>
      </c>
      <c r="C524" s="48" t="str">
        <f t="shared" si="25"/>
        <v>febrero</v>
      </c>
      <c r="D524" s="48" t="s">
        <v>2135</v>
      </c>
      <c r="E524" s="42" t="s">
        <v>2728</v>
      </c>
      <c r="F524" s="47" t="s">
        <v>2422</v>
      </c>
      <c r="G524" s="48">
        <v>1</v>
      </c>
      <c r="H524" s="48" t="s">
        <v>1617</v>
      </c>
      <c r="I524" s="197">
        <v>50</v>
      </c>
      <c r="J524" s="197">
        <v>50</v>
      </c>
      <c r="K524" s="197">
        <v>0</v>
      </c>
      <c r="L524" s="201">
        <v>50</v>
      </c>
      <c r="M524" s="198">
        <v>0</v>
      </c>
      <c r="N524" s="48" t="s">
        <v>1617</v>
      </c>
      <c r="O524" s="48" t="s">
        <v>257</v>
      </c>
      <c r="P524" s="48" t="s">
        <v>25</v>
      </c>
      <c r="Q524" s="48" t="s">
        <v>535</v>
      </c>
      <c r="R524" s="48" t="s">
        <v>364</v>
      </c>
      <c r="S524" s="48" t="s">
        <v>2046</v>
      </c>
      <c r="T524" s="114" t="s">
        <v>1617</v>
      </c>
      <c r="U524" s="48" t="s">
        <v>1759</v>
      </c>
      <c r="V524" s="39" t="s">
        <v>2423</v>
      </c>
      <c r="W524" s="41" t="s">
        <v>1617</v>
      </c>
      <c r="X524" s="50" t="s">
        <v>2370</v>
      </c>
      <c r="Y524" s="50"/>
    </row>
    <row r="525" spans="1:25" customFormat="1" ht="14.4" customHeight="1" x14ac:dyDescent="0.3">
      <c r="A525" s="48">
        <f t="shared" si="24"/>
        <v>8</v>
      </c>
      <c r="B525" s="113">
        <v>46072</v>
      </c>
      <c r="C525" s="48" t="str">
        <f t="shared" si="25"/>
        <v>febrero</v>
      </c>
      <c r="D525" s="48" t="s">
        <v>2135</v>
      </c>
      <c r="E525" s="42" t="s">
        <v>2728</v>
      </c>
      <c r="F525" s="47" t="s">
        <v>97</v>
      </c>
      <c r="G525" s="48">
        <v>1</v>
      </c>
      <c r="H525" s="48" t="s">
        <v>2016</v>
      </c>
      <c r="I525" s="197">
        <v>301.72410000000002</v>
      </c>
      <c r="J525" s="197">
        <v>301.72410000000002</v>
      </c>
      <c r="K525" s="197">
        <v>48.275856000000005</v>
      </c>
      <c r="L525" s="197">
        <v>349.999956</v>
      </c>
      <c r="M525" s="198">
        <v>0</v>
      </c>
      <c r="N525" s="48" t="s">
        <v>1617</v>
      </c>
      <c r="O525" s="48" t="s">
        <v>42</v>
      </c>
      <c r="P525" s="48" t="s">
        <v>25</v>
      </c>
      <c r="Q525" s="48" t="s">
        <v>241</v>
      </c>
      <c r="R525" s="48" t="s">
        <v>2821</v>
      </c>
      <c r="S525" s="48" t="s">
        <v>381</v>
      </c>
      <c r="T525" s="114" t="s">
        <v>1617</v>
      </c>
      <c r="U525" s="48"/>
      <c r="V525" s="39"/>
      <c r="W525" s="41" t="s">
        <v>1911</v>
      </c>
      <c r="X525" s="50" t="s">
        <v>2373</v>
      </c>
      <c r="Y525" s="50"/>
    </row>
    <row r="526" spans="1:25" customFormat="1" ht="14.4" customHeight="1" x14ac:dyDescent="0.3">
      <c r="A526" s="48">
        <f t="shared" si="24"/>
        <v>8</v>
      </c>
      <c r="B526" s="113">
        <v>46072</v>
      </c>
      <c r="C526" s="48" t="str">
        <f t="shared" si="25"/>
        <v>febrero</v>
      </c>
      <c r="D526" s="48" t="s">
        <v>2135</v>
      </c>
      <c r="E526" s="42" t="s">
        <v>2728</v>
      </c>
      <c r="F526" s="47" t="s">
        <v>330</v>
      </c>
      <c r="G526" s="48">
        <v>1</v>
      </c>
      <c r="H526" s="48" t="s">
        <v>2016</v>
      </c>
      <c r="I526" s="197">
        <v>301.72410000000002</v>
      </c>
      <c r="J526" s="197">
        <v>301.72410000000002</v>
      </c>
      <c r="K526" s="197">
        <v>48.275856000000005</v>
      </c>
      <c r="L526" s="200">
        <v>349.999956</v>
      </c>
      <c r="M526" s="198">
        <v>0</v>
      </c>
      <c r="N526" s="48" t="s">
        <v>1617</v>
      </c>
      <c r="O526" s="48" t="s">
        <v>36</v>
      </c>
      <c r="P526" s="48" t="s">
        <v>25</v>
      </c>
      <c r="Q526" s="48" t="s">
        <v>535</v>
      </c>
      <c r="R526" s="48" t="s">
        <v>2727</v>
      </c>
      <c r="S526" s="48" t="s">
        <v>381</v>
      </c>
      <c r="T526" s="114" t="s">
        <v>1617</v>
      </c>
      <c r="U526" s="48"/>
      <c r="V526" s="39"/>
      <c r="W526" s="41" t="s">
        <v>2424</v>
      </c>
      <c r="X526" s="50" t="s">
        <v>2374</v>
      </c>
      <c r="Y526" s="50"/>
    </row>
    <row r="527" spans="1:25" customFormat="1" ht="14.4" customHeight="1" x14ac:dyDescent="0.3">
      <c r="A527" s="48">
        <f t="shared" si="24"/>
        <v>8</v>
      </c>
      <c r="B527" s="113">
        <v>46072</v>
      </c>
      <c r="C527" s="48" t="str">
        <f t="shared" si="25"/>
        <v>febrero</v>
      </c>
      <c r="D527" s="48" t="s">
        <v>2135</v>
      </c>
      <c r="E527" s="42" t="s">
        <v>2728</v>
      </c>
      <c r="F527" s="47" t="s">
        <v>2425</v>
      </c>
      <c r="G527" s="48">
        <v>1</v>
      </c>
      <c r="H527" s="48" t="s">
        <v>1705</v>
      </c>
      <c r="I527" s="197">
        <v>375</v>
      </c>
      <c r="J527" s="197">
        <v>375</v>
      </c>
      <c r="K527" s="197">
        <v>60</v>
      </c>
      <c r="L527" s="200">
        <v>435</v>
      </c>
      <c r="M527" s="198">
        <v>0</v>
      </c>
      <c r="N527" s="48" t="s">
        <v>1617</v>
      </c>
      <c r="O527" s="48" t="s">
        <v>36</v>
      </c>
      <c r="P527" s="48" t="s">
        <v>25</v>
      </c>
      <c r="Q527" s="48" t="s">
        <v>535</v>
      </c>
      <c r="R527" s="48" t="s">
        <v>2727</v>
      </c>
      <c r="S527" s="48" t="s">
        <v>381</v>
      </c>
      <c r="T527" s="114" t="s">
        <v>1617</v>
      </c>
      <c r="U527" s="39" t="s">
        <v>2426</v>
      </c>
      <c r="V527" s="39"/>
      <c r="W527" s="41" t="s">
        <v>2424</v>
      </c>
      <c r="X527" s="50" t="s">
        <v>2374</v>
      </c>
      <c r="Y527" s="50"/>
    </row>
    <row r="528" spans="1:25" customFormat="1" ht="14.4" customHeight="1" x14ac:dyDescent="0.3">
      <c r="A528" s="48">
        <f t="shared" si="24"/>
        <v>8</v>
      </c>
      <c r="B528" s="113">
        <v>46072</v>
      </c>
      <c r="C528" s="48" t="str">
        <f t="shared" si="25"/>
        <v>febrero</v>
      </c>
      <c r="D528" s="48" t="s">
        <v>2135</v>
      </c>
      <c r="E528" s="42" t="s">
        <v>2728</v>
      </c>
      <c r="F528" s="47" t="s">
        <v>2427</v>
      </c>
      <c r="G528" s="48">
        <v>10</v>
      </c>
      <c r="H528" s="48" t="s">
        <v>1705</v>
      </c>
      <c r="I528" s="197">
        <v>5</v>
      </c>
      <c r="J528" s="197">
        <v>50</v>
      </c>
      <c r="K528" s="197">
        <v>0</v>
      </c>
      <c r="L528" s="201">
        <v>50</v>
      </c>
      <c r="M528" s="198">
        <v>0</v>
      </c>
      <c r="N528" s="48" t="s">
        <v>1617</v>
      </c>
      <c r="O528" s="48" t="s">
        <v>36</v>
      </c>
      <c r="P528" s="48" t="s">
        <v>25</v>
      </c>
      <c r="Q528" s="48" t="s">
        <v>535</v>
      </c>
      <c r="R528" s="48" t="s">
        <v>2727</v>
      </c>
      <c r="S528" s="48" t="s">
        <v>601</v>
      </c>
      <c r="T528" s="114" t="s">
        <v>1617</v>
      </c>
      <c r="U528" s="48" t="s">
        <v>1759</v>
      </c>
      <c r="V528" s="39"/>
      <c r="W528" s="41" t="s">
        <v>1617</v>
      </c>
      <c r="X528" s="50" t="s">
        <v>2377</v>
      </c>
      <c r="Y528" s="50"/>
    </row>
    <row r="529" spans="1:25" customFormat="1" ht="14.4" customHeight="1" x14ac:dyDescent="0.3">
      <c r="A529" s="48">
        <f t="shared" si="24"/>
        <v>8</v>
      </c>
      <c r="B529" s="113">
        <v>46072</v>
      </c>
      <c r="C529" s="48" t="str">
        <f t="shared" si="25"/>
        <v>febrero</v>
      </c>
      <c r="D529" s="48" t="s">
        <v>2135</v>
      </c>
      <c r="E529" s="42" t="s">
        <v>2728</v>
      </c>
      <c r="F529" s="47" t="s">
        <v>2428</v>
      </c>
      <c r="G529" s="48">
        <v>20</v>
      </c>
      <c r="H529" s="48" t="s">
        <v>1705</v>
      </c>
      <c r="I529" s="197">
        <v>5</v>
      </c>
      <c r="J529" s="197">
        <v>100</v>
      </c>
      <c r="K529" s="197">
        <v>0</v>
      </c>
      <c r="L529" s="201">
        <v>100</v>
      </c>
      <c r="M529" s="198">
        <v>0</v>
      </c>
      <c r="N529" s="48" t="s">
        <v>1617</v>
      </c>
      <c r="O529" s="48" t="s">
        <v>36</v>
      </c>
      <c r="P529" s="48" t="s">
        <v>25</v>
      </c>
      <c r="Q529" s="48" t="s">
        <v>535</v>
      </c>
      <c r="R529" s="48" t="s">
        <v>2727</v>
      </c>
      <c r="S529" s="48" t="s">
        <v>601</v>
      </c>
      <c r="T529" s="114" t="s">
        <v>1617</v>
      </c>
      <c r="U529" s="48" t="s">
        <v>1759</v>
      </c>
      <c r="V529" s="39"/>
      <c r="W529" s="41" t="s">
        <v>1617</v>
      </c>
      <c r="X529" s="50" t="s">
        <v>2377</v>
      </c>
      <c r="Y529" s="50"/>
    </row>
    <row r="530" spans="1:25" customFormat="1" ht="14.4" customHeight="1" x14ac:dyDescent="0.3">
      <c r="A530" s="48">
        <f t="shared" si="24"/>
        <v>8</v>
      </c>
      <c r="B530" s="113">
        <v>46072</v>
      </c>
      <c r="C530" s="48" t="str">
        <f t="shared" si="25"/>
        <v>febrero</v>
      </c>
      <c r="D530" s="48" t="s">
        <v>2135</v>
      </c>
      <c r="E530" s="42" t="s">
        <v>2728</v>
      </c>
      <c r="F530" s="47" t="s">
        <v>2429</v>
      </c>
      <c r="G530" s="48">
        <v>20</v>
      </c>
      <c r="H530" s="48" t="s">
        <v>1705</v>
      </c>
      <c r="I530" s="197">
        <v>2</v>
      </c>
      <c r="J530" s="197">
        <v>40</v>
      </c>
      <c r="K530" s="197">
        <v>0</v>
      </c>
      <c r="L530" s="201">
        <v>40</v>
      </c>
      <c r="M530" s="198">
        <v>0</v>
      </c>
      <c r="N530" s="48" t="s">
        <v>1617</v>
      </c>
      <c r="O530" s="48" t="s">
        <v>36</v>
      </c>
      <c r="P530" s="48" t="s">
        <v>25</v>
      </c>
      <c r="Q530" s="48" t="s">
        <v>535</v>
      </c>
      <c r="R530" s="48" t="s">
        <v>2727</v>
      </c>
      <c r="S530" s="48" t="s">
        <v>601</v>
      </c>
      <c r="T530" s="114" t="s">
        <v>1617</v>
      </c>
      <c r="U530" s="48" t="s">
        <v>1759</v>
      </c>
      <c r="V530" s="39"/>
      <c r="W530" s="41" t="s">
        <v>1617</v>
      </c>
      <c r="X530" s="50" t="s">
        <v>2377</v>
      </c>
      <c r="Y530" s="50"/>
    </row>
    <row r="531" spans="1:25" customFormat="1" ht="14.4" customHeight="1" x14ac:dyDescent="0.3">
      <c r="A531" s="48">
        <f t="shared" si="24"/>
        <v>8</v>
      </c>
      <c r="B531" s="113">
        <v>46072</v>
      </c>
      <c r="C531" s="48" t="str">
        <f t="shared" si="25"/>
        <v>febrero</v>
      </c>
      <c r="D531" s="48" t="s">
        <v>2135</v>
      </c>
      <c r="E531" s="42" t="s">
        <v>2728</v>
      </c>
      <c r="F531" s="47" t="s">
        <v>2431</v>
      </c>
      <c r="G531" s="48">
        <v>20</v>
      </c>
      <c r="H531" s="48" t="s">
        <v>1705</v>
      </c>
      <c r="I531" s="197">
        <v>3</v>
      </c>
      <c r="J531" s="197">
        <v>60</v>
      </c>
      <c r="K531" s="197">
        <v>0</v>
      </c>
      <c r="L531" s="201">
        <v>60</v>
      </c>
      <c r="M531" s="198">
        <v>0</v>
      </c>
      <c r="N531" s="48" t="s">
        <v>1617</v>
      </c>
      <c r="O531" s="48" t="s">
        <v>36</v>
      </c>
      <c r="P531" s="48" t="s">
        <v>25</v>
      </c>
      <c r="Q531" s="48" t="s">
        <v>535</v>
      </c>
      <c r="R531" s="48" t="s">
        <v>2727</v>
      </c>
      <c r="S531" s="48" t="s">
        <v>601</v>
      </c>
      <c r="T531" s="114" t="s">
        <v>1617</v>
      </c>
      <c r="U531" s="48" t="s">
        <v>1759</v>
      </c>
      <c r="V531" s="39" t="s">
        <v>2432</v>
      </c>
      <c r="W531" s="41" t="s">
        <v>1617</v>
      </c>
      <c r="X531" s="50" t="s">
        <v>2377</v>
      </c>
      <c r="Y531" s="50"/>
    </row>
    <row r="532" spans="1:25" customFormat="1" ht="14.4" customHeight="1" x14ac:dyDescent="0.3">
      <c r="A532" s="48">
        <f t="shared" si="24"/>
        <v>8</v>
      </c>
      <c r="B532" s="113">
        <v>46072</v>
      </c>
      <c r="C532" s="48" t="str">
        <f t="shared" si="25"/>
        <v>febrero</v>
      </c>
      <c r="D532" s="48" t="s">
        <v>2135</v>
      </c>
      <c r="E532" s="42" t="s">
        <v>356</v>
      </c>
      <c r="F532" s="47" t="s">
        <v>127</v>
      </c>
      <c r="G532" s="125">
        <v>19.48</v>
      </c>
      <c r="H532" s="48" t="s">
        <v>2017</v>
      </c>
      <c r="I532" s="197">
        <v>20.508600000000001</v>
      </c>
      <c r="J532" s="197">
        <v>399.50752800000004</v>
      </c>
      <c r="K532" s="197">
        <v>63.921204480000007</v>
      </c>
      <c r="L532" s="197">
        <v>463.42873248000006</v>
      </c>
      <c r="M532" s="198">
        <v>0</v>
      </c>
      <c r="N532" s="48" t="s">
        <v>1956</v>
      </c>
      <c r="O532" s="48" t="s">
        <v>257</v>
      </c>
      <c r="P532" s="48" t="s">
        <v>25</v>
      </c>
      <c r="Q532" s="48" t="s">
        <v>1841</v>
      </c>
      <c r="R532" s="48" t="s">
        <v>2727</v>
      </c>
      <c r="S532" s="48" t="s">
        <v>593</v>
      </c>
      <c r="T532" s="114" t="s">
        <v>2100</v>
      </c>
      <c r="U532" s="48" t="s">
        <v>2434</v>
      </c>
      <c r="V532" s="39"/>
      <c r="W532" s="41" t="s">
        <v>1617</v>
      </c>
      <c r="X532" s="50" t="s">
        <v>2380</v>
      </c>
      <c r="Y532" s="50"/>
    </row>
    <row r="533" spans="1:25" customFormat="1" ht="14.4" customHeight="1" x14ac:dyDescent="0.3">
      <c r="A533" s="48">
        <f t="shared" si="24"/>
        <v>8</v>
      </c>
      <c r="B533" s="113">
        <v>46072</v>
      </c>
      <c r="C533" s="48" t="str">
        <f t="shared" si="25"/>
        <v>febrero</v>
      </c>
      <c r="D533" s="48" t="s">
        <v>2135</v>
      </c>
      <c r="E533" s="42" t="s">
        <v>2728</v>
      </c>
      <c r="F533" s="47" t="s">
        <v>2435</v>
      </c>
      <c r="G533" s="48">
        <v>4</v>
      </c>
      <c r="H533" s="48" t="s">
        <v>1705</v>
      </c>
      <c r="I533" s="197">
        <v>27.040900000000001</v>
      </c>
      <c r="J533" s="197">
        <v>108.1636</v>
      </c>
      <c r="K533" s="197">
        <v>17.306176000000001</v>
      </c>
      <c r="L533" s="200">
        <v>125.469776</v>
      </c>
      <c r="M533" s="198">
        <v>0</v>
      </c>
      <c r="N533" s="48" t="s">
        <v>1067</v>
      </c>
      <c r="O533" s="48" t="s">
        <v>1359</v>
      </c>
      <c r="P533" s="49" t="s">
        <v>1321</v>
      </c>
      <c r="Q533" s="48" t="s">
        <v>241</v>
      </c>
      <c r="R533" s="48" t="s">
        <v>364</v>
      </c>
      <c r="S533" s="48" t="s">
        <v>2436</v>
      </c>
      <c r="T533" s="48" t="s">
        <v>1638</v>
      </c>
      <c r="V533" s="130"/>
      <c r="W533" s="41" t="s">
        <v>1762</v>
      </c>
      <c r="X533" s="50" t="s">
        <v>2381</v>
      </c>
      <c r="Y533" s="50"/>
    </row>
    <row r="534" spans="1:25" customFormat="1" ht="14.4" customHeight="1" x14ac:dyDescent="0.3">
      <c r="A534" s="48">
        <f t="shared" si="24"/>
        <v>8</v>
      </c>
      <c r="B534" s="113">
        <v>46072</v>
      </c>
      <c r="C534" s="48" t="str">
        <f t="shared" si="25"/>
        <v>febrero</v>
      </c>
      <c r="D534" s="48" t="s">
        <v>2135</v>
      </c>
      <c r="E534" s="42" t="s">
        <v>2728</v>
      </c>
      <c r="F534" s="47" t="s">
        <v>2239</v>
      </c>
      <c r="G534" s="48">
        <v>1</v>
      </c>
      <c r="H534" s="48" t="s">
        <v>1705</v>
      </c>
      <c r="I534" s="197">
        <v>37.180999999999997</v>
      </c>
      <c r="J534" s="197">
        <v>37.180999999999997</v>
      </c>
      <c r="K534" s="197">
        <v>5.9489599999999996</v>
      </c>
      <c r="L534" s="200">
        <v>43.129959999999997</v>
      </c>
      <c r="M534" s="198">
        <v>0</v>
      </c>
      <c r="N534" s="48" t="s">
        <v>1067</v>
      </c>
      <c r="O534" s="48" t="s">
        <v>1359</v>
      </c>
      <c r="P534" s="49" t="s">
        <v>1321</v>
      </c>
      <c r="Q534" s="48" t="s">
        <v>241</v>
      </c>
      <c r="R534" s="48" t="s">
        <v>364</v>
      </c>
      <c r="S534" s="48" t="s">
        <v>2436</v>
      </c>
      <c r="T534" s="48" t="s">
        <v>1617</v>
      </c>
      <c r="V534" s="130"/>
      <c r="W534" s="41" t="s">
        <v>1762</v>
      </c>
      <c r="X534" s="50" t="s">
        <v>2381</v>
      </c>
      <c r="Y534" s="50"/>
    </row>
    <row r="535" spans="1:25" customFormat="1" ht="14.4" customHeight="1" x14ac:dyDescent="0.3">
      <c r="A535" s="48">
        <f t="shared" si="24"/>
        <v>8</v>
      </c>
      <c r="B535" s="113">
        <v>46072</v>
      </c>
      <c r="C535" s="48" t="str">
        <f t="shared" si="25"/>
        <v>febrero</v>
      </c>
      <c r="D535" s="48" t="s">
        <v>2135</v>
      </c>
      <c r="E535" s="42" t="s">
        <v>2728</v>
      </c>
      <c r="F535" s="47" t="s">
        <v>2240</v>
      </c>
      <c r="G535" s="48">
        <v>1</v>
      </c>
      <c r="H535" s="48" t="s">
        <v>1705</v>
      </c>
      <c r="I535" s="197">
        <v>45.360300000000002</v>
      </c>
      <c r="J535" s="197">
        <v>45.360300000000002</v>
      </c>
      <c r="K535" s="197">
        <v>7.2576480000000005</v>
      </c>
      <c r="L535" s="200">
        <v>52.617948000000005</v>
      </c>
      <c r="M535" s="198">
        <v>0</v>
      </c>
      <c r="N535" s="48" t="s">
        <v>1067</v>
      </c>
      <c r="O535" s="48" t="s">
        <v>1359</v>
      </c>
      <c r="P535" s="49" t="s">
        <v>1321</v>
      </c>
      <c r="Q535" s="48" t="s">
        <v>241</v>
      </c>
      <c r="R535" s="48" t="s">
        <v>364</v>
      </c>
      <c r="S535" s="48" t="s">
        <v>2436</v>
      </c>
      <c r="T535" s="48" t="s">
        <v>1617</v>
      </c>
      <c r="V535" s="130"/>
      <c r="W535" s="41" t="s">
        <v>1762</v>
      </c>
      <c r="X535" s="50" t="s">
        <v>2381</v>
      </c>
      <c r="Y535" s="50"/>
    </row>
    <row r="536" spans="1:25" customFormat="1" ht="14.4" customHeight="1" x14ac:dyDescent="0.3">
      <c r="A536" s="48">
        <f t="shared" si="24"/>
        <v>8</v>
      </c>
      <c r="B536" s="113">
        <v>46072</v>
      </c>
      <c r="C536" s="48" t="str">
        <f t="shared" si="25"/>
        <v>febrero</v>
      </c>
      <c r="D536" s="48" t="s">
        <v>2135</v>
      </c>
      <c r="E536" s="42" t="s">
        <v>2728</v>
      </c>
      <c r="F536" s="47" t="s">
        <v>2204</v>
      </c>
      <c r="G536" s="48">
        <v>1</v>
      </c>
      <c r="H536" s="48" t="s">
        <v>1705</v>
      </c>
      <c r="I536" s="197">
        <v>470.56029999999998</v>
      </c>
      <c r="J536" s="197">
        <v>470.56029999999998</v>
      </c>
      <c r="K536" s="197">
        <v>75.289648</v>
      </c>
      <c r="L536" s="200">
        <v>545.84994800000004</v>
      </c>
      <c r="M536" s="198">
        <v>0</v>
      </c>
      <c r="N536" s="48" t="s">
        <v>1067</v>
      </c>
      <c r="O536" s="48" t="s">
        <v>1359</v>
      </c>
      <c r="P536" s="49" t="s">
        <v>1321</v>
      </c>
      <c r="Q536" s="48" t="s">
        <v>241</v>
      </c>
      <c r="R536" s="48" t="s">
        <v>364</v>
      </c>
      <c r="S536" s="48" t="s">
        <v>2436</v>
      </c>
      <c r="T536" s="48" t="s">
        <v>1617</v>
      </c>
      <c r="U536" s="48" t="s">
        <v>2440</v>
      </c>
      <c r="V536" s="130"/>
      <c r="W536" s="41" t="s">
        <v>1762</v>
      </c>
      <c r="X536" s="50" t="s">
        <v>2381</v>
      </c>
      <c r="Y536" s="50"/>
    </row>
    <row r="537" spans="1:25" customFormat="1" ht="14.4" customHeight="1" x14ac:dyDescent="0.3">
      <c r="A537" s="48">
        <f t="shared" si="24"/>
        <v>8</v>
      </c>
      <c r="B537" s="195">
        <v>46072</v>
      </c>
      <c r="C537" s="48" t="str">
        <f t="shared" si="25"/>
        <v>febrero</v>
      </c>
      <c r="D537" s="48" t="s">
        <v>2135</v>
      </c>
      <c r="E537" s="50" t="s">
        <v>850</v>
      </c>
      <c r="F537" s="209" t="s">
        <v>2937</v>
      </c>
      <c r="G537" s="199">
        <v>1</v>
      </c>
      <c r="H537" s="48" t="s">
        <v>2138</v>
      </c>
      <c r="I537" s="197">
        <v>8604.4224137931033</v>
      </c>
      <c r="J537" s="197">
        <v>8604.4224137931033</v>
      </c>
      <c r="K537" s="197">
        <v>1376.7075862068966</v>
      </c>
      <c r="L537" s="202">
        <v>9981.1299999999992</v>
      </c>
      <c r="M537" s="198">
        <v>0</v>
      </c>
      <c r="N537" s="50"/>
      <c r="O537" s="48" t="s">
        <v>372</v>
      </c>
      <c r="P537" s="49" t="s">
        <v>39</v>
      </c>
      <c r="Q537" s="199" t="s">
        <v>1766</v>
      </c>
      <c r="R537" s="48" t="s">
        <v>2735</v>
      </c>
      <c r="S537" s="50" t="s">
        <v>669</v>
      </c>
      <c r="T537" s="50"/>
      <c r="U537" s="50"/>
      <c r="V537" s="196"/>
      <c r="W537" s="50"/>
      <c r="X537" s="50"/>
      <c r="Y537" s="50"/>
    </row>
    <row r="538" spans="1:25" customFormat="1" ht="14.4" customHeight="1" x14ac:dyDescent="0.3">
      <c r="A538" s="48">
        <f t="shared" si="24"/>
        <v>8</v>
      </c>
      <c r="B538" s="113">
        <v>46073</v>
      </c>
      <c r="C538" s="48" t="str">
        <f t="shared" si="25"/>
        <v>febrero</v>
      </c>
      <c r="D538" s="48" t="s">
        <v>2135</v>
      </c>
      <c r="E538" s="42" t="s">
        <v>2732</v>
      </c>
      <c r="F538" s="47" t="s">
        <v>2339</v>
      </c>
      <c r="G538" s="48">
        <v>1</v>
      </c>
      <c r="H538" s="48" t="s">
        <v>1705</v>
      </c>
      <c r="I538" s="197">
        <v>49.568899999999999</v>
      </c>
      <c r="J538" s="197">
        <v>49.568899999999999</v>
      </c>
      <c r="K538" s="197">
        <v>7.9310239999999999</v>
      </c>
      <c r="L538" s="197">
        <v>57.499924</v>
      </c>
      <c r="M538" s="198">
        <v>0</v>
      </c>
      <c r="N538" s="48" t="s">
        <v>1617</v>
      </c>
      <c r="O538" s="48" t="s">
        <v>116</v>
      </c>
      <c r="P538" s="48" t="s">
        <v>25</v>
      </c>
      <c r="Q538" s="48" t="s">
        <v>1921</v>
      </c>
      <c r="R538" s="48" t="s">
        <v>2726</v>
      </c>
      <c r="S538" s="48" t="s">
        <v>424</v>
      </c>
      <c r="T538" s="114" t="s">
        <v>2052</v>
      </c>
      <c r="U538" s="48"/>
      <c r="V538" s="39"/>
      <c r="W538" s="41" t="s">
        <v>2053</v>
      </c>
      <c r="X538" s="50" t="s">
        <v>2387</v>
      </c>
    </row>
    <row r="539" spans="1:25" customFormat="1" ht="14.4" customHeight="1" x14ac:dyDescent="0.3">
      <c r="A539" s="48">
        <f t="shared" si="24"/>
        <v>8</v>
      </c>
      <c r="B539" s="113">
        <v>46073</v>
      </c>
      <c r="C539" s="48" t="str">
        <f t="shared" si="25"/>
        <v>febrero</v>
      </c>
      <c r="D539" s="48" t="s">
        <v>2135</v>
      </c>
      <c r="E539" s="42" t="s">
        <v>2732</v>
      </c>
      <c r="F539" s="47" t="s">
        <v>2054</v>
      </c>
      <c r="G539" s="48">
        <v>1</v>
      </c>
      <c r="H539" s="48" t="s">
        <v>1705</v>
      </c>
      <c r="I539" s="197">
        <v>24.137899999999998</v>
      </c>
      <c r="J539" s="197">
        <v>24.137899999999998</v>
      </c>
      <c r="K539" s="197">
        <v>3.8620639999999997</v>
      </c>
      <c r="L539" s="197">
        <v>27.999963999999999</v>
      </c>
      <c r="M539" s="198">
        <v>0</v>
      </c>
      <c r="N539" s="48" t="s">
        <v>1617</v>
      </c>
      <c r="O539" s="48" t="s">
        <v>116</v>
      </c>
      <c r="P539" s="48" t="s">
        <v>25</v>
      </c>
      <c r="Q539" s="48" t="s">
        <v>1921</v>
      </c>
      <c r="R539" s="48" t="s">
        <v>2726</v>
      </c>
      <c r="S539" s="48" t="s">
        <v>424</v>
      </c>
      <c r="T539" s="114" t="s">
        <v>2054</v>
      </c>
      <c r="U539" s="48"/>
      <c r="V539" s="39"/>
      <c r="W539" s="41" t="s">
        <v>2055</v>
      </c>
      <c r="X539" s="50" t="s">
        <v>2389</v>
      </c>
    </row>
    <row r="540" spans="1:25" customFormat="1" ht="14.4" customHeight="1" x14ac:dyDescent="0.3">
      <c r="A540" s="48">
        <f t="shared" si="24"/>
        <v>8</v>
      </c>
      <c r="B540" s="113">
        <v>46073</v>
      </c>
      <c r="C540" s="48" t="str">
        <f t="shared" si="25"/>
        <v>febrero</v>
      </c>
      <c r="D540" s="48" t="s">
        <v>2135</v>
      </c>
      <c r="E540" s="42" t="s">
        <v>356</v>
      </c>
      <c r="F540" s="47" t="s">
        <v>127</v>
      </c>
      <c r="G540" s="125">
        <v>8.3699999999999992</v>
      </c>
      <c r="H540" s="48" t="s">
        <v>2017</v>
      </c>
      <c r="I540" s="197">
        <v>20.681000000000001</v>
      </c>
      <c r="J540" s="197">
        <v>173.09996999999998</v>
      </c>
      <c r="K540" s="197">
        <v>26.9</v>
      </c>
      <c r="L540" s="197">
        <v>199.99996999999999</v>
      </c>
      <c r="M540" s="198">
        <v>0</v>
      </c>
      <c r="N540" s="48" t="s">
        <v>1617</v>
      </c>
      <c r="O540" s="48" t="s">
        <v>2056</v>
      </c>
      <c r="P540" s="48" t="s">
        <v>18</v>
      </c>
      <c r="Q540" s="48" t="s">
        <v>1871</v>
      </c>
      <c r="R540" s="48" t="s">
        <v>2806</v>
      </c>
      <c r="S540" s="48" t="s">
        <v>1619</v>
      </c>
      <c r="T540" s="114" t="s">
        <v>2025</v>
      </c>
      <c r="U540" s="48"/>
      <c r="V540" s="39"/>
      <c r="W540" s="41" t="s">
        <v>1762</v>
      </c>
      <c r="X540" s="50" t="s">
        <v>2391</v>
      </c>
      <c r="Y540" s="50"/>
    </row>
    <row r="541" spans="1:25" customFormat="1" ht="14.4" customHeight="1" x14ac:dyDescent="0.3">
      <c r="A541" s="48">
        <f t="shared" si="24"/>
        <v>8</v>
      </c>
      <c r="B541" s="113">
        <v>46073</v>
      </c>
      <c r="C541" s="48" t="str">
        <f t="shared" si="25"/>
        <v>febrero</v>
      </c>
      <c r="D541" s="48" t="s">
        <v>2135</v>
      </c>
      <c r="E541" s="42" t="s">
        <v>2732</v>
      </c>
      <c r="F541" s="47" t="s">
        <v>2049</v>
      </c>
      <c r="G541" s="48">
        <v>1</v>
      </c>
      <c r="H541" s="48" t="s">
        <v>1705</v>
      </c>
      <c r="I541" s="197">
        <v>145</v>
      </c>
      <c r="J541" s="197">
        <v>145</v>
      </c>
      <c r="K541" s="197">
        <v>0</v>
      </c>
      <c r="L541" s="197">
        <v>145</v>
      </c>
      <c r="M541" s="198">
        <v>0</v>
      </c>
      <c r="N541" s="48" t="s">
        <v>1617</v>
      </c>
      <c r="O541" s="48" t="s">
        <v>116</v>
      </c>
      <c r="P541" s="48" t="s">
        <v>25</v>
      </c>
      <c r="Q541" s="48" t="s">
        <v>1921</v>
      </c>
      <c r="R541" s="48" t="s">
        <v>2726</v>
      </c>
      <c r="S541" s="48" t="s">
        <v>722</v>
      </c>
      <c r="T541" s="114" t="s">
        <v>1617</v>
      </c>
      <c r="U541" s="48"/>
      <c r="V541" s="39"/>
      <c r="W541" s="41" t="s">
        <v>2444</v>
      </c>
      <c r="X541" s="50" t="s">
        <v>2393</v>
      </c>
    </row>
    <row r="542" spans="1:25" customFormat="1" ht="14.4" customHeight="1" x14ac:dyDescent="0.3">
      <c r="A542" s="48">
        <f t="shared" si="24"/>
        <v>8</v>
      </c>
      <c r="B542" s="113">
        <v>46073</v>
      </c>
      <c r="C542" s="48" t="str">
        <f t="shared" si="25"/>
        <v>febrero</v>
      </c>
      <c r="D542" s="48" t="s">
        <v>2135</v>
      </c>
      <c r="E542" s="42" t="s">
        <v>2728</v>
      </c>
      <c r="F542" s="47" t="s">
        <v>2047</v>
      </c>
      <c r="G542" s="48">
        <v>1</v>
      </c>
      <c r="H542" s="48" t="s">
        <v>1705</v>
      </c>
      <c r="I542" s="197">
        <v>439.65899999999999</v>
      </c>
      <c r="J542" s="197">
        <v>439.65899999999999</v>
      </c>
      <c r="K542" s="197">
        <v>70.345439999999996</v>
      </c>
      <c r="L542" s="197">
        <v>510.00443999999999</v>
      </c>
      <c r="M542" s="198">
        <v>0</v>
      </c>
      <c r="N542" s="48" t="s">
        <v>1558</v>
      </c>
      <c r="O542" s="48" t="s">
        <v>571</v>
      </c>
      <c r="P542" s="48" t="s">
        <v>25</v>
      </c>
      <c r="Q542" s="48" t="s">
        <v>241</v>
      </c>
      <c r="R542" s="48" t="s">
        <v>2735</v>
      </c>
      <c r="S542" s="48" t="s">
        <v>574</v>
      </c>
      <c r="T542" s="114" t="s">
        <v>2445</v>
      </c>
      <c r="U542" s="48" t="s">
        <v>2048</v>
      </c>
      <c r="V542" s="39"/>
      <c r="W542" s="41" t="s">
        <v>1762</v>
      </c>
      <c r="X542" s="50" t="s">
        <v>2395</v>
      </c>
      <c r="Y542" s="50"/>
    </row>
    <row r="543" spans="1:25" customFormat="1" ht="14.4" customHeight="1" x14ac:dyDescent="0.3">
      <c r="A543" s="48">
        <f t="shared" si="24"/>
        <v>8</v>
      </c>
      <c r="B543" s="113">
        <v>46073</v>
      </c>
      <c r="C543" s="48" t="str">
        <f t="shared" si="25"/>
        <v>febrero</v>
      </c>
      <c r="D543" s="48" t="s">
        <v>2135</v>
      </c>
      <c r="E543" s="42" t="s">
        <v>2728</v>
      </c>
      <c r="F543" s="47" t="s">
        <v>327</v>
      </c>
      <c r="G543" s="48">
        <v>1</v>
      </c>
      <c r="H543" s="48" t="s">
        <v>1705</v>
      </c>
      <c r="I543" s="197">
        <v>207.76</v>
      </c>
      <c r="J543" s="197">
        <v>207.76</v>
      </c>
      <c r="K543" s="197">
        <v>33.241599999999998</v>
      </c>
      <c r="L543" s="197">
        <v>241.0016</v>
      </c>
      <c r="M543" s="198">
        <v>0</v>
      </c>
      <c r="N543" s="48" t="s">
        <v>1003</v>
      </c>
      <c r="O543" s="48" t="s">
        <v>1409</v>
      </c>
      <c r="P543" s="48" t="s">
        <v>25</v>
      </c>
      <c r="Q543" s="48" t="s">
        <v>535</v>
      </c>
      <c r="R543" s="48" t="s">
        <v>2821</v>
      </c>
      <c r="S543" s="48" t="s">
        <v>381</v>
      </c>
      <c r="T543" s="114" t="s">
        <v>1617</v>
      </c>
      <c r="U543" s="48"/>
      <c r="V543" s="39"/>
      <c r="W543" s="41" t="s">
        <v>2446</v>
      </c>
      <c r="X543" s="50" t="s">
        <v>2397</v>
      </c>
      <c r="Y543" s="50"/>
    </row>
    <row r="544" spans="1:25" customFormat="1" ht="14.4" customHeight="1" x14ac:dyDescent="0.3">
      <c r="A544" s="48">
        <f t="shared" si="24"/>
        <v>8</v>
      </c>
      <c r="B544" s="113">
        <v>46073</v>
      </c>
      <c r="C544" s="48" t="str">
        <f t="shared" si="25"/>
        <v>febrero</v>
      </c>
      <c r="D544" s="48" t="s">
        <v>2135</v>
      </c>
      <c r="E544" s="42" t="s">
        <v>2728</v>
      </c>
      <c r="F544" s="47" t="s">
        <v>2059</v>
      </c>
      <c r="G544" s="48">
        <v>1</v>
      </c>
      <c r="H544" s="48" t="s">
        <v>2017</v>
      </c>
      <c r="I544" s="197">
        <v>34.479999999999997</v>
      </c>
      <c r="J544" s="197">
        <v>34.479999999999997</v>
      </c>
      <c r="K544" s="197">
        <v>5.5167999999999999</v>
      </c>
      <c r="L544" s="197">
        <v>39.996799999999993</v>
      </c>
      <c r="M544" s="198">
        <v>0</v>
      </c>
      <c r="N544" s="48" t="s">
        <v>1003</v>
      </c>
      <c r="O544" s="48" t="s">
        <v>1409</v>
      </c>
      <c r="P544" s="48" t="s">
        <v>25</v>
      </c>
      <c r="Q544" s="48" t="s">
        <v>535</v>
      </c>
      <c r="R544" s="48" t="s">
        <v>364</v>
      </c>
      <c r="S544" s="48" t="s">
        <v>1887</v>
      </c>
      <c r="T544" s="114" t="s">
        <v>1617</v>
      </c>
      <c r="U544" s="48"/>
      <c r="V544" s="39"/>
      <c r="W544" s="41" t="s">
        <v>2060</v>
      </c>
      <c r="X544" s="50" t="s">
        <v>2398</v>
      </c>
      <c r="Y544" s="50"/>
    </row>
    <row r="545" spans="1:25" customFormat="1" ht="14.4" customHeight="1" x14ac:dyDescent="0.3">
      <c r="A545" s="48">
        <f t="shared" si="24"/>
        <v>8</v>
      </c>
      <c r="B545" s="113">
        <v>46073</v>
      </c>
      <c r="C545" s="48" t="str">
        <f t="shared" si="25"/>
        <v>febrero</v>
      </c>
      <c r="D545" s="48" t="s">
        <v>2135</v>
      </c>
      <c r="E545" s="42" t="s">
        <v>2728</v>
      </c>
      <c r="F545" s="47" t="s">
        <v>95</v>
      </c>
      <c r="G545" s="48">
        <v>1</v>
      </c>
      <c r="H545" s="48" t="s">
        <v>1705</v>
      </c>
      <c r="I545" s="197">
        <v>56.9</v>
      </c>
      <c r="J545" s="197">
        <v>56.9</v>
      </c>
      <c r="K545" s="197">
        <v>9.1039999999999992</v>
      </c>
      <c r="L545" s="201">
        <v>66.003999999999991</v>
      </c>
      <c r="M545" s="198">
        <v>0</v>
      </c>
      <c r="N545" s="48" t="s">
        <v>1617</v>
      </c>
      <c r="O545" s="48" t="s">
        <v>55</v>
      </c>
      <c r="P545" s="48" t="s">
        <v>25</v>
      </c>
      <c r="Q545" s="48" t="s">
        <v>241</v>
      </c>
      <c r="R545" s="48" t="s">
        <v>2727</v>
      </c>
      <c r="S545" s="48" t="s">
        <v>381</v>
      </c>
      <c r="T545" s="114" t="s">
        <v>1617</v>
      </c>
      <c r="U545" s="48"/>
      <c r="V545" s="131" t="s">
        <v>2189</v>
      </c>
      <c r="W545" s="41" t="s">
        <v>2448</v>
      </c>
      <c r="X545" s="50" t="s">
        <v>2399</v>
      </c>
      <c r="Y545" s="50"/>
    </row>
    <row r="546" spans="1:25" customFormat="1" ht="14.4" customHeight="1" x14ac:dyDescent="0.3">
      <c r="A546" s="48">
        <f t="shared" si="24"/>
        <v>8</v>
      </c>
      <c r="B546" s="113">
        <v>46073</v>
      </c>
      <c r="C546" s="48" t="str">
        <f t="shared" si="25"/>
        <v>febrero</v>
      </c>
      <c r="D546" s="48" t="s">
        <v>2135</v>
      </c>
      <c r="E546" s="42" t="s">
        <v>2728</v>
      </c>
      <c r="F546" s="47" t="s">
        <v>345</v>
      </c>
      <c r="G546" s="48">
        <v>1</v>
      </c>
      <c r="H546" s="48" t="s">
        <v>1705</v>
      </c>
      <c r="I546" s="197">
        <v>78.45</v>
      </c>
      <c r="J546" s="197">
        <v>78.45</v>
      </c>
      <c r="K546" s="197">
        <v>12.552000000000001</v>
      </c>
      <c r="L546" s="201">
        <v>91.00200000000001</v>
      </c>
      <c r="M546" s="198">
        <v>0</v>
      </c>
      <c r="N546" s="48" t="s">
        <v>1617</v>
      </c>
      <c r="O546" s="48" t="s">
        <v>55</v>
      </c>
      <c r="P546" s="48" t="s">
        <v>25</v>
      </c>
      <c r="Q546" s="48" t="s">
        <v>241</v>
      </c>
      <c r="R546" s="48" t="s">
        <v>2727</v>
      </c>
      <c r="S546" s="48" t="s">
        <v>381</v>
      </c>
      <c r="T546" s="114" t="s">
        <v>1617</v>
      </c>
      <c r="U546" s="48"/>
      <c r="V546" s="131" t="s">
        <v>2189</v>
      </c>
      <c r="W546" s="41" t="s">
        <v>2448</v>
      </c>
      <c r="X546" s="50" t="s">
        <v>2399</v>
      </c>
      <c r="Y546" s="50"/>
    </row>
    <row r="547" spans="1:25" customFormat="1" ht="14.4" customHeight="1" x14ac:dyDescent="0.3">
      <c r="A547" s="48">
        <f t="shared" si="24"/>
        <v>8</v>
      </c>
      <c r="B547" s="113">
        <v>46073</v>
      </c>
      <c r="C547" s="48" t="str">
        <f t="shared" si="25"/>
        <v>febrero</v>
      </c>
      <c r="D547" s="48" t="s">
        <v>2135</v>
      </c>
      <c r="E547" s="42" t="s">
        <v>2728</v>
      </c>
      <c r="F547" s="47" t="s">
        <v>92</v>
      </c>
      <c r="G547" s="48">
        <v>1</v>
      </c>
      <c r="H547" s="48" t="s">
        <v>1705</v>
      </c>
      <c r="I547" s="197">
        <v>69.827500000000001</v>
      </c>
      <c r="J547" s="197">
        <v>69.827500000000001</v>
      </c>
      <c r="K547" s="197">
        <v>11.1724</v>
      </c>
      <c r="L547" s="201">
        <v>80.999899999999997</v>
      </c>
      <c r="M547" s="198">
        <v>0</v>
      </c>
      <c r="N547" s="48" t="s">
        <v>1617</v>
      </c>
      <c r="O547" s="48" t="s">
        <v>55</v>
      </c>
      <c r="P547" s="48" t="s">
        <v>25</v>
      </c>
      <c r="Q547" s="48" t="s">
        <v>241</v>
      </c>
      <c r="R547" s="48" t="s">
        <v>2727</v>
      </c>
      <c r="S547" s="48" t="s">
        <v>381</v>
      </c>
      <c r="T547" s="114" t="s">
        <v>1617</v>
      </c>
      <c r="U547" s="48"/>
      <c r="V547" s="131" t="s">
        <v>2189</v>
      </c>
      <c r="W547" s="41" t="s">
        <v>2448</v>
      </c>
      <c r="X547" s="50" t="s">
        <v>2399</v>
      </c>
      <c r="Y547" s="50"/>
    </row>
    <row r="548" spans="1:25" customFormat="1" ht="14.4" customHeight="1" x14ac:dyDescent="0.3">
      <c r="A548" s="48">
        <f t="shared" si="24"/>
        <v>8</v>
      </c>
      <c r="B548" s="113">
        <v>46073</v>
      </c>
      <c r="C548" s="48" t="str">
        <f t="shared" si="25"/>
        <v>febrero</v>
      </c>
      <c r="D548" s="48" t="s">
        <v>2135</v>
      </c>
      <c r="E548" s="42" t="s">
        <v>2728</v>
      </c>
      <c r="F548" s="47" t="s">
        <v>90</v>
      </c>
      <c r="G548" s="48">
        <v>4</v>
      </c>
      <c r="H548" s="48" t="s">
        <v>1705</v>
      </c>
      <c r="I548" s="197">
        <v>68.965500000000006</v>
      </c>
      <c r="J548" s="197">
        <v>275.86200000000002</v>
      </c>
      <c r="K548" s="197">
        <v>44.137920000000001</v>
      </c>
      <c r="L548" s="201">
        <v>319.99992000000003</v>
      </c>
      <c r="M548" s="198">
        <v>0</v>
      </c>
      <c r="N548" s="48" t="s">
        <v>1617</v>
      </c>
      <c r="O548" s="48" t="s">
        <v>55</v>
      </c>
      <c r="P548" s="48" t="s">
        <v>25</v>
      </c>
      <c r="Q548" s="48" t="s">
        <v>241</v>
      </c>
      <c r="R548" s="48" t="s">
        <v>2727</v>
      </c>
      <c r="S548" s="48" t="s">
        <v>381</v>
      </c>
      <c r="T548" s="114" t="s">
        <v>1617</v>
      </c>
      <c r="U548" s="48"/>
      <c r="V548" s="131" t="s">
        <v>2189</v>
      </c>
      <c r="W548" s="41" t="s">
        <v>2448</v>
      </c>
      <c r="X548" s="50" t="s">
        <v>2399</v>
      </c>
      <c r="Y548" s="50"/>
    </row>
    <row r="549" spans="1:25" customFormat="1" ht="14.4" customHeight="1" x14ac:dyDescent="0.3">
      <c r="A549" s="48">
        <f t="shared" si="24"/>
        <v>8</v>
      </c>
      <c r="B549" s="113">
        <v>46073</v>
      </c>
      <c r="C549" s="48" t="str">
        <f t="shared" si="25"/>
        <v>febrero</v>
      </c>
      <c r="D549" s="48" t="s">
        <v>2135</v>
      </c>
      <c r="E549" s="42" t="s">
        <v>2728</v>
      </c>
      <c r="F549" s="47" t="s">
        <v>92</v>
      </c>
      <c r="G549" s="48">
        <v>1</v>
      </c>
      <c r="H549" s="48" t="s">
        <v>1705</v>
      </c>
      <c r="I549" s="197">
        <v>69.83</v>
      </c>
      <c r="J549" s="197">
        <v>69.83</v>
      </c>
      <c r="K549" s="197">
        <v>11.172800000000001</v>
      </c>
      <c r="L549" s="201">
        <v>81.002799999999993</v>
      </c>
      <c r="M549" s="198">
        <v>0</v>
      </c>
      <c r="N549" s="48" t="s">
        <v>1617</v>
      </c>
      <c r="O549" s="48" t="s">
        <v>64</v>
      </c>
      <c r="P549" s="48" t="s">
        <v>25</v>
      </c>
      <c r="Q549" s="48" t="s">
        <v>241</v>
      </c>
      <c r="R549" s="48" t="s">
        <v>2727</v>
      </c>
      <c r="S549" s="48" t="s">
        <v>381</v>
      </c>
      <c r="T549" s="114" t="s">
        <v>1617</v>
      </c>
      <c r="U549" s="48"/>
      <c r="V549" s="131" t="s">
        <v>2189</v>
      </c>
      <c r="W549" s="41" t="s">
        <v>2448</v>
      </c>
      <c r="X549" s="50" t="s">
        <v>2399</v>
      </c>
      <c r="Y549" s="50"/>
    </row>
    <row r="550" spans="1:25" customFormat="1" ht="14.4" customHeight="1" x14ac:dyDescent="0.3">
      <c r="A550" s="48">
        <f t="shared" si="24"/>
        <v>8</v>
      </c>
      <c r="B550" s="113">
        <v>46073</v>
      </c>
      <c r="C550" s="48" t="str">
        <f t="shared" si="25"/>
        <v>febrero</v>
      </c>
      <c r="D550" s="48" t="s">
        <v>2135</v>
      </c>
      <c r="E550" s="42" t="s">
        <v>2728</v>
      </c>
      <c r="F550" s="47" t="s">
        <v>345</v>
      </c>
      <c r="G550" s="48">
        <v>1</v>
      </c>
      <c r="H550" s="48" t="s">
        <v>1705</v>
      </c>
      <c r="I550" s="197">
        <v>78.4482</v>
      </c>
      <c r="J550" s="197">
        <v>78.4482</v>
      </c>
      <c r="K550" s="197">
        <v>12.551712</v>
      </c>
      <c r="L550" s="201">
        <v>90.999911999999995</v>
      </c>
      <c r="M550" s="198">
        <v>0</v>
      </c>
      <c r="N550" s="48" t="s">
        <v>1617</v>
      </c>
      <c r="O550" s="48" t="s">
        <v>64</v>
      </c>
      <c r="P550" s="48" t="s">
        <v>25</v>
      </c>
      <c r="Q550" s="48" t="s">
        <v>241</v>
      </c>
      <c r="R550" s="48" t="s">
        <v>2727</v>
      </c>
      <c r="S550" s="48" t="s">
        <v>381</v>
      </c>
      <c r="T550" s="114" t="s">
        <v>1617</v>
      </c>
      <c r="U550" s="48"/>
      <c r="V550" s="131" t="s">
        <v>2189</v>
      </c>
      <c r="W550" s="41" t="s">
        <v>2448</v>
      </c>
      <c r="X550" s="50" t="s">
        <v>2399</v>
      </c>
      <c r="Y550" s="50"/>
    </row>
    <row r="551" spans="1:25" customFormat="1" ht="14.4" customHeight="1" x14ac:dyDescent="0.3">
      <c r="A551" s="48">
        <f t="shared" si="24"/>
        <v>8</v>
      </c>
      <c r="B551" s="113">
        <v>46073</v>
      </c>
      <c r="C551" s="48" t="str">
        <f t="shared" si="25"/>
        <v>febrero</v>
      </c>
      <c r="D551" s="48" t="s">
        <v>2135</v>
      </c>
      <c r="E551" s="42" t="s">
        <v>2728</v>
      </c>
      <c r="F551" s="47" t="s">
        <v>95</v>
      </c>
      <c r="G551" s="48">
        <v>1</v>
      </c>
      <c r="H551" s="48" t="s">
        <v>1705</v>
      </c>
      <c r="I551" s="197">
        <v>56.896500000000003</v>
      </c>
      <c r="J551" s="197">
        <v>56.896500000000003</v>
      </c>
      <c r="K551" s="197">
        <v>9.1034400000000009</v>
      </c>
      <c r="L551" s="201">
        <v>65.999940000000009</v>
      </c>
      <c r="M551" s="198">
        <v>0</v>
      </c>
      <c r="N551" s="48" t="s">
        <v>1617</v>
      </c>
      <c r="O551" s="48" t="s">
        <v>64</v>
      </c>
      <c r="P551" s="48" t="s">
        <v>25</v>
      </c>
      <c r="Q551" s="48" t="s">
        <v>241</v>
      </c>
      <c r="R551" s="48" t="s">
        <v>2727</v>
      </c>
      <c r="S551" s="48" t="s">
        <v>381</v>
      </c>
      <c r="T551" s="114" t="s">
        <v>1617</v>
      </c>
      <c r="U551" s="48"/>
      <c r="V551" s="131" t="s">
        <v>2189</v>
      </c>
      <c r="W551" s="41" t="s">
        <v>2448</v>
      </c>
      <c r="X551" s="50" t="s">
        <v>2399</v>
      </c>
      <c r="Y551" s="50"/>
    </row>
    <row r="552" spans="1:25" customFormat="1" ht="14.4" customHeight="1" x14ac:dyDescent="0.3">
      <c r="A552" s="48">
        <f t="shared" si="24"/>
        <v>8</v>
      </c>
      <c r="B552" s="113">
        <v>46073</v>
      </c>
      <c r="C552" s="48" t="str">
        <f t="shared" si="25"/>
        <v>febrero</v>
      </c>
      <c r="D552" s="48" t="s">
        <v>2135</v>
      </c>
      <c r="E552" s="42" t="s">
        <v>2728</v>
      </c>
      <c r="F552" s="47" t="s">
        <v>90</v>
      </c>
      <c r="G552" s="48">
        <v>4</v>
      </c>
      <c r="H552" s="48" t="s">
        <v>1705</v>
      </c>
      <c r="I552" s="197">
        <v>68.965500000000006</v>
      </c>
      <c r="J552" s="197">
        <v>275.86200000000002</v>
      </c>
      <c r="K552" s="197">
        <v>44.137920000000001</v>
      </c>
      <c r="L552" s="201">
        <v>319.99992000000003</v>
      </c>
      <c r="M552" s="198">
        <v>0</v>
      </c>
      <c r="N552" s="48" t="s">
        <v>1617</v>
      </c>
      <c r="O552" s="48" t="s">
        <v>64</v>
      </c>
      <c r="P552" s="48" t="s">
        <v>25</v>
      </c>
      <c r="Q552" s="48" t="s">
        <v>241</v>
      </c>
      <c r="R552" s="48" t="s">
        <v>2727</v>
      </c>
      <c r="S552" s="48" t="s">
        <v>381</v>
      </c>
      <c r="T552" s="114" t="s">
        <v>1617</v>
      </c>
      <c r="U552" s="122" t="s">
        <v>2952</v>
      </c>
      <c r="V552" s="131" t="s">
        <v>2189</v>
      </c>
      <c r="W552" s="41" t="s">
        <v>2448</v>
      </c>
      <c r="X552" s="50" t="s">
        <v>2399</v>
      </c>
      <c r="Y552" s="50"/>
    </row>
    <row r="553" spans="1:25" customFormat="1" ht="14.4" customHeight="1" x14ac:dyDescent="0.3">
      <c r="A553" s="48">
        <f t="shared" si="24"/>
        <v>8</v>
      </c>
      <c r="B553" s="113">
        <v>46073</v>
      </c>
      <c r="C553" s="48" t="str">
        <f t="shared" si="25"/>
        <v>febrero</v>
      </c>
      <c r="D553" s="48" t="s">
        <v>2135</v>
      </c>
      <c r="E553" s="42" t="s">
        <v>2728</v>
      </c>
      <c r="F553" s="47" t="s">
        <v>95</v>
      </c>
      <c r="G553" s="48">
        <v>1</v>
      </c>
      <c r="H553" s="48" t="s">
        <v>1705</v>
      </c>
      <c r="I553" s="197">
        <v>129.31030000000001</v>
      </c>
      <c r="J553" s="197">
        <v>129.31030000000001</v>
      </c>
      <c r="K553" s="197">
        <v>20.689648000000002</v>
      </c>
      <c r="L553" s="201">
        <v>149.99994800000002</v>
      </c>
      <c r="M553" s="198">
        <v>0</v>
      </c>
      <c r="N553" s="48" t="s">
        <v>1617</v>
      </c>
      <c r="O553" s="48" t="s">
        <v>104</v>
      </c>
      <c r="P553" s="48" t="s">
        <v>25</v>
      </c>
      <c r="Q553" s="48" t="s">
        <v>241</v>
      </c>
      <c r="R553" s="48" t="s">
        <v>2727</v>
      </c>
      <c r="S553" s="48" t="s">
        <v>381</v>
      </c>
      <c r="T553" s="114" t="s">
        <v>1617</v>
      </c>
      <c r="V553" s="131" t="s">
        <v>2189</v>
      </c>
      <c r="W553" s="41" t="s">
        <v>2448</v>
      </c>
      <c r="X553" s="50" t="s">
        <v>2399</v>
      </c>
      <c r="Y553" s="50"/>
    </row>
    <row r="554" spans="1:25" customFormat="1" ht="14.4" customHeight="1" x14ac:dyDescent="0.3">
      <c r="A554" s="48">
        <f t="shared" si="24"/>
        <v>8</v>
      </c>
      <c r="B554" s="113">
        <v>46073</v>
      </c>
      <c r="C554" s="48" t="str">
        <f t="shared" si="25"/>
        <v>febrero</v>
      </c>
      <c r="D554" s="48" t="s">
        <v>2135</v>
      </c>
      <c r="E554" s="42" t="s">
        <v>2728</v>
      </c>
      <c r="F554" s="47" t="s">
        <v>345</v>
      </c>
      <c r="G554" s="48">
        <v>1</v>
      </c>
      <c r="H554" s="48" t="s">
        <v>1705</v>
      </c>
      <c r="I554" s="197">
        <v>297.41370000000001</v>
      </c>
      <c r="J554" s="197">
        <v>297.41370000000001</v>
      </c>
      <c r="K554" s="197">
        <v>47.586192000000004</v>
      </c>
      <c r="L554" s="201">
        <v>344.99989199999999</v>
      </c>
      <c r="M554" s="198">
        <v>0</v>
      </c>
      <c r="N554" s="48" t="s">
        <v>1617</v>
      </c>
      <c r="O554" s="48" t="s">
        <v>104</v>
      </c>
      <c r="P554" s="48" t="s">
        <v>25</v>
      </c>
      <c r="Q554" s="48" t="s">
        <v>241</v>
      </c>
      <c r="R554" s="48" t="s">
        <v>2727</v>
      </c>
      <c r="S554" s="48" t="s">
        <v>381</v>
      </c>
      <c r="T554" s="114" t="s">
        <v>1617</v>
      </c>
      <c r="U554" s="48"/>
      <c r="V554" s="131" t="s">
        <v>2189</v>
      </c>
      <c r="W554" s="41" t="s">
        <v>2448</v>
      </c>
      <c r="X554" s="50" t="s">
        <v>2399</v>
      </c>
      <c r="Y554" s="50"/>
    </row>
    <row r="555" spans="1:25" customFormat="1" ht="14.4" customHeight="1" x14ac:dyDescent="0.3">
      <c r="A555" s="48">
        <f t="shared" si="24"/>
        <v>8</v>
      </c>
      <c r="B555" s="113">
        <v>46073</v>
      </c>
      <c r="C555" s="48" t="str">
        <f t="shared" si="25"/>
        <v>febrero</v>
      </c>
      <c r="D555" s="48" t="s">
        <v>2135</v>
      </c>
      <c r="E555" s="42" t="s">
        <v>2728</v>
      </c>
      <c r="F555" s="47" t="s">
        <v>92</v>
      </c>
      <c r="G555" s="48">
        <v>1</v>
      </c>
      <c r="H555" s="48" t="s">
        <v>1705</v>
      </c>
      <c r="I555" s="197">
        <v>176.72</v>
      </c>
      <c r="J555" s="197">
        <v>176.72</v>
      </c>
      <c r="K555" s="197">
        <v>28.275200000000002</v>
      </c>
      <c r="L555" s="201">
        <v>204.99520000000001</v>
      </c>
      <c r="M555" s="198">
        <v>0</v>
      </c>
      <c r="N555" s="48" t="s">
        <v>1617</v>
      </c>
      <c r="O555" s="48" t="s">
        <v>104</v>
      </c>
      <c r="P555" s="48" t="s">
        <v>25</v>
      </c>
      <c r="Q555" s="48" t="s">
        <v>241</v>
      </c>
      <c r="R555" s="48" t="s">
        <v>2727</v>
      </c>
      <c r="S555" s="48" t="s">
        <v>381</v>
      </c>
      <c r="T555" s="114" t="s">
        <v>1617</v>
      </c>
      <c r="U555" s="48" t="s">
        <v>2456</v>
      </c>
      <c r="V555" s="131" t="s">
        <v>2189</v>
      </c>
      <c r="W555" s="41" t="s">
        <v>2448</v>
      </c>
      <c r="X555" s="50" t="s">
        <v>2399</v>
      </c>
      <c r="Y555" s="50"/>
    </row>
    <row r="556" spans="1:25" customFormat="1" ht="14.4" customHeight="1" x14ac:dyDescent="0.3">
      <c r="A556" s="48">
        <f t="shared" si="24"/>
        <v>8</v>
      </c>
      <c r="B556" s="113">
        <v>46073</v>
      </c>
      <c r="C556" s="48" t="str">
        <f t="shared" si="25"/>
        <v>febrero</v>
      </c>
      <c r="D556" s="48" t="s">
        <v>2135</v>
      </c>
      <c r="E556" s="42" t="s">
        <v>2728</v>
      </c>
      <c r="F556" s="47" t="s">
        <v>391</v>
      </c>
      <c r="G556" s="48">
        <v>1</v>
      </c>
      <c r="H556" s="48" t="s">
        <v>1705</v>
      </c>
      <c r="I556" s="197">
        <v>316.8</v>
      </c>
      <c r="J556" s="197">
        <v>316.8</v>
      </c>
      <c r="K556" s="197">
        <v>0</v>
      </c>
      <c r="L556" s="197">
        <v>316.8</v>
      </c>
      <c r="M556" s="198">
        <v>0</v>
      </c>
      <c r="N556" s="48" t="s">
        <v>1617</v>
      </c>
      <c r="O556" s="48" t="s">
        <v>152</v>
      </c>
      <c r="P556" s="48" t="s">
        <v>25</v>
      </c>
      <c r="Q556" s="48" t="s">
        <v>488</v>
      </c>
      <c r="R556" s="48" t="s">
        <v>369</v>
      </c>
      <c r="S556" s="48" t="s">
        <v>2058</v>
      </c>
      <c r="T556" s="114" t="s">
        <v>1617</v>
      </c>
      <c r="U556" s="48" t="s">
        <v>2457</v>
      </c>
      <c r="V556" s="39"/>
      <c r="W556" s="41" t="s">
        <v>1617</v>
      </c>
      <c r="X556" s="50" t="s">
        <v>2417</v>
      </c>
      <c r="Y556" s="50"/>
    </row>
    <row r="557" spans="1:25" customFormat="1" ht="14.4" customHeight="1" x14ac:dyDescent="0.3">
      <c r="A557" s="48">
        <f t="shared" si="24"/>
        <v>8</v>
      </c>
      <c r="B557" s="113">
        <v>46073</v>
      </c>
      <c r="C557" s="48" t="str">
        <f t="shared" si="25"/>
        <v>febrero</v>
      </c>
      <c r="D557" s="48" t="s">
        <v>2135</v>
      </c>
      <c r="E557" s="42" t="s">
        <v>2728</v>
      </c>
      <c r="F557" s="47" t="s">
        <v>2057</v>
      </c>
      <c r="G557" s="48">
        <v>1</v>
      </c>
      <c r="H557" s="48" t="s">
        <v>2016</v>
      </c>
      <c r="I557" s="197">
        <v>51.72</v>
      </c>
      <c r="J557" s="197">
        <v>51.72</v>
      </c>
      <c r="K557" s="197">
        <v>8.2751999999999999</v>
      </c>
      <c r="L557" s="197">
        <v>59.995199999999997</v>
      </c>
      <c r="M557" s="198">
        <v>0</v>
      </c>
      <c r="N557" s="48" t="s">
        <v>1617</v>
      </c>
      <c r="O557" s="48" t="s">
        <v>152</v>
      </c>
      <c r="P557" s="48" t="s">
        <v>25</v>
      </c>
      <c r="Q557" s="48" t="s">
        <v>488</v>
      </c>
      <c r="R557" s="48" t="s">
        <v>364</v>
      </c>
      <c r="S557" s="48" t="s">
        <v>2058</v>
      </c>
      <c r="T557" s="114" t="s">
        <v>1617</v>
      </c>
      <c r="U557" s="48" t="s">
        <v>2921</v>
      </c>
      <c r="V557" s="39" t="s">
        <v>2458</v>
      </c>
      <c r="W557" s="41" t="s">
        <v>1617</v>
      </c>
      <c r="X557" s="50" t="s">
        <v>2418</v>
      </c>
      <c r="Y557" s="50"/>
    </row>
    <row r="558" spans="1:25" customFormat="1" ht="14.4" customHeight="1" x14ac:dyDescent="0.3">
      <c r="A558" s="48">
        <f t="shared" si="24"/>
        <v>8</v>
      </c>
      <c r="B558" s="113">
        <v>46073</v>
      </c>
      <c r="C558" s="48" t="str">
        <f t="shared" si="25"/>
        <v>febrero</v>
      </c>
      <c r="D558" s="48" t="s">
        <v>2175</v>
      </c>
      <c r="E558" s="42" t="s">
        <v>1830</v>
      </c>
      <c r="F558" s="47" t="s">
        <v>2459</v>
      </c>
      <c r="G558" s="48">
        <v>8</v>
      </c>
      <c r="H558" s="48" t="s">
        <v>1705</v>
      </c>
      <c r="I558" s="197">
        <v>33.310299999999998</v>
      </c>
      <c r="J558" s="197">
        <v>266.48239999999998</v>
      </c>
      <c r="K558" s="197">
        <v>42.637183999999998</v>
      </c>
      <c r="L558" s="200">
        <v>309.11958399999997</v>
      </c>
      <c r="M558" s="198">
        <v>0</v>
      </c>
      <c r="N558" s="48" t="s">
        <v>62</v>
      </c>
      <c r="O558" s="48" t="s">
        <v>118</v>
      </c>
      <c r="P558" s="48" t="s">
        <v>25</v>
      </c>
      <c r="Q558" s="48" t="s">
        <v>1824</v>
      </c>
      <c r="R558" s="48" t="s">
        <v>2727</v>
      </c>
      <c r="S558" s="48" t="s">
        <v>508</v>
      </c>
      <c r="T558" s="114" t="s">
        <v>1669</v>
      </c>
      <c r="U558" s="48"/>
      <c r="V558" s="39"/>
      <c r="W558" s="41" t="s">
        <v>1762</v>
      </c>
      <c r="X558" s="50" t="s">
        <v>2421</v>
      </c>
    </row>
    <row r="559" spans="1:25" customFormat="1" ht="14.4" customHeight="1" x14ac:dyDescent="0.3">
      <c r="A559" s="48">
        <f t="shared" si="24"/>
        <v>8</v>
      </c>
      <c r="B559" s="113">
        <v>46073</v>
      </c>
      <c r="C559" s="48" t="str">
        <f t="shared" si="25"/>
        <v>febrero</v>
      </c>
      <c r="D559" s="48" t="s">
        <v>2175</v>
      </c>
      <c r="E559" s="42" t="s">
        <v>1830</v>
      </c>
      <c r="F559" s="47" t="s">
        <v>2460</v>
      </c>
      <c r="G559" s="48">
        <v>6</v>
      </c>
      <c r="H559" s="48" t="s">
        <v>1705</v>
      </c>
      <c r="I559" s="197">
        <v>44.827500000000001</v>
      </c>
      <c r="J559" s="197">
        <v>268.96500000000003</v>
      </c>
      <c r="K559" s="197">
        <v>43.034400000000005</v>
      </c>
      <c r="L559" s="200">
        <v>311.99940000000004</v>
      </c>
      <c r="M559" s="198">
        <v>0</v>
      </c>
      <c r="N559" s="48" t="s">
        <v>62</v>
      </c>
      <c r="O559" s="48" t="s">
        <v>118</v>
      </c>
      <c r="P559" s="48" t="s">
        <v>25</v>
      </c>
      <c r="Q559" s="48" t="s">
        <v>1824</v>
      </c>
      <c r="R559" s="48" t="s">
        <v>2727</v>
      </c>
      <c r="S559" s="48" t="s">
        <v>508</v>
      </c>
      <c r="T559" s="114" t="s">
        <v>1669</v>
      </c>
      <c r="U559" s="48"/>
      <c r="V559" s="39"/>
      <c r="W559" s="41" t="s">
        <v>1762</v>
      </c>
      <c r="X559" s="50" t="s">
        <v>2421</v>
      </c>
    </row>
    <row r="560" spans="1:25" customFormat="1" ht="14.4" customHeight="1" x14ac:dyDescent="0.3">
      <c r="A560" s="48">
        <f t="shared" si="24"/>
        <v>8</v>
      </c>
      <c r="B560" s="113">
        <v>46073</v>
      </c>
      <c r="C560" s="48" t="str">
        <f t="shared" si="25"/>
        <v>febrero</v>
      </c>
      <c r="D560" s="48" t="s">
        <v>2175</v>
      </c>
      <c r="E560" s="42" t="s">
        <v>1830</v>
      </c>
      <c r="F560" s="47" t="s">
        <v>2461</v>
      </c>
      <c r="G560" s="48">
        <v>5</v>
      </c>
      <c r="H560" s="48" t="s">
        <v>2016</v>
      </c>
      <c r="I560" s="197">
        <v>75.180999999999997</v>
      </c>
      <c r="J560" s="197">
        <v>375.90499999999997</v>
      </c>
      <c r="K560" s="197">
        <v>60.144799999999996</v>
      </c>
      <c r="L560" s="200">
        <v>436.04979999999995</v>
      </c>
      <c r="M560" s="198">
        <v>0</v>
      </c>
      <c r="N560" s="48" t="s">
        <v>62</v>
      </c>
      <c r="O560" s="48" t="s">
        <v>118</v>
      </c>
      <c r="P560" s="48" t="s">
        <v>25</v>
      </c>
      <c r="Q560" s="48" t="s">
        <v>1824</v>
      </c>
      <c r="R560" s="48" t="s">
        <v>2727</v>
      </c>
      <c r="S560" s="48" t="s">
        <v>508</v>
      </c>
      <c r="T560" s="114" t="s">
        <v>2462</v>
      </c>
      <c r="U560" s="48"/>
      <c r="V560" s="39"/>
      <c r="W560" s="41" t="s">
        <v>1762</v>
      </c>
      <c r="X560" s="50" t="s">
        <v>2421</v>
      </c>
    </row>
    <row r="561" spans="1:25" customFormat="1" ht="14.4" customHeight="1" x14ac:dyDescent="0.3">
      <c r="A561" s="48">
        <f t="shared" si="24"/>
        <v>8</v>
      </c>
      <c r="B561" s="113">
        <v>46073</v>
      </c>
      <c r="C561" s="48" t="str">
        <f t="shared" si="25"/>
        <v>febrero</v>
      </c>
      <c r="D561" s="48" t="s">
        <v>2175</v>
      </c>
      <c r="E561" s="42" t="s">
        <v>1830</v>
      </c>
      <c r="F561" s="47" t="s">
        <v>2464</v>
      </c>
      <c r="G561" s="48">
        <v>10</v>
      </c>
      <c r="H561" s="48" t="s">
        <v>2016</v>
      </c>
      <c r="I561" s="197">
        <v>86.896500000000003</v>
      </c>
      <c r="J561" s="197">
        <v>868.96500000000003</v>
      </c>
      <c r="K561" s="197">
        <v>139.03440000000001</v>
      </c>
      <c r="L561" s="200">
        <v>1007.9994</v>
      </c>
      <c r="M561" s="198">
        <v>0</v>
      </c>
      <c r="N561" s="48" t="s">
        <v>62</v>
      </c>
      <c r="O561" s="48" t="s">
        <v>118</v>
      </c>
      <c r="P561" s="48" t="s">
        <v>25</v>
      </c>
      <c r="Q561" s="48" t="s">
        <v>1824</v>
      </c>
      <c r="R561" s="48" t="s">
        <v>2727</v>
      </c>
      <c r="S561" s="48" t="s">
        <v>508</v>
      </c>
      <c r="T561" s="114" t="s">
        <v>2462</v>
      </c>
      <c r="U561" s="48"/>
      <c r="V561" s="39"/>
      <c r="W561" s="41" t="s">
        <v>1762</v>
      </c>
      <c r="X561" s="50" t="s">
        <v>2421</v>
      </c>
    </row>
    <row r="562" spans="1:25" customFormat="1" ht="14.4" customHeight="1" x14ac:dyDescent="0.3">
      <c r="A562" s="48">
        <f t="shared" ref="A562:A625" si="26">WEEKNUM(B562)</f>
        <v>8</v>
      </c>
      <c r="B562" s="113">
        <v>46073</v>
      </c>
      <c r="C562" s="48" t="str">
        <f t="shared" si="25"/>
        <v>febrero</v>
      </c>
      <c r="D562" s="48" t="s">
        <v>2175</v>
      </c>
      <c r="E562" s="42" t="s">
        <v>1830</v>
      </c>
      <c r="F562" s="47" t="s">
        <v>2466</v>
      </c>
      <c r="G562" s="48">
        <v>4</v>
      </c>
      <c r="H562" s="48" t="s">
        <v>2016</v>
      </c>
      <c r="I562" s="197">
        <v>79.310299999999998</v>
      </c>
      <c r="J562" s="197">
        <v>317.24119999999999</v>
      </c>
      <c r="K562" s="197">
        <v>50.758592</v>
      </c>
      <c r="L562" s="200">
        <v>367.99979200000001</v>
      </c>
      <c r="M562" s="198">
        <v>0</v>
      </c>
      <c r="N562" s="48" t="s">
        <v>62</v>
      </c>
      <c r="O562" s="48" t="s">
        <v>118</v>
      </c>
      <c r="P562" s="48" t="s">
        <v>25</v>
      </c>
      <c r="Q562" s="48" t="s">
        <v>1824</v>
      </c>
      <c r="R562" s="48" t="s">
        <v>2727</v>
      </c>
      <c r="S562" s="48" t="s">
        <v>508</v>
      </c>
      <c r="T562" s="114" t="s">
        <v>2462</v>
      </c>
      <c r="U562" s="48"/>
      <c r="V562" s="39"/>
      <c r="W562" s="41" t="s">
        <v>1762</v>
      </c>
      <c r="X562" s="50" t="s">
        <v>2421</v>
      </c>
    </row>
    <row r="563" spans="1:25" customFormat="1" ht="14.4" customHeight="1" x14ac:dyDescent="0.3">
      <c r="A563" s="48">
        <f t="shared" si="26"/>
        <v>8</v>
      </c>
      <c r="B563" s="113">
        <v>46073</v>
      </c>
      <c r="C563" s="48" t="str">
        <f t="shared" si="25"/>
        <v>febrero</v>
      </c>
      <c r="D563" s="48" t="s">
        <v>2175</v>
      </c>
      <c r="E563" s="42" t="s">
        <v>1830</v>
      </c>
      <c r="F563" s="47" t="s">
        <v>2467</v>
      </c>
      <c r="G563" s="48">
        <v>10</v>
      </c>
      <c r="H563" s="48" t="s">
        <v>2016</v>
      </c>
      <c r="I563" s="197">
        <v>119.48269999999999</v>
      </c>
      <c r="J563" s="197">
        <v>1194.827</v>
      </c>
      <c r="K563" s="197">
        <v>191.17232000000001</v>
      </c>
      <c r="L563" s="200">
        <v>1385.9993199999999</v>
      </c>
      <c r="M563" s="198">
        <v>0</v>
      </c>
      <c r="N563" s="48" t="s">
        <v>62</v>
      </c>
      <c r="O563" s="48" t="s">
        <v>118</v>
      </c>
      <c r="P563" s="48" t="s">
        <v>25</v>
      </c>
      <c r="Q563" s="48" t="s">
        <v>1824</v>
      </c>
      <c r="R563" s="48" t="s">
        <v>2727</v>
      </c>
      <c r="S563" s="48" t="s">
        <v>508</v>
      </c>
      <c r="T563" s="114" t="s">
        <v>2468</v>
      </c>
      <c r="U563" s="48"/>
      <c r="V563" s="39"/>
      <c r="W563" s="41" t="s">
        <v>1762</v>
      </c>
      <c r="X563" s="50" t="s">
        <v>2421</v>
      </c>
    </row>
    <row r="564" spans="1:25" customFormat="1" ht="14.4" customHeight="1" x14ac:dyDescent="0.3">
      <c r="A564" s="48">
        <f t="shared" si="26"/>
        <v>8</v>
      </c>
      <c r="B564" s="113">
        <v>46073</v>
      </c>
      <c r="C564" s="48" t="str">
        <f t="shared" si="25"/>
        <v>febrero</v>
      </c>
      <c r="D564" s="48" t="s">
        <v>2175</v>
      </c>
      <c r="E564" s="42" t="s">
        <v>1830</v>
      </c>
      <c r="F564" s="47" t="s">
        <v>2469</v>
      </c>
      <c r="G564" s="48">
        <v>4</v>
      </c>
      <c r="H564" s="48" t="s">
        <v>2016</v>
      </c>
      <c r="I564" s="197">
        <v>79.310299999999998</v>
      </c>
      <c r="J564" s="197">
        <v>317.24119999999999</v>
      </c>
      <c r="K564" s="197">
        <v>50.758592</v>
      </c>
      <c r="L564" s="200">
        <v>367.99979200000001</v>
      </c>
      <c r="M564" s="198">
        <v>0</v>
      </c>
      <c r="N564" s="48" t="s">
        <v>62</v>
      </c>
      <c r="O564" s="48" t="s">
        <v>118</v>
      </c>
      <c r="P564" s="48" t="s">
        <v>25</v>
      </c>
      <c r="Q564" s="48" t="s">
        <v>1824</v>
      </c>
      <c r="R564" s="48" t="s">
        <v>2727</v>
      </c>
      <c r="S564" s="48" t="s">
        <v>508</v>
      </c>
      <c r="T564" s="114" t="s">
        <v>2462</v>
      </c>
      <c r="U564" s="48" t="s">
        <v>2470</v>
      </c>
      <c r="V564" s="39"/>
      <c r="W564" s="41" t="s">
        <v>1762</v>
      </c>
      <c r="X564" s="50" t="s">
        <v>2421</v>
      </c>
    </row>
    <row r="565" spans="1:25" customFormat="1" ht="14.4" customHeight="1" x14ac:dyDescent="0.3">
      <c r="A565" s="48">
        <f t="shared" si="26"/>
        <v>8</v>
      </c>
      <c r="B565" s="113">
        <v>46073</v>
      </c>
      <c r="C565" s="48" t="str">
        <f t="shared" si="25"/>
        <v>febrero</v>
      </c>
      <c r="D565" s="48" t="s">
        <v>2175</v>
      </c>
      <c r="E565" s="42" t="s">
        <v>1830</v>
      </c>
      <c r="F565" s="47" t="s">
        <v>2051</v>
      </c>
      <c r="G565" s="48">
        <v>3</v>
      </c>
      <c r="H565" s="48" t="s">
        <v>1705</v>
      </c>
      <c r="I565" s="197">
        <v>80.172399999999996</v>
      </c>
      <c r="J565" s="197">
        <v>240.5172</v>
      </c>
      <c r="K565" s="197">
        <v>38.482751999999998</v>
      </c>
      <c r="L565" s="197">
        <v>278.99995200000001</v>
      </c>
      <c r="M565" s="198">
        <v>0</v>
      </c>
      <c r="N565" s="48" t="s">
        <v>62</v>
      </c>
      <c r="O565" s="48" t="s">
        <v>118</v>
      </c>
      <c r="P565" s="48" t="s">
        <v>25</v>
      </c>
      <c r="Q565" s="48" t="s">
        <v>1824</v>
      </c>
      <c r="R565" s="48" t="s">
        <v>2727</v>
      </c>
      <c r="S565" s="48" t="s">
        <v>508</v>
      </c>
      <c r="T565" s="114" t="s">
        <v>2471</v>
      </c>
      <c r="U565" s="48"/>
      <c r="V565" s="39"/>
      <c r="W565" s="41" t="s">
        <v>1762</v>
      </c>
      <c r="X565" s="50" t="s">
        <v>2430</v>
      </c>
    </row>
    <row r="566" spans="1:25" customFormat="1" ht="14.4" customHeight="1" x14ac:dyDescent="0.3">
      <c r="A566" s="48">
        <f t="shared" si="26"/>
        <v>8</v>
      </c>
      <c r="B566" s="113">
        <v>46073</v>
      </c>
      <c r="C566" s="48" t="str">
        <f t="shared" si="25"/>
        <v>febrero</v>
      </c>
      <c r="D566" s="48" t="s">
        <v>2135</v>
      </c>
      <c r="E566" s="42" t="s">
        <v>356</v>
      </c>
      <c r="F566" s="47" t="s">
        <v>127</v>
      </c>
      <c r="G566" s="125">
        <v>13.01</v>
      </c>
      <c r="H566" s="48" t="s">
        <v>2017</v>
      </c>
      <c r="I566" s="197">
        <v>19.96</v>
      </c>
      <c r="J566" s="197">
        <v>259.67959999999999</v>
      </c>
      <c r="K566" s="197">
        <v>40.32</v>
      </c>
      <c r="L566" s="201">
        <v>299.99959999999999</v>
      </c>
      <c r="M566" s="198">
        <v>0</v>
      </c>
      <c r="N566" s="48" t="s">
        <v>1617</v>
      </c>
      <c r="O566" s="48" t="s">
        <v>1819</v>
      </c>
      <c r="P566" s="49" t="s">
        <v>1321</v>
      </c>
      <c r="Q566" s="48" t="s">
        <v>488</v>
      </c>
      <c r="R566" s="48" t="s">
        <v>2821</v>
      </c>
      <c r="S566" s="48" t="s">
        <v>647</v>
      </c>
      <c r="T566" s="114" t="s">
        <v>2025</v>
      </c>
      <c r="U566" s="48"/>
      <c r="V566" s="39"/>
      <c r="W566" s="41" t="s">
        <v>1762</v>
      </c>
      <c r="X566" s="50" t="s">
        <v>2433</v>
      </c>
      <c r="Y566" s="50"/>
    </row>
    <row r="567" spans="1:25" customFormat="1" ht="14.4" customHeight="1" x14ac:dyDescent="0.3">
      <c r="A567" s="48">
        <f t="shared" si="26"/>
        <v>8</v>
      </c>
      <c r="B567" s="113">
        <v>46073</v>
      </c>
      <c r="C567" s="48" t="str">
        <f t="shared" si="25"/>
        <v>febrero</v>
      </c>
      <c r="D567" s="48" t="s">
        <v>2135</v>
      </c>
      <c r="E567" s="42" t="s">
        <v>356</v>
      </c>
      <c r="F567" s="47" t="s">
        <v>127</v>
      </c>
      <c r="G567" s="125">
        <v>13.01</v>
      </c>
      <c r="H567" s="48" t="s">
        <v>2017</v>
      </c>
      <c r="I567" s="197">
        <v>19.96</v>
      </c>
      <c r="J567" s="197">
        <v>259.67959999999999</v>
      </c>
      <c r="K567" s="197">
        <v>40.32</v>
      </c>
      <c r="L567" s="201">
        <v>299.99959999999999</v>
      </c>
      <c r="M567" s="198">
        <v>0</v>
      </c>
      <c r="N567" s="48" t="s">
        <v>1617</v>
      </c>
      <c r="O567" s="48" t="s">
        <v>1679</v>
      </c>
      <c r="P567" s="49" t="s">
        <v>1321</v>
      </c>
      <c r="Q567" s="48" t="s">
        <v>488</v>
      </c>
      <c r="R567" s="48" t="s">
        <v>2821</v>
      </c>
      <c r="S567" s="48" t="s">
        <v>647</v>
      </c>
      <c r="T567" s="114" t="s">
        <v>2025</v>
      </c>
      <c r="U567" s="48"/>
      <c r="V567" s="39"/>
      <c r="W567" s="41" t="s">
        <v>1762</v>
      </c>
      <c r="X567" s="50" t="s">
        <v>2433</v>
      </c>
      <c r="Y567" s="50"/>
    </row>
    <row r="568" spans="1:25" customFormat="1" ht="14.4" customHeight="1" x14ac:dyDescent="0.3">
      <c r="A568" s="48">
        <f t="shared" si="26"/>
        <v>8</v>
      </c>
      <c r="B568" s="113">
        <v>46073</v>
      </c>
      <c r="C568" s="48" t="str">
        <f t="shared" si="25"/>
        <v>febrero</v>
      </c>
      <c r="D568" s="48" t="s">
        <v>2135</v>
      </c>
      <c r="E568" s="42" t="s">
        <v>2728</v>
      </c>
      <c r="F568" s="47" t="s">
        <v>2050</v>
      </c>
      <c r="G568" s="48">
        <v>2</v>
      </c>
      <c r="H568" s="48" t="s">
        <v>1705</v>
      </c>
      <c r="I568" s="197">
        <v>133.62</v>
      </c>
      <c r="J568" s="197">
        <v>267.24</v>
      </c>
      <c r="K568" s="197">
        <v>42.758400000000002</v>
      </c>
      <c r="L568" s="197">
        <v>309.9984</v>
      </c>
      <c r="M568" s="198">
        <v>0</v>
      </c>
      <c r="N568" s="48" t="s">
        <v>1617</v>
      </c>
      <c r="O568" s="48" t="s">
        <v>1359</v>
      </c>
      <c r="P568" s="49" t="s">
        <v>1321</v>
      </c>
      <c r="Q568" s="48" t="s">
        <v>241</v>
      </c>
      <c r="R568" s="48" t="s">
        <v>2821</v>
      </c>
      <c r="S568" s="48" t="s">
        <v>381</v>
      </c>
      <c r="T568" s="114" t="s">
        <v>1617</v>
      </c>
      <c r="U568" s="48"/>
      <c r="V568" s="39"/>
      <c r="W568" s="41" t="s">
        <v>2473</v>
      </c>
      <c r="X568" s="50" t="s">
        <v>2437</v>
      </c>
      <c r="Y568" s="50"/>
    </row>
    <row r="569" spans="1:25" customFormat="1" ht="14.4" customHeight="1" x14ac:dyDescent="0.3">
      <c r="A569" s="48">
        <f t="shared" si="26"/>
        <v>8</v>
      </c>
      <c r="B569" s="113">
        <v>46073</v>
      </c>
      <c r="C569" s="48" t="str">
        <f t="shared" si="25"/>
        <v>febrero</v>
      </c>
      <c r="D569" s="48" t="s">
        <v>2135</v>
      </c>
      <c r="E569" s="42" t="s">
        <v>477</v>
      </c>
      <c r="F569" s="47" t="s">
        <v>559</v>
      </c>
      <c r="G569" s="38">
        <v>1</v>
      </c>
      <c r="H569" s="48" t="s">
        <v>2138</v>
      </c>
      <c r="I569" s="202">
        <v>610</v>
      </c>
      <c r="J569" s="197">
        <v>610</v>
      </c>
      <c r="K569" s="197">
        <v>0</v>
      </c>
      <c r="L569" s="206">
        <v>610</v>
      </c>
      <c r="M569" s="198">
        <v>0</v>
      </c>
      <c r="N569" s="48" t="s">
        <v>1617</v>
      </c>
      <c r="O569" s="48" t="s">
        <v>1359</v>
      </c>
      <c r="P569" s="49" t="s">
        <v>1321</v>
      </c>
      <c r="Q569" s="38" t="s">
        <v>1766</v>
      </c>
      <c r="R569" s="48" t="s">
        <v>364</v>
      </c>
      <c r="S569" s="48" t="s">
        <v>1827</v>
      </c>
      <c r="T569" s="114" t="s">
        <v>1617</v>
      </c>
      <c r="U569" s="38"/>
      <c r="V569" s="130" t="s">
        <v>2953</v>
      </c>
      <c r="Y569" s="50"/>
    </row>
    <row r="570" spans="1:25" customFormat="1" ht="14.4" customHeight="1" x14ac:dyDescent="0.3">
      <c r="A570" s="48">
        <f t="shared" si="26"/>
        <v>8</v>
      </c>
      <c r="B570" s="113">
        <v>46073</v>
      </c>
      <c r="C570" s="48" t="str">
        <f t="shared" si="25"/>
        <v>febrero</v>
      </c>
      <c r="D570" s="48" t="s">
        <v>2135</v>
      </c>
      <c r="E570" s="42" t="s">
        <v>477</v>
      </c>
      <c r="F570" s="47" t="s">
        <v>2066</v>
      </c>
      <c r="G570" s="38">
        <v>1</v>
      </c>
      <c r="H570" s="48" t="s">
        <v>2138</v>
      </c>
      <c r="I570" s="202">
        <v>150</v>
      </c>
      <c r="J570" s="197">
        <v>150</v>
      </c>
      <c r="K570" s="197">
        <v>0</v>
      </c>
      <c r="L570" s="205">
        <v>150</v>
      </c>
      <c r="M570" s="198">
        <v>0</v>
      </c>
      <c r="N570" s="48" t="s">
        <v>1617</v>
      </c>
      <c r="O570" s="48" t="s">
        <v>1359</v>
      </c>
      <c r="P570" s="49" t="s">
        <v>1321</v>
      </c>
      <c r="Q570" s="38" t="s">
        <v>1766</v>
      </c>
      <c r="R570" s="38" t="s">
        <v>364</v>
      </c>
      <c r="S570" s="38" t="s">
        <v>1617</v>
      </c>
      <c r="T570" s="114" t="s">
        <v>1617</v>
      </c>
      <c r="U570" s="38"/>
      <c r="V570" s="130"/>
      <c r="Y570" s="50"/>
    </row>
    <row r="571" spans="1:25" customFormat="1" ht="14.4" customHeight="1" x14ac:dyDescent="0.3">
      <c r="A571" s="48">
        <f t="shared" si="26"/>
        <v>8</v>
      </c>
      <c r="B571" s="113">
        <v>46074</v>
      </c>
      <c r="C571" s="48" t="str">
        <f t="shared" si="25"/>
        <v>febrero</v>
      </c>
      <c r="D571" s="48" t="s">
        <v>2135</v>
      </c>
      <c r="E571" s="42" t="s">
        <v>356</v>
      </c>
      <c r="F571" s="47" t="s">
        <v>127</v>
      </c>
      <c r="G571" s="48">
        <v>4.17</v>
      </c>
      <c r="H571" s="48" t="s">
        <v>2017</v>
      </c>
      <c r="I571" s="197">
        <v>20.751999999999999</v>
      </c>
      <c r="J571" s="197">
        <v>86.535839999999993</v>
      </c>
      <c r="K571" s="197">
        <v>13.46</v>
      </c>
      <c r="L571" s="197">
        <v>99.995839999999987</v>
      </c>
      <c r="M571" s="198">
        <v>0</v>
      </c>
      <c r="N571" s="48" t="s">
        <v>1617</v>
      </c>
      <c r="O571" s="48" t="s">
        <v>409</v>
      </c>
      <c r="P571" s="48" t="s">
        <v>25</v>
      </c>
      <c r="Q571" s="48" t="s">
        <v>488</v>
      </c>
      <c r="R571" s="48" t="s">
        <v>364</v>
      </c>
      <c r="S571" s="48" t="s">
        <v>1691</v>
      </c>
      <c r="T571" s="114" t="s">
        <v>2025</v>
      </c>
      <c r="U571" s="48" t="s">
        <v>2921</v>
      </c>
      <c r="V571" s="39"/>
      <c r="W571" s="41" t="s">
        <v>1762</v>
      </c>
      <c r="X571" s="50" t="s">
        <v>2438</v>
      </c>
      <c r="Y571" s="50"/>
    </row>
    <row r="572" spans="1:25" customFormat="1" ht="14.4" customHeight="1" x14ac:dyDescent="0.3">
      <c r="A572" s="48">
        <f t="shared" si="26"/>
        <v>8</v>
      </c>
      <c r="B572" s="113">
        <v>46074</v>
      </c>
      <c r="C572" s="48" t="str">
        <f t="shared" si="25"/>
        <v>febrero</v>
      </c>
      <c r="D572" s="48" t="s">
        <v>2135</v>
      </c>
      <c r="E572" s="42" t="s">
        <v>356</v>
      </c>
      <c r="F572" s="47" t="s">
        <v>127</v>
      </c>
      <c r="G572" s="48">
        <v>10</v>
      </c>
      <c r="H572" s="48" t="s">
        <v>2017</v>
      </c>
      <c r="I572" s="197">
        <v>19.8706</v>
      </c>
      <c r="J572" s="197">
        <v>198.70599999999999</v>
      </c>
      <c r="K572" s="197">
        <v>31.792959999999997</v>
      </c>
      <c r="L572" s="197">
        <v>230.49895999999998</v>
      </c>
      <c r="M572" s="198">
        <v>0</v>
      </c>
      <c r="N572" s="48" t="s">
        <v>1617</v>
      </c>
      <c r="O572" s="48" t="s">
        <v>152</v>
      </c>
      <c r="P572" s="48" t="s">
        <v>25</v>
      </c>
      <c r="Q572" s="48" t="s">
        <v>1824</v>
      </c>
      <c r="R572" s="48" t="s">
        <v>2727</v>
      </c>
      <c r="S572" s="48" t="s">
        <v>647</v>
      </c>
      <c r="T572" s="114" t="s">
        <v>2025</v>
      </c>
      <c r="U572" s="48"/>
      <c r="V572" s="39"/>
      <c r="W572" s="41" t="s">
        <v>1762</v>
      </c>
      <c r="X572" s="50" t="s">
        <v>2439</v>
      </c>
      <c r="Y572" s="50"/>
    </row>
    <row r="573" spans="1:25" customFormat="1" ht="14.4" customHeight="1" x14ac:dyDescent="0.3">
      <c r="A573" s="48">
        <f t="shared" si="26"/>
        <v>8</v>
      </c>
      <c r="B573" s="113">
        <v>46074</v>
      </c>
      <c r="C573" s="48" t="str">
        <f t="shared" si="25"/>
        <v>febrero</v>
      </c>
      <c r="D573" s="48" t="s">
        <v>2135</v>
      </c>
      <c r="E573" s="42" t="s">
        <v>356</v>
      </c>
      <c r="F573" s="47" t="s">
        <v>2062</v>
      </c>
      <c r="G573" s="48">
        <v>4.1859999999999999</v>
      </c>
      <c r="H573" s="48" t="s">
        <v>2017</v>
      </c>
      <c r="I573" s="197">
        <v>20.594799999999999</v>
      </c>
      <c r="J573" s="197">
        <v>86.209832800000001</v>
      </c>
      <c r="K573" s="197">
        <v>13.793573248000001</v>
      </c>
      <c r="L573" s="197">
        <v>100.003406048</v>
      </c>
      <c r="M573" s="198">
        <v>0</v>
      </c>
      <c r="N573" s="48" t="s">
        <v>1617</v>
      </c>
      <c r="O573" s="48" t="s">
        <v>118</v>
      </c>
      <c r="P573" s="48" t="s">
        <v>25</v>
      </c>
      <c r="Q573" s="48" t="s">
        <v>1871</v>
      </c>
      <c r="R573" s="48" t="s">
        <v>2727</v>
      </c>
      <c r="S573" s="48" t="s">
        <v>593</v>
      </c>
      <c r="T573" s="114" t="s">
        <v>2100</v>
      </c>
      <c r="U573" s="48"/>
      <c r="V573" s="39"/>
      <c r="W573" s="41" t="s">
        <v>1762</v>
      </c>
      <c r="X573" s="50" t="s">
        <v>2441</v>
      </c>
    </row>
    <row r="574" spans="1:25" customFormat="1" ht="14.4" customHeight="1" x14ac:dyDescent="0.3">
      <c r="A574" s="48">
        <f t="shared" si="26"/>
        <v>8</v>
      </c>
      <c r="B574" s="113">
        <v>46074</v>
      </c>
      <c r="C574" s="48" t="str">
        <f t="shared" si="25"/>
        <v>febrero</v>
      </c>
      <c r="D574" s="48" t="s">
        <v>2135</v>
      </c>
      <c r="E574" s="42" t="s">
        <v>356</v>
      </c>
      <c r="F574" s="47" t="s">
        <v>1896</v>
      </c>
      <c r="G574" s="48">
        <v>1</v>
      </c>
      <c r="H574" s="48" t="s">
        <v>1617</v>
      </c>
      <c r="I574" s="197">
        <v>52</v>
      </c>
      <c r="J574" s="197">
        <v>52</v>
      </c>
      <c r="K574" s="197">
        <v>0</v>
      </c>
      <c r="L574" s="197">
        <v>52</v>
      </c>
      <c r="M574" s="198">
        <v>0</v>
      </c>
      <c r="N574" s="48" t="s">
        <v>1617</v>
      </c>
      <c r="O574" s="48" t="s">
        <v>118</v>
      </c>
      <c r="P574" s="48" t="s">
        <v>2734</v>
      </c>
      <c r="Q574" s="48" t="s">
        <v>1871</v>
      </c>
      <c r="R574" s="48" t="s">
        <v>364</v>
      </c>
      <c r="S574" s="48" t="s">
        <v>250</v>
      </c>
      <c r="T574" s="114" t="s">
        <v>2474</v>
      </c>
      <c r="U574" s="48" t="s">
        <v>2954</v>
      </c>
      <c r="V574" s="39"/>
      <c r="W574" s="41" t="s">
        <v>1617</v>
      </c>
      <c r="X574" s="50" t="s">
        <v>2442</v>
      </c>
    </row>
    <row r="575" spans="1:25" customFormat="1" ht="14.4" customHeight="1" x14ac:dyDescent="0.3">
      <c r="A575" s="48">
        <f t="shared" si="26"/>
        <v>8</v>
      </c>
      <c r="B575" s="113">
        <v>46074</v>
      </c>
      <c r="C575" s="48" t="str">
        <f t="shared" si="25"/>
        <v>febrero</v>
      </c>
      <c r="D575" s="48" t="s">
        <v>2135</v>
      </c>
      <c r="E575" s="42" t="s">
        <v>118</v>
      </c>
      <c r="F575" s="47" t="s">
        <v>2061</v>
      </c>
      <c r="G575" s="48">
        <v>1</v>
      </c>
      <c r="H575" s="48" t="s">
        <v>2016</v>
      </c>
      <c r="I575" s="197">
        <v>93.965500000000006</v>
      </c>
      <c r="J575" s="197">
        <v>93.965500000000006</v>
      </c>
      <c r="K575" s="197">
        <v>15.034480000000002</v>
      </c>
      <c r="L575" s="197">
        <v>108.99998000000001</v>
      </c>
      <c r="M575" s="198">
        <v>0</v>
      </c>
      <c r="N575" s="48" t="s">
        <v>1617</v>
      </c>
      <c r="O575" s="48" t="s">
        <v>118</v>
      </c>
      <c r="P575" s="48" t="s">
        <v>25</v>
      </c>
      <c r="Q575" s="48" t="s">
        <v>1824</v>
      </c>
      <c r="R575" s="48" t="s">
        <v>2727</v>
      </c>
      <c r="S575" s="48" t="s">
        <v>424</v>
      </c>
      <c r="T575" s="114" t="s">
        <v>2475</v>
      </c>
      <c r="U575" s="48"/>
      <c r="V575" s="39"/>
      <c r="W575" s="41" t="s">
        <v>1762</v>
      </c>
      <c r="X575" s="50" t="s">
        <v>2443</v>
      </c>
    </row>
    <row r="576" spans="1:25" customFormat="1" ht="14.4" customHeight="1" x14ac:dyDescent="0.3">
      <c r="A576" s="48">
        <f t="shared" si="26"/>
        <v>8</v>
      </c>
      <c r="B576" s="113">
        <v>46074</v>
      </c>
      <c r="C576" s="48" t="str">
        <f t="shared" si="25"/>
        <v>febrero</v>
      </c>
      <c r="D576" s="48" t="s">
        <v>2135</v>
      </c>
      <c r="E576" s="42" t="s">
        <v>477</v>
      </c>
      <c r="F576" s="47" t="s">
        <v>2955</v>
      </c>
      <c r="G576" s="48">
        <v>1</v>
      </c>
      <c r="H576" s="48" t="s">
        <v>1617</v>
      </c>
      <c r="I576" s="197">
        <v>610</v>
      </c>
      <c r="J576" s="197">
        <v>610</v>
      </c>
      <c r="K576" s="197">
        <v>0</v>
      </c>
      <c r="L576" s="197">
        <v>610</v>
      </c>
      <c r="M576" s="198">
        <v>0</v>
      </c>
      <c r="N576" s="48" t="s">
        <v>2063</v>
      </c>
      <c r="O576" s="48" t="s">
        <v>2826</v>
      </c>
      <c r="P576" s="48" t="s">
        <v>1321</v>
      </c>
      <c r="Q576" s="48" t="s">
        <v>535</v>
      </c>
      <c r="R576" s="48" t="s">
        <v>2727</v>
      </c>
      <c r="S576" s="48" t="s">
        <v>2064</v>
      </c>
      <c r="T576" s="114" t="s">
        <v>1617</v>
      </c>
      <c r="U576" s="48" t="s">
        <v>2065</v>
      </c>
      <c r="V576" s="49"/>
      <c r="W576" s="41" t="s">
        <v>1617</v>
      </c>
      <c r="Y576" s="50"/>
    </row>
    <row r="577" spans="1:25" customFormat="1" ht="14.4" customHeight="1" x14ac:dyDescent="0.3">
      <c r="A577" s="48">
        <f t="shared" si="26"/>
        <v>8</v>
      </c>
      <c r="B577" s="113">
        <v>46074</v>
      </c>
      <c r="C577" s="48" t="str">
        <f t="shared" si="25"/>
        <v>febrero</v>
      </c>
      <c r="D577" s="48" t="s">
        <v>2135</v>
      </c>
      <c r="E577" s="42" t="s">
        <v>477</v>
      </c>
      <c r="F577" s="47" t="s">
        <v>2956</v>
      </c>
      <c r="G577" s="48">
        <v>1</v>
      </c>
      <c r="H577" s="48" t="s">
        <v>1617</v>
      </c>
      <c r="I577" s="197">
        <v>310</v>
      </c>
      <c r="J577" s="197">
        <v>310</v>
      </c>
      <c r="K577" s="197">
        <v>0</v>
      </c>
      <c r="L577" s="197">
        <v>310</v>
      </c>
      <c r="M577" s="198">
        <v>0</v>
      </c>
      <c r="N577" s="48" t="s">
        <v>2063</v>
      </c>
      <c r="O577" s="48" t="s">
        <v>2826</v>
      </c>
      <c r="P577" s="48" t="s">
        <v>1321</v>
      </c>
      <c r="Q577" s="48" t="s">
        <v>535</v>
      </c>
      <c r="R577" s="48" t="s">
        <v>364</v>
      </c>
      <c r="S577" s="48" t="s">
        <v>424</v>
      </c>
      <c r="T577" s="114" t="s">
        <v>1617</v>
      </c>
      <c r="U577" s="48" t="s">
        <v>2065</v>
      </c>
      <c r="V577" s="49"/>
      <c r="W577" s="41" t="s">
        <v>1617</v>
      </c>
      <c r="Y577" s="50"/>
    </row>
    <row r="578" spans="1:25" customFormat="1" ht="14.4" customHeight="1" x14ac:dyDescent="0.3">
      <c r="A578" s="48">
        <f t="shared" si="26"/>
        <v>8</v>
      </c>
      <c r="B578" s="113">
        <v>46074</v>
      </c>
      <c r="C578" s="48" t="str">
        <f t="shared" si="25"/>
        <v>febrero</v>
      </c>
      <c r="D578" s="48" t="s">
        <v>2135</v>
      </c>
      <c r="E578" s="42" t="s">
        <v>477</v>
      </c>
      <c r="F578" s="47" t="s">
        <v>2957</v>
      </c>
      <c r="G578" s="48">
        <v>1</v>
      </c>
      <c r="H578" s="48" t="s">
        <v>1617</v>
      </c>
      <c r="I578" s="197">
        <v>150</v>
      </c>
      <c r="J578" s="197">
        <v>150</v>
      </c>
      <c r="K578" s="197">
        <v>0</v>
      </c>
      <c r="L578" s="197">
        <v>150</v>
      </c>
      <c r="M578" s="198">
        <v>0</v>
      </c>
      <c r="N578" s="48" t="s">
        <v>2063</v>
      </c>
      <c r="O578" s="48" t="s">
        <v>2826</v>
      </c>
      <c r="P578" s="48" t="s">
        <v>1321</v>
      </c>
      <c r="Q578" s="48" t="s">
        <v>535</v>
      </c>
      <c r="R578" s="48" t="s">
        <v>364</v>
      </c>
      <c r="S578" s="48" t="s">
        <v>2064</v>
      </c>
      <c r="T578" s="114" t="s">
        <v>1617</v>
      </c>
      <c r="U578" s="48"/>
      <c r="V578" s="49"/>
      <c r="W578" s="41" t="s">
        <v>1617</v>
      </c>
      <c r="Y578" s="50"/>
    </row>
    <row r="579" spans="1:25" customFormat="1" ht="14.4" customHeight="1" x14ac:dyDescent="0.3">
      <c r="A579" s="48">
        <f t="shared" si="26"/>
        <v>9</v>
      </c>
      <c r="B579" s="195">
        <v>46075</v>
      </c>
      <c r="C579" s="48" t="str">
        <f t="shared" ref="C579:C642" si="27">TEXT(B579,"MMMM")</f>
        <v>febrero</v>
      </c>
      <c r="D579" s="48" t="s">
        <v>2135</v>
      </c>
      <c r="E579" s="50" t="s">
        <v>850</v>
      </c>
      <c r="F579" s="209" t="s">
        <v>2937</v>
      </c>
      <c r="G579" s="199">
        <v>1</v>
      </c>
      <c r="H579" s="48" t="s">
        <v>2138</v>
      </c>
      <c r="I579" s="197">
        <v>9651.5689655172409</v>
      </c>
      <c r="J579" s="197">
        <v>9651.5689655172409</v>
      </c>
      <c r="K579" s="197">
        <v>1544.2510344827585</v>
      </c>
      <c r="L579" s="202">
        <v>11195.82</v>
      </c>
      <c r="M579" s="198">
        <v>0</v>
      </c>
      <c r="N579" s="50"/>
      <c r="O579" s="48" t="s">
        <v>195</v>
      </c>
      <c r="P579" s="49" t="s">
        <v>871</v>
      </c>
      <c r="Q579" s="199" t="s">
        <v>1766</v>
      </c>
      <c r="R579" s="48" t="s">
        <v>2735</v>
      </c>
      <c r="S579" s="50" t="s">
        <v>669</v>
      </c>
      <c r="T579" s="199"/>
      <c r="U579" s="50"/>
      <c r="V579" s="196"/>
      <c r="W579" s="50"/>
      <c r="X579" s="50"/>
      <c r="Y579" s="50"/>
    </row>
    <row r="580" spans="1:25" customFormat="1" ht="14.4" customHeight="1" x14ac:dyDescent="0.3">
      <c r="A580" s="48">
        <f t="shared" si="26"/>
        <v>9</v>
      </c>
      <c r="B580" s="195">
        <v>46075</v>
      </c>
      <c r="C580" s="48" t="str">
        <f t="shared" si="27"/>
        <v>febrero</v>
      </c>
      <c r="D580" s="48" t="s">
        <v>2135</v>
      </c>
      <c r="E580" s="50" t="s">
        <v>850</v>
      </c>
      <c r="F580" s="209" t="s">
        <v>2937</v>
      </c>
      <c r="G580" s="199">
        <v>1</v>
      </c>
      <c r="H580" s="48" t="s">
        <v>2138</v>
      </c>
      <c r="I580" s="197">
        <v>9196.6379310344837</v>
      </c>
      <c r="J580" s="197">
        <v>9196.6379310344837</v>
      </c>
      <c r="K580" s="197">
        <v>1471.4620689655173</v>
      </c>
      <c r="L580" s="202">
        <v>10668.1</v>
      </c>
      <c r="M580" s="198">
        <v>0</v>
      </c>
      <c r="N580" s="50"/>
      <c r="O580" s="48" t="s">
        <v>1409</v>
      </c>
      <c r="P580" s="49" t="s">
        <v>25</v>
      </c>
      <c r="Q580" s="199" t="s">
        <v>1766</v>
      </c>
      <c r="R580" s="48" t="s">
        <v>2735</v>
      </c>
      <c r="S580" s="50" t="s">
        <v>669</v>
      </c>
      <c r="T580" s="199"/>
      <c r="U580" s="50"/>
      <c r="V580" s="196"/>
      <c r="W580" s="50"/>
      <c r="X580" s="50"/>
      <c r="Y580" s="50"/>
    </row>
    <row r="581" spans="1:25" customFormat="1" ht="14.4" customHeight="1" x14ac:dyDescent="0.3">
      <c r="A581" s="48">
        <f t="shared" si="26"/>
        <v>9</v>
      </c>
      <c r="B581" s="113">
        <v>46076</v>
      </c>
      <c r="C581" s="48" t="str">
        <f t="shared" si="27"/>
        <v>febrero</v>
      </c>
      <c r="D581" s="48" t="s">
        <v>2135</v>
      </c>
      <c r="E581" s="42" t="s">
        <v>2728</v>
      </c>
      <c r="F581" s="47" t="s">
        <v>111</v>
      </c>
      <c r="G581" s="48">
        <v>1</v>
      </c>
      <c r="H581" s="48" t="s">
        <v>1617</v>
      </c>
      <c r="I581" s="197">
        <v>80</v>
      </c>
      <c r="J581" s="197">
        <v>80</v>
      </c>
      <c r="K581" s="197">
        <v>0</v>
      </c>
      <c r="L581" s="197">
        <v>80</v>
      </c>
      <c r="M581" s="198">
        <v>0</v>
      </c>
      <c r="N581" s="48" t="s">
        <v>1617</v>
      </c>
      <c r="O581" s="48" t="s">
        <v>2056</v>
      </c>
      <c r="P581" s="48" t="s">
        <v>18</v>
      </c>
      <c r="Q581" s="48" t="s">
        <v>1869</v>
      </c>
      <c r="R581" s="48" t="s">
        <v>364</v>
      </c>
      <c r="S581" s="48" t="s">
        <v>2074</v>
      </c>
      <c r="T581" s="114" t="s">
        <v>1617</v>
      </c>
      <c r="U581" s="48" t="s">
        <v>2958</v>
      </c>
      <c r="V581" s="39" t="s">
        <v>1759</v>
      </c>
      <c r="W581" s="41" t="s">
        <v>1617</v>
      </c>
      <c r="X581" s="50" t="s">
        <v>2447</v>
      </c>
      <c r="Y581" s="50"/>
    </row>
    <row r="582" spans="1:25" customFormat="1" ht="14.4" customHeight="1" x14ac:dyDescent="0.3">
      <c r="A582" s="48">
        <f t="shared" si="26"/>
        <v>9</v>
      </c>
      <c r="B582" s="113">
        <v>46076</v>
      </c>
      <c r="C582" s="48" t="str">
        <f t="shared" si="27"/>
        <v>febrero</v>
      </c>
      <c r="D582" s="48" t="s">
        <v>2135</v>
      </c>
      <c r="E582" s="42" t="s">
        <v>356</v>
      </c>
      <c r="F582" s="47" t="s">
        <v>2959</v>
      </c>
      <c r="G582" s="48">
        <v>4.1859999999999999</v>
      </c>
      <c r="H582" s="48" t="s">
        <v>2017</v>
      </c>
      <c r="I582" s="197">
        <v>23.89</v>
      </c>
      <c r="J582" s="197">
        <v>100.00354</v>
      </c>
      <c r="K582" s="197">
        <v>0</v>
      </c>
      <c r="L582" s="197">
        <v>100.00354</v>
      </c>
      <c r="M582" s="198">
        <v>0</v>
      </c>
      <c r="N582" s="48" t="s">
        <v>2067</v>
      </c>
      <c r="O582" s="48" t="s">
        <v>2826</v>
      </c>
      <c r="P582" s="48" t="s">
        <v>25</v>
      </c>
      <c r="Q582" s="48" t="s">
        <v>1871</v>
      </c>
      <c r="R582" s="48" t="s">
        <v>2821</v>
      </c>
      <c r="S582" s="48" t="s">
        <v>593</v>
      </c>
      <c r="T582" s="114" t="s">
        <v>2025</v>
      </c>
      <c r="U582" s="48" t="s">
        <v>2068</v>
      </c>
      <c r="V582" s="39"/>
      <c r="W582" s="41" t="s">
        <v>1617</v>
      </c>
      <c r="X582" s="50" t="s">
        <v>2449</v>
      </c>
    </row>
    <row r="583" spans="1:25" customFormat="1" ht="14.4" customHeight="1" x14ac:dyDescent="0.3">
      <c r="A583" s="48">
        <f t="shared" si="26"/>
        <v>9</v>
      </c>
      <c r="B583" s="113">
        <v>46076</v>
      </c>
      <c r="C583" s="48" t="str">
        <f t="shared" si="27"/>
        <v>febrero</v>
      </c>
      <c r="D583" s="48" t="s">
        <v>2135</v>
      </c>
      <c r="E583" s="42" t="s">
        <v>356</v>
      </c>
      <c r="F583" s="47" t="s">
        <v>2960</v>
      </c>
      <c r="G583" s="48">
        <v>8.7149999999999999</v>
      </c>
      <c r="H583" s="48" t="s">
        <v>2017</v>
      </c>
      <c r="I583" s="197">
        <v>19.783999999999999</v>
      </c>
      <c r="J583" s="197">
        <v>172.41755999999998</v>
      </c>
      <c r="K583" s="197">
        <v>27.586809599999999</v>
      </c>
      <c r="L583" s="197">
        <v>200.00436959999999</v>
      </c>
      <c r="M583" s="198">
        <v>0</v>
      </c>
      <c r="N583" s="48" t="s">
        <v>2071</v>
      </c>
      <c r="O583" s="48" t="s">
        <v>2826</v>
      </c>
      <c r="P583" s="48" t="s">
        <v>25</v>
      </c>
      <c r="Q583" s="48" t="s">
        <v>488</v>
      </c>
      <c r="R583" s="48" t="s">
        <v>2821</v>
      </c>
      <c r="S583" s="48" t="s">
        <v>2072</v>
      </c>
      <c r="T583" s="114" t="s">
        <v>2025</v>
      </c>
      <c r="U583" s="48"/>
      <c r="V583" s="39"/>
      <c r="W583" s="41" t="s">
        <v>1762</v>
      </c>
      <c r="X583" s="50" t="s">
        <v>2450</v>
      </c>
    </row>
    <row r="584" spans="1:25" customFormat="1" ht="14.4" customHeight="1" x14ac:dyDescent="0.3">
      <c r="A584" s="48">
        <f t="shared" si="26"/>
        <v>9</v>
      </c>
      <c r="B584" s="113">
        <v>46076</v>
      </c>
      <c r="C584" s="48" t="str">
        <f t="shared" si="27"/>
        <v>febrero</v>
      </c>
      <c r="D584" s="48" t="s">
        <v>2135</v>
      </c>
      <c r="E584" s="42" t="s">
        <v>2728</v>
      </c>
      <c r="F584" s="47" t="s">
        <v>2482</v>
      </c>
      <c r="G584" s="48">
        <v>2</v>
      </c>
      <c r="H584" s="48" t="s">
        <v>1617</v>
      </c>
      <c r="I584" s="197">
        <v>50</v>
      </c>
      <c r="J584" s="197">
        <v>100</v>
      </c>
      <c r="K584" s="197">
        <v>0</v>
      </c>
      <c r="L584" s="200">
        <v>100</v>
      </c>
      <c r="M584" s="198">
        <v>0</v>
      </c>
      <c r="N584" s="48" t="s">
        <v>1617</v>
      </c>
      <c r="O584" s="48" t="s">
        <v>409</v>
      </c>
      <c r="P584" s="48" t="s">
        <v>25</v>
      </c>
      <c r="Q584" s="48" t="s">
        <v>535</v>
      </c>
      <c r="R584" s="48" t="s">
        <v>364</v>
      </c>
      <c r="S584" s="48" t="s">
        <v>2074</v>
      </c>
      <c r="T584" s="114" t="s">
        <v>1617</v>
      </c>
      <c r="U584" s="48" t="s">
        <v>2923</v>
      </c>
      <c r="V584" s="39" t="s">
        <v>1759</v>
      </c>
      <c r="W584" s="41" t="s">
        <v>1617</v>
      </c>
      <c r="X584" s="50" t="s">
        <v>2451</v>
      </c>
      <c r="Y584" s="50"/>
    </row>
    <row r="585" spans="1:25" customFormat="1" ht="14.4" customHeight="1" x14ac:dyDescent="0.3">
      <c r="A585" s="48">
        <f t="shared" si="26"/>
        <v>9</v>
      </c>
      <c r="B585" s="113">
        <v>46076</v>
      </c>
      <c r="C585" s="48" t="str">
        <f t="shared" si="27"/>
        <v>febrero</v>
      </c>
      <c r="D585" s="48" t="s">
        <v>2135</v>
      </c>
      <c r="E585" s="42" t="s">
        <v>2728</v>
      </c>
      <c r="F585" s="47" t="s">
        <v>1760</v>
      </c>
      <c r="G585" s="48">
        <v>1</v>
      </c>
      <c r="H585" s="48" t="s">
        <v>1705</v>
      </c>
      <c r="I585" s="197">
        <v>40</v>
      </c>
      <c r="J585" s="197">
        <v>40</v>
      </c>
      <c r="K585" s="197">
        <v>0</v>
      </c>
      <c r="L585" s="200">
        <v>40</v>
      </c>
      <c r="M585" s="198">
        <v>0</v>
      </c>
      <c r="N585" s="48" t="s">
        <v>1617</v>
      </c>
      <c r="O585" s="48" t="s">
        <v>409</v>
      </c>
      <c r="P585" s="48" t="s">
        <v>25</v>
      </c>
      <c r="Q585" s="48" t="s">
        <v>535</v>
      </c>
      <c r="R585" s="48" t="s">
        <v>364</v>
      </c>
      <c r="S585" s="48" t="s">
        <v>2074</v>
      </c>
      <c r="T585" s="114" t="s">
        <v>1617</v>
      </c>
      <c r="U585" s="39" t="s">
        <v>1759</v>
      </c>
      <c r="V585" s="39" t="s">
        <v>2483</v>
      </c>
      <c r="W585" s="41" t="s">
        <v>1617</v>
      </c>
      <c r="X585" s="50" t="s">
        <v>2451</v>
      </c>
      <c r="Y585" s="50"/>
    </row>
    <row r="586" spans="1:25" customFormat="1" ht="14.4" customHeight="1" x14ac:dyDescent="0.3">
      <c r="A586" s="48">
        <f t="shared" si="26"/>
        <v>9</v>
      </c>
      <c r="B586" s="113">
        <v>46076</v>
      </c>
      <c r="C586" s="48" t="str">
        <f t="shared" si="27"/>
        <v>febrero</v>
      </c>
      <c r="D586" s="48" t="s">
        <v>2135</v>
      </c>
      <c r="E586" s="42" t="s">
        <v>2728</v>
      </c>
      <c r="F586" s="47" t="s">
        <v>2075</v>
      </c>
      <c r="G586" s="48">
        <v>1</v>
      </c>
      <c r="H586" s="48" t="s">
        <v>1617</v>
      </c>
      <c r="I586" s="197">
        <v>50</v>
      </c>
      <c r="J586" s="197">
        <v>50</v>
      </c>
      <c r="K586" s="197">
        <v>0</v>
      </c>
      <c r="L586" s="197">
        <v>50</v>
      </c>
      <c r="M586" s="198">
        <v>0</v>
      </c>
      <c r="N586" s="48" t="s">
        <v>1617</v>
      </c>
      <c r="O586" s="48" t="s">
        <v>2056</v>
      </c>
      <c r="P586" s="48" t="s">
        <v>18</v>
      </c>
      <c r="Q586" s="48" t="s">
        <v>535</v>
      </c>
      <c r="R586" s="48" t="s">
        <v>364</v>
      </c>
      <c r="S586" s="48" t="s">
        <v>2074</v>
      </c>
      <c r="T586" s="114" t="s">
        <v>1617</v>
      </c>
      <c r="U586" s="48" t="s">
        <v>2923</v>
      </c>
      <c r="V586" s="39" t="s">
        <v>1759</v>
      </c>
      <c r="W586" s="41" t="s">
        <v>1617</v>
      </c>
      <c r="X586" s="50" t="s">
        <v>2452</v>
      </c>
      <c r="Y586" s="50"/>
    </row>
    <row r="587" spans="1:25" customFormat="1" ht="14.4" customHeight="1" x14ac:dyDescent="0.3">
      <c r="A587" s="48">
        <f t="shared" si="26"/>
        <v>9</v>
      </c>
      <c r="B587" s="113">
        <v>46076</v>
      </c>
      <c r="C587" s="48" t="str">
        <f t="shared" si="27"/>
        <v>febrero</v>
      </c>
      <c r="D587" s="48" t="s">
        <v>2135</v>
      </c>
      <c r="E587" s="42" t="s">
        <v>2728</v>
      </c>
      <c r="F587" s="47" t="s">
        <v>2485</v>
      </c>
      <c r="G587" s="122">
        <v>1</v>
      </c>
      <c r="H587" s="48" t="s">
        <v>1705</v>
      </c>
      <c r="I587" s="202">
        <v>534.48</v>
      </c>
      <c r="J587" s="197">
        <v>534.48</v>
      </c>
      <c r="K587" s="197">
        <v>85.516800000000003</v>
      </c>
      <c r="L587" s="201">
        <v>619.99680000000001</v>
      </c>
      <c r="M587" s="198">
        <v>0</v>
      </c>
      <c r="N587" s="48" t="s">
        <v>1617</v>
      </c>
      <c r="O587" s="122" t="s">
        <v>2056</v>
      </c>
      <c r="P587" s="48" t="s">
        <v>25</v>
      </c>
      <c r="Q587" s="48" t="s">
        <v>241</v>
      </c>
      <c r="R587" s="48" t="s">
        <v>2727</v>
      </c>
      <c r="S587" s="48" t="s">
        <v>2076</v>
      </c>
      <c r="T587" s="114" t="s">
        <v>1669</v>
      </c>
      <c r="U587" s="48"/>
      <c r="V587" s="39"/>
      <c r="W587" s="41" t="s">
        <v>1762</v>
      </c>
      <c r="X587" s="50" t="s">
        <v>2453</v>
      </c>
      <c r="Y587" s="50"/>
    </row>
    <row r="588" spans="1:25" customFormat="1" ht="14.4" customHeight="1" x14ac:dyDescent="0.3">
      <c r="A588" s="48">
        <f t="shared" si="26"/>
        <v>9</v>
      </c>
      <c r="B588" s="113">
        <v>46076</v>
      </c>
      <c r="C588" s="48" t="str">
        <f t="shared" si="27"/>
        <v>febrero</v>
      </c>
      <c r="D588" s="48" t="s">
        <v>2135</v>
      </c>
      <c r="E588" s="42" t="s">
        <v>2728</v>
      </c>
      <c r="F588" s="47" t="s">
        <v>2485</v>
      </c>
      <c r="G588" s="122">
        <v>1</v>
      </c>
      <c r="H588" s="48" t="s">
        <v>1705</v>
      </c>
      <c r="I588" s="202">
        <v>534.48</v>
      </c>
      <c r="J588" s="197">
        <v>534.48</v>
      </c>
      <c r="K588" s="197">
        <v>85.516800000000003</v>
      </c>
      <c r="L588" s="201">
        <v>619.99680000000001</v>
      </c>
      <c r="M588" s="198">
        <v>0</v>
      </c>
      <c r="N588" s="48" t="s">
        <v>1617</v>
      </c>
      <c r="O588" s="122" t="s">
        <v>64</v>
      </c>
      <c r="P588" s="48" t="s">
        <v>25</v>
      </c>
      <c r="Q588" s="48" t="s">
        <v>241</v>
      </c>
      <c r="R588" s="48" t="s">
        <v>2727</v>
      </c>
      <c r="S588" s="48" t="s">
        <v>2076</v>
      </c>
      <c r="T588" s="114" t="s">
        <v>1669</v>
      </c>
      <c r="U588" s="48"/>
      <c r="V588" s="39"/>
      <c r="W588" s="41" t="s">
        <v>1762</v>
      </c>
      <c r="X588" s="50" t="s">
        <v>2453</v>
      </c>
      <c r="Y588" s="50"/>
    </row>
    <row r="589" spans="1:25" customFormat="1" ht="14.4" customHeight="1" x14ac:dyDescent="0.3">
      <c r="A589" s="48">
        <f t="shared" si="26"/>
        <v>9</v>
      </c>
      <c r="B589" s="113">
        <v>46076</v>
      </c>
      <c r="C589" s="48" t="str">
        <f t="shared" si="27"/>
        <v>febrero</v>
      </c>
      <c r="D589" s="48" t="s">
        <v>2135</v>
      </c>
      <c r="E589" s="42" t="s">
        <v>2728</v>
      </c>
      <c r="F589" s="47" t="s">
        <v>2487</v>
      </c>
      <c r="G589" s="122">
        <v>1</v>
      </c>
      <c r="H589" s="48" t="s">
        <v>1705</v>
      </c>
      <c r="I589" s="197">
        <v>448.28</v>
      </c>
      <c r="J589" s="197">
        <v>448.28</v>
      </c>
      <c r="K589" s="197">
        <v>71.724800000000002</v>
      </c>
      <c r="L589" s="201">
        <v>520.00479999999993</v>
      </c>
      <c r="M589" s="198">
        <v>0</v>
      </c>
      <c r="N589" s="48" t="s">
        <v>1617</v>
      </c>
      <c r="O589" s="122" t="s">
        <v>64</v>
      </c>
      <c r="P589" s="48" t="s">
        <v>25</v>
      </c>
      <c r="Q589" s="48" t="s">
        <v>241</v>
      </c>
      <c r="R589" s="48" t="s">
        <v>2727</v>
      </c>
      <c r="S589" s="48" t="s">
        <v>2076</v>
      </c>
      <c r="T589" s="114" t="s">
        <v>2488</v>
      </c>
      <c r="U589" s="48" t="s">
        <v>2489</v>
      </c>
      <c r="V589" s="39"/>
      <c r="W589" s="41" t="s">
        <v>1762</v>
      </c>
      <c r="X589" s="50" t="s">
        <v>2453</v>
      </c>
      <c r="Y589" s="50"/>
    </row>
    <row r="590" spans="1:25" customFormat="1" ht="14.4" customHeight="1" x14ac:dyDescent="0.3">
      <c r="A590" s="48">
        <f t="shared" si="26"/>
        <v>9</v>
      </c>
      <c r="B590" s="113">
        <v>46076</v>
      </c>
      <c r="C590" s="48" t="str">
        <f t="shared" si="27"/>
        <v>febrero</v>
      </c>
      <c r="D590" s="48" t="s">
        <v>2135</v>
      </c>
      <c r="E590" s="42" t="s">
        <v>2728</v>
      </c>
      <c r="F590" s="47" t="s">
        <v>219</v>
      </c>
      <c r="G590" s="48">
        <v>1</v>
      </c>
      <c r="H590" s="48" t="s">
        <v>1705</v>
      </c>
      <c r="I590" s="197">
        <v>758.62</v>
      </c>
      <c r="J590" s="197">
        <v>758.62</v>
      </c>
      <c r="K590" s="197">
        <v>121.3792</v>
      </c>
      <c r="L590" s="197">
        <v>879.99919999999997</v>
      </c>
      <c r="M590" s="198">
        <v>0</v>
      </c>
      <c r="N590" s="48" t="s">
        <v>1617</v>
      </c>
      <c r="O590" s="48" t="s">
        <v>2056</v>
      </c>
      <c r="P590" s="48" t="s">
        <v>25</v>
      </c>
      <c r="Q590" s="48" t="s">
        <v>241</v>
      </c>
      <c r="R590" s="48" t="s">
        <v>2726</v>
      </c>
      <c r="S590" s="48" t="s">
        <v>574</v>
      </c>
      <c r="T590" s="114" t="s">
        <v>1617</v>
      </c>
      <c r="U590" s="48"/>
      <c r="V590" s="39"/>
      <c r="W590" s="41" t="s">
        <v>1762</v>
      </c>
      <c r="X590" s="50" t="s">
        <v>2454</v>
      </c>
      <c r="Y590" s="50"/>
    </row>
    <row r="591" spans="1:25" customFormat="1" ht="14.4" customHeight="1" x14ac:dyDescent="0.3">
      <c r="A591" s="48">
        <f t="shared" si="26"/>
        <v>9</v>
      </c>
      <c r="B591" s="113">
        <v>46076</v>
      </c>
      <c r="C591" s="48" t="str">
        <f t="shared" si="27"/>
        <v>febrero</v>
      </c>
      <c r="D591" s="48" t="s">
        <v>2135</v>
      </c>
      <c r="E591" s="42" t="s">
        <v>2728</v>
      </c>
      <c r="F591" s="47" t="s">
        <v>90</v>
      </c>
      <c r="G591" s="48">
        <v>4</v>
      </c>
      <c r="H591" s="48" t="s">
        <v>1705</v>
      </c>
      <c r="I591" s="197">
        <v>194.82749999999999</v>
      </c>
      <c r="J591" s="197">
        <v>779.31</v>
      </c>
      <c r="K591" s="197">
        <v>124.6896</v>
      </c>
      <c r="L591" s="200">
        <v>903.99959999999999</v>
      </c>
      <c r="M591" s="198">
        <v>0</v>
      </c>
      <c r="N591" s="48" t="s">
        <v>1617</v>
      </c>
      <c r="O591" s="48" t="s">
        <v>2056</v>
      </c>
      <c r="P591" s="48" t="s">
        <v>25</v>
      </c>
      <c r="Q591" s="48" t="s">
        <v>241</v>
      </c>
      <c r="R591" s="48" t="s">
        <v>2726</v>
      </c>
      <c r="S591" s="48" t="s">
        <v>381</v>
      </c>
      <c r="T591" s="114" t="s">
        <v>1617</v>
      </c>
      <c r="U591" s="48"/>
      <c r="V591" s="39"/>
      <c r="W591" s="41" t="s">
        <v>2490</v>
      </c>
      <c r="X591" s="50" t="s">
        <v>2455</v>
      </c>
      <c r="Y591" s="50"/>
    </row>
    <row r="592" spans="1:25" customFormat="1" ht="14.4" customHeight="1" x14ac:dyDescent="0.3">
      <c r="A592" s="48">
        <f t="shared" si="26"/>
        <v>9</v>
      </c>
      <c r="B592" s="113">
        <v>46076</v>
      </c>
      <c r="C592" s="48" t="str">
        <f t="shared" si="27"/>
        <v>febrero</v>
      </c>
      <c r="D592" s="48" t="s">
        <v>2135</v>
      </c>
      <c r="E592" s="42" t="s">
        <v>2728</v>
      </c>
      <c r="F592" s="47" t="s">
        <v>92</v>
      </c>
      <c r="G592" s="48">
        <v>1</v>
      </c>
      <c r="H592" s="48" t="s">
        <v>1705</v>
      </c>
      <c r="I592" s="197">
        <v>66.38</v>
      </c>
      <c r="J592" s="197">
        <v>66.38</v>
      </c>
      <c r="K592" s="197">
        <v>10.620799999999999</v>
      </c>
      <c r="L592" s="200">
        <v>77.000799999999998</v>
      </c>
      <c r="M592" s="198">
        <v>0</v>
      </c>
      <c r="N592" s="48" t="s">
        <v>1617</v>
      </c>
      <c r="O592" s="48" t="s">
        <v>2056</v>
      </c>
      <c r="P592" s="48" t="s">
        <v>25</v>
      </c>
      <c r="Q592" s="48" t="s">
        <v>241</v>
      </c>
      <c r="R592" s="48" t="s">
        <v>2726</v>
      </c>
      <c r="S592" s="48" t="s">
        <v>381</v>
      </c>
      <c r="T592" s="114" t="s">
        <v>1617</v>
      </c>
      <c r="U592" s="48"/>
      <c r="V592" s="39"/>
      <c r="W592" s="41" t="s">
        <v>2490</v>
      </c>
      <c r="X592" s="50" t="s">
        <v>2455</v>
      </c>
      <c r="Y592" s="50"/>
    </row>
    <row r="593" spans="1:25" customFormat="1" ht="14.4" customHeight="1" x14ac:dyDescent="0.3">
      <c r="A593" s="48">
        <f t="shared" si="26"/>
        <v>9</v>
      </c>
      <c r="B593" s="113">
        <v>46076</v>
      </c>
      <c r="C593" s="48" t="str">
        <f t="shared" si="27"/>
        <v>febrero</v>
      </c>
      <c r="D593" s="48" t="s">
        <v>2135</v>
      </c>
      <c r="E593" s="42" t="s">
        <v>2728</v>
      </c>
      <c r="F593" s="47" t="s">
        <v>95</v>
      </c>
      <c r="G593" s="48">
        <v>1</v>
      </c>
      <c r="H593" s="48" t="s">
        <v>1705</v>
      </c>
      <c r="I593" s="197">
        <v>65.517200000000003</v>
      </c>
      <c r="J593" s="197">
        <v>65.517200000000003</v>
      </c>
      <c r="K593" s="197">
        <v>10.482752000000001</v>
      </c>
      <c r="L593" s="200">
        <v>75.999952000000008</v>
      </c>
      <c r="M593" s="198">
        <v>0</v>
      </c>
      <c r="N593" s="48" t="s">
        <v>1617</v>
      </c>
      <c r="O593" s="48" t="s">
        <v>2056</v>
      </c>
      <c r="P593" s="48" t="s">
        <v>25</v>
      </c>
      <c r="Q593" s="48" t="s">
        <v>241</v>
      </c>
      <c r="R593" s="48" t="s">
        <v>2726</v>
      </c>
      <c r="S593" s="48" t="s">
        <v>381</v>
      </c>
      <c r="T593" s="114" t="s">
        <v>2401</v>
      </c>
      <c r="U593" s="48"/>
      <c r="V593" s="39"/>
      <c r="W593" s="41" t="s">
        <v>2490</v>
      </c>
      <c r="X593" s="50" t="s">
        <v>2455</v>
      </c>
      <c r="Y593" s="50"/>
    </row>
    <row r="594" spans="1:25" customFormat="1" ht="14.4" customHeight="1" x14ac:dyDescent="0.3">
      <c r="A594" s="48">
        <f t="shared" si="26"/>
        <v>9</v>
      </c>
      <c r="B594" s="113">
        <v>46076</v>
      </c>
      <c r="C594" s="48" t="str">
        <f t="shared" si="27"/>
        <v>febrero</v>
      </c>
      <c r="D594" s="48" t="s">
        <v>2135</v>
      </c>
      <c r="E594" s="42" t="s">
        <v>2728</v>
      </c>
      <c r="F594" s="47" t="s">
        <v>92</v>
      </c>
      <c r="G594" s="48">
        <v>1</v>
      </c>
      <c r="H594" s="48" t="s">
        <v>1705</v>
      </c>
      <c r="I594" s="197">
        <v>66.38</v>
      </c>
      <c r="J594" s="197">
        <v>66.38</v>
      </c>
      <c r="K594" s="197">
        <v>10.620799999999999</v>
      </c>
      <c r="L594" s="200">
        <v>77.000799999999998</v>
      </c>
      <c r="M594" s="198">
        <v>0</v>
      </c>
      <c r="N594" s="48" t="s">
        <v>1617</v>
      </c>
      <c r="O594" s="48" t="s">
        <v>670</v>
      </c>
      <c r="P594" s="48" t="s">
        <v>25</v>
      </c>
      <c r="Q594" s="48" t="s">
        <v>241</v>
      </c>
      <c r="R594" s="48" t="s">
        <v>2726</v>
      </c>
      <c r="S594" s="48" t="s">
        <v>381</v>
      </c>
      <c r="T594" s="114" t="s">
        <v>1617</v>
      </c>
      <c r="U594" s="48"/>
      <c r="V594" s="39"/>
      <c r="W594" s="41" t="s">
        <v>2490</v>
      </c>
      <c r="X594" s="50" t="s">
        <v>2455</v>
      </c>
      <c r="Y594" s="50"/>
    </row>
    <row r="595" spans="1:25" customFormat="1" ht="14.4" customHeight="1" x14ac:dyDescent="0.3">
      <c r="A595" s="48">
        <f t="shared" si="26"/>
        <v>9</v>
      </c>
      <c r="B595" s="113">
        <v>46076</v>
      </c>
      <c r="C595" s="48" t="str">
        <f t="shared" si="27"/>
        <v>febrero</v>
      </c>
      <c r="D595" s="48" t="s">
        <v>2135</v>
      </c>
      <c r="E595" s="42" t="s">
        <v>2728</v>
      </c>
      <c r="F595" s="47" t="s">
        <v>95</v>
      </c>
      <c r="G595" s="48">
        <v>1</v>
      </c>
      <c r="H595" s="48" t="s">
        <v>1705</v>
      </c>
      <c r="I595" s="197">
        <v>65.517200000000003</v>
      </c>
      <c r="J595" s="197">
        <v>65.517200000000003</v>
      </c>
      <c r="K595" s="197">
        <v>10.482752000000001</v>
      </c>
      <c r="L595" s="200">
        <v>75.999952000000008</v>
      </c>
      <c r="M595" s="198">
        <v>0</v>
      </c>
      <c r="N595" s="48" t="s">
        <v>1617</v>
      </c>
      <c r="O595" s="48" t="s">
        <v>670</v>
      </c>
      <c r="P595" s="48" t="s">
        <v>25</v>
      </c>
      <c r="Q595" s="48" t="s">
        <v>241</v>
      </c>
      <c r="R595" s="48" t="s">
        <v>2726</v>
      </c>
      <c r="S595" s="48" t="s">
        <v>381</v>
      </c>
      <c r="T595" s="114" t="s">
        <v>2401</v>
      </c>
      <c r="U595" s="48"/>
      <c r="V595" s="39"/>
      <c r="W595" s="41" t="s">
        <v>2490</v>
      </c>
      <c r="X595" s="50" t="s">
        <v>2455</v>
      </c>
      <c r="Y595" s="50"/>
    </row>
    <row r="596" spans="1:25" customFormat="1" ht="14.4" customHeight="1" x14ac:dyDescent="0.3">
      <c r="A596" s="48">
        <f t="shared" si="26"/>
        <v>9</v>
      </c>
      <c r="B596" s="113">
        <v>46076</v>
      </c>
      <c r="C596" s="48" t="str">
        <f t="shared" si="27"/>
        <v>febrero</v>
      </c>
      <c r="D596" s="48" t="s">
        <v>2135</v>
      </c>
      <c r="E596" s="42" t="s">
        <v>2728</v>
      </c>
      <c r="F596" s="47" t="s">
        <v>90</v>
      </c>
      <c r="G596" s="48">
        <v>4</v>
      </c>
      <c r="H596" s="48" t="s">
        <v>1705</v>
      </c>
      <c r="I596" s="197">
        <v>194.82749999999999</v>
      </c>
      <c r="J596" s="197">
        <v>779.31</v>
      </c>
      <c r="K596" s="197">
        <v>124.6896</v>
      </c>
      <c r="L596" s="200">
        <v>903.99959999999999</v>
      </c>
      <c r="M596" s="198">
        <v>0</v>
      </c>
      <c r="N596" s="48" t="s">
        <v>1617</v>
      </c>
      <c r="O596" s="48" t="s">
        <v>670</v>
      </c>
      <c r="P596" s="48" t="s">
        <v>25</v>
      </c>
      <c r="Q596" s="48" t="s">
        <v>241</v>
      </c>
      <c r="R596" s="48" t="s">
        <v>2726</v>
      </c>
      <c r="S596" s="48" t="s">
        <v>381</v>
      </c>
      <c r="T596" s="114" t="s">
        <v>1617</v>
      </c>
      <c r="U596" s="48" t="s">
        <v>2495</v>
      </c>
      <c r="V596" s="39"/>
      <c r="W596" s="41" t="s">
        <v>2490</v>
      </c>
      <c r="X596" s="50" t="s">
        <v>2455</v>
      </c>
      <c r="Y596" s="50"/>
    </row>
    <row r="597" spans="1:25" customFormat="1" ht="14.4" customHeight="1" x14ac:dyDescent="0.3">
      <c r="A597" s="48">
        <f t="shared" si="26"/>
        <v>9</v>
      </c>
      <c r="B597" s="113">
        <v>46076</v>
      </c>
      <c r="C597" s="48" t="str">
        <f t="shared" si="27"/>
        <v>febrero</v>
      </c>
      <c r="D597" s="48" t="s">
        <v>2175</v>
      </c>
      <c r="E597" s="42" t="s">
        <v>1830</v>
      </c>
      <c r="F597" s="47" t="s">
        <v>2073</v>
      </c>
      <c r="G597" s="48">
        <v>1</v>
      </c>
      <c r="H597" s="48" t="s">
        <v>2016</v>
      </c>
      <c r="I597" s="197">
        <v>540</v>
      </c>
      <c r="J597" s="197">
        <v>540</v>
      </c>
      <c r="K597" s="197">
        <v>0</v>
      </c>
      <c r="L597" s="197">
        <v>540</v>
      </c>
      <c r="M597" s="198">
        <v>0</v>
      </c>
      <c r="N597" s="48" t="s">
        <v>62</v>
      </c>
      <c r="O597" s="48" t="s">
        <v>118</v>
      </c>
      <c r="P597" s="48" t="s">
        <v>25</v>
      </c>
      <c r="Q597" s="48" t="s">
        <v>241</v>
      </c>
      <c r="R597" s="48" t="s">
        <v>2821</v>
      </c>
      <c r="S597" s="48" t="s">
        <v>1717</v>
      </c>
      <c r="T597" s="114" t="s">
        <v>2497</v>
      </c>
      <c r="U597" s="48"/>
      <c r="V597" s="39"/>
      <c r="W597" s="41" t="s">
        <v>325</v>
      </c>
      <c r="X597" s="50" t="s">
        <v>2463</v>
      </c>
    </row>
    <row r="598" spans="1:25" customFormat="1" ht="14.4" customHeight="1" x14ac:dyDescent="0.3">
      <c r="A598" s="48">
        <f t="shared" si="26"/>
        <v>9</v>
      </c>
      <c r="B598" s="113">
        <v>46076</v>
      </c>
      <c r="C598" s="48" t="str">
        <f t="shared" si="27"/>
        <v>febrero</v>
      </c>
      <c r="D598" s="48" t="s">
        <v>2175</v>
      </c>
      <c r="E598" s="42" t="s">
        <v>1830</v>
      </c>
      <c r="F598" s="47" t="s">
        <v>2498</v>
      </c>
      <c r="G598" s="48">
        <v>1</v>
      </c>
      <c r="H598" s="48" t="s">
        <v>1705</v>
      </c>
      <c r="I598" s="197">
        <v>90</v>
      </c>
      <c r="J598" s="197">
        <v>90</v>
      </c>
      <c r="K598" s="197">
        <v>0</v>
      </c>
      <c r="L598" s="201">
        <v>90</v>
      </c>
      <c r="M598" s="198">
        <v>0</v>
      </c>
      <c r="N598" s="48" t="s">
        <v>62</v>
      </c>
      <c r="O598" s="48" t="s">
        <v>118</v>
      </c>
      <c r="P598" s="48" t="s">
        <v>25</v>
      </c>
      <c r="Q598" s="48" t="s">
        <v>241</v>
      </c>
      <c r="R598" s="48" t="s">
        <v>2821</v>
      </c>
      <c r="S598" s="48" t="s">
        <v>1717</v>
      </c>
      <c r="T598" s="114" t="s">
        <v>2499</v>
      </c>
      <c r="U598" s="48"/>
      <c r="V598" s="39"/>
      <c r="W598" s="41" t="s">
        <v>325</v>
      </c>
      <c r="X598" s="50" t="s">
        <v>2465</v>
      </c>
    </row>
    <row r="599" spans="1:25" customFormat="1" ht="14.4" customHeight="1" x14ac:dyDescent="0.3">
      <c r="A599" s="48">
        <f t="shared" si="26"/>
        <v>9</v>
      </c>
      <c r="B599" s="113">
        <v>46076</v>
      </c>
      <c r="C599" s="48" t="str">
        <f t="shared" si="27"/>
        <v>febrero</v>
      </c>
      <c r="D599" s="48" t="s">
        <v>2175</v>
      </c>
      <c r="E599" s="42" t="s">
        <v>1830</v>
      </c>
      <c r="F599" s="47" t="s">
        <v>2501</v>
      </c>
      <c r="G599" s="48">
        <v>1</v>
      </c>
      <c r="H599" s="48" t="s">
        <v>1705</v>
      </c>
      <c r="I599" s="197">
        <v>70</v>
      </c>
      <c r="J599" s="197">
        <v>70</v>
      </c>
      <c r="K599" s="197">
        <v>0</v>
      </c>
      <c r="L599" s="201">
        <v>70</v>
      </c>
      <c r="M599" s="198">
        <v>0</v>
      </c>
      <c r="N599" s="48" t="s">
        <v>62</v>
      </c>
      <c r="O599" s="48" t="s">
        <v>118</v>
      </c>
      <c r="P599" s="48" t="s">
        <v>25</v>
      </c>
      <c r="Q599" s="48" t="s">
        <v>241</v>
      </c>
      <c r="R599" s="48" t="s">
        <v>2821</v>
      </c>
      <c r="S599" s="48" t="s">
        <v>1717</v>
      </c>
      <c r="T599" s="114" t="s">
        <v>2502</v>
      </c>
      <c r="U599" s="48"/>
      <c r="V599" s="39"/>
      <c r="W599" s="41" t="s">
        <v>325</v>
      </c>
      <c r="X599" s="50" t="s">
        <v>2465</v>
      </c>
    </row>
    <row r="600" spans="1:25" customFormat="1" ht="14.4" customHeight="1" x14ac:dyDescent="0.3">
      <c r="A600" s="48">
        <f t="shared" si="26"/>
        <v>9</v>
      </c>
      <c r="B600" s="113">
        <v>46076</v>
      </c>
      <c r="C600" s="48" t="str">
        <f t="shared" si="27"/>
        <v>febrero</v>
      </c>
      <c r="D600" s="48" t="s">
        <v>2175</v>
      </c>
      <c r="E600" s="42" t="s">
        <v>1830</v>
      </c>
      <c r="F600" s="47" t="s">
        <v>2503</v>
      </c>
      <c r="G600" s="48">
        <v>4</v>
      </c>
      <c r="H600" s="48" t="s">
        <v>1705</v>
      </c>
      <c r="I600" s="197">
        <v>80</v>
      </c>
      <c r="J600" s="197">
        <v>320</v>
      </c>
      <c r="K600" s="197">
        <v>0</v>
      </c>
      <c r="L600" s="201">
        <v>320</v>
      </c>
      <c r="M600" s="198">
        <v>0</v>
      </c>
      <c r="N600" s="48" t="s">
        <v>62</v>
      </c>
      <c r="O600" s="48" t="s">
        <v>118</v>
      </c>
      <c r="P600" s="48" t="s">
        <v>25</v>
      </c>
      <c r="Q600" s="48" t="s">
        <v>241</v>
      </c>
      <c r="R600" s="48" t="s">
        <v>2821</v>
      </c>
      <c r="S600" s="48" t="s">
        <v>1717</v>
      </c>
      <c r="T600" s="114" t="s">
        <v>1638</v>
      </c>
      <c r="U600" s="48"/>
      <c r="V600" s="39"/>
      <c r="W600" s="41" t="s">
        <v>325</v>
      </c>
      <c r="X600" s="50" t="s">
        <v>2465</v>
      </c>
    </row>
    <row r="601" spans="1:25" customFormat="1" ht="14.4" customHeight="1" x14ac:dyDescent="0.3">
      <c r="A601" s="48">
        <f t="shared" si="26"/>
        <v>9</v>
      </c>
      <c r="B601" s="113">
        <v>46076</v>
      </c>
      <c r="C601" s="48" t="str">
        <f t="shared" si="27"/>
        <v>febrero</v>
      </c>
      <c r="D601" s="48" t="s">
        <v>2175</v>
      </c>
      <c r="E601" s="42" t="s">
        <v>1830</v>
      </c>
      <c r="F601" s="47" t="s">
        <v>2073</v>
      </c>
      <c r="G601" s="48">
        <v>1</v>
      </c>
      <c r="H601" s="48" t="s">
        <v>2016</v>
      </c>
      <c r="I601" s="197">
        <v>660</v>
      </c>
      <c r="J601" s="197">
        <v>660</v>
      </c>
      <c r="K601" s="197">
        <v>0</v>
      </c>
      <c r="L601" s="201">
        <v>660</v>
      </c>
      <c r="M601" s="198">
        <v>0</v>
      </c>
      <c r="N601" s="48" t="s">
        <v>62</v>
      </c>
      <c r="O601" s="48" t="s">
        <v>118</v>
      </c>
      <c r="P601" s="48" t="s">
        <v>25</v>
      </c>
      <c r="Q601" s="48" t="s">
        <v>241</v>
      </c>
      <c r="R601" s="48" t="s">
        <v>2821</v>
      </c>
      <c r="S601" s="48" t="s">
        <v>1717</v>
      </c>
      <c r="T601" s="114" t="s">
        <v>2504</v>
      </c>
      <c r="U601" s="48" t="s">
        <v>2505</v>
      </c>
      <c r="V601" s="39"/>
      <c r="W601" s="41" t="s">
        <v>325</v>
      </c>
      <c r="X601" s="50" t="s">
        <v>2465</v>
      </c>
    </row>
    <row r="602" spans="1:25" customFormat="1" ht="14.4" customHeight="1" x14ac:dyDescent="0.3">
      <c r="A602" s="48">
        <f t="shared" si="26"/>
        <v>9</v>
      </c>
      <c r="B602" s="113">
        <v>46076</v>
      </c>
      <c r="C602" s="48" t="str">
        <f t="shared" si="27"/>
        <v>febrero</v>
      </c>
      <c r="D602" s="48" t="s">
        <v>2175</v>
      </c>
      <c r="E602" s="42" t="s">
        <v>1830</v>
      </c>
      <c r="F602" s="47" t="s">
        <v>2506</v>
      </c>
      <c r="G602" s="48">
        <v>5</v>
      </c>
      <c r="H602" s="48" t="s">
        <v>2017</v>
      </c>
      <c r="I602" s="197">
        <v>580</v>
      </c>
      <c r="J602" s="197">
        <v>2900</v>
      </c>
      <c r="K602" s="197">
        <v>0</v>
      </c>
      <c r="L602" s="200">
        <v>2900</v>
      </c>
      <c r="M602" s="198">
        <v>0</v>
      </c>
      <c r="N602" s="48" t="s">
        <v>62</v>
      </c>
      <c r="O602" s="48" t="s">
        <v>118</v>
      </c>
      <c r="P602" s="48" t="s">
        <v>25</v>
      </c>
      <c r="Q602" s="48" t="s">
        <v>241</v>
      </c>
      <c r="R602" s="48" t="s">
        <v>2821</v>
      </c>
      <c r="S602" s="48" t="s">
        <v>1717</v>
      </c>
      <c r="T602" s="114" t="s">
        <v>1669</v>
      </c>
      <c r="V602" s="39"/>
      <c r="W602" s="41" t="s">
        <v>1762</v>
      </c>
      <c r="X602" s="50" t="s">
        <v>2472</v>
      </c>
    </row>
    <row r="603" spans="1:25" customFormat="1" ht="14.4" customHeight="1" x14ac:dyDescent="0.3">
      <c r="A603" s="48">
        <f t="shared" si="26"/>
        <v>9</v>
      </c>
      <c r="B603" s="113">
        <v>46076</v>
      </c>
      <c r="C603" s="48" t="str">
        <f t="shared" si="27"/>
        <v>febrero</v>
      </c>
      <c r="D603" s="48" t="s">
        <v>2175</v>
      </c>
      <c r="E603" s="42" t="s">
        <v>1830</v>
      </c>
      <c r="F603" s="47" t="s">
        <v>2508</v>
      </c>
      <c r="G603" s="48">
        <v>3</v>
      </c>
      <c r="H603" s="48" t="s">
        <v>2017</v>
      </c>
      <c r="I603" s="197">
        <v>420</v>
      </c>
      <c r="J603" s="197">
        <v>1260</v>
      </c>
      <c r="K603" s="197">
        <v>0</v>
      </c>
      <c r="L603" s="200">
        <v>1260</v>
      </c>
      <c r="M603" s="198">
        <v>0</v>
      </c>
      <c r="N603" s="48" t="s">
        <v>62</v>
      </c>
      <c r="O603" s="48" t="s">
        <v>118</v>
      </c>
      <c r="P603" s="48" t="s">
        <v>25</v>
      </c>
      <c r="Q603" s="48" t="s">
        <v>241</v>
      </c>
      <c r="R603" s="48" t="s">
        <v>2821</v>
      </c>
      <c r="S603" s="48" t="s">
        <v>1717</v>
      </c>
      <c r="T603" s="114" t="s">
        <v>1669</v>
      </c>
      <c r="U603" s="48"/>
      <c r="V603" s="39"/>
      <c r="W603" s="41" t="s">
        <v>1762</v>
      </c>
      <c r="X603" s="50" t="s">
        <v>2472</v>
      </c>
    </row>
    <row r="604" spans="1:25" customFormat="1" ht="14.4" x14ac:dyDescent="0.3">
      <c r="A604" s="48">
        <f t="shared" si="26"/>
        <v>9</v>
      </c>
      <c r="B604" s="113">
        <v>46076</v>
      </c>
      <c r="C604" s="48" t="str">
        <f t="shared" si="27"/>
        <v>febrero</v>
      </c>
      <c r="D604" s="48" t="s">
        <v>2175</v>
      </c>
      <c r="E604" s="42" t="s">
        <v>1830</v>
      </c>
      <c r="F604" s="47" t="s">
        <v>2510</v>
      </c>
      <c r="G604" s="48">
        <v>2</v>
      </c>
      <c r="H604" s="48" t="s">
        <v>1705</v>
      </c>
      <c r="I604" s="197">
        <v>80</v>
      </c>
      <c r="J604" s="197">
        <v>160</v>
      </c>
      <c r="K604" s="197">
        <v>0</v>
      </c>
      <c r="L604" s="200">
        <v>160</v>
      </c>
      <c r="M604" s="198">
        <v>0</v>
      </c>
      <c r="N604" s="48" t="s">
        <v>62</v>
      </c>
      <c r="O604" s="48" t="s">
        <v>118</v>
      </c>
      <c r="P604" s="48" t="s">
        <v>25</v>
      </c>
      <c r="Q604" s="48" t="s">
        <v>241</v>
      </c>
      <c r="R604" s="48" t="s">
        <v>2821</v>
      </c>
      <c r="S604" s="48" t="s">
        <v>1717</v>
      </c>
      <c r="T604" s="114" t="s">
        <v>2511</v>
      </c>
      <c r="U604" s="48"/>
      <c r="V604" s="39"/>
      <c r="W604" s="41" t="s">
        <v>1762</v>
      </c>
      <c r="X604" s="50" t="s">
        <v>2472</v>
      </c>
    </row>
    <row r="605" spans="1:25" customFormat="1" ht="14.4" x14ac:dyDescent="0.3">
      <c r="A605" s="48">
        <f t="shared" si="26"/>
        <v>9</v>
      </c>
      <c r="B605" s="113">
        <v>46076</v>
      </c>
      <c r="C605" s="48" t="str">
        <f t="shared" si="27"/>
        <v>febrero</v>
      </c>
      <c r="D605" s="48" t="s">
        <v>2175</v>
      </c>
      <c r="E605" s="42" t="s">
        <v>1830</v>
      </c>
      <c r="F605" s="47" t="s">
        <v>2513</v>
      </c>
      <c r="G605" s="48">
        <v>2</v>
      </c>
      <c r="H605" s="48" t="s">
        <v>1705</v>
      </c>
      <c r="I605" s="197">
        <v>125</v>
      </c>
      <c r="J605" s="197">
        <v>250</v>
      </c>
      <c r="K605" s="197">
        <v>0</v>
      </c>
      <c r="L605" s="200">
        <v>250</v>
      </c>
      <c r="M605" s="198">
        <v>0</v>
      </c>
      <c r="N605" s="48" t="s">
        <v>62</v>
      </c>
      <c r="O605" s="48" t="s">
        <v>118</v>
      </c>
      <c r="P605" s="48" t="s">
        <v>25</v>
      </c>
      <c r="Q605" s="48" t="s">
        <v>241</v>
      </c>
      <c r="R605" s="48" t="s">
        <v>2821</v>
      </c>
      <c r="S605" s="48" t="s">
        <v>1717</v>
      </c>
      <c r="T605" s="114" t="s">
        <v>2514</v>
      </c>
      <c r="U605" s="48"/>
      <c r="V605" s="39"/>
      <c r="W605" s="41" t="s">
        <v>1762</v>
      </c>
      <c r="X605" s="50" t="s">
        <v>2472</v>
      </c>
    </row>
    <row r="606" spans="1:25" customFormat="1" ht="14.4" x14ac:dyDescent="0.3">
      <c r="A606" s="48">
        <f t="shared" si="26"/>
        <v>9</v>
      </c>
      <c r="B606" s="113">
        <v>46076</v>
      </c>
      <c r="C606" s="48" t="str">
        <f t="shared" si="27"/>
        <v>febrero</v>
      </c>
      <c r="D606" s="48" t="s">
        <v>2175</v>
      </c>
      <c r="E606" s="42" t="s">
        <v>1830</v>
      </c>
      <c r="F606" s="47" t="s">
        <v>2516</v>
      </c>
      <c r="G606" s="48">
        <v>8</v>
      </c>
      <c r="H606" s="48" t="s">
        <v>1705</v>
      </c>
      <c r="I606" s="197">
        <v>45</v>
      </c>
      <c r="J606" s="197">
        <v>360</v>
      </c>
      <c r="K606" s="197">
        <v>0</v>
      </c>
      <c r="L606" s="200">
        <v>360</v>
      </c>
      <c r="M606" s="198">
        <v>0</v>
      </c>
      <c r="N606" s="48" t="s">
        <v>62</v>
      </c>
      <c r="O606" s="48" t="s">
        <v>118</v>
      </c>
      <c r="P606" s="48" t="s">
        <v>25</v>
      </c>
      <c r="Q606" s="48" t="s">
        <v>241</v>
      </c>
      <c r="R606" s="48" t="s">
        <v>2821</v>
      </c>
      <c r="S606" s="48" t="s">
        <v>1717</v>
      </c>
      <c r="T606" s="114" t="s">
        <v>1638</v>
      </c>
      <c r="U606" s="48"/>
      <c r="V606" s="39"/>
      <c r="W606" s="41" t="s">
        <v>1762</v>
      </c>
      <c r="X606" s="50" t="s">
        <v>2472</v>
      </c>
    </row>
    <row r="607" spans="1:25" customFormat="1" ht="14.4" x14ac:dyDescent="0.3">
      <c r="A607" s="48">
        <f t="shared" si="26"/>
        <v>9</v>
      </c>
      <c r="B607" s="113">
        <v>46076</v>
      </c>
      <c r="C607" s="48" t="str">
        <f t="shared" si="27"/>
        <v>febrero</v>
      </c>
      <c r="D607" s="48" t="s">
        <v>2175</v>
      </c>
      <c r="E607" s="42" t="s">
        <v>1830</v>
      </c>
      <c r="F607" s="47" t="s">
        <v>2394</v>
      </c>
      <c r="G607" s="48">
        <v>2</v>
      </c>
      <c r="H607" s="48" t="s">
        <v>1705</v>
      </c>
      <c r="I607" s="197">
        <v>90</v>
      </c>
      <c r="J607" s="197">
        <v>180</v>
      </c>
      <c r="K607" s="197">
        <v>0</v>
      </c>
      <c r="L607" s="200">
        <v>180</v>
      </c>
      <c r="M607" s="198">
        <v>0</v>
      </c>
      <c r="N607" s="48" t="s">
        <v>62</v>
      </c>
      <c r="O607" s="48" t="s">
        <v>118</v>
      </c>
      <c r="P607" s="48" t="s">
        <v>25</v>
      </c>
      <c r="Q607" s="48" t="s">
        <v>241</v>
      </c>
      <c r="R607" s="48" t="s">
        <v>2821</v>
      </c>
      <c r="S607" s="48" t="s">
        <v>1717</v>
      </c>
      <c r="T607" s="114" t="s">
        <v>2499</v>
      </c>
      <c r="U607" s="48"/>
      <c r="V607" s="39"/>
      <c r="W607" s="41" t="s">
        <v>1762</v>
      </c>
      <c r="X607" s="50" t="s">
        <v>2472</v>
      </c>
    </row>
    <row r="608" spans="1:25" customFormat="1" ht="14.4" x14ac:dyDescent="0.3">
      <c r="A608" s="48">
        <f t="shared" si="26"/>
        <v>9</v>
      </c>
      <c r="B608" s="113">
        <v>46076</v>
      </c>
      <c r="C608" s="48" t="str">
        <f t="shared" si="27"/>
        <v>febrero</v>
      </c>
      <c r="D608" s="48" t="s">
        <v>2175</v>
      </c>
      <c r="E608" s="42" t="s">
        <v>1830</v>
      </c>
      <c r="F608" s="47" t="s">
        <v>2519</v>
      </c>
      <c r="G608" s="48">
        <v>3</v>
      </c>
      <c r="H608" s="48" t="s">
        <v>1705</v>
      </c>
      <c r="I608" s="197">
        <v>70</v>
      </c>
      <c r="J608" s="197">
        <v>210</v>
      </c>
      <c r="K608" s="197">
        <v>0</v>
      </c>
      <c r="L608" s="200">
        <v>210</v>
      </c>
      <c r="M608" s="198">
        <v>0</v>
      </c>
      <c r="N608" s="48" t="s">
        <v>62</v>
      </c>
      <c r="O608" s="48" t="s">
        <v>118</v>
      </c>
      <c r="P608" s="48" t="s">
        <v>25</v>
      </c>
      <c r="Q608" s="48" t="s">
        <v>241</v>
      </c>
      <c r="R608" s="48" t="s">
        <v>2821</v>
      </c>
      <c r="S608" s="48" t="s">
        <v>1717</v>
      </c>
      <c r="T608" s="114" t="s">
        <v>2502</v>
      </c>
      <c r="U608" s="48"/>
      <c r="V608" s="39"/>
      <c r="W608" s="41" t="s">
        <v>1762</v>
      </c>
      <c r="X608" s="50" t="s">
        <v>2472</v>
      </c>
    </row>
    <row r="609" spans="1:25" customFormat="1" ht="14.4" x14ac:dyDescent="0.3">
      <c r="A609" s="48">
        <f t="shared" si="26"/>
        <v>9</v>
      </c>
      <c r="B609" s="113">
        <v>46076</v>
      </c>
      <c r="C609" s="48" t="str">
        <f t="shared" si="27"/>
        <v>febrero</v>
      </c>
      <c r="D609" s="48" t="s">
        <v>2175</v>
      </c>
      <c r="E609" s="42" t="s">
        <v>1830</v>
      </c>
      <c r="F609" s="47" t="s">
        <v>2520</v>
      </c>
      <c r="G609" s="48">
        <v>8</v>
      </c>
      <c r="H609" s="48" t="s">
        <v>1705</v>
      </c>
      <c r="I609" s="197">
        <v>80</v>
      </c>
      <c r="J609" s="197">
        <v>640</v>
      </c>
      <c r="K609" s="197">
        <v>0</v>
      </c>
      <c r="L609" s="200">
        <v>640</v>
      </c>
      <c r="M609" s="198">
        <v>0</v>
      </c>
      <c r="N609" s="48" t="s">
        <v>62</v>
      </c>
      <c r="O609" s="48" t="s">
        <v>118</v>
      </c>
      <c r="P609" s="48" t="s">
        <v>25</v>
      </c>
      <c r="Q609" s="48" t="s">
        <v>241</v>
      </c>
      <c r="R609" s="48" t="s">
        <v>2821</v>
      </c>
      <c r="S609" s="48" t="s">
        <v>1717</v>
      </c>
      <c r="T609" s="114" t="s">
        <v>1638</v>
      </c>
      <c r="U609" s="48"/>
      <c r="V609" s="39"/>
      <c r="W609" s="41" t="s">
        <v>1762</v>
      </c>
      <c r="X609" s="50" t="s">
        <v>2472</v>
      </c>
    </row>
    <row r="610" spans="1:25" customFormat="1" ht="14.4" x14ac:dyDescent="0.3">
      <c r="A610" s="48">
        <f t="shared" si="26"/>
        <v>9</v>
      </c>
      <c r="B610" s="113">
        <v>46076</v>
      </c>
      <c r="C610" s="48" t="str">
        <f t="shared" si="27"/>
        <v>febrero</v>
      </c>
      <c r="D610" s="48" t="s">
        <v>2175</v>
      </c>
      <c r="E610" s="42" t="s">
        <v>1830</v>
      </c>
      <c r="F610" s="47" t="s">
        <v>2073</v>
      </c>
      <c r="G610" s="48">
        <v>2</v>
      </c>
      <c r="H610" s="48" t="s">
        <v>1705</v>
      </c>
      <c r="I610" s="197">
        <v>540</v>
      </c>
      <c r="J610" s="197">
        <v>1080</v>
      </c>
      <c r="K610" s="197">
        <v>0</v>
      </c>
      <c r="L610" s="200">
        <v>1080</v>
      </c>
      <c r="M610" s="198">
        <v>0</v>
      </c>
      <c r="N610" s="48" t="s">
        <v>62</v>
      </c>
      <c r="O610" s="48" t="s">
        <v>118</v>
      </c>
      <c r="P610" s="48" t="s">
        <v>25</v>
      </c>
      <c r="Q610" s="48" t="s">
        <v>241</v>
      </c>
      <c r="R610" s="48" t="s">
        <v>2821</v>
      </c>
      <c r="S610" s="48" t="s">
        <v>1717</v>
      </c>
      <c r="T610" s="114" t="s">
        <v>2497</v>
      </c>
      <c r="U610" s="48"/>
      <c r="V610" s="39"/>
      <c r="W610" s="41" t="s">
        <v>1762</v>
      </c>
      <c r="X610" s="50" t="s">
        <v>2472</v>
      </c>
    </row>
    <row r="611" spans="1:25" customFormat="1" ht="14.4" x14ac:dyDescent="0.3">
      <c r="A611" s="48">
        <f t="shared" si="26"/>
        <v>9</v>
      </c>
      <c r="B611" s="113">
        <v>46076</v>
      </c>
      <c r="C611" s="48" t="str">
        <f t="shared" si="27"/>
        <v>febrero</v>
      </c>
      <c r="D611" s="48" t="s">
        <v>2175</v>
      </c>
      <c r="E611" s="42" t="s">
        <v>1830</v>
      </c>
      <c r="F611" s="47" t="s">
        <v>2523</v>
      </c>
      <c r="G611" s="48">
        <v>1</v>
      </c>
      <c r="H611" s="48" t="s">
        <v>1705</v>
      </c>
      <c r="I611" s="197">
        <v>130</v>
      </c>
      <c r="J611" s="197">
        <v>130</v>
      </c>
      <c r="K611" s="197">
        <v>0</v>
      </c>
      <c r="L611" s="200">
        <v>130</v>
      </c>
      <c r="M611" s="198">
        <v>0</v>
      </c>
      <c r="N611" s="48" t="s">
        <v>62</v>
      </c>
      <c r="O611" s="48" t="s">
        <v>118</v>
      </c>
      <c r="P611" s="48" t="s">
        <v>25</v>
      </c>
      <c r="Q611" s="48" t="s">
        <v>241</v>
      </c>
      <c r="R611" s="48" t="s">
        <v>2821</v>
      </c>
      <c r="S611" s="48" t="s">
        <v>1717</v>
      </c>
      <c r="T611" s="114" t="s">
        <v>2514</v>
      </c>
      <c r="U611" s="48"/>
      <c r="V611" s="39"/>
      <c r="W611" s="41" t="s">
        <v>1762</v>
      </c>
      <c r="X611" s="50" t="s">
        <v>2472</v>
      </c>
    </row>
    <row r="612" spans="1:25" customFormat="1" ht="14.4" x14ac:dyDescent="0.3">
      <c r="A612" s="48">
        <f t="shared" si="26"/>
        <v>9</v>
      </c>
      <c r="B612" s="113">
        <v>46076</v>
      </c>
      <c r="C612" s="48" t="str">
        <f t="shared" si="27"/>
        <v>febrero</v>
      </c>
      <c r="D612" s="48" t="s">
        <v>2175</v>
      </c>
      <c r="E612" s="42" t="s">
        <v>1830</v>
      </c>
      <c r="F612" s="47" t="s">
        <v>2525</v>
      </c>
      <c r="G612" s="48">
        <v>4</v>
      </c>
      <c r="H612" s="48" t="s">
        <v>1705</v>
      </c>
      <c r="I612" s="197">
        <v>80</v>
      </c>
      <c r="J612" s="197">
        <v>320</v>
      </c>
      <c r="K612" s="197">
        <v>0</v>
      </c>
      <c r="L612" s="200">
        <v>320</v>
      </c>
      <c r="M612" s="198">
        <v>0</v>
      </c>
      <c r="N612" s="48" t="s">
        <v>62</v>
      </c>
      <c r="O612" s="48" t="s">
        <v>118</v>
      </c>
      <c r="P612" s="48" t="s">
        <v>25</v>
      </c>
      <c r="Q612" s="48" t="s">
        <v>241</v>
      </c>
      <c r="R612" s="48" t="s">
        <v>2821</v>
      </c>
      <c r="S612" s="48" t="s">
        <v>1717</v>
      </c>
      <c r="T612" s="114" t="s">
        <v>1638</v>
      </c>
      <c r="U612" s="48"/>
      <c r="V612" s="39"/>
      <c r="W612" s="41" t="s">
        <v>1762</v>
      </c>
      <c r="X612" s="50" t="s">
        <v>2472</v>
      </c>
    </row>
    <row r="613" spans="1:25" customFormat="1" ht="14.4" x14ac:dyDescent="0.3">
      <c r="A613" s="48">
        <f t="shared" si="26"/>
        <v>9</v>
      </c>
      <c r="B613" s="113">
        <v>46076</v>
      </c>
      <c r="C613" s="48" t="str">
        <f t="shared" si="27"/>
        <v>febrero</v>
      </c>
      <c r="D613" s="48" t="s">
        <v>2175</v>
      </c>
      <c r="E613" s="42" t="s">
        <v>1830</v>
      </c>
      <c r="F613" s="47" t="s">
        <v>2527</v>
      </c>
      <c r="G613" s="48">
        <v>1</v>
      </c>
      <c r="H613" s="48" t="s">
        <v>1705</v>
      </c>
      <c r="I613" s="197">
        <v>490</v>
      </c>
      <c r="J613" s="197">
        <v>490</v>
      </c>
      <c r="K613" s="197">
        <v>0</v>
      </c>
      <c r="L613" s="200">
        <v>490</v>
      </c>
      <c r="M613" s="198">
        <v>0</v>
      </c>
      <c r="N613" s="48" t="s">
        <v>62</v>
      </c>
      <c r="O613" s="48" t="s">
        <v>118</v>
      </c>
      <c r="P613" s="48" t="s">
        <v>25</v>
      </c>
      <c r="Q613" s="48" t="s">
        <v>241</v>
      </c>
      <c r="R613" s="48" t="s">
        <v>2821</v>
      </c>
      <c r="S613" s="48" t="s">
        <v>1717</v>
      </c>
      <c r="T613" s="114" t="s">
        <v>2528</v>
      </c>
      <c r="U613" s="48"/>
      <c r="V613" s="39"/>
      <c r="W613" s="41" t="s">
        <v>1762</v>
      </c>
      <c r="X613" s="50" t="s">
        <v>2472</v>
      </c>
    </row>
    <row r="614" spans="1:25" customFormat="1" ht="14.4" x14ac:dyDescent="0.3">
      <c r="A614" s="48">
        <f t="shared" si="26"/>
        <v>9</v>
      </c>
      <c r="B614" s="113">
        <v>46076</v>
      </c>
      <c r="C614" s="48" t="str">
        <f t="shared" si="27"/>
        <v>febrero</v>
      </c>
      <c r="D614" s="48" t="s">
        <v>2175</v>
      </c>
      <c r="E614" s="42" t="s">
        <v>2728</v>
      </c>
      <c r="F614" s="47" t="s">
        <v>2530</v>
      </c>
      <c r="G614" s="48">
        <v>1</v>
      </c>
      <c r="H614" s="48" t="s">
        <v>1705</v>
      </c>
      <c r="I614" s="197">
        <v>150</v>
      </c>
      <c r="J614" s="197">
        <v>150</v>
      </c>
      <c r="K614" s="197">
        <v>0</v>
      </c>
      <c r="L614" s="200">
        <v>150</v>
      </c>
      <c r="M614" s="198">
        <v>0</v>
      </c>
      <c r="N614" s="48" t="s">
        <v>2531</v>
      </c>
      <c r="O614" s="48" t="s">
        <v>118</v>
      </c>
      <c r="P614" s="48" t="s">
        <v>25</v>
      </c>
      <c r="Q614" s="48" t="s">
        <v>241</v>
      </c>
      <c r="R614" s="48" t="s">
        <v>2821</v>
      </c>
      <c r="S614" s="48" t="s">
        <v>1717</v>
      </c>
      <c r="T614" s="114" t="s">
        <v>2532</v>
      </c>
      <c r="U614" s="48" t="s">
        <v>2533</v>
      </c>
      <c r="V614" s="39" t="s">
        <v>2534</v>
      </c>
      <c r="W614" s="41" t="s">
        <v>1762</v>
      </c>
      <c r="X614" s="50" t="s">
        <v>2472</v>
      </c>
    </row>
    <row r="615" spans="1:25" customFormat="1" ht="14.4" x14ac:dyDescent="0.3">
      <c r="A615" s="48">
        <f t="shared" si="26"/>
        <v>9</v>
      </c>
      <c r="B615" s="113">
        <v>46076</v>
      </c>
      <c r="C615" s="48" t="str">
        <f t="shared" si="27"/>
        <v>febrero</v>
      </c>
      <c r="D615" s="48" t="s">
        <v>2135</v>
      </c>
      <c r="E615" s="42" t="s">
        <v>2728</v>
      </c>
      <c r="F615" s="47" t="s">
        <v>97</v>
      </c>
      <c r="G615" s="48">
        <v>1</v>
      </c>
      <c r="H615" s="48" t="s">
        <v>2016</v>
      </c>
      <c r="I615" s="197">
        <v>254.38</v>
      </c>
      <c r="J615" s="197">
        <v>254.38</v>
      </c>
      <c r="K615" s="197">
        <v>40.700800000000001</v>
      </c>
      <c r="L615" s="197">
        <v>295.08080000000001</v>
      </c>
      <c r="M615" s="198">
        <v>0</v>
      </c>
      <c r="N615" s="48" t="s">
        <v>1617</v>
      </c>
      <c r="O615" s="48" t="s">
        <v>670</v>
      </c>
      <c r="P615" s="48" t="s">
        <v>25</v>
      </c>
      <c r="Q615" s="48" t="s">
        <v>488</v>
      </c>
      <c r="R615" s="48" t="s">
        <v>2801</v>
      </c>
      <c r="S615" s="48" t="s">
        <v>381</v>
      </c>
      <c r="T615" s="114" t="s">
        <v>1617</v>
      </c>
      <c r="U615" s="48" t="s">
        <v>2077</v>
      </c>
      <c r="V615" s="39" t="s">
        <v>2078</v>
      </c>
      <c r="W615" s="41" t="s">
        <v>1762</v>
      </c>
      <c r="X615" s="50" t="s">
        <v>2476</v>
      </c>
      <c r="Y615" s="50"/>
    </row>
    <row r="616" spans="1:25" customFormat="1" ht="14.4" x14ac:dyDescent="0.3">
      <c r="A616" s="48">
        <f t="shared" si="26"/>
        <v>9</v>
      </c>
      <c r="B616" s="113">
        <v>46076</v>
      </c>
      <c r="C616" s="48" t="str">
        <f t="shared" si="27"/>
        <v>febrero</v>
      </c>
      <c r="D616" s="48" t="s">
        <v>2135</v>
      </c>
      <c r="E616" s="42" t="s">
        <v>356</v>
      </c>
      <c r="F616" s="47" t="s">
        <v>127</v>
      </c>
      <c r="G616" s="48">
        <v>20</v>
      </c>
      <c r="H616" s="48" t="s">
        <v>2017</v>
      </c>
      <c r="I616" s="197">
        <v>19.8706</v>
      </c>
      <c r="J616" s="197">
        <v>397.41199999999998</v>
      </c>
      <c r="K616" s="197">
        <v>63.585919999999994</v>
      </c>
      <c r="L616" s="197">
        <v>460.99791999999997</v>
      </c>
      <c r="M616" s="198">
        <v>0</v>
      </c>
      <c r="N616" s="48" t="s">
        <v>2070</v>
      </c>
      <c r="O616" s="48" t="s">
        <v>1819</v>
      </c>
      <c r="P616" s="49" t="s">
        <v>1321</v>
      </c>
      <c r="Q616" s="48" t="s">
        <v>488</v>
      </c>
      <c r="R616" s="48" t="s">
        <v>2727</v>
      </c>
      <c r="S616" s="48" t="s">
        <v>647</v>
      </c>
      <c r="T616" s="114" t="s">
        <v>2025</v>
      </c>
      <c r="U616" s="48" t="s">
        <v>2536</v>
      </c>
      <c r="V616" s="39"/>
      <c r="W616" s="41" t="s">
        <v>1762</v>
      </c>
      <c r="X616" s="50" t="s">
        <v>2478</v>
      </c>
      <c r="Y616" s="50"/>
    </row>
    <row r="617" spans="1:25" customFormat="1" ht="14.4" x14ac:dyDescent="0.3">
      <c r="A617" s="48">
        <f t="shared" si="26"/>
        <v>9</v>
      </c>
      <c r="B617" s="113">
        <v>46077</v>
      </c>
      <c r="C617" s="48" t="str">
        <f t="shared" si="27"/>
        <v>febrero</v>
      </c>
      <c r="D617" s="48" t="s">
        <v>2135</v>
      </c>
      <c r="E617" s="42" t="s">
        <v>2728</v>
      </c>
      <c r="F617" s="47" t="s">
        <v>2094</v>
      </c>
      <c r="G617" s="48">
        <v>4</v>
      </c>
      <c r="H617" s="48" t="s">
        <v>1705</v>
      </c>
      <c r="I617" s="202">
        <v>37.5</v>
      </c>
      <c r="J617" s="197">
        <v>150</v>
      </c>
      <c r="K617" s="197">
        <v>24</v>
      </c>
      <c r="L617" s="197">
        <v>174</v>
      </c>
      <c r="M617" s="198">
        <v>0</v>
      </c>
      <c r="N617" s="48" t="s">
        <v>1617</v>
      </c>
      <c r="O617" s="48" t="s">
        <v>1860</v>
      </c>
      <c r="P617" s="48" t="s">
        <v>25</v>
      </c>
      <c r="Q617" s="48" t="s">
        <v>1869</v>
      </c>
      <c r="R617" s="48" t="s">
        <v>364</v>
      </c>
      <c r="S617" s="48" t="s">
        <v>2074</v>
      </c>
      <c r="T617" s="114" t="s">
        <v>1617</v>
      </c>
      <c r="U617" s="48" t="s">
        <v>2923</v>
      </c>
      <c r="V617" s="49" t="s">
        <v>1759</v>
      </c>
      <c r="W617" s="41" t="s">
        <v>1617</v>
      </c>
      <c r="X617" s="50" t="s">
        <v>2479</v>
      </c>
      <c r="Y617" s="50"/>
    </row>
    <row r="618" spans="1:25" customFormat="1" ht="14.4" x14ac:dyDescent="0.3">
      <c r="A618" s="48">
        <f t="shared" si="26"/>
        <v>9</v>
      </c>
      <c r="B618" s="113">
        <v>46077</v>
      </c>
      <c r="C618" s="48" t="str">
        <f t="shared" si="27"/>
        <v>febrero</v>
      </c>
      <c r="D618" s="48" t="s">
        <v>2135</v>
      </c>
      <c r="E618" s="42" t="s">
        <v>2732</v>
      </c>
      <c r="F618" s="47" t="s">
        <v>2079</v>
      </c>
      <c r="G618" s="48">
        <v>4</v>
      </c>
      <c r="H618" s="48" t="s">
        <v>1617</v>
      </c>
      <c r="I618" s="197">
        <v>269</v>
      </c>
      <c r="J618" s="197">
        <v>1076</v>
      </c>
      <c r="K618" s="197">
        <v>0</v>
      </c>
      <c r="L618" s="197">
        <v>1076</v>
      </c>
      <c r="M618" s="198">
        <v>0</v>
      </c>
      <c r="N618" s="48" t="s">
        <v>1617</v>
      </c>
      <c r="O618" s="48" t="s">
        <v>116</v>
      </c>
      <c r="P618" s="48" t="s">
        <v>25</v>
      </c>
      <c r="Q618" s="48" t="s">
        <v>1921</v>
      </c>
      <c r="R618" s="48" t="s">
        <v>2727</v>
      </c>
      <c r="S618" s="48" t="s">
        <v>2080</v>
      </c>
      <c r="T618" s="48" t="s">
        <v>2080</v>
      </c>
      <c r="U618" s="48" t="s">
        <v>2081</v>
      </c>
      <c r="V618" s="49"/>
      <c r="W618" s="41" t="s">
        <v>1617</v>
      </c>
      <c r="X618" s="50" t="s">
        <v>2480</v>
      </c>
    </row>
    <row r="619" spans="1:25" customFormat="1" ht="14.4" x14ac:dyDescent="0.3">
      <c r="A619" s="48">
        <f t="shared" si="26"/>
        <v>9</v>
      </c>
      <c r="B619" s="113">
        <v>46077</v>
      </c>
      <c r="C619" s="48" t="str">
        <f t="shared" si="27"/>
        <v>febrero</v>
      </c>
      <c r="D619" s="48" t="s">
        <v>2175</v>
      </c>
      <c r="E619" s="42" t="s">
        <v>1830</v>
      </c>
      <c r="F619" s="47" t="s">
        <v>2540</v>
      </c>
      <c r="G619" s="48">
        <v>1</v>
      </c>
      <c r="H619" s="48" t="s">
        <v>2139</v>
      </c>
      <c r="I619" s="197">
        <v>87.930999999999997</v>
      </c>
      <c r="J619" s="197">
        <v>87.930999999999997</v>
      </c>
      <c r="K619" s="197">
        <v>14.068960000000001</v>
      </c>
      <c r="L619" s="201">
        <v>101.99996</v>
      </c>
      <c r="M619" s="198">
        <v>0</v>
      </c>
      <c r="N619" s="48" t="s">
        <v>62</v>
      </c>
      <c r="O619" s="48" t="s">
        <v>118</v>
      </c>
      <c r="P619" s="48" t="s">
        <v>25</v>
      </c>
      <c r="Q619" s="48" t="s">
        <v>1869</v>
      </c>
      <c r="R619" s="48" t="s">
        <v>2821</v>
      </c>
      <c r="S619" s="48" t="s">
        <v>2088</v>
      </c>
      <c r="T619" s="48" t="s">
        <v>2541</v>
      </c>
      <c r="U619" s="48"/>
      <c r="V619" s="49"/>
      <c r="W619" s="41" t="s">
        <v>2089</v>
      </c>
      <c r="X619" s="50" t="s">
        <v>2481</v>
      </c>
    </row>
    <row r="620" spans="1:25" customFormat="1" ht="14.4" x14ac:dyDescent="0.3">
      <c r="A620" s="48">
        <f t="shared" si="26"/>
        <v>9</v>
      </c>
      <c r="B620" s="113">
        <v>46077</v>
      </c>
      <c r="C620" s="48" t="str">
        <f t="shared" si="27"/>
        <v>febrero</v>
      </c>
      <c r="D620" s="48" t="s">
        <v>2175</v>
      </c>
      <c r="E620" s="42" t="s">
        <v>1830</v>
      </c>
      <c r="F620" s="47" t="s">
        <v>2543</v>
      </c>
      <c r="G620" s="48">
        <v>1</v>
      </c>
      <c r="H620" s="48" t="s">
        <v>1705</v>
      </c>
      <c r="I620" s="197">
        <v>68.103399999999993</v>
      </c>
      <c r="J620" s="197">
        <v>68.103399999999993</v>
      </c>
      <c r="K620" s="197">
        <v>10.896543999999999</v>
      </c>
      <c r="L620" s="201">
        <v>78.999943999999999</v>
      </c>
      <c r="M620" s="198">
        <v>0</v>
      </c>
      <c r="N620" s="48" t="s">
        <v>62</v>
      </c>
      <c r="O620" s="48" t="s">
        <v>118</v>
      </c>
      <c r="P620" s="48" t="s">
        <v>25</v>
      </c>
      <c r="Q620" s="48" t="s">
        <v>1869</v>
      </c>
      <c r="R620" s="48" t="s">
        <v>2821</v>
      </c>
      <c r="S620" s="48" t="s">
        <v>2088</v>
      </c>
      <c r="T620" s="114" t="s">
        <v>2544</v>
      </c>
      <c r="U620" s="48"/>
      <c r="V620" s="49"/>
      <c r="W620" s="41" t="s">
        <v>2089</v>
      </c>
      <c r="X620" s="50" t="s">
        <v>2481</v>
      </c>
    </row>
    <row r="621" spans="1:25" customFormat="1" ht="14.4" x14ac:dyDescent="0.3">
      <c r="A621" s="48">
        <f t="shared" si="26"/>
        <v>9</v>
      </c>
      <c r="B621" s="113">
        <v>46077</v>
      </c>
      <c r="C621" s="48" t="str">
        <f t="shared" si="27"/>
        <v>febrero</v>
      </c>
      <c r="D621" s="48" t="s">
        <v>2175</v>
      </c>
      <c r="E621" s="42" t="s">
        <v>1830</v>
      </c>
      <c r="F621" s="47" t="s">
        <v>2090</v>
      </c>
      <c r="G621" s="48">
        <v>1</v>
      </c>
      <c r="H621" s="48" t="s">
        <v>1705</v>
      </c>
      <c r="I621" s="197">
        <v>85.344800000000006</v>
      </c>
      <c r="J621" s="197">
        <v>85.344800000000006</v>
      </c>
      <c r="K621" s="197">
        <v>13.655168000000002</v>
      </c>
      <c r="L621" s="201">
        <v>98.99996800000001</v>
      </c>
      <c r="M621" s="198">
        <v>0</v>
      </c>
      <c r="N621" s="48" t="s">
        <v>62</v>
      </c>
      <c r="O621" s="48" t="s">
        <v>118</v>
      </c>
      <c r="P621" s="48" t="s">
        <v>25</v>
      </c>
      <c r="Q621" s="48" t="s">
        <v>1869</v>
      </c>
      <c r="R621" s="48" t="s">
        <v>2821</v>
      </c>
      <c r="S621" s="48" t="s">
        <v>2088</v>
      </c>
      <c r="T621" s="114" t="s">
        <v>2546</v>
      </c>
      <c r="U621" s="48" t="s">
        <v>2547</v>
      </c>
      <c r="V621" s="49"/>
      <c r="W621" s="41" t="s">
        <v>2089</v>
      </c>
      <c r="X621" s="50" t="s">
        <v>2481</v>
      </c>
    </row>
    <row r="622" spans="1:25" customFormat="1" ht="14.4" x14ac:dyDescent="0.3">
      <c r="A622" s="48">
        <f t="shared" si="26"/>
        <v>9</v>
      </c>
      <c r="B622" s="113">
        <v>46077</v>
      </c>
      <c r="C622" s="48" t="str">
        <f t="shared" si="27"/>
        <v>febrero</v>
      </c>
      <c r="D622" s="48" t="s">
        <v>2135</v>
      </c>
      <c r="E622" s="42" t="s">
        <v>2728</v>
      </c>
      <c r="F622" s="47" t="s">
        <v>2091</v>
      </c>
      <c r="G622" s="48">
        <v>1</v>
      </c>
      <c r="H622" s="48" t="s">
        <v>1705</v>
      </c>
      <c r="I622" s="197">
        <v>150</v>
      </c>
      <c r="J622" s="197">
        <v>150</v>
      </c>
      <c r="K622" s="197">
        <v>0</v>
      </c>
      <c r="L622" s="200">
        <v>150</v>
      </c>
      <c r="M622" s="198">
        <v>0</v>
      </c>
      <c r="N622" s="48" t="s">
        <v>1617</v>
      </c>
      <c r="O622" s="48" t="s">
        <v>64</v>
      </c>
      <c r="P622" s="48" t="s">
        <v>25</v>
      </c>
      <c r="Q622" s="48" t="s">
        <v>241</v>
      </c>
      <c r="R622" s="48" t="s">
        <v>364</v>
      </c>
      <c r="S622" s="48" t="s">
        <v>2092</v>
      </c>
      <c r="T622" s="114" t="s">
        <v>1617</v>
      </c>
      <c r="U622" s="48" t="s">
        <v>1759</v>
      </c>
      <c r="V622" s="49"/>
      <c r="W622" s="41" t="s">
        <v>1617</v>
      </c>
      <c r="X622" s="50" t="s">
        <v>2484</v>
      </c>
      <c r="Y622" s="50"/>
    </row>
    <row r="623" spans="1:25" customFormat="1" ht="14.4" x14ac:dyDescent="0.3">
      <c r="A623" s="48">
        <f t="shared" si="26"/>
        <v>9</v>
      </c>
      <c r="B623" s="113">
        <v>46077</v>
      </c>
      <c r="C623" s="48" t="str">
        <f t="shared" si="27"/>
        <v>febrero</v>
      </c>
      <c r="D623" s="48" t="s">
        <v>2135</v>
      </c>
      <c r="E623" s="42" t="s">
        <v>2728</v>
      </c>
      <c r="F623" s="47" t="s">
        <v>2961</v>
      </c>
      <c r="G623" s="48">
        <v>1</v>
      </c>
      <c r="H623" s="48" t="s">
        <v>1705</v>
      </c>
      <c r="I623" s="197">
        <v>70</v>
      </c>
      <c r="J623" s="197">
        <v>70</v>
      </c>
      <c r="K623" s="197">
        <v>0</v>
      </c>
      <c r="L623" s="200">
        <v>70</v>
      </c>
      <c r="M623" s="198">
        <v>0</v>
      </c>
      <c r="N623" s="48" t="s">
        <v>1617</v>
      </c>
      <c r="O623" s="48" t="s">
        <v>64</v>
      </c>
      <c r="P623" s="48" t="s">
        <v>25</v>
      </c>
      <c r="Q623" s="48" t="s">
        <v>241</v>
      </c>
      <c r="R623" s="48" t="s">
        <v>364</v>
      </c>
      <c r="S623" s="48" t="s">
        <v>2092</v>
      </c>
      <c r="T623" s="114" t="s">
        <v>1617</v>
      </c>
      <c r="U623" s="48" t="s">
        <v>1759</v>
      </c>
      <c r="V623" s="49" t="s">
        <v>2549</v>
      </c>
      <c r="W623" s="41" t="s">
        <v>1617</v>
      </c>
      <c r="X623" s="50" t="s">
        <v>2484</v>
      </c>
      <c r="Y623" s="50"/>
    </row>
    <row r="624" spans="1:25" customFormat="1" ht="14.4" x14ac:dyDescent="0.3">
      <c r="A624" s="48">
        <f t="shared" si="26"/>
        <v>9</v>
      </c>
      <c r="B624" s="113">
        <v>46077</v>
      </c>
      <c r="C624" s="48" t="str">
        <f t="shared" si="27"/>
        <v>febrero</v>
      </c>
      <c r="D624" s="48" t="s">
        <v>2135</v>
      </c>
      <c r="E624" s="42" t="s">
        <v>2728</v>
      </c>
      <c r="F624" s="47" t="s">
        <v>2551</v>
      </c>
      <c r="G624" s="48">
        <v>1</v>
      </c>
      <c r="H624" s="48" t="s">
        <v>1705</v>
      </c>
      <c r="I624" s="197">
        <v>293.10000000000002</v>
      </c>
      <c r="J624" s="197">
        <v>293.10000000000002</v>
      </c>
      <c r="K624" s="197">
        <v>46.896000000000008</v>
      </c>
      <c r="L624" s="201">
        <v>339.99600000000004</v>
      </c>
      <c r="M624" s="198">
        <v>0</v>
      </c>
      <c r="N624" s="48" t="s">
        <v>1617</v>
      </c>
      <c r="O624" s="48" t="s">
        <v>104</v>
      </c>
      <c r="P624" s="48" t="s">
        <v>25</v>
      </c>
      <c r="Q624" s="48" t="s">
        <v>241</v>
      </c>
      <c r="R624" s="48" t="s">
        <v>2821</v>
      </c>
      <c r="S624" s="48" t="s">
        <v>2076</v>
      </c>
      <c r="T624" s="114" t="s">
        <v>2552</v>
      </c>
      <c r="U624" s="48"/>
      <c r="V624" s="49"/>
      <c r="W624" s="41" t="s">
        <v>1762</v>
      </c>
      <c r="X624" s="50" t="s">
        <v>2486</v>
      </c>
      <c r="Y624" s="50"/>
    </row>
    <row r="625" spans="1:25" customFormat="1" ht="14.4" x14ac:dyDescent="0.3">
      <c r="A625" s="48">
        <f t="shared" si="26"/>
        <v>9</v>
      </c>
      <c r="B625" s="113">
        <v>46077</v>
      </c>
      <c r="C625" s="48" t="str">
        <f t="shared" si="27"/>
        <v>febrero</v>
      </c>
      <c r="D625" s="48" t="s">
        <v>2135</v>
      </c>
      <c r="E625" s="42" t="s">
        <v>2728</v>
      </c>
      <c r="F625" s="47" t="s">
        <v>219</v>
      </c>
      <c r="G625" s="48">
        <v>1</v>
      </c>
      <c r="H625" s="48" t="s">
        <v>1705</v>
      </c>
      <c r="I625" s="197">
        <v>198.28</v>
      </c>
      <c r="J625" s="197">
        <v>198.28</v>
      </c>
      <c r="K625" s="197">
        <v>31.724800000000002</v>
      </c>
      <c r="L625" s="201">
        <v>230.00479999999999</v>
      </c>
      <c r="M625" s="198">
        <v>0</v>
      </c>
      <c r="N625" s="48" t="s">
        <v>1617</v>
      </c>
      <c r="O625" s="48" t="s">
        <v>104</v>
      </c>
      <c r="P625" s="48" t="s">
        <v>25</v>
      </c>
      <c r="Q625" s="48" t="s">
        <v>241</v>
      </c>
      <c r="R625" s="48" t="s">
        <v>2821</v>
      </c>
      <c r="S625" s="48" t="s">
        <v>2076</v>
      </c>
      <c r="T625" s="114" t="s">
        <v>2554</v>
      </c>
      <c r="U625" s="48"/>
      <c r="V625" s="49"/>
      <c r="W625" s="41" t="s">
        <v>1762</v>
      </c>
      <c r="X625" s="50" t="s">
        <v>2486</v>
      </c>
      <c r="Y625" s="50"/>
    </row>
    <row r="626" spans="1:25" customFormat="1" ht="14.4" x14ac:dyDescent="0.3">
      <c r="A626" s="48">
        <f t="shared" ref="A626:A689" si="28">WEEKNUM(B626)</f>
        <v>9</v>
      </c>
      <c r="B626" s="113">
        <v>46077</v>
      </c>
      <c r="C626" s="48" t="str">
        <f t="shared" si="27"/>
        <v>febrero</v>
      </c>
      <c r="D626" s="48" t="s">
        <v>2135</v>
      </c>
      <c r="E626" s="42" t="s">
        <v>2728</v>
      </c>
      <c r="F626" s="47" t="s">
        <v>2556</v>
      </c>
      <c r="G626" s="48">
        <v>1</v>
      </c>
      <c r="H626" s="48" t="s">
        <v>1705</v>
      </c>
      <c r="I626" s="197">
        <v>51.72</v>
      </c>
      <c r="J626" s="197">
        <v>51.72</v>
      </c>
      <c r="K626" s="197">
        <v>8.2751999999999999</v>
      </c>
      <c r="L626" s="201">
        <v>59.995199999999997</v>
      </c>
      <c r="M626" s="198">
        <v>0</v>
      </c>
      <c r="N626" s="48" t="s">
        <v>1617</v>
      </c>
      <c r="O626" s="48" t="s">
        <v>104</v>
      </c>
      <c r="P626" s="48" t="s">
        <v>25</v>
      </c>
      <c r="Q626" s="48" t="s">
        <v>241</v>
      </c>
      <c r="R626" s="48" t="s">
        <v>2821</v>
      </c>
      <c r="S626" s="48" t="s">
        <v>2076</v>
      </c>
      <c r="T626" s="114" t="s">
        <v>2554</v>
      </c>
      <c r="U626" s="48" t="s">
        <v>2557</v>
      </c>
      <c r="V626" s="49"/>
      <c r="W626" s="41" t="s">
        <v>1762</v>
      </c>
      <c r="X626" s="50" t="s">
        <v>2486</v>
      </c>
      <c r="Y626" s="50"/>
    </row>
    <row r="627" spans="1:25" customFormat="1" ht="14.4" x14ac:dyDescent="0.3">
      <c r="A627" s="48">
        <f t="shared" si="28"/>
        <v>9</v>
      </c>
      <c r="B627" s="113">
        <v>46077</v>
      </c>
      <c r="C627" s="48" t="str">
        <f t="shared" si="27"/>
        <v>febrero</v>
      </c>
      <c r="D627" s="48" t="s">
        <v>2135</v>
      </c>
      <c r="E627" s="42" t="s">
        <v>2728</v>
      </c>
      <c r="F627" s="47" t="s">
        <v>2093</v>
      </c>
      <c r="G627" s="48">
        <v>1</v>
      </c>
      <c r="H627" s="48" t="s">
        <v>1705</v>
      </c>
      <c r="I627" s="197">
        <v>316.55</v>
      </c>
      <c r="J627" s="197">
        <v>316.55</v>
      </c>
      <c r="K627" s="197">
        <v>50.648000000000003</v>
      </c>
      <c r="L627" s="197">
        <v>367.19800000000004</v>
      </c>
      <c r="M627" s="198">
        <v>0</v>
      </c>
      <c r="N627" s="48" t="s">
        <v>1617</v>
      </c>
      <c r="O627" s="48" t="s">
        <v>118</v>
      </c>
      <c r="P627" s="48" t="s">
        <v>25</v>
      </c>
      <c r="Q627" s="48" t="s">
        <v>1856</v>
      </c>
      <c r="R627" s="48" t="s">
        <v>2821</v>
      </c>
      <c r="S627" s="48" t="s">
        <v>1908</v>
      </c>
      <c r="T627" s="114" t="s">
        <v>1617</v>
      </c>
      <c r="U627" s="48"/>
      <c r="V627" s="49"/>
      <c r="W627" s="41" t="s">
        <v>2559</v>
      </c>
      <c r="X627" s="50" t="s">
        <v>2491</v>
      </c>
    </row>
    <row r="628" spans="1:25" customFormat="1" ht="14.4" x14ac:dyDescent="0.3">
      <c r="A628" s="48">
        <f t="shared" si="28"/>
        <v>9</v>
      </c>
      <c r="B628" s="113">
        <v>46077</v>
      </c>
      <c r="C628" s="48" t="str">
        <f t="shared" si="27"/>
        <v>febrero</v>
      </c>
      <c r="D628" s="48" t="s">
        <v>2135</v>
      </c>
      <c r="E628" s="42" t="s">
        <v>2728</v>
      </c>
      <c r="F628" s="47" t="s">
        <v>333</v>
      </c>
      <c r="G628" s="48">
        <v>1</v>
      </c>
      <c r="H628" s="48" t="s">
        <v>1705</v>
      </c>
      <c r="I628" s="197">
        <v>2844.83</v>
      </c>
      <c r="J628" s="197">
        <v>2844.83</v>
      </c>
      <c r="K628" s="197">
        <v>455.1728</v>
      </c>
      <c r="L628" s="197">
        <v>3300.0027999999998</v>
      </c>
      <c r="M628" s="198">
        <v>0</v>
      </c>
      <c r="N628" s="48" t="s">
        <v>1617</v>
      </c>
      <c r="O628" s="48" t="s">
        <v>645</v>
      </c>
      <c r="P628" s="48" t="s">
        <v>25</v>
      </c>
      <c r="Q628" s="48" t="s">
        <v>535</v>
      </c>
      <c r="R628" s="48" t="s">
        <v>2727</v>
      </c>
      <c r="S628" s="48" t="s">
        <v>1913</v>
      </c>
      <c r="T628" s="114" t="s">
        <v>1617</v>
      </c>
      <c r="U628" s="48"/>
      <c r="V628" s="49"/>
      <c r="W628" s="41" t="s">
        <v>2082</v>
      </c>
      <c r="X628" s="50" t="s">
        <v>2492</v>
      </c>
      <c r="Y628" s="50"/>
    </row>
    <row r="629" spans="1:25" customFormat="1" ht="14.4" x14ac:dyDescent="0.3">
      <c r="A629" s="48">
        <f t="shared" si="28"/>
        <v>9</v>
      </c>
      <c r="B629" s="113">
        <v>46077</v>
      </c>
      <c r="C629" s="48" t="str">
        <f t="shared" si="27"/>
        <v>febrero</v>
      </c>
      <c r="D629" s="48" t="s">
        <v>2135</v>
      </c>
      <c r="E629" s="42" t="s">
        <v>2728</v>
      </c>
      <c r="F629" s="47" t="s">
        <v>2561</v>
      </c>
      <c r="G629" s="48">
        <v>2</v>
      </c>
      <c r="H629" s="48" t="s">
        <v>1705</v>
      </c>
      <c r="I629" s="197">
        <v>100</v>
      </c>
      <c r="J629" s="197">
        <v>200</v>
      </c>
      <c r="K629" s="197">
        <v>0</v>
      </c>
      <c r="L629" s="200">
        <v>200</v>
      </c>
      <c r="M629" s="198">
        <v>0</v>
      </c>
      <c r="N629" s="48" t="s">
        <v>1617</v>
      </c>
      <c r="O629" s="48" t="s">
        <v>645</v>
      </c>
      <c r="P629" s="48" t="s">
        <v>25</v>
      </c>
      <c r="Q629" s="48" t="s">
        <v>535</v>
      </c>
      <c r="R629" s="48" t="s">
        <v>364</v>
      </c>
      <c r="S629" s="48" t="s">
        <v>2083</v>
      </c>
      <c r="T629" s="114" t="s">
        <v>1617</v>
      </c>
      <c r="U629" s="48" t="s">
        <v>2084</v>
      </c>
      <c r="V629" s="49"/>
      <c r="W629" s="41" t="s">
        <v>1617</v>
      </c>
      <c r="X629" s="50" t="s">
        <v>2493</v>
      </c>
      <c r="Y629" s="50"/>
    </row>
    <row r="630" spans="1:25" customFormat="1" ht="14.4" x14ac:dyDescent="0.3">
      <c r="A630" s="48">
        <f t="shared" si="28"/>
        <v>9</v>
      </c>
      <c r="B630" s="113">
        <v>46077</v>
      </c>
      <c r="C630" s="48" t="str">
        <f t="shared" si="27"/>
        <v>febrero</v>
      </c>
      <c r="D630" s="48" t="s">
        <v>2135</v>
      </c>
      <c r="E630" s="42" t="s">
        <v>2728</v>
      </c>
      <c r="F630" s="47" t="s">
        <v>1706</v>
      </c>
      <c r="G630" s="48">
        <v>1</v>
      </c>
      <c r="H630" s="48" t="s">
        <v>1705</v>
      </c>
      <c r="I630" s="197">
        <v>250</v>
      </c>
      <c r="J630" s="197">
        <v>250</v>
      </c>
      <c r="K630" s="197">
        <v>0</v>
      </c>
      <c r="L630" s="200">
        <v>250</v>
      </c>
      <c r="M630" s="198">
        <v>0</v>
      </c>
      <c r="N630" s="48" t="s">
        <v>1617</v>
      </c>
      <c r="O630" s="48" t="s">
        <v>645</v>
      </c>
      <c r="P630" s="48" t="s">
        <v>25</v>
      </c>
      <c r="Q630" s="48" t="s">
        <v>535</v>
      </c>
      <c r="R630" s="48" t="s">
        <v>364</v>
      </c>
      <c r="S630" s="48" t="s">
        <v>2083</v>
      </c>
      <c r="T630" s="114" t="s">
        <v>1617</v>
      </c>
      <c r="U630" s="48" t="s">
        <v>1759</v>
      </c>
      <c r="V630" s="49" t="s">
        <v>2562</v>
      </c>
      <c r="W630" s="41" t="s">
        <v>1617</v>
      </c>
      <c r="X630" s="50" t="s">
        <v>2493</v>
      </c>
      <c r="Y630" s="50"/>
    </row>
    <row r="631" spans="1:25" customFormat="1" ht="14.4" x14ac:dyDescent="0.3">
      <c r="A631" s="48">
        <f t="shared" si="28"/>
        <v>9</v>
      </c>
      <c r="B631" s="113">
        <v>46077</v>
      </c>
      <c r="C631" s="48" t="str">
        <f t="shared" si="27"/>
        <v>febrero</v>
      </c>
      <c r="D631" s="48" t="s">
        <v>2135</v>
      </c>
      <c r="E631" s="42" t="s">
        <v>2728</v>
      </c>
      <c r="F631" s="47" t="s">
        <v>2085</v>
      </c>
      <c r="G631" s="48">
        <v>1</v>
      </c>
      <c r="H631" s="48" t="s">
        <v>1705</v>
      </c>
      <c r="I631" s="197">
        <v>172</v>
      </c>
      <c r="J631" s="197">
        <v>172</v>
      </c>
      <c r="K631" s="197">
        <v>27.52</v>
      </c>
      <c r="L631" s="197">
        <v>199.52</v>
      </c>
      <c r="M631" s="198">
        <v>0</v>
      </c>
      <c r="N631" s="48" t="s">
        <v>1617</v>
      </c>
      <c r="O631" s="48" t="s">
        <v>645</v>
      </c>
      <c r="P631" s="48" t="s">
        <v>25</v>
      </c>
      <c r="Q631" s="48" t="s">
        <v>535</v>
      </c>
      <c r="R631" s="48" t="s">
        <v>2727</v>
      </c>
      <c r="S631" s="48" t="s">
        <v>650</v>
      </c>
      <c r="T631" s="114" t="s">
        <v>1617</v>
      </c>
      <c r="U631" s="48"/>
      <c r="V631" s="49"/>
      <c r="W631" s="41" t="s">
        <v>1762</v>
      </c>
      <c r="X631" s="50" t="s">
        <v>2494</v>
      </c>
      <c r="Y631" s="50"/>
    </row>
    <row r="632" spans="1:25" customFormat="1" ht="14.4" x14ac:dyDescent="0.3">
      <c r="A632" s="48">
        <f t="shared" si="28"/>
        <v>9</v>
      </c>
      <c r="B632" s="113">
        <v>46077</v>
      </c>
      <c r="C632" s="48" t="str">
        <f t="shared" si="27"/>
        <v>febrero</v>
      </c>
      <c r="D632" s="48" t="s">
        <v>2135</v>
      </c>
      <c r="E632" s="42" t="s">
        <v>2728</v>
      </c>
      <c r="F632" s="47" t="s">
        <v>333</v>
      </c>
      <c r="G632" s="48">
        <v>1</v>
      </c>
      <c r="H632" s="48" t="s">
        <v>1705</v>
      </c>
      <c r="I632" s="197">
        <v>2715.5171999999998</v>
      </c>
      <c r="J632" s="197">
        <v>2715.5171999999998</v>
      </c>
      <c r="K632" s="197">
        <v>434.48275199999995</v>
      </c>
      <c r="L632" s="201">
        <v>3149.9999519999997</v>
      </c>
      <c r="M632" s="198">
        <v>0</v>
      </c>
      <c r="N632" s="48" t="s">
        <v>1617</v>
      </c>
      <c r="O632" s="48" t="s">
        <v>645</v>
      </c>
      <c r="P632" s="48" t="s">
        <v>25</v>
      </c>
      <c r="Q632" s="48" t="s">
        <v>535</v>
      </c>
      <c r="R632" s="48" t="s">
        <v>2727</v>
      </c>
      <c r="S632" s="48" t="s">
        <v>381</v>
      </c>
      <c r="T632" s="114" t="s">
        <v>1617</v>
      </c>
      <c r="U632" s="48" t="s">
        <v>2086</v>
      </c>
      <c r="V632" s="49" t="s">
        <v>2087</v>
      </c>
      <c r="W632" s="41" t="s">
        <v>1617</v>
      </c>
      <c r="X632" s="50" t="s">
        <v>2496</v>
      </c>
      <c r="Y632" s="50"/>
    </row>
    <row r="633" spans="1:25" customFormat="1" ht="14.4" x14ac:dyDescent="0.3">
      <c r="A633" s="48">
        <f t="shared" si="28"/>
        <v>9</v>
      </c>
      <c r="B633" s="113">
        <v>46077</v>
      </c>
      <c r="C633" s="48" t="str">
        <f t="shared" si="27"/>
        <v>febrero</v>
      </c>
      <c r="D633" s="48" t="s">
        <v>2135</v>
      </c>
      <c r="E633" s="42" t="s">
        <v>2728</v>
      </c>
      <c r="F633" s="47" t="s">
        <v>2563</v>
      </c>
      <c r="G633" s="48">
        <v>3</v>
      </c>
      <c r="H633" s="48" t="s">
        <v>1705</v>
      </c>
      <c r="I633" s="197">
        <v>105.1724</v>
      </c>
      <c r="J633" s="197">
        <v>315.5172</v>
      </c>
      <c r="K633" s="197">
        <v>50.482752000000005</v>
      </c>
      <c r="L633" s="201">
        <v>365.99995200000001</v>
      </c>
      <c r="M633" s="198">
        <v>0</v>
      </c>
      <c r="N633" s="48" t="s">
        <v>1617</v>
      </c>
      <c r="O633" s="48" t="s">
        <v>645</v>
      </c>
      <c r="P633" s="48" t="s">
        <v>25</v>
      </c>
      <c r="Q633" s="48" t="s">
        <v>535</v>
      </c>
      <c r="R633" s="48" t="s">
        <v>2727</v>
      </c>
      <c r="S633" s="48" t="s">
        <v>381</v>
      </c>
      <c r="T633" s="114" t="s">
        <v>1617</v>
      </c>
      <c r="U633" s="48"/>
      <c r="V633" s="49" t="s">
        <v>2087</v>
      </c>
      <c r="W633" s="41" t="s">
        <v>1617</v>
      </c>
      <c r="X633" s="50" t="s">
        <v>2496</v>
      </c>
      <c r="Y633" s="50"/>
    </row>
    <row r="634" spans="1:25" customFormat="1" ht="14.4" x14ac:dyDescent="0.3">
      <c r="A634" s="48">
        <f t="shared" si="28"/>
        <v>9</v>
      </c>
      <c r="B634" s="113">
        <v>46077</v>
      </c>
      <c r="C634" s="48" t="str">
        <f t="shared" si="27"/>
        <v>febrero</v>
      </c>
      <c r="D634" s="48" t="s">
        <v>2175</v>
      </c>
      <c r="E634" s="77" t="s">
        <v>1830</v>
      </c>
      <c r="F634" s="47" t="s">
        <v>2564</v>
      </c>
      <c r="G634" s="38">
        <v>1</v>
      </c>
      <c r="H634" s="48" t="s">
        <v>1705</v>
      </c>
      <c r="I634" s="211">
        <v>6921.05</v>
      </c>
      <c r="J634" s="197">
        <v>6921.05</v>
      </c>
      <c r="K634" s="197">
        <v>0</v>
      </c>
      <c r="L634" s="197">
        <v>6921.05</v>
      </c>
      <c r="M634" s="198">
        <v>0</v>
      </c>
      <c r="N634" s="48" t="s">
        <v>1617</v>
      </c>
      <c r="O634" s="48" t="s">
        <v>118</v>
      </c>
      <c r="P634" s="48" t="s">
        <v>2734</v>
      </c>
      <c r="Q634" s="38" t="s">
        <v>1766</v>
      </c>
      <c r="R634" s="48" t="s">
        <v>369</v>
      </c>
      <c r="S634" s="48" t="s">
        <v>2565</v>
      </c>
      <c r="T634" s="115" t="s">
        <v>2566</v>
      </c>
      <c r="U634" s="48" t="s">
        <v>2567</v>
      </c>
      <c r="W634" s="41" t="s">
        <v>1617</v>
      </c>
      <c r="X634" s="50" t="s">
        <v>2500</v>
      </c>
    </row>
    <row r="635" spans="1:25" customFormat="1" ht="14.4" x14ac:dyDescent="0.3">
      <c r="A635" s="48">
        <f t="shared" si="28"/>
        <v>9</v>
      </c>
      <c r="B635" s="113">
        <v>46078</v>
      </c>
      <c r="C635" s="48" t="str">
        <f t="shared" si="27"/>
        <v>febrero</v>
      </c>
      <c r="D635" s="48" t="s">
        <v>2135</v>
      </c>
      <c r="E635" s="42" t="s">
        <v>2728</v>
      </c>
      <c r="F635" s="47" t="s">
        <v>2106</v>
      </c>
      <c r="G635" s="48">
        <v>1</v>
      </c>
      <c r="H635" s="48" t="s">
        <v>1705</v>
      </c>
      <c r="I635" s="197">
        <v>102.58620000000001</v>
      </c>
      <c r="J635" s="197">
        <v>102.58620000000001</v>
      </c>
      <c r="K635" s="197">
        <v>16.413792000000001</v>
      </c>
      <c r="L635" s="200">
        <v>118.99999200000001</v>
      </c>
      <c r="M635" s="198">
        <v>0</v>
      </c>
      <c r="N635" s="48" t="s">
        <v>1617</v>
      </c>
      <c r="O635" s="48" t="s">
        <v>118</v>
      </c>
      <c r="P635" s="48" t="s">
        <v>2734</v>
      </c>
      <c r="Q635" s="48" t="s">
        <v>1871</v>
      </c>
      <c r="R635" s="48" t="s">
        <v>364</v>
      </c>
      <c r="S635" s="48" t="s">
        <v>1908</v>
      </c>
      <c r="T635" s="114" t="s">
        <v>2107</v>
      </c>
      <c r="U635" s="48"/>
      <c r="V635" s="49"/>
      <c r="W635" s="41" t="s">
        <v>1617</v>
      </c>
      <c r="X635" s="50" t="s">
        <v>2500</v>
      </c>
    </row>
    <row r="636" spans="1:25" customFormat="1" ht="14.4" x14ac:dyDescent="0.3">
      <c r="A636" s="48">
        <f t="shared" si="28"/>
        <v>9</v>
      </c>
      <c r="B636" s="113">
        <v>46078</v>
      </c>
      <c r="C636" s="48" t="str">
        <f t="shared" si="27"/>
        <v>febrero</v>
      </c>
      <c r="D636" s="48" t="s">
        <v>2135</v>
      </c>
      <c r="E636" s="42" t="s">
        <v>2728</v>
      </c>
      <c r="F636" s="47" t="s">
        <v>2108</v>
      </c>
      <c r="G636" s="48">
        <v>1</v>
      </c>
      <c r="H636" s="48" t="s">
        <v>1705</v>
      </c>
      <c r="I636" s="197">
        <v>68.103399999999993</v>
      </c>
      <c r="J636" s="197">
        <v>68.103399999999993</v>
      </c>
      <c r="K636" s="197">
        <v>10.896543999999999</v>
      </c>
      <c r="L636" s="200">
        <v>78.999943999999999</v>
      </c>
      <c r="M636" s="198">
        <v>0</v>
      </c>
      <c r="N636" s="48" t="s">
        <v>1617</v>
      </c>
      <c r="O636" s="48" t="s">
        <v>118</v>
      </c>
      <c r="P636" s="48" t="s">
        <v>2734</v>
      </c>
      <c r="Q636" s="48" t="s">
        <v>1871</v>
      </c>
      <c r="R636" s="48" t="s">
        <v>364</v>
      </c>
      <c r="S636" s="48" t="s">
        <v>1908</v>
      </c>
      <c r="T636" s="114" t="s">
        <v>2109</v>
      </c>
      <c r="U636" s="48"/>
      <c r="V636" s="49"/>
      <c r="W636" s="41" t="s">
        <v>1617</v>
      </c>
      <c r="X636" s="50" t="s">
        <v>2500</v>
      </c>
    </row>
    <row r="637" spans="1:25" customFormat="1" ht="14.4" x14ac:dyDescent="0.3">
      <c r="A637" s="48">
        <f t="shared" si="28"/>
        <v>9</v>
      </c>
      <c r="B637" s="113">
        <v>46078</v>
      </c>
      <c r="C637" s="48" t="str">
        <f t="shared" si="27"/>
        <v>febrero</v>
      </c>
      <c r="D637" s="48" t="s">
        <v>2135</v>
      </c>
      <c r="E637" s="42" t="s">
        <v>2728</v>
      </c>
      <c r="F637" s="47" t="s">
        <v>2110</v>
      </c>
      <c r="G637" s="48">
        <v>1</v>
      </c>
      <c r="H637" s="48" t="s">
        <v>1705</v>
      </c>
      <c r="I637" s="197">
        <v>68.103399999999993</v>
      </c>
      <c r="J637" s="197">
        <v>68.103399999999993</v>
      </c>
      <c r="K637" s="197">
        <v>10.896543999999999</v>
      </c>
      <c r="L637" s="200">
        <v>78.999943999999999</v>
      </c>
      <c r="M637" s="198">
        <v>0</v>
      </c>
      <c r="N637" s="48" t="s">
        <v>1617</v>
      </c>
      <c r="O637" s="48" t="s">
        <v>118</v>
      </c>
      <c r="P637" s="48" t="s">
        <v>2734</v>
      </c>
      <c r="Q637" s="48" t="s">
        <v>1871</v>
      </c>
      <c r="R637" s="48" t="s">
        <v>364</v>
      </c>
      <c r="S637" s="48" t="s">
        <v>1908</v>
      </c>
      <c r="T637" s="114" t="s">
        <v>2109</v>
      </c>
      <c r="U637" s="48"/>
      <c r="V637" s="49"/>
      <c r="W637" s="41" t="s">
        <v>1617</v>
      </c>
      <c r="X637" s="50" t="s">
        <v>2500</v>
      </c>
    </row>
    <row r="638" spans="1:25" customFormat="1" ht="14.4" x14ac:dyDescent="0.3">
      <c r="A638" s="48">
        <f t="shared" si="28"/>
        <v>9</v>
      </c>
      <c r="B638" s="113">
        <v>46078</v>
      </c>
      <c r="C638" s="48" t="str">
        <f t="shared" si="27"/>
        <v>febrero</v>
      </c>
      <c r="D638" s="48" t="s">
        <v>2135</v>
      </c>
      <c r="E638" s="42" t="s">
        <v>2728</v>
      </c>
      <c r="F638" s="47" t="s">
        <v>2111</v>
      </c>
      <c r="G638" s="48">
        <v>1</v>
      </c>
      <c r="H638" s="48" t="s">
        <v>1705</v>
      </c>
      <c r="I638" s="197">
        <v>30.1724</v>
      </c>
      <c r="J638" s="197">
        <v>30.1724</v>
      </c>
      <c r="K638" s="197">
        <v>4.8275839999999999</v>
      </c>
      <c r="L638" s="200">
        <v>34.999983999999998</v>
      </c>
      <c r="M638" s="198">
        <v>0</v>
      </c>
      <c r="N638" s="48" t="s">
        <v>1617</v>
      </c>
      <c r="O638" s="48" t="s">
        <v>118</v>
      </c>
      <c r="P638" s="48" t="s">
        <v>2734</v>
      </c>
      <c r="Q638" s="48" t="s">
        <v>1871</v>
      </c>
      <c r="R638" s="48" t="s">
        <v>364</v>
      </c>
      <c r="S638" s="48" t="s">
        <v>1908</v>
      </c>
      <c r="T638" s="114" t="s">
        <v>2112</v>
      </c>
      <c r="U638" s="48" t="s">
        <v>2568</v>
      </c>
      <c r="V638" s="49"/>
      <c r="W638" s="41" t="s">
        <v>1617</v>
      </c>
      <c r="X638" s="50" t="s">
        <v>2500</v>
      </c>
    </row>
    <row r="639" spans="1:25" customFormat="1" ht="14.4" x14ac:dyDescent="0.3">
      <c r="A639" s="48">
        <f t="shared" si="28"/>
        <v>9</v>
      </c>
      <c r="B639" s="113">
        <v>46078</v>
      </c>
      <c r="C639" s="48" t="str">
        <f t="shared" si="27"/>
        <v>febrero</v>
      </c>
      <c r="D639" s="48" t="s">
        <v>2135</v>
      </c>
      <c r="E639" s="50" t="s">
        <v>116</v>
      </c>
      <c r="F639" s="47" t="s">
        <v>2569</v>
      </c>
      <c r="G639" s="48">
        <v>3</v>
      </c>
      <c r="H639" s="48" t="s">
        <v>1705</v>
      </c>
      <c r="I639" s="197">
        <v>25</v>
      </c>
      <c r="J639" s="197">
        <v>75</v>
      </c>
      <c r="K639" s="197">
        <v>12</v>
      </c>
      <c r="L639" s="197">
        <v>87</v>
      </c>
      <c r="M639" s="198">
        <v>0</v>
      </c>
      <c r="N639" s="48" t="s">
        <v>1617</v>
      </c>
      <c r="O639" s="48" t="s">
        <v>116</v>
      </c>
      <c r="P639" s="48" t="s">
        <v>25</v>
      </c>
      <c r="Q639" s="48" t="s">
        <v>1871</v>
      </c>
      <c r="R639" s="48" t="s">
        <v>2801</v>
      </c>
      <c r="S639" s="48" t="s">
        <v>1890</v>
      </c>
      <c r="T639" s="114" t="s">
        <v>2096</v>
      </c>
      <c r="U639" s="48"/>
      <c r="V639" s="49"/>
      <c r="W639" s="41" t="s">
        <v>2097</v>
      </c>
      <c r="X639" s="50" t="s">
        <v>2507</v>
      </c>
    </row>
    <row r="640" spans="1:25" customFormat="1" ht="14.4" x14ac:dyDescent="0.3">
      <c r="A640" s="48">
        <f t="shared" si="28"/>
        <v>9</v>
      </c>
      <c r="B640" s="113">
        <v>46078</v>
      </c>
      <c r="C640" s="48" t="str">
        <f t="shared" si="27"/>
        <v>febrero</v>
      </c>
      <c r="D640" s="48" t="s">
        <v>2135</v>
      </c>
      <c r="E640" s="42" t="s">
        <v>356</v>
      </c>
      <c r="F640" s="47" t="s">
        <v>2962</v>
      </c>
      <c r="G640" s="125">
        <v>8.67</v>
      </c>
      <c r="H640" s="48" t="s">
        <v>2017</v>
      </c>
      <c r="I640" s="197">
        <v>19.885999999999999</v>
      </c>
      <c r="J640" s="197">
        <v>172.41162</v>
      </c>
      <c r="K640" s="197">
        <v>27.585859200000002</v>
      </c>
      <c r="L640" s="197">
        <v>199.99747919999999</v>
      </c>
      <c r="M640" s="198">
        <v>0</v>
      </c>
      <c r="N640" s="48" t="s">
        <v>2098</v>
      </c>
      <c r="O640" s="48" t="s">
        <v>2826</v>
      </c>
      <c r="P640" s="48" t="s">
        <v>25</v>
      </c>
      <c r="Q640" s="48" t="s">
        <v>488</v>
      </c>
      <c r="R640" s="48" t="s">
        <v>2727</v>
      </c>
      <c r="S640" s="48" t="s">
        <v>647</v>
      </c>
      <c r="T640" s="114" t="s">
        <v>2025</v>
      </c>
      <c r="U640" s="48"/>
      <c r="V640" s="49"/>
      <c r="W640" s="41" t="s">
        <v>2099</v>
      </c>
      <c r="X640" s="50" t="s">
        <v>2509</v>
      </c>
    </row>
    <row r="641" spans="1:25" customFormat="1" ht="14.4" x14ac:dyDescent="0.3">
      <c r="A641" s="48">
        <f t="shared" si="28"/>
        <v>9</v>
      </c>
      <c r="B641" s="113">
        <v>46078</v>
      </c>
      <c r="C641" s="48" t="str">
        <f t="shared" si="27"/>
        <v>febrero</v>
      </c>
      <c r="D641" s="48" t="s">
        <v>2135</v>
      </c>
      <c r="E641" s="42" t="s">
        <v>356</v>
      </c>
      <c r="F641" s="47" t="s">
        <v>2951</v>
      </c>
      <c r="G641" s="48">
        <v>4.1859999999999999</v>
      </c>
      <c r="H641" s="48" t="s">
        <v>2017</v>
      </c>
      <c r="I641" s="197">
        <v>20.594799999999999</v>
      </c>
      <c r="J641" s="197">
        <v>86.209832800000001</v>
      </c>
      <c r="K641" s="197">
        <v>13.793573248000001</v>
      </c>
      <c r="L641" s="197">
        <v>100.003406048</v>
      </c>
      <c r="M641" s="198">
        <v>0</v>
      </c>
      <c r="N641" s="48" t="s">
        <v>2384</v>
      </c>
      <c r="O641" s="48" t="s">
        <v>2826</v>
      </c>
      <c r="P641" s="48" t="s">
        <v>25</v>
      </c>
      <c r="Q641" s="48" t="s">
        <v>1871</v>
      </c>
      <c r="R641" s="48" t="s">
        <v>2727</v>
      </c>
      <c r="S641" s="48" t="s">
        <v>593</v>
      </c>
      <c r="T641" s="114" t="s">
        <v>2100</v>
      </c>
      <c r="U641" s="48"/>
      <c r="V641" s="49"/>
      <c r="W641" s="41" t="s">
        <v>2101</v>
      </c>
      <c r="X641" s="50" t="s">
        <v>2512</v>
      </c>
    </row>
    <row r="642" spans="1:25" customFormat="1" ht="14.4" x14ac:dyDescent="0.3">
      <c r="A642" s="48">
        <f t="shared" si="28"/>
        <v>9</v>
      </c>
      <c r="B642" s="113">
        <v>46078</v>
      </c>
      <c r="C642" s="48" t="str">
        <f t="shared" si="27"/>
        <v>febrero</v>
      </c>
      <c r="D642" s="48" t="s">
        <v>2135</v>
      </c>
      <c r="E642" s="42" t="s">
        <v>356</v>
      </c>
      <c r="F642" s="47" t="s">
        <v>2960</v>
      </c>
      <c r="G642" s="48">
        <v>4.1859999999999999</v>
      </c>
      <c r="H642" s="48" t="s">
        <v>2017</v>
      </c>
      <c r="I642" s="197">
        <v>20.594999999999999</v>
      </c>
      <c r="J642" s="197">
        <v>86.210669999999993</v>
      </c>
      <c r="K642" s="197">
        <v>13.7937072</v>
      </c>
      <c r="L642" s="197">
        <v>100.00437719999999</v>
      </c>
      <c r="M642" s="198">
        <v>0</v>
      </c>
      <c r="N642" s="48" t="s">
        <v>2071</v>
      </c>
      <c r="O642" s="48" t="s">
        <v>2826</v>
      </c>
      <c r="P642" s="48" t="s">
        <v>25</v>
      </c>
      <c r="Q642" s="48" t="s">
        <v>1856</v>
      </c>
      <c r="R642" s="48" t="s">
        <v>2727</v>
      </c>
      <c r="S642" s="48" t="s">
        <v>526</v>
      </c>
      <c r="T642" s="114" t="s">
        <v>2025</v>
      </c>
      <c r="U642" s="48"/>
      <c r="V642" s="49"/>
      <c r="W642" s="41" t="s">
        <v>2102</v>
      </c>
      <c r="X642" s="50" t="s">
        <v>2515</v>
      </c>
    </row>
    <row r="643" spans="1:25" customFormat="1" ht="14.4" x14ac:dyDescent="0.3">
      <c r="A643" s="48">
        <f t="shared" si="28"/>
        <v>9</v>
      </c>
      <c r="B643" s="113">
        <v>46078</v>
      </c>
      <c r="C643" s="48" t="str">
        <f t="shared" ref="C643:C706" si="29">TEXT(B643,"MMMM")</f>
        <v>febrero</v>
      </c>
      <c r="D643" s="48" t="s">
        <v>2135</v>
      </c>
      <c r="E643" s="42" t="s">
        <v>2732</v>
      </c>
      <c r="F643" s="47" t="s">
        <v>2103</v>
      </c>
      <c r="G643" s="48">
        <v>2</v>
      </c>
      <c r="H643" s="48" t="s">
        <v>1705</v>
      </c>
      <c r="I643" s="197">
        <v>33</v>
      </c>
      <c r="J643" s="197">
        <v>66</v>
      </c>
      <c r="K643" s="197">
        <v>0</v>
      </c>
      <c r="L643" s="197">
        <v>66</v>
      </c>
      <c r="M643" s="198">
        <v>0</v>
      </c>
      <c r="N643" s="48" t="s">
        <v>1617</v>
      </c>
      <c r="O643" s="48" t="s">
        <v>116</v>
      </c>
      <c r="P643" s="48" t="s">
        <v>25</v>
      </c>
      <c r="Q643" s="48" t="s">
        <v>1921</v>
      </c>
      <c r="R643" s="48" t="s">
        <v>2727</v>
      </c>
      <c r="S643" s="48" t="s">
        <v>722</v>
      </c>
      <c r="T643" s="48" t="s">
        <v>2104</v>
      </c>
      <c r="U643" s="48" t="s">
        <v>2570</v>
      </c>
      <c r="V643" s="49"/>
      <c r="W643" s="41" t="s">
        <v>2105</v>
      </c>
      <c r="X643" s="50" t="s">
        <v>2517</v>
      </c>
    </row>
    <row r="644" spans="1:25" customFormat="1" ht="14.4" x14ac:dyDescent="0.3">
      <c r="A644" s="48">
        <f t="shared" si="28"/>
        <v>9</v>
      </c>
      <c r="B644" s="113">
        <v>46078</v>
      </c>
      <c r="C644" s="48" t="str">
        <f t="shared" si="29"/>
        <v>febrero</v>
      </c>
      <c r="D644" s="48" t="s">
        <v>2135</v>
      </c>
      <c r="E644" s="42" t="s">
        <v>2728</v>
      </c>
      <c r="F644" s="47" t="s">
        <v>2113</v>
      </c>
      <c r="G644" s="48">
        <v>2</v>
      </c>
      <c r="H644" s="48" t="s">
        <v>1705</v>
      </c>
      <c r="I644" s="197">
        <v>112.07</v>
      </c>
      <c r="J644" s="197">
        <v>224.14</v>
      </c>
      <c r="K644" s="197">
        <v>35.862400000000001</v>
      </c>
      <c r="L644" s="197">
        <v>260.00239999999997</v>
      </c>
      <c r="M644" s="198">
        <v>0</v>
      </c>
      <c r="N644" s="48" t="s">
        <v>1617</v>
      </c>
      <c r="O644" s="48" t="s">
        <v>645</v>
      </c>
      <c r="P644" s="48" t="s">
        <v>25</v>
      </c>
      <c r="Q644" s="48" t="s">
        <v>241</v>
      </c>
      <c r="R644" s="48" t="s">
        <v>2801</v>
      </c>
      <c r="S644" s="48" t="s">
        <v>381</v>
      </c>
      <c r="T644" s="114" t="s">
        <v>2114</v>
      </c>
      <c r="U644" s="48"/>
      <c r="V644" s="49"/>
      <c r="W644" s="41" t="s">
        <v>2115</v>
      </c>
      <c r="X644" s="50" t="s">
        <v>2518</v>
      </c>
      <c r="Y644" s="50"/>
    </row>
    <row r="645" spans="1:25" customFormat="1" ht="14.4" x14ac:dyDescent="0.3">
      <c r="A645" s="48">
        <f t="shared" si="28"/>
        <v>9</v>
      </c>
      <c r="B645" s="113">
        <v>46078</v>
      </c>
      <c r="C645" s="48" t="str">
        <f t="shared" si="29"/>
        <v>febrero</v>
      </c>
      <c r="D645" s="48" t="s">
        <v>2135</v>
      </c>
      <c r="E645" s="50" t="s">
        <v>127</v>
      </c>
      <c r="F645" s="47" t="s">
        <v>1631</v>
      </c>
      <c r="G645" s="48">
        <v>1</v>
      </c>
      <c r="H645" s="48" t="s">
        <v>2139</v>
      </c>
      <c r="I645" s="197">
        <v>1500</v>
      </c>
      <c r="J645" s="197">
        <v>1500</v>
      </c>
      <c r="K645" s="197">
        <v>0</v>
      </c>
      <c r="L645" s="197">
        <v>1500</v>
      </c>
      <c r="M645" s="198">
        <v>0</v>
      </c>
      <c r="N645" s="48" t="s">
        <v>1617</v>
      </c>
      <c r="O645" s="48" t="s">
        <v>116</v>
      </c>
      <c r="P645" s="48" t="s">
        <v>2734</v>
      </c>
      <c r="Q645" s="48" t="s">
        <v>245</v>
      </c>
      <c r="R645" s="48" t="s">
        <v>369</v>
      </c>
      <c r="S645" s="48" t="s">
        <v>1632</v>
      </c>
      <c r="T645" s="114" t="s">
        <v>1617</v>
      </c>
      <c r="U645" s="48" t="s">
        <v>1759</v>
      </c>
      <c r="V645" s="49"/>
      <c r="W645" s="41" t="s">
        <v>1617</v>
      </c>
    </row>
    <row r="646" spans="1:25" customFormat="1" ht="14.4" x14ac:dyDescent="0.3">
      <c r="A646" s="48">
        <f t="shared" si="28"/>
        <v>9</v>
      </c>
      <c r="B646" s="113">
        <v>46078</v>
      </c>
      <c r="C646" s="48" t="str">
        <f t="shared" si="29"/>
        <v>febrero</v>
      </c>
      <c r="D646" s="48" t="s">
        <v>2135</v>
      </c>
      <c r="E646" s="42" t="s">
        <v>477</v>
      </c>
      <c r="F646" s="47" t="s">
        <v>2019</v>
      </c>
      <c r="G646" s="38">
        <v>1</v>
      </c>
      <c r="H646" s="48" t="s">
        <v>2138</v>
      </c>
      <c r="I646" s="202">
        <v>3231</v>
      </c>
      <c r="J646" s="197">
        <v>3231</v>
      </c>
      <c r="K646" s="197">
        <v>0</v>
      </c>
      <c r="L646" s="202">
        <v>3231</v>
      </c>
      <c r="M646" s="198">
        <v>0</v>
      </c>
      <c r="N646" s="48" t="s">
        <v>1617</v>
      </c>
      <c r="O646" s="48" t="s">
        <v>2477</v>
      </c>
      <c r="P646" s="48" t="s">
        <v>25</v>
      </c>
      <c r="Q646" s="48" t="s">
        <v>1766</v>
      </c>
      <c r="R646" s="48" t="s">
        <v>364</v>
      </c>
      <c r="S646" s="48" t="s">
        <v>424</v>
      </c>
      <c r="T646" s="114" t="s">
        <v>1617</v>
      </c>
      <c r="U646" s="38"/>
      <c r="V646" s="130"/>
      <c r="W646" t="s">
        <v>2571</v>
      </c>
      <c r="Y646" s="50"/>
    </row>
    <row r="647" spans="1:25" customFormat="1" ht="14.4" x14ac:dyDescent="0.3">
      <c r="A647" s="48">
        <f t="shared" si="28"/>
        <v>9</v>
      </c>
      <c r="B647" s="195">
        <v>46078</v>
      </c>
      <c r="C647" s="48" t="str">
        <f t="shared" si="29"/>
        <v>febrero</v>
      </c>
      <c r="D647" s="48" t="s">
        <v>2135</v>
      </c>
      <c r="E647" s="50" t="s">
        <v>850</v>
      </c>
      <c r="F647" s="209" t="s">
        <v>2937</v>
      </c>
      <c r="G647" s="199">
        <v>1</v>
      </c>
      <c r="H647" s="48" t="s">
        <v>2138</v>
      </c>
      <c r="I647" s="197">
        <v>8559.9827586206902</v>
      </c>
      <c r="J647" s="197">
        <v>8559.9827586206902</v>
      </c>
      <c r="K647" s="197">
        <v>1369.5972413793104</v>
      </c>
      <c r="L647" s="202">
        <v>9929.58</v>
      </c>
      <c r="M647" s="198">
        <v>0</v>
      </c>
      <c r="N647" s="50"/>
      <c r="O647" s="48" t="s">
        <v>169</v>
      </c>
      <c r="P647" s="49" t="s">
        <v>871</v>
      </c>
      <c r="Q647" s="199" t="s">
        <v>1766</v>
      </c>
      <c r="R647" s="48" t="s">
        <v>2735</v>
      </c>
      <c r="S647" s="50" t="s">
        <v>669</v>
      </c>
      <c r="T647" s="199"/>
      <c r="U647" s="50"/>
      <c r="V647" s="196"/>
      <c r="W647" s="50"/>
      <c r="X647" s="50"/>
      <c r="Y647" s="50"/>
    </row>
    <row r="648" spans="1:25" customFormat="1" ht="14.4" x14ac:dyDescent="0.3">
      <c r="A648" s="48">
        <f t="shared" si="28"/>
        <v>9</v>
      </c>
      <c r="B648" s="113">
        <v>46079</v>
      </c>
      <c r="C648" s="48" t="str">
        <f t="shared" si="29"/>
        <v>febrero</v>
      </c>
      <c r="D648" s="48" t="s">
        <v>2135</v>
      </c>
      <c r="E648" s="42" t="s">
        <v>356</v>
      </c>
      <c r="F648" s="47" t="s">
        <v>127</v>
      </c>
      <c r="G648" s="125">
        <v>13.01</v>
      </c>
      <c r="H648" s="48" t="s">
        <v>2017</v>
      </c>
      <c r="I648" s="197">
        <v>19.878499999999999</v>
      </c>
      <c r="J648" s="197">
        <v>258.61928499999999</v>
      </c>
      <c r="K648" s="197">
        <v>41.379085599999996</v>
      </c>
      <c r="L648" s="197">
        <v>299.99837059999999</v>
      </c>
      <c r="M648" s="198">
        <v>0</v>
      </c>
      <c r="N648" s="48" t="s">
        <v>1617</v>
      </c>
      <c r="O648" s="48" t="s">
        <v>361</v>
      </c>
      <c r="P648" s="48" t="s">
        <v>25</v>
      </c>
      <c r="Q648" s="48" t="s">
        <v>1853</v>
      </c>
      <c r="R648" s="48" t="s">
        <v>2726</v>
      </c>
      <c r="S648" s="48" t="s">
        <v>647</v>
      </c>
      <c r="T648" s="114" t="s">
        <v>2025</v>
      </c>
      <c r="U648" s="48"/>
      <c r="V648" s="49"/>
      <c r="W648" s="41" t="s">
        <v>2122</v>
      </c>
      <c r="X648" s="50" t="s">
        <v>2521</v>
      </c>
      <c r="Y648" s="50"/>
    </row>
    <row r="649" spans="1:25" customFormat="1" ht="14.4" x14ac:dyDescent="0.3">
      <c r="A649" s="48">
        <f t="shared" si="28"/>
        <v>9</v>
      </c>
      <c r="B649" s="113">
        <v>46079</v>
      </c>
      <c r="C649" s="48" t="str">
        <f t="shared" si="29"/>
        <v>febrero</v>
      </c>
      <c r="D649" s="48" t="s">
        <v>2135</v>
      </c>
      <c r="E649" s="42" t="s">
        <v>356</v>
      </c>
      <c r="F649" s="47" t="s">
        <v>127</v>
      </c>
      <c r="G649" s="125">
        <v>8.67</v>
      </c>
      <c r="H649" s="48" t="s">
        <v>2017</v>
      </c>
      <c r="I649" s="197">
        <v>19.885999999999999</v>
      </c>
      <c r="J649" s="197">
        <v>172.41162</v>
      </c>
      <c r="K649" s="197">
        <v>27.585859200000002</v>
      </c>
      <c r="L649" s="197">
        <v>199.99747919999999</v>
      </c>
      <c r="M649" s="198">
        <v>0</v>
      </c>
      <c r="N649" s="48" t="s">
        <v>1617</v>
      </c>
      <c r="O649" s="48" t="s">
        <v>213</v>
      </c>
      <c r="P649" s="48" t="s">
        <v>39</v>
      </c>
      <c r="Q649" s="48" t="s">
        <v>535</v>
      </c>
      <c r="R649" s="48" t="s">
        <v>2727</v>
      </c>
      <c r="S649" s="48" t="s">
        <v>647</v>
      </c>
      <c r="T649" s="114" t="s">
        <v>2025</v>
      </c>
      <c r="U649" s="48"/>
      <c r="V649" s="49"/>
      <c r="W649" s="41" t="s">
        <v>2120</v>
      </c>
      <c r="X649" s="50" t="s">
        <v>2522</v>
      </c>
      <c r="Y649" s="50"/>
    </row>
    <row r="650" spans="1:25" customFormat="1" ht="14.4" x14ac:dyDescent="0.3">
      <c r="A650" s="48">
        <f t="shared" si="28"/>
        <v>9</v>
      </c>
      <c r="B650" s="113">
        <v>46079</v>
      </c>
      <c r="C650" s="48" t="str">
        <f t="shared" si="29"/>
        <v>febrero</v>
      </c>
      <c r="D650" s="48" t="s">
        <v>2135</v>
      </c>
      <c r="E650" s="42" t="s">
        <v>2728</v>
      </c>
      <c r="F650" s="47" t="s">
        <v>2118</v>
      </c>
      <c r="G650" s="48">
        <v>4</v>
      </c>
      <c r="H650" s="48" t="s">
        <v>1705</v>
      </c>
      <c r="I650" s="197">
        <v>100</v>
      </c>
      <c r="J650" s="197">
        <v>400</v>
      </c>
      <c r="K650" s="197">
        <v>0</v>
      </c>
      <c r="L650" s="197">
        <v>400</v>
      </c>
      <c r="M650" s="198">
        <v>0</v>
      </c>
      <c r="N650" s="48" t="s">
        <v>1617</v>
      </c>
      <c r="O650" s="48" t="s">
        <v>118</v>
      </c>
      <c r="P650" s="48" t="s">
        <v>2734</v>
      </c>
      <c r="Q650" s="48" t="s">
        <v>535</v>
      </c>
      <c r="R650" s="48" t="s">
        <v>364</v>
      </c>
      <c r="S650" s="48" t="s">
        <v>549</v>
      </c>
      <c r="T650" s="114" t="s">
        <v>1617</v>
      </c>
      <c r="U650" s="51" t="s">
        <v>2119</v>
      </c>
      <c r="V650" s="48" t="s">
        <v>2572</v>
      </c>
      <c r="W650" s="41" t="s">
        <v>1617</v>
      </c>
      <c r="X650" s="50" t="s">
        <v>2524</v>
      </c>
    </row>
    <row r="651" spans="1:25" customFormat="1" ht="14.4" x14ac:dyDescent="0.3">
      <c r="A651" s="48">
        <f t="shared" si="28"/>
        <v>9</v>
      </c>
      <c r="B651" s="113">
        <v>46079</v>
      </c>
      <c r="C651" s="48" t="str">
        <f t="shared" si="29"/>
        <v>febrero</v>
      </c>
      <c r="D651" s="48" t="s">
        <v>2135</v>
      </c>
      <c r="E651" s="42" t="s">
        <v>2728</v>
      </c>
      <c r="F651" s="47" t="s">
        <v>2116</v>
      </c>
      <c r="G651" s="48">
        <v>2</v>
      </c>
      <c r="H651" s="48" t="s">
        <v>1705</v>
      </c>
      <c r="I651" s="197">
        <v>25</v>
      </c>
      <c r="J651" s="197">
        <v>50</v>
      </c>
      <c r="K651" s="197">
        <v>0</v>
      </c>
      <c r="L651" s="197">
        <v>50</v>
      </c>
      <c r="M651" s="198">
        <v>0</v>
      </c>
      <c r="N651" s="48" t="s">
        <v>1617</v>
      </c>
      <c r="O651" s="48" t="s">
        <v>118</v>
      </c>
      <c r="P651" s="48" t="s">
        <v>25</v>
      </c>
      <c r="Q651" s="48" t="s">
        <v>1869</v>
      </c>
      <c r="R651" s="48" t="s">
        <v>2726</v>
      </c>
      <c r="S651" s="48" t="s">
        <v>2117</v>
      </c>
      <c r="T651" s="114" t="s">
        <v>1617</v>
      </c>
      <c r="U651" s="48" t="s">
        <v>1759</v>
      </c>
      <c r="V651" s="49"/>
      <c r="W651" s="41" t="s">
        <v>1617</v>
      </c>
      <c r="X651" s="50" t="s">
        <v>2526</v>
      </c>
    </row>
    <row r="652" spans="1:25" customFormat="1" ht="14.4" x14ac:dyDescent="0.3">
      <c r="A652" s="48">
        <f t="shared" si="28"/>
        <v>9</v>
      </c>
      <c r="B652" s="113">
        <v>46079</v>
      </c>
      <c r="C652" s="48" t="str">
        <f t="shared" si="29"/>
        <v>febrero</v>
      </c>
      <c r="D652" s="48" t="s">
        <v>2135</v>
      </c>
      <c r="E652" s="42" t="s">
        <v>356</v>
      </c>
      <c r="F652" s="47" t="s">
        <v>127</v>
      </c>
      <c r="G652" s="125">
        <v>13.01</v>
      </c>
      <c r="H652" s="48" t="s">
        <v>2017</v>
      </c>
      <c r="I652" s="197">
        <v>19.878499999999999</v>
      </c>
      <c r="J652" s="197">
        <v>258.61928499999999</v>
      </c>
      <c r="K652" s="197">
        <v>41.379085599999996</v>
      </c>
      <c r="L652" s="197">
        <v>299.99837059999999</v>
      </c>
      <c r="M652" s="198">
        <v>0</v>
      </c>
      <c r="N652" s="48" t="s">
        <v>1617</v>
      </c>
      <c r="O652" s="48" t="s">
        <v>1679</v>
      </c>
      <c r="P652" s="49" t="s">
        <v>1321</v>
      </c>
      <c r="Q652" s="48" t="s">
        <v>1856</v>
      </c>
      <c r="R652" s="48" t="s">
        <v>2726</v>
      </c>
      <c r="S652" s="48" t="s">
        <v>647</v>
      </c>
      <c r="T652" s="114" t="s">
        <v>2025</v>
      </c>
      <c r="U652" s="48"/>
      <c r="V652" s="49"/>
      <c r="W652" s="41" t="s">
        <v>2121</v>
      </c>
      <c r="X652" s="50" t="s">
        <v>2529</v>
      </c>
      <c r="Y652" s="50"/>
    </row>
    <row r="653" spans="1:25" customFormat="1" ht="14.4" x14ac:dyDescent="0.3">
      <c r="A653" s="48">
        <f t="shared" si="28"/>
        <v>9</v>
      </c>
      <c r="B653" s="113">
        <v>46079</v>
      </c>
      <c r="C653" s="48" t="str">
        <f t="shared" si="29"/>
        <v>febrero</v>
      </c>
      <c r="D653" s="48" t="s">
        <v>2135</v>
      </c>
      <c r="E653" s="42" t="s">
        <v>356</v>
      </c>
      <c r="F653" s="47" t="s">
        <v>127</v>
      </c>
      <c r="G653" s="125">
        <v>13.01</v>
      </c>
      <c r="H653" s="48" t="s">
        <v>2017</v>
      </c>
      <c r="I653" s="197">
        <v>19.878499999999999</v>
      </c>
      <c r="J653" s="197">
        <v>258.61928499999999</v>
      </c>
      <c r="K653" s="197">
        <v>41.379085599999996</v>
      </c>
      <c r="L653" s="197">
        <v>299.99837059999999</v>
      </c>
      <c r="M653" s="198">
        <v>0</v>
      </c>
      <c r="N653" s="48" t="s">
        <v>1617</v>
      </c>
      <c r="O653" s="48" t="s">
        <v>2033</v>
      </c>
      <c r="P653" s="49" t="s">
        <v>1321</v>
      </c>
      <c r="Q653" s="48" t="s">
        <v>488</v>
      </c>
      <c r="R653" s="48" t="s">
        <v>2726</v>
      </c>
      <c r="S653" s="48" t="s">
        <v>647</v>
      </c>
      <c r="T653" s="114" t="s">
        <v>2025</v>
      </c>
      <c r="U653" s="48"/>
      <c r="V653" s="49"/>
      <c r="W653" s="41" t="s">
        <v>2123</v>
      </c>
      <c r="X653" s="50" t="s">
        <v>2535</v>
      </c>
      <c r="Y653" s="50"/>
    </row>
    <row r="654" spans="1:25" customFormat="1" ht="14.4" x14ac:dyDescent="0.3">
      <c r="A654" s="48">
        <f t="shared" si="28"/>
        <v>9</v>
      </c>
      <c r="B654" s="113">
        <v>46079</v>
      </c>
      <c r="C654" s="48" t="str">
        <f t="shared" si="29"/>
        <v>febrero</v>
      </c>
      <c r="D654" s="48" t="s">
        <v>2135</v>
      </c>
      <c r="E654" s="50" t="s">
        <v>116</v>
      </c>
      <c r="F654" s="47" t="s">
        <v>2573</v>
      </c>
      <c r="G654" s="125">
        <v>1</v>
      </c>
      <c r="H654" s="48" t="s">
        <v>1705</v>
      </c>
      <c r="I654" s="197">
        <v>10000</v>
      </c>
      <c r="J654" s="197">
        <v>10000</v>
      </c>
      <c r="K654" s="197">
        <v>0</v>
      </c>
      <c r="L654" s="197">
        <v>10000</v>
      </c>
      <c r="M654" s="198">
        <v>0</v>
      </c>
      <c r="N654" s="48" t="s">
        <v>1067</v>
      </c>
      <c r="O654" s="48" t="s">
        <v>116</v>
      </c>
      <c r="P654" s="48" t="s">
        <v>2734</v>
      </c>
      <c r="Q654" s="48" t="s">
        <v>1766</v>
      </c>
      <c r="R654" s="48" t="s">
        <v>364</v>
      </c>
      <c r="S654" s="48" t="s">
        <v>1617</v>
      </c>
      <c r="T654" s="114" t="s">
        <v>1617</v>
      </c>
      <c r="U654" s="48" t="s">
        <v>2574</v>
      </c>
      <c r="V654" s="49"/>
      <c r="W654" s="41" t="s">
        <v>1617</v>
      </c>
    </row>
    <row r="655" spans="1:25" customFormat="1" ht="14.4" x14ac:dyDescent="0.3">
      <c r="A655" s="48">
        <f t="shared" si="28"/>
        <v>9</v>
      </c>
      <c r="B655" s="113">
        <v>46080</v>
      </c>
      <c r="C655" s="48" t="str">
        <f t="shared" si="29"/>
        <v>febrero</v>
      </c>
      <c r="D655" s="48" t="s">
        <v>2135</v>
      </c>
      <c r="E655" s="50" t="s">
        <v>116</v>
      </c>
      <c r="F655" s="47" t="s">
        <v>2129</v>
      </c>
      <c r="G655" s="48">
        <v>1</v>
      </c>
      <c r="H655" s="48" t="s">
        <v>2139</v>
      </c>
      <c r="I655" s="197">
        <v>43.103400000000001</v>
      </c>
      <c r="J655" s="197">
        <v>43.103400000000001</v>
      </c>
      <c r="K655" s="197">
        <v>6.8965440000000005</v>
      </c>
      <c r="L655" s="197">
        <v>49.999943999999999</v>
      </c>
      <c r="M655" s="198">
        <v>0</v>
      </c>
      <c r="N655" s="48" t="s">
        <v>1617</v>
      </c>
      <c r="O655" s="48" t="s">
        <v>116</v>
      </c>
      <c r="P655" s="48" t="s">
        <v>25</v>
      </c>
      <c r="Q655" s="48" t="s">
        <v>1871</v>
      </c>
      <c r="R655" s="48" t="s">
        <v>2801</v>
      </c>
      <c r="S655" s="48" t="s">
        <v>1890</v>
      </c>
      <c r="T655" s="114" t="s">
        <v>2096</v>
      </c>
      <c r="U655" s="48"/>
      <c r="V655" s="49"/>
      <c r="W655" s="41" t="s">
        <v>2130</v>
      </c>
      <c r="X655" s="50" t="s">
        <v>2537</v>
      </c>
    </row>
    <row r="656" spans="1:25" customFormat="1" ht="14.4" x14ac:dyDescent="0.3">
      <c r="A656" s="48">
        <f t="shared" si="28"/>
        <v>9</v>
      </c>
      <c r="B656" s="113">
        <v>46080</v>
      </c>
      <c r="C656" s="48" t="str">
        <f t="shared" si="29"/>
        <v>febrero</v>
      </c>
      <c r="D656" s="48" t="s">
        <v>2135</v>
      </c>
      <c r="E656" s="42" t="s">
        <v>356</v>
      </c>
      <c r="F656" s="47" t="s">
        <v>127</v>
      </c>
      <c r="G656" s="125">
        <v>13.01</v>
      </c>
      <c r="H656" s="48" t="s">
        <v>2017</v>
      </c>
      <c r="I656" s="197">
        <v>19.878499999999999</v>
      </c>
      <c r="J656" s="197">
        <v>258.61928499999999</v>
      </c>
      <c r="K656" s="197">
        <v>41.379085599999996</v>
      </c>
      <c r="L656" s="197">
        <v>299.99837059999999</v>
      </c>
      <c r="M656" s="198">
        <v>0</v>
      </c>
      <c r="N656" s="48" t="s">
        <v>2010</v>
      </c>
      <c r="O656" s="48" t="s">
        <v>1316</v>
      </c>
      <c r="P656" s="48" t="s">
        <v>25</v>
      </c>
      <c r="Q656" s="48" t="s">
        <v>488</v>
      </c>
      <c r="R656" s="48" t="s">
        <v>2801</v>
      </c>
      <c r="S656" s="48" t="s">
        <v>647</v>
      </c>
      <c r="T656" s="114" t="s">
        <v>2025</v>
      </c>
      <c r="U656" s="48" t="s">
        <v>2536</v>
      </c>
      <c r="V656" s="49"/>
      <c r="W656" s="41" t="s">
        <v>2126</v>
      </c>
      <c r="X656" s="50" t="s">
        <v>2538</v>
      </c>
      <c r="Y656" s="50"/>
    </row>
    <row r="657" spans="1:25" customFormat="1" ht="14.4" x14ac:dyDescent="0.3">
      <c r="A657" s="48">
        <f t="shared" si="28"/>
        <v>9</v>
      </c>
      <c r="B657" s="113">
        <v>46080</v>
      </c>
      <c r="C657" s="48" t="str">
        <f t="shared" si="29"/>
        <v>febrero</v>
      </c>
      <c r="D657" s="48" t="s">
        <v>2135</v>
      </c>
      <c r="E657" s="42" t="s">
        <v>2728</v>
      </c>
      <c r="F657" s="47" t="s">
        <v>2963</v>
      </c>
      <c r="G657" s="48">
        <v>2</v>
      </c>
      <c r="H657" s="48" t="s">
        <v>1705</v>
      </c>
      <c r="I657" s="197">
        <v>100</v>
      </c>
      <c r="J657" s="197">
        <v>200</v>
      </c>
      <c r="K657" s="197">
        <v>0</v>
      </c>
      <c r="L657" s="197">
        <v>200</v>
      </c>
      <c r="M657" s="198">
        <v>0</v>
      </c>
      <c r="N657" s="48" t="s">
        <v>944</v>
      </c>
      <c r="O657" s="48" t="s">
        <v>372</v>
      </c>
      <c r="P657" s="48" t="s">
        <v>25</v>
      </c>
      <c r="Q657" s="48" t="s">
        <v>535</v>
      </c>
      <c r="R657" s="48" t="s">
        <v>364</v>
      </c>
      <c r="S657" s="48" t="s">
        <v>2083</v>
      </c>
      <c r="T657" s="114" t="s">
        <v>1617</v>
      </c>
      <c r="U657" s="39" t="s">
        <v>1759</v>
      </c>
      <c r="V657" s="49"/>
      <c r="W657" s="41" t="s">
        <v>1617</v>
      </c>
      <c r="X657" s="50" t="s">
        <v>2539</v>
      </c>
      <c r="Y657" s="50"/>
    </row>
    <row r="658" spans="1:25" customFormat="1" ht="14.4" x14ac:dyDescent="0.3">
      <c r="A658" s="48">
        <f t="shared" si="28"/>
        <v>9</v>
      </c>
      <c r="B658" s="113">
        <v>46080</v>
      </c>
      <c r="C658" s="48" t="str">
        <f t="shared" si="29"/>
        <v>febrero</v>
      </c>
      <c r="D658" s="48" t="s">
        <v>2135</v>
      </c>
      <c r="E658" s="42" t="s">
        <v>2728</v>
      </c>
      <c r="F658" s="47" t="s">
        <v>98</v>
      </c>
      <c r="G658" s="48">
        <v>1</v>
      </c>
      <c r="H658" s="48" t="s">
        <v>1705</v>
      </c>
      <c r="I658" s="197">
        <v>185.44</v>
      </c>
      <c r="J658" s="197">
        <v>185.44</v>
      </c>
      <c r="K658" s="197">
        <v>29.670400000000001</v>
      </c>
      <c r="L658" s="197">
        <v>215.1104</v>
      </c>
      <c r="M658" s="198">
        <v>0</v>
      </c>
      <c r="N658" s="48" t="s">
        <v>944</v>
      </c>
      <c r="O658" s="48" t="s">
        <v>372</v>
      </c>
      <c r="P658" s="48" t="s">
        <v>39</v>
      </c>
      <c r="Q658" s="48" t="s">
        <v>488</v>
      </c>
      <c r="R658" s="48" t="s">
        <v>2806</v>
      </c>
      <c r="S658" s="48" t="s">
        <v>381</v>
      </c>
      <c r="T658" s="114" t="s">
        <v>2125</v>
      </c>
      <c r="U658" s="48"/>
      <c r="V658" s="49"/>
      <c r="W658" s="41" t="s">
        <v>1762</v>
      </c>
      <c r="X658" s="50" t="s">
        <v>2542</v>
      </c>
      <c r="Y658" s="50"/>
    </row>
    <row r="659" spans="1:25" customFormat="1" ht="14.4" x14ac:dyDescent="0.3">
      <c r="A659" s="48">
        <f t="shared" si="28"/>
        <v>9</v>
      </c>
      <c r="B659" s="113">
        <v>46080</v>
      </c>
      <c r="C659" s="48" t="str">
        <f t="shared" si="29"/>
        <v>febrero</v>
      </c>
      <c r="D659" s="48" t="s">
        <v>2135</v>
      </c>
      <c r="E659" s="42" t="s">
        <v>2728</v>
      </c>
      <c r="F659" s="47" t="s">
        <v>219</v>
      </c>
      <c r="G659" s="48">
        <v>1</v>
      </c>
      <c r="H659" s="48" t="s">
        <v>1705</v>
      </c>
      <c r="I659" s="197">
        <v>689.65509999999995</v>
      </c>
      <c r="J659" s="197">
        <v>689.65509999999995</v>
      </c>
      <c r="K659" s="197">
        <v>110.34481599999999</v>
      </c>
      <c r="L659" s="197">
        <v>799.99991599999998</v>
      </c>
      <c r="M659" s="198">
        <v>0</v>
      </c>
      <c r="N659" s="48" t="s">
        <v>944</v>
      </c>
      <c r="O659" s="48" t="s">
        <v>372</v>
      </c>
      <c r="P659" s="48" t="s">
        <v>39</v>
      </c>
      <c r="Q659" s="48" t="s">
        <v>488</v>
      </c>
      <c r="R659" s="48" t="s">
        <v>2806</v>
      </c>
      <c r="S659" s="48" t="s">
        <v>2124</v>
      </c>
      <c r="T659" s="114" t="s">
        <v>2125</v>
      </c>
      <c r="U659" s="48"/>
      <c r="V659" s="49"/>
      <c r="W659" s="41" t="s">
        <v>1762</v>
      </c>
      <c r="X659" s="50" t="s">
        <v>2545</v>
      </c>
      <c r="Y659" s="50"/>
    </row>
    <row r="660" spans="1:25" customFormat="1" ht="14.4" x14ac:dyDescent="0.3">
      <c r="A660" s="48">
        <f t="shared" si="28"/>
        <v>9</v>
      </c>
      <c r="B660" s="113">
        <v>46080</v>
      </c>
      <c r="C660" s="48" t="str">
        <f t="shared" si="29"/>
        <v>febrero</v>
      </c>
      <c r="D660" s="48" t="s">
        <v>2135</v>
      </c>
      <c r="E660" s="42" t="s">
        <v>356</v>
      </c>
      <c r="F660" s="47" t="s">
        <v>127</v>
      </c>
      <c r="G660" s="48">
        <v>10</v>
      </c>
      <c r="H660" s="48" t="s">
        <v>2017</v>
      </c>
      <c r="I660" s="197">
        <v>19.8706</v>
      </c>
      <c r="J660" s="197">
        <v>198.70599999999999</v>
      </c>
      <c r="K660" s="197">
        <v>31.792959999999997</v>
      </c>
      <c r="L660" s="201">
        <v>230.49895999999998</v>
      </c>
      <c r="M660" s="198">
        <v>0</v>
      </c>
      <c r="N660" s="48" t="s">
        <v>1617</v>
      </c>
      <c r="O660" s="48" t="s">
        <v>2033</v>
      </c>
      <c r="P660" s="49" t="s">
        <v>1321</v>
      </c>
      <c r="Q660" s="48" t="s">
        <v>1869</v>
      </c>
      <c r="R660" s="48" t="s">
        <v>2801</v>
      </c>
      <c r="S660" s="48" t="s">
        <v>647</v>
      </c>
      <c r="T660" s="114" t="s">
        <v>2025</v>
      </c>
      <c r="U660" s="48"/>
      <c r="V660" s="49"/>
      <c r="W660" s="41" t="s">
        <v>2127</v>
      </c>
      <c r="X660" s="50" t="s">
        <v>2548</v>
      </c>
      <c r="Y660" s="50"/>
    </row>
    <row r="661" spans="1:25" customFormat="1" ht="14.4" x14ac:dyDescent="0.3">
      <c r="A661" s="48">
        <f t="shared" si="28"/>
        <v>9</v>
      </c>
      <c r="B661" s="113">
        <v>46080</v>
      </c>
      <c r="C661" s="48" t="str">
        <f t="shared" si="29"/>
        <v>febrero</v>
      </c>
      <c r="D661" s="48" t="s">
        <v>2135</v>
      </c>
      <c r="E661" s="42" t="s">
        <v>356</v>
      </c>
      <c r="F661" s="47" t="s">
        <v>127</v>
      </c>
      <c r="G661" s="48">
        <v>10</v>
      </c>
      <c r="H661" s="48" t="s">
        <v>2017</v>
      </c>
      <c r="I661" s="197">
        <v>19.8706</v>
      </c>
      <c r="J661" s="197">
        <v>198.70599999999999</v>
      </c>
      <c r="K661" s="197">
        <v>31.792959999999997</v>
      </c>
      <c r="L661" s="201">
        <v>230.49895999999998</v>
      </c>
      <c r="M661" s="198">
        <v>0</v>
      </c>
      <c r="N661" s="48" t="s">
        <v>1617</v>
      </c>
      <c r="O661" s="48" t="s">
        <v>1679</v>
      </c>
      <c r="P661" s="49" t="s">
        <v>1321</v>
      </c>
      <c r="Q661" s="48" t="s">
        <v>1856</v>
      </c>
      <c r="R661" s="48" t="s">
        <v>2801</v>
      </c>
      <c r="S661" s="48" t="s">
        <v>647</v>
      </c>
      <c r="T661" s="114" t="s">
        <v>2025</v>
      </c>
      <c r="U661" s="48" t="s">
        <v>2575</v>
      </c>
      <c r="V661" s="49"/>
      <c r="W661" s="41" t="s">
        <v>2128</v>
      </c>
      <c r="X661" s="50" t="s">
        <v>2548</v>
      </c>
      <c r="Y661" s="50"/>
    </row>
    <row r="662" spans="1:25" customFormat="1" ht="14.4" x14ac:dyDescent="0.3">
      <c r="A662" s="48">
        <f t="shared" si="28"/>
        <v>9</v>
      </c>
      <c r="B662" s="113">
        <v>46080</v>
      </c>
      <c r="C662" s="48" t="str">
        <f t="shared" si="29"/>
        <v>febrero</v>
      </c>
      <c r="D662" s="48" t="s">
        <v>2135</v>
      </c>
      <c r="E662" s="42" t="s">
        <v>118</v>
      </c>
      <c r="F662" s="47" t="s">
        <v>2155</v>
      </c>
      <c r="G662" s="38">
        <v>2</v>
      </c>
      <c r="H662" s="48" t="s">
        <v>1705</v>
      </c>
      <c r="I662" s="202">
        <v>602.59</v>
      </c>
      <c r="J662" s="197">
        <v>1205.18</v>
      </c>
      <c r="K662" s="202">
        <v>192.8288</v>
      </c>
      <c r="L662" s="205">
        <v>1398.0088000000001</v>
      </c>
      <c r="M662" s="198">
        <v>0</v>
      </c>
      <c r="N662" s="48" t="s">
        <v>1617</v>
      </c>
      <c r="O662" s="48" t="s">
        <v>118</v>
      </c>
      <c r="P662" s="48" t="s">
        <v>2734</v>
      </c>
      <c r="Q662" s="38" t="s">
        <v>1766</v>
      </c>
      <c r="R662" s="48" t="s">
        <v>369</v>
      </c>
      <c r="S662" s="38" t="s">
        <v>2156</v>
      </c>
      <c r="T662" s="115"/>
      <c r="U662" s="38" t="s">
        <v>2157</v>
      </c>
      <c r="W662" s="121" t="s">
        <v>325</v>
      </c>
    </row>
    <row r="663" spans="1:25" customFormat="1" ht="14.4" x14ac:dyDescent="0.3">
      <c r="A663" s="48">
        <f t="shared" si="28"/>
        <v>9</v>
      </c>
      <c r="B663" s="113">
        <v>46080</v>
      </c>
      <c r="C663" s="48" t="str">
        <f t="shared" si="29"/>
        <v>febrero</v>
      </c>
      <c r="D663" s="48" t="s">
        <v>2135</v>
      </c>
      <c r="E663" s="42" t="s">
        <v>118</v>
      </c>
      <c r="F663" s="47" t="s">
        <v>2964</v>
      </c>
      <c r="G663" s="38">
        <v>4</v>
      </c>
      <c r="H663" s="48" t="s">
        <v>1705</v>
      </c>
      <c r="I663" s="197">
        <v>59.74</v>
      </c>
      <c r="J663" s="197">
        <v>238.96</v>
      </c>
      <c r="K663" s="197">
        <v>38.233600000000003</v>
      </c>
      <c r="L663" s="206">
        <v>277.1936</v>
      </c>
      <c r="M663" s="198">
        <v>0</v>
      </c>
      <c r="N663" s="48" t="s">
        <v>1617</v>
      </c>
      <c r="O663" s="48" t="s">
        <v>118</v>
      </c>
      <c r="P663" s="48" t="s">
        <v>2734</v>
      </c>
      <c r="Q663" s="38" t="s">
        <v>1766</v>
      </c>
      <c r="R663" s="48" t="s">
        <v>369</v>
      </c>
      <c r="S663" s="38" t="s">
        <v>2308</v>
      </c>
      <c r="T663" s="115"/>
      <c r="U663" s="38" t="s">
        <v>2157</v>
      </c>
      <c r="W663" s="121" t="s">
        <v>2576</v>
      </c>
    </row>
    <row r="664" spans="1:25" customFormat="1" ht="14.4" x14ac:dyDescent="0.3">
      <c r="A664" s="48">
        <f t="shared" si="28"/>
        <v>9</v>
      </c>
      <c r="B664" s="113">
        <v>46081</v>
      </c>
      <c r="C664" s="48" t="str">
        <f t="shared" si="29"/>
        <v>febrero</v>
      </c>
      <c r="D664" s="48" t="s">
        <v>2135</v>
      </c>
      <c r="E664" s="42" t="s">
        <v>356</v>
      </c>
      <c r="F664" s="47" t="s">
        <v>127</v>
      </c>
      <c r="G664" s="48">
        <v>10</v>
      </c>
      <c r="H664" s="48" t="s">
        <v>2017</v>
      </c>
      <c r="I664" s="197">
        <v>19.8706</v>
      </c>
      <c r="J664" s="197">
        <v>198.70599999999999</v>
      </c>
      <c r="K664" s="197">
        <v>31.792959999999997</v>
      </c>
      <c r="L664" s="197">
        <v>230.49895999999998</v>
      </c>
      <c r="M664" s="198">
        <v>0</v>
      </c>
      <c r="N664" s="48" t="s">
        <v>1617</v>
      </c>
      <c r="O664" s="48" t="s">
        <v>347</v>
      </c>
      <c r="P664" s="48" t="s">
        <v>25</v>
      </c>
      <c r="Q664" s="48" t="s">
        <v>1869</v>
      </c>
      <c r="R664" s="48" t="s">
        <v>2726</v>
      </c>
      <c r="S664" s="48" t="s">
        <v>647</v>
      </c>
      <c r="T664" s="114" t="s">
        <v>2025</v>
      </c>
      <c r="U664" s="48"/>
      <c r="V664" s="49"/>
      <c r="W664" s="41" t="s">
        <v>2132</v>
      </c>
      <c r="X664" s="50" t="s">
        <v>2550</v>
      </c>
      <c r="Y664" s="50"/>
    </row>
    <row r="665" spans="1:25" customFormat="1" ht="14.4" x14ac:dyDescent="0.3">
      <c r="A665" s="48">
        <f t="shared" si="28"/>
        <v>9</v>
      </c>
      <c r="B665" s="113">
        <v>46081</v>
      </c>
      <c r="C665" s="48" t="str">
        <f t="shared" si="29"/>
        <v>febrero</v>
      </c>
      <c r="D665" s="48" t="s">
        <v>2135</v>
      </c>
      <c r="E665" s="42" t="s">
        <v>2728</v>
      </c>
      <c r="F665" s="47" t="s">
        <v>111</v>
      </c>
      <c r="G665" s="48">
        <v>2</v>
      </c>
      <c r="H665" s="48" t="s">
        <v>1617</v>
      </c>
      <c r="I665" s="197">
        <v>70</v>
      </c>
      <c r="J665" s="197">
        <v>140</v>
      </c>
      <c r="K665" s="197">
        <v>0</v>
      </c>
      <c r="L665" s="197">
        <v>140</v>
      </c>
      <c r="M665" s="198">
        <v>0</v>
      </c>
      <c r="N665" s="48" t="s">
        <v>1617</v>
      </c>
      <c r="O665" s="48" t="s">
        <v>213</v>
      </c>
      <c r="P665" s="48" t="s">
        <v>39</v>
      </c>
      <c r="Q665" s="48" t="s">
        <v>535</v>
      </c>
      <c r="R665" s="48" t="s">
        <v>364</v>
      </c>
      <c r="S665" s="48" t="s">
        <v>2074</v>
      </c>
      <c r="T665" s="114" t="s">
        <v>1617</v>
      </c>
      <c r="U665" s="48" t="s">
        <v>2923</v>
      </c>
      <c r="V665" s="48" t="s">
        <v>1759</v>
      </c>
      <c r="W665" s="41" t="s">
        <v>1617</v>
      </c>
      <c r="X665" s="50" t="s">
        <v>2553</v>
      </c>
      <c r="Y665" s="50"/>
    </row>
    <row r="666" spans="1:25" customFormat="1" ht="14.4" x14ac:dyDescent="0.3">
      <c r="A666" s="48">
        <f t="shared" si="28"/>
        <v>9</v>
      </c>
      <c r="B666" s="113">
        <v>46081</v>
      </c>
      <c r="C666" s="48" t="str">
        <f t="shared" si="29"/>
        <v>febrero</v>
      </c>
      <c r="D666" s="48" t="s">
        <v>2135</v>
      </c>
      <c r="E666" s="42" t="s">
        <v>2728</v>
      </c>
      <c r="F666" s="47" t="s">
        <v>539</v>
      </c>
      <c r="G666" s="38">
        <v>1</v>
      </c>
      <c r="H666" s="48" t="s">
        <v>1705</v>
      </c>
      <c r="I666" s="197">
        <v>548.28</v>
      </c>
      <c r="J666" s="197">
        <v>548.28</v>
      </c>
      <c r="K666" s="197">
        <v>87.724800000000002</v>
      </c>
      <c r="L666" s="197">
        <v>636.00479999999993</v>
      </c>
      <c r="M666" s="198">
        <v>0</v>
      </c>
      <c r="N666" s="38" t="s">
        <v>1010</v>
      </c>
      <c r="O666" s="38" t="s">
        <v>814</v>
      </c>
      <c r="P666" s="48" t="s">
        <v>25</v>
      </c>
      <c r="Q666" s="38" t="s">
        <v>241</v>
      </c>
      <c r="R666" s="48" t="s">
        <v>2727</v>
      </c>
      <c r="S666" s="48" t="s">
        <v>574</v>
      </c>
      <c r="T666" s="114" t="s">
        <v>2771</v>
      </c>
      <c r="U666" s="38"/>
      <c r="W666" s="41" t="s">
        <v>2577</v>
      </c>
      <c r="X666" s="50" t="s">
        <v>2555</v>
      </c>
      <c r="Y666" s="50"/>
    </row>
    <row r="667" spans="1:25" customFormat="1" ht="14.4" x14ac:dyDescent="0.3">
      <c r="A667" s="48">
        <f t="shared" si="28"/>
        <v>9</v>
      </c>
      <c r="B667" s="113">
        <v>46081</v>
      </c>
      <c r="C667" s="48" t="str">
        <f t="shared" si="29"/>
        <v>febrero</v>
      </c>
      <c r="D667" s="48" t="s">
        <v>2135</v>
      </c>
      <c r="E667" s="42" t="s">
        <v>2728</v>
      </c>
      <c r="F667" s="47" t="s">
        <v>97</v>
      </c>
      <c r="G667" s="38">
        <v>1</v>
      </c>
      <c r="H667" s="48" t="s">
        <v>2016</v>
      </c>
      <c r="I667" s="197">
        <v>301.72000000000003</v>
      </c>
      <c r="J667" s="197">
        <v>301.72000000000003</v>
      </c>
      <c r="K667" s="197">
        <v>48.275200000000005</v>
      </c>
      <c r="L667" s="197">
        <v>349.99520000000001</v>
      </c>
      <c r="M667" s="198">
        <v>0</v>
      </c>
      <c r="N667" s="38" t="s">
        <v>1010</v>
      </c>
      <c r="O667" s="38" t="s">
        <v>814</v>
      </c>
      <c r="P667" s="48" t="s">
        <v>25</v>
      </c>
      <c r="Q667" s="38" t="s">
        <v>241</v>
      </c>
      <c r="R667" s="48" t="s">
        <v>2727</v>
      </c>
      <c r="S667" s="38" t="s">
        <v>381</v>
      </c>
      <c r="T667" s="115" t="s">
        <v>2578</v>
      </c>
      <c r="U667" s="38"/>
      <c r="W667" s="41" t="s">
        <v>2579</v>
      </c>
      <c r="X667" s="50" t="s">
        <v>2558</v>
      </c>
      <c r="Y667" s="50"/>
    </row>
    <row r="668" spans="1:25" customFormat="1" ht="14.4" x14ac:dyDescent="0.3">
      <c r="A668" s="48">
        <f t="shared" si="28"/>
        <v>9</v>
      </c>
      <c r="B668" s="113">
        <v>46081</v>
      </c>
      <c r="C668" s="48" t="str">
        <f t="shared" si="29"/>
        <v>febrero</v>
      </c>
      <c r="D668" s="48" t="s">
        <v>2135</v>
      </c>
      <c r="E668" s="42" t="s">
        <v>356</v>
      </c>
      <c r="F668" s="47" t="s">
        <v>127</v>
      </c>
      <c r="G668" s="48">
        <v>10</v>
      </c>
      <c r="H668" s="48" t="s">
        <v>2017</v>
      </c>
      <c r="I668" s="197">
        <v>19.8706</v>
      </c>
      <c r="J668" s="197">
        <v>198.70599999999999</v>
      </c>
      <c r="K668" s="197">
        <v>31.792959999999997</v>
      </c>
      <c r="L668" s="197">
        <v>230.49895999999998</v>
      </c>
      <c r="M668" s="198">
        <v>0</v>
      </c>
      <c r="N668" s="48" t="s">
        <v>1617</v>
      </c>
      <c r="O668" s="48" t="s">
        <v>1679</v>
      </c>
      <c r="P668" s="49" t="s">
        <v>1321</v>
      </c>
      <c r="Q668" s="48" t="s">
        <v>1856</v>
      </c>
      <c r="R668" s="48" t="s">
        <v>2727</v>
      </c>
      <c r="S668" s="48" t="s">
        <v>647</v>
      </c>
      <c r="T668" s="114" t="s">
        <v>2025</v>
      </c>
      <c r="U668" s="48"/>
      <c r="V668" s="49"/>
      <c r="W668" s="41" t="s">
        <v>2131</v>
      </c>
      <c r="X668" s="50" t="s">
        <v>2560</v>
      </c>
      <c r="Y668" s="50"/>
    </row>
    <row r="669" spans="1:25" customFormat="1" ht="14.4" x14ac:dyDescent="0.3">
      <c r="A669" s="48">
        <f t="shared" si="28"/>
        <v>10</v>
      </c>
      <c r="B669" s="113">
        <v>46083</v>
      </c>
      <c r="C669" s="48" t="str">
        <f t="shared" si="29"/>
        <v>marzo</v>
      </c>
      <c r="D669" s="48" t="s">
        <v>2135</v>
      </c>
      <c r="E669" s="42" t="s">
        <v>356</v>
      </c>
      <c r="F669" s="47" t="s">
        <v>2929</v>
      </c>
      <c r="G669" s="125">
        <v>6.52</v>
      </c>
      <c r="H669" s="48" t="s">
        <v>2017</v>
      </c>
      <c r="I669" s="197">
        <v>19.88</v>
      </c>
      <c r="J669" s="197">
        <v>129.61759999999998</v>
      </c>
      <c r="K669" s="197">
        <v>20.738815999999996</v>
      </c>
      <c r="L669" s="200">
        <v>150.356416</v>
      </c>
      <c r="M669" s="198">
        <v>0</v>
      </c>
      <c r="N669" s="48" t="s">
        <v>2237</v>
      </c>
      <c r="O669" s="48" t="s">
        <v>2826</v>
      </c>
      <c r="P669" s="48" t="s">
        <v>25</v>
      </c>
      <c r="Q669" s="48" t="s">
        <v>488</v>
      </c>
      <c r="R669" s="48" t="s">
        <v>2727</v>
      </c>
      <c r="S669" s="48" t="s">
        <v>647</v>
      </c>
      <c r="T669" s="114" t="s">
        <v>2025</v>
      </c>
      <c r="U669" s="48" t="s">
        <v>2580</v>
      </c>
      <c r="V669" s="50"/>
      <c r="W669" s="50" t="s">
        <v>2581</v>
      </c>
      <c r="X669" s="50"/>
    </row>
    <row r="670" spans="1:25" customFormat="1" ht="14.4" x14ac:dyDescent="0.3">
      <c r="A670" s="48">
        <f t="shared" si="28"/>
        <v>10</v>
      </c>
      <c r="B670" s="113">
        <v>46083</v>
      </c>
      <c r="C670" s="48" t="str">
        <f t="shared" si="29"/>
        <v>marzo</v>
      </c>
      <c r="D670" s="48" t="s">
        <v>2135</v>
      </c>
      <c r="E670" s="42" t="s">
        <v>356</v>
      </c>
      <c r="F670" s="47" t="s">
        <v>2965</v>
      </c>
      <c r="G670" s="125">
        <v>6.52</v>
      </c>
      <c r="H670" s="48" t="s">
        <v>2017</v>
      </c>
      <c r="I670" s="197">
        <v>19.88</v>
      </c>
      <c r="J670" s="197">
        <v>129.61759999999998</v>
      </c>
      <c r="K670" s="197">
        <v>20.738815999999996</v>
      </c>
      <c r="L670" s="200">
        <v>150.356416</v>
      </c>
      <c r="M670" s="198">
        <v>0</v>
      </c>
      <c r="N670" s="48" t="s">
        <v>2966</v>
      </c>
      <c r="O670" s="48" t="s">
        <v>2826</v>
      </c>
      <c r="P670" s="48" t="s">
        <v>25</v>
      </c>
      <c r="Q670" s="48" t="s">
        <v>488</v>
      </c>
      <c r="R670" s="48" t="s">
        <v>2727</v>
      </c>
      <c r="S670" s="48" t="s">
        <v>647</v>
      </c>
      <c r="T670" s="114" t="s">
        <v>2025</v>
      </c>
      <c r="U670" s="48" t="s">
        <v>2580</v>
      </c>
      <c r="V670" s="49" t="s">
        <v>2582</v>
      </c>
      <c r="W670" s="50" t="s">
        <v>2581</v>
      </c>
      <c r="X670" s="50"/>
    </row>
    <row r="671" spans="1:25" customFormat="1" ht="14.4" x14ac:dyDescent="0.3">
      <c r="A671" s="48">
        <f t="shared" si="28"/>
        <v>10</v>
      </c>
      <c r="B671" s="113">
        <v>46083</v>
      </c>
      <c r="C671" s="48" t="str">
        <f t="shared" si="29"/>
        <v>marzo</v>
      </c>
      <c r="D671" s="48" t="s">
        <v>2135</v>
      </c>
      <c r="E671" s="77" t="s">
        <v>356</v>
      </c>
      <c r="F671" s="47" t="s">
        <v>127</v>
      </c>
      <c r="G671" s="125">
        <v>10.84</v>
      </c>
      <c r="H671" s="48" t="s">
        <v>2017</v>
      </c>
      <c r="I671" s="197">
        <v>19.882000000000001</v>
      </c>
      <c r="J671" s="197">
        <v>215.52088000000001</v>
      </c>
      <c r="K671" s="197">
        <v>34.483340800000001</v>
      </c>
      <c r="L671" s="197">
        <v>250.00422080000001</v>
      </c>
      <c r="M671" s="198">
        <v>0</v>
      </c>
      <c r="N671" s="48" t="s">
        <v>1617</v>
      </c>
      <c r="O671" s="48" t="s">
        <v>2056</v>
      </c>
      <c r="P671" s="48" t="s">
        <v>18</v>
      </c>
      <c r="Q671" s="38" t="s">
        <v>488</v>
      </c>
      <c r="R671" s="48" t="s">
        <v>2726</v>
      </c>
      <c r="S671" s="38" t="s">
        <v>647</v>
      </c>
      <c r="T671" s="115" t="s">
        <v>2025</v>
      </c>
      <c r="U671" s="38" t="s">
        <v>2583</v>
      </c>
      <c r="V671" s="38" t="s">
        <v>2584</v>
      </c>
      <c r="W671" t="s">
        <v>2585</v>
      </c>
      <c r="Y671" s="50"/>
    </row>
    <row r="672" spans="1:25" customFormat="1" ht="14.4" x14ac:dyDescent="0.3">
      <c r="A672" s="48">
        <f t="shared" si="28"/>
        <v>10</v>
      </c>
      <c r="B672" s="113">
        <v>46083</v>
      </c>
      <c r="C672" s="48" t="str">
        <f t="shared" si="29"/>
        <v>marzo</v>
      </c>
      <c r="D672" s="48" t="s">
        <v>2135</v>
      </c>
      <c r="E672" s="77" t="s">
        <v>356</v>
      </c>
      <c r="F672" s="47" t="s">
        <v>127</v>
      </c>
      <c r="G672" s="125">
        <v>13.01</v>
      </c>
      <c r="H672" s="48" t="s">
        <v>2017</v>
      </c>
      <c r="I672" s="197">
        <v>19.878499999999999</v>
      </c>
      <c r="J672" s="197">
        <v>258.61928499999999</v>
      </c>
      <c r="K672" s="197">
        <v>41.379085599999996</v>
      </c>
      <c r="L672" s="197">
        <v>299.99837059999999</v>
      </c>
      <c r="M672" s="198">
        <v>0</v>
      </c>
      <c r="N672" s="48" t="s">
        <v>1617</v>
      </c>
      <c r="O672" s="38" t="s">
        <v>213</v>
      </c>
      <c r="P672" s="38" t="s">
        <v>39</v>
      </c>
      <c r="Q672" s="38" t="s">
        <v>1853</v>
      </c>
      <c r="R672" s="48" t="s">
        <v>2726</v>
      </c>
      <c r="S672" s="38" t="s">
        <v>647</v>
      </c>
      <c r="T672" s="115" t="s">
        <v>2025</v>
      </c>
      <c r="U672" s="38" t="s">
        <v>2583</v>
      </c>
      <c r="W672" s="142" t="s">
        <v>2586</v>
      </c>
      <c r="Y672" s="50"/>
    </row>
    <row r="673" spans="1:25" customFormat="1" ht="14.4" x14ac:dyDescent="0.3">
      <c r="A673" s="48">
        <f t="shared" si="28"/>
        <v>10</v>
      </c>
      <c r="B673" s="113">
        <v>46083</v>
      </c>
      <c r="C673" s="48" t="str">
        <f t="shared" si="29"/>
        <v>marzo</v>
      </c>
      <c r="D673" s="48" t="s">
        <v>2135</v>
      </c>
      <c r="E673" s="77" t="s">
        <v>356</v>
      </c>
      <c r="F673" s="47" t="s">
        <v>127</v>
      </c>
      <c r="G673" s="48">
        <v>10</v>
      </c>
      <c r="H673" s="48" t="s">
        <v>2017</v>
      </c>
      <c r="I673" s="197">
        <v>19.870999999999999</v>
      </c>
      <c r="J673" s="197">
        <v>198.70999999999998</v>
      </c>
      <c r="K673" s="197">
        <v>31.793599999999998</v>
      </c>
      <c r="L673" s="197">
        <v>230.50359999999998</v>
      </c>
      <c r="M673" s="198">
        <v>0</v>
      </c>
      <c r="N673" s="48" t="s">
        <v>1617</v>
      </c>
      <c r="O673" s="38" t="s">
        <v>1679</v>
      </c>
      <c r="P673" s="49" t="s">
        <v>1321</v>
      </c>
      <c r="Q673" s="38" t="s">
        <v>1856</v>
      </c>
      <c r="R673" s="48" t="s">
        <v>2727</v>
      </c>
      <c r="S673" s="38" t="s">
        <v>647</v>
      </c>
      <c r="T673" s="115" t="s">
        <v>2025</v>
      </c>
      <c r="U673" s="38" t="s">
        <v>2583</v>
      </c>
      <c r="W673" t="s">
        <v>2587</v>
      </c>
      <c r="Y673" s="50"/>
    </row>
    <row r="674" spans="1:25" customFormat="1" ht="14.4" x14ac:dyDescent="0.3">
      <c r="A674" s="48">
        <f t="shared" si="28"/>
        <v>10</v>
      </c>
      <c r="B674" s="113">
        <v>46083</v>
      </c>
      <c r="C674" s="48" t="str">
        <f t="shared" si="29"/>
        <v>marzo</v>
      </c>
      <c r="D674" s="48" t="s">
        <v>2175</v>
      </c>
      <c r="E674" s="77" t="s">
        <v>1830</v>
      </c>
      <c r="F674" s="47" t="s">
        <v>2588</v>
      </c>
      <c r="G674" s="48">
        <v>3</v>
      </c>
      <c r="H674" s="48" t="s">
        <v>1705</v>
      </c>
      <c r="I674" s="197">
        <v>20</v>
      </c>
      <c r="J674" s="197">
        <v>60</v>
      </c>
      <c r="K674" s="197">
        <v>0</v>
      </c>
      <c r="L674" s="197">
        <v>60</v>
      </c>
      <c r="M674" s="198">
        <v>0</v>
      </c>
      <c r="N674" s="38" t="s">
        <v>62</v>
      </c>
      <c r="O674" s="48" t="s">
        <v>118</v>
      </c>
      <c r="P674" s="48" t="s">
        <v>2734</v>
      </c>
      <c r="Q674" s="38" t="s">
        <v>241</v>
      </c>
      <c r="R674" s="38" t="s">
        <v>364</v>
      </c>
      <c r="S674" s="38" t="s">
        <v>2589</v>
      </c>
      <c r="T674" s="114" t="s">
        <v>1617</v>
      </c>
      <c r="U674" s="38" t="s">
        <v>2590</v>
      </c>
      <c r="V674" t="s">
        <v>1759</v>
      </c>
      <c r="W674" t="s">
        <v>1617</v>
      </c>
    </row>
    <row r="675" spans="1:25" customFormat="1" ht="14.4" x14ac:dyDescent="0.3">
      <c r="A675" s="48">
        <f t="shared" si="28"/>
        <v>10</v>
      </c>
      <c r="B675" s="113">
        <v>46083</v>
      </c>
      <c r="C675" s="48" t="str">
        <f t="shared" si="29"/>
        <v>marzo</v>
      </c>
      <c r="D675" s="48" t="s">
        <v>2135</v>
      </c>
      <c r="E675" s="50" t="s">
        <v>116</v>
      </c>
      <c r="F675" s="50" t="s">
        <v>2967</v>
      </c>
      <c r="G675" s="49">
        <v>1</v>
      </c>
      <c r="H675" s="48" t="s">
        <v>2138</v>
      </c>
      <c r="I675" s="202">
        <v>100</v>
      </c>
      <c r="J675" s="197">
        <v>100</v>
      </c>
      <c r="K675" s="197">
        <v>0</v>
      </c>
      <c r="L675" s="202">
        <v>100</v>
      </c>
      <c r="M675" s="198">
        <v>0</v>
      </c>
      <c r="N675" s="49" t="s">
        <v>1617</v>
      </c>
      <c r="O675" s="48" t="s">
        <v>116</v>
      </c>
      <c r="P675" s="48" t="s">
        <v>2734</v>
      </c>
      <c r="Q675" s="199" t="s">
        <v>1766</v>
      </c>
      <c r="R675" s="48" t="s">
        <v>364</v>
      </c>
      <c r="S675" s="48"/>
      <c r="T675" s="114" t="s">
        <v>1617</v>
      </c>
      <c r="U675" s="48" t="s">
        <v>2968</v>
      </c>
      <c r="W675" s="41" t="s">
        <v>1617</v>
      </c>
    </row>
    <row r="676" spans="1:25" customFormat="1" ht="14.4" x14ac:dyDescent="0.3">
      <c r="A676" s="48">
        <f t="shared" si="28"/>
        <v>10</v>
      </c>
      <c r="B676" s="113">
        <v>46084</v>
      </c>
      <c r="C676" s="48" t="str">
        <f t="shared" si="29"/>
        <v>marzo</v>
      </c>
      <c r="D676" s="48" t="s">
        <v>2135</v>
      </c>
      <c r="E676" s="42" t="s">
        <v>477</v>
      </c>
      <c r="F676" s="47" t="s">
        <v>559</v>
      </c>
      <c r="G676" s="48">
        <v>1</v>
      </c>
      <c r="H676" s="48" t="s">
        <v>2138</v>
      </c>
      <c r="I676" s="202">
        <v>610</v>
      </c>
      <c r="J676" s="197">
        <v>610</v>
      </c>
      <c r="K676" s="197">
        <v>0</v>
      </c>
      <c r="L676" s="206">
        <v>610</v>
      </c>
      <c r="M676" s="198">
        <v>0</v>
      </c>
      <c r="N676" s="48" t="s">
        <v>1818</v>
      </c>
      <c r="O676" s="48" t="s">
        <v>1860</v>
      </c>
      <c r="P676" s="48" t="s">
        <v>25</v>
      </c>
      <c r="Q676" s="38" t="s">
        <v>488</v>
      </c>
      <c r="R676" s="48" t="s">
        <v>2727</v>
      </c>
      <c r="S676" s="48" t="s">
        <v>1827</v>
      </c>
      <c r="T676" s="114" t="s">
        <v>1617</v>
      </c>
      <c r="U676" s="38"/>
      <c r="V676" s="130" t="s">
        <v>2969</v>
      </c>
      <c r="Y676" s="50"/>
    </row>
    <row r="677" spans="1:25" customFormat="1" ht="14.4" x14ac:dyDescent="0.3">
      <c r="A677" s="48">
        <f t="shared" si="28"/>
        <v>10</v>
      </c>
      <c r="B677" s="113">
        <v>46084</v>
      </c>
      <c r="C677" s="48" t="str">
        <f t="shared" si="29"/>
        <v>marzo</v>
      </c>
      <c r="D677" s="48" t="s">
        <v>2135</v>
      </c>
      <c r="E677" s="50" t="s">
        <v>116</v>
      </c>
      <c r="F677" s="47" t="s">
        <v>2095</v>
      </c>
      <c r="G677" s="48">
        <v>1</v>
      </c>
      <c r="H677" s="48" t="s">
        <v>1705</v>
      </c>
      <c r="I677" s="197">
        <v>25</v>
      </c>
      <c r="J677" s="197">
        <v>25</v>
      </c>
      <c r="K677" s="197">
        <v>4</v>
      </c>
      <c r="L677" s="197">
        <v>29</v>
      </c>
      <c r="M677" s="198">
        <v>0</v>
      </c>
      <c r="N677" s="48" t="s">
        <v>1617</v>
      </c>
      <c r="O677" s="48" t="s">
        <v>116</v>
      </c>
      <c r="P677" s="48" t="s">
        <v>25</v>
      </c>
      <c r="Q677" s="38" t="s">
        <v>1871</v>
      </c>
      <c r="R677" s="48" t="s">
        <v>2726</v>
      </c>
      <c r="S677" s="38" t="s">
        <v>1890</v>
      </c>
      <c r="T677" s="115" t="s">
        <v>2096</v>
      </c>
      <c r="U677" s="38"/>
      <c r="W677" t="s">
        <v>2591</v>
      </c>
    </row>
    <row r="678" spans="1:25" customFormat="1" ht="14.4" x14ac:dyDescent="0.3">
      <c r="A678" s="48">
        <f t="shared" si="28"/>
        <v>10</v>
      </c>
      <c r="B678" s="113">
        <v>46084</v>
      </c>
      <c r="C678" s="48" t="str">
        <f t="shared" si="29"/>
        <v>marzo</v>
      </c>
      <c r="D678" s="48" t="s">
        <v>2135</v>
      </c>
      <c r="E678" s="50" t="s">
        <v>116</v>
      </c>
      <c r="F678" s="47" t="s">
        <v>2592</v>
      </c>
      <c r="G678" s="48">
        <v>1</v>
      </c>
      <c r="H678" s="48" t="s">
        <v>2139</v>
      </c>
      <c r="I678" s="197">
        <v>43.1</v>
      </c>
      <c r="J678" s="197">
        <v>43.1</v>
      </c>
      <c r="K678" s="197">
        <v>6.8960000000000008</v>
      </c>
      <c r="L678" s="197">
        <v>49.996000000000002</v>
      </c>
      <c r="M678" s="198">
        <v>0</v>
      </c>
      <c r="N678" s="48" t="s">
        <v>1617</v>
      </c>
      <c r="O678" s="48" t="s">
        <v>116</v>
      </c>
      <c r="P678" s="48" t="s">
        <v>25</v>
      </c>
      <c r="Q678" s="38" t="s">
        <v>1871</v>
      </c>
      <c r="R678" s="48" t="s">
        <v>2726</v>
      </c>
      <c r="S678" s="38" t="s">
        <v>1890</v>
      </c>
      <c r="T678" s="115" t="s">
        <v>2096</v>
      </c>
      <c r="U678" s="38"/>
      <c r="W678" t="s">
        <v>2593</v>
      </c>
    </row>
    <row r="679" spans="1:25" customFormat="1" ht="14.4" x14ac:dyDescent="0.3">
      <c r="A679" s="48">
        <f t="shared" si="28"/>
        <v>10</v>
      </c>
      <c r="B679" s="113">
        <v>46084</v>
      </c>
      <c r="C679" s="48" t="str">
        <f t="shared" si="29"/>
        <v>marzo</v>
      </c>
      <c r="D679" s="48" t="s">
        <v>2135</v>
      </c>
      <c r="E679" s="50" t="s">
        <v>116</v>
      </c>
      <c r="F679" s="47" t="s">
        <v>2592</v>
      </c>
      <c r="G679" s="48">
        <v>1</v>
      </c>
      <c r="H679" s="48" t="s">
        <v>2139</v>
      </c>
      <c r="I679" s="197">
        <v>43.1</v>
      </c>
      <c r="J679" s="197">
        <v>43.1</v>
      </c>
      <c r="K679" s="197">
        <v>6.8960000000000008</v>
      </c>
      <c r="L679" s="197">
        <v>49.996000000000002</v>
      </c>
      <c r="M679" s="198">
        <v>0</v>
      </c>
      <c r="N679" s="48" t="s">
        <v>1617</v>
      </c>
      <c r="O679" s="48" t="s">
        <v>116</v>
      </c>
      <c r="P679" s="48" t="s">
        <v>25</v>
      </c>
      <c r="Q679" s="38" t="s">
        <v>1871</v>
      </c>
      <c r="R679" s="48" t="s">
        <v>2821</v>
      </c>
      <c r="S679" s="38" t="s">
        <v>1890</v>
      </c>
      <c r="T679" s="115" t="s">
        <v>2096</v>
      </c>
      <c r="U679" s="38"/>
      <c r="W679" t="s">
        <v>2594</v>
      </c>
    </row>
    <row r="680" spans="1:25" customFormat="1" ht="14.4" x14ac:dyDescent="0.3">
      <c r="A680" s="48">
        <f t="shared" si="28"/>
        <v>10</v>
      </c>
      <c r="B680" s="113">
        <v>46084</v>
      </c>
      <c r="C680" s="48" t="str">
        <f t="shared" si="29"/>
        <v>marzo</v>
      </c>
      <c r="D680" s="48" t="s">
        <v>2135</v>
      </c>
      <c r="E680" s="42" t="s">
        <v>356</v>
      </c>
      <c r="F680" s="47" t="s">
        <v>127</v>
      </c>
      <c r="G680" s="125">
        <v>13.01</v>
      </c>
      <c r="H680" s="48" t="s">
        <v>2017</v>
      </c>
      <c r="I680" s="197">
        <v>19.878499999999999</v>
      </c>
      <c r="J680" s="197">
        <v>258.61928499999999</v>
      </c>
      <c r="K680" s="197">
        <v>41.379085599999996</v>
      </c>
      <c r="L680" s="197">
        <v>299.99837059999999</v>
      </c>
      <c r="M680" s="198">
        <v>0</v>
      </c>
      <c r="N680" s="48" t="s">
        <v>1617</v>
      </c>
      <c r="O680" s="48" t="s">
        <v>1860</v>
      </c>
      <c r="P680" s="48" t="s">
        <v>25</v>
      </c>
      <c r="Q680" s="38" t="s">
        <v>488</v>
      </c>
      <c r="R680" s="48" t="s">
        <v>2727</v>
      </c>
      <c r="S680" s="38" t="s">
        <v>647</v>
      </c>
      <c r="T680" s="115" t="s">
        <v>2025</v>
      </c>
      <c r="U680" s="38" t="s">
        <v>2583</v>
      </c>
      <c r="W680" t="s">
        <v>2595</v>
      </c>
      <c r="Y680" s="50"/>
    </row>
    <row r="681" spans="1:25" customFormat="1" ht="14.4" x14ac:dyDescent="0.3">
      <c r="A681" s="48">
        <f t="shared" si="28"/>
        <v>10</v>
      </c>
      <c r="B681" s="113">
        <v>46084</v>
      </c>
      <c r="C681" s="48" t="str">
        <f t="shared" si="29"/>
        <v>marzo</v>
      </c>
      <c r="D681" s="48" t="s">
        <v>2135</v>
      </c>
      <c r="E681" s="42" t="s">
        <v>2728</v>
      </c>
      <c r="F681" s="47" t="s">
        <v>2596</v>
      </c>
      <c r="G681" s="48">
        <v>1</v>
      </c>
      <c r="H681" s="48" t="s">
        <v>1705</v>
      </c>
      <c r="I681" s="197">
        <v>560.34500000000003</v>
      </c>
      <c r="J681" s="197">
        <v>560.34500000000003</v>
      </c>
      <c r="K681" s="197">
        <v>89.655200000000008</v>
      </c>
      <c r="L681" s="197">
        <v>650.00020000000006</v>
      </c>
      <c r="M681" s="198">
        <v>0</v>
      </c>
      <c r="N681" s="38" t="s">
        <v>1454</v>
      </c>
      <c r="O681" s="38" t="s">
        <v>563</v>
      </c>
      <c r="P681" s="48" t="s">
        <v>25</v>
      </c>
      <c r="Q681" s="38" t="s">
        <v>241</v>
      </c>
      <c r="R681" s="48" t="s">
        <v>2726</v>
      </c>
      <c r="S681" s="38" t="s">
        <v>2076</v>
      </c>
      <c r="T681" s="115" t="s">
        <v>2597</v>
      </c>
      <c r="U681" s="38"/>
      <c r="W681" t="s">
        <v>1762</v>
      </c>
      <c r="Y681" s="50"/>
    </row>
    <row r="682" spans="1:25" customFormat="1" ht="14.4" x14ac:dyDescent="0.3">
      <c r="A682" s="48">
        <f t="shared" si="28"/>
        <v>10</v>
      </c>
      <c r="B682" s="113">
        <v>46084</v>
      </c>
      <c r="C682" s="48" t="str">
        <f t="shared" si="29"/>
        <v>marzo</v>
      </c>
      <c r="D682" s="48" t="s">
        <v>2135</v>
      </c>
      <c r="E682" s="42" t="s">
        <v>2728</v>
      </c>
      <c r="F682" s="47" t="s">
        <v>92</v>
      </c>
      <c r="G682" s="48">
        <v>1</v>
      </c>
      <c r="H682" s="48" t="s">
        <v>1705</v>
      </c>
      <c r="I682" s="197">
        <v>176.72</v>
      </c>
      <c r="J682" s="197">
        <v>176.72</v>
      </c>
      <c r="K682" s="197">
        <v>28.275200000000002</v>
      </c>
      <c r="L682" s="201">
        <v>204.99520000000001</v>
      </c>
      <c r="M682" s="198">
        <v>0</v>
      </c>
      <c r="N682" s="38" t="s">
        <v>1454</v>
      </c>
      <c r="O682" s="38" t="s">
        <v>563</v>
      </c>
      <c r="P682" s="48" t="s">
        <v>25</v>
      </c>
      <c r="Q682" s="38" t="s">
        <v>241</v>
      </c>
      <c r="R682" s="48" t="s">
        <v>2726</v>
      </c>
      <c r="S682" s="38" t="s">
        <v>381</v>
      </c>
      <c r="T682" s="115" t="s">
        <v>2502</v>
      </c>
      <c r="U682" s="38"/>
      <c r="W682" t="s">
        <v>2598</v>
      </c>
      <c r="Y682" s="50"/>
    </row>
    <row r="683" spans="1:25" customFormat="1" ht="14.4" x14ac:dyDescent="0.3">
      <c r="A683" s="48">
        <f t="shared" si="28"/>
        <v>10</v>
      </c>
      <c r="B683" s="113">
        <v>46084</v>
      </c>
      <c r="C683" s="48" t="str">
        <f t="shared" si="29"/>
        <v>marzo</v>
      </c>
      <c r="D683" s="48" t="s">
        <v>2135</v>
      </c>
      <c r="E683" s="42" t="s">
        <v>2728</v>
      </c>
      <c r="F683" s="47" t="s">
        <v>95</v>
      </c>
      <c r="G683" s="48">
        <v>1</v>
      </c>
      <c r="H683" s="48" t="s">
        <v>1705</v>
      </c>
      <c r="I683" s="197">
        <v>129.31</v>
      </c>
      <c r="J683" s="197">
        <v>129.31</v>
      </c>
      <c r="K683" s="197">
        <v>20.689600000000002</v>
      </c>
      <c r="L683" s="201">
        <v>149.99960000000002</v>
      </c>
      <c r="M683" s="198">
        <v>0</v>
      </c>
      <c r="N683" s="38" t="s">
        <v>1454</v>
      </c>
      <c r="O683" s="38" t="s">
        <v>563</v>
      </c>
      <c r="P683" s="48" t="s">
        <v>25</v>
      </c>
      <c r="Q683" s="38" t="s">
        <v>241</v>
      </c>
      <c r="R683" s="48" t="s">
        <v>2726</v>
      </c>
      <c r="S683" s="38" t="s">
        <v>381</v>
      </c>
      <c r="T683" s="115" t="s">
        <v>2502</v>
      </c>
      <c r="U683" s="38"/>
      <c r="W683" t="s">
        <v>2598</v>
      </c>
      <c r="Y683" s="50"/>
    </row>
    <row r="684" spans="1:25" customFormat="1" ht="14.4" x14ac:dyDescent="0.3">
      <c r="A684" s="48">
        <f t="shared" si="28"/>
        <v>10</v>
      </c>
      <c r="B684" s="113">
        <v>46084</v>
      </c>
      <c r="C684" s="48" t="str">
        <f t="shared" si="29"/>
        <v>marzo</v>
      </c>
      <c r="D684" s="48" t="s">
        <v>2135</v>
      </c>
      <c r="E684" s="42" t="s">
        <v>2728</v>
      </c>
      <c r="F684" s="47" t="s">
        <v>2188</v>
      </c>
      <c r="G684" s="48">
        <v>4</v>
      </c>
      <c r="H684" s="48" t="s">
        <v>1705</v>
      </c>
      <c r="I684" s="197">
        <v>43.97</v>
      </c>
      <c r="J684" s="197">
        <v>175.88</v>
      </c>
      <c r="K684" s="197">
        <v>28.140799999999999</v>
      </c>
      <c r="L684" s="201">
        <v>204.02080000000001</v>
      </c>
      <c r="M684" s="198">
        <v>0</v>
      </c>
      <c r="N684" s="38" t="s">
        <v>1454</v>
      </c>
      <c r="O684" s="38" t="s">
        <v>563</v>
      </c>
      <c r="P684" s="48" t="s">
        <v>25</v>
      </c>
      <c r="Q684" s="38" t="s">
        <v>241</v>
      </c>
      <c r="R684" s="48" t="s">
        <v>2726</v>
      </c>
      <c r="S684" s="38" t="s">
        <v>381</v>
      </c>
      <c r="T684" s="115" t="s">
        <v>1638</v>
      </c>
      <c r="U684" s="38"/>
      <c r="W684" t="s">
        <v>2598</v>
      </c>
      <c r="Y684" s="50"/>
    </row>
    <row r="685" spans="1:25" customFormat="1" ht="14.4" x14ac:dyDescent="0.3">
      <c r="A685" s="48">
        <f t="shared" si="28"/>
        <v>10</v>
      </c>
      <c r="B685" s="113">
        <v>46084</v>
      </c>
      <c r="C685" s="48" t="str">
        <f t="shared" si="29"/>
        <v>marzo</v>
      </c>
      <c r="D685" s="48" t="s">
        <v>2135</v>
      </c>
      <c r="E685" s="42" t="s">
        <v>2728</v>
      </c>
      <c r="F685" s="47" t="s">
        <v>97</v>
      </c>
      <c r="G685" s="48">
        <v>1</v>
      </c>
      <c r="H685" s="48" t="s">
        <v>2016</v>
      </c>
      <c r="I685" s="197">
        <v>337.07</v>
      </c>
      <c r="J685" s="197">
        <v>337.07</v>
      </c>
      <c r="K685" s="197">
        <v>53.931199999999997</v>
      </c>
      <c r="L685" s="201">
        <v>391.00119999999998</v>
      </c>
      <c r="M685" s="198">
        <v>0</v>
      </c>
      <c r="N685" s="38" t="s">
        <v>1454</v>
      </c>
      <c r="O685" s="38" t="s">
        <v>563</v>
      </c>
      <c r="P685" s="48" t="s">
        <v>25</v>
      </c>
      <c r="Q685" s="38" t="s">
        <v>241</v>
      </c>
      <c r="R685" s="48" t="s">
        <v>2726</v>
      </c>
      <c r="S685" s="38" t="s">
        <v>381</v>
      </c>
      <c r="T685" s="114" t="s">
        <v>1617</v>
      </c>
      <c r="U685" s="38" t="s">
        <v>2599</v>
      </c>
      <c r="W685" t="s">
        <v>2598</v>
      </c>
      <c r="Y685" s="50"/>
    </row>
    <row r="686" spans="1:25" customFormat="1" ht="14.4" x14ac:dyDescent="0.3">
      <c r="A686" s="48">
        <f t="shared" si="28"/>
        <v>10</v>
      </c>
      <c r="B686" s="113">
        <v>46084</v>
      </c>
      <c r="C686" s="48" t="str">
        <f t="shared" si="29"/>
        <v>marzo</v>
      </c>
      <c r="D686" s="48" t="s">
        <v>2135</v>
      </c>
      <c r="E686" s="42" t="s">
        <v>2728</v>
      </c>
      <c r="F686" s="47" t="s">
        <v>2600</v>
      </c>
      <c r="G686" s="48">
        <v>1</v>
      </c>
      <c r="H686" s="48" t="s">
        <v>2139</v>
      </c>
      <c r="I686" s="197">
        <v>1500</v>
      </c>
      <c r="J686" s="197">
        <v>1500</v>
      </c>
      <c r="K686" s="197">
        <v>240</v>
      </c>
      <c r="L686" s="200">
        <v>1740</v>
      </c>
      <c r="M686" s="198">
        <v>0</v>
      </c>
      <c r="N686" s="48" t="s">
        <v>1617</v>
      </c>
      <c r="O686" s="48" t="s">
        <v>1860</v>
      </c>
      <c r="P686" s="48" t="s">
        <v>25</v>
      </c>
      <c r="Q686" s="38" t="s">
        <v>241</v>
      </c>
      <c r="R686" s="48" t="s">
        <v>369</v>
      </c>
      <c r="S686" s="48" t="s">
        <v>2601</v>
      </c>
      <c r="T686" s="114" t="s">
        <v>1617</v>
      </c>
      <c r="U686" s="38"/>
      <c r="Y686" s="50"/>
    </row>
    <row r="687" spans="1:25" customFormat="1" ht="14.4" x14ac:dyDescent="0.3">
      <c r="A687" s="48">
        <f t="shared" si="28"/>
        <v>10</v>
      </c>
      <c r="B687" s="113">
        <v>46084</v>
      </c>
      <c r="C687" s="48" t="str">
        <f t="shared" si="29"/>
        <v>marzo</v>
      </c>
      <c r="D687" s="48" t="s">
        <v>2135</v>
      </c>
      <c r="E687" s="42" t="s">
        <v>2728</v>
      </c>
      <c r="F687" s="47" t="s">
        <v>2602</v>
      </c>
      <c r="G687" s="48">
        <v>1</v>
      </c>
      <c r="H687" s="48" t="s">
        <v>2139</v>
      </c>
      <c r="I687" s="197">
        <v>2500</v>
      </c>
      <c r="J687" s="197">
        <v>2500</v>
      </c>
      <c r="K687" s="197">
        <v>400</v>
      </c>
      <c r="L687" s="200">
        <v>2900</v>
      </c>
      <c r="M687" s="198">
        <v>0</v>
      </c>
      <c r="N687" s="48" t="s">
        <v>1617</v>
      </c>
      <c r="O687" s="48" t="s">
        <v>1860</v>
      </c>
      <c r="P687" s="48" t="s">
        <v>25</v>
      </c>
      <c r="Q687" s="38" t="s">
        <v>241</v>
      </c>
      <c r="R687" s="48" t="s">
        <v>369</v>
      </c>
      <c r="S687" s="48" t="s">
        <v>2601</v>
      </c>
      <c r="T687" s="114" t="s">
        <v>1617</v>
      </c>
      <c r="U687" s="38"/>
      <c r="Y687" s="50"/>
    </row>
    <row r="688" spans="1:25" customFormat="1" ht="14.4" x14ac:dyDescent="0.3">
      <c r="A688" s="48">
        <f t="shared" si="28"/>
        <v>10</v>
      </c>
      <c r="B688" s="113">
        <v>46084</v>
      </c>
      <c r="C688" s="48" t="str">
        <f t="shared" si="29"/>
        <v>marzo</v>
      </c>
      <c r="D688" s="48" t="s">
        <v>2135</v>
      </c>
      <c r="E688" s="42" t="s">
        <v>2728</v>
      </c>
      <c r="F688" s="47" t="s">
        <v>2603</v>
      </c>
      <c r="G688" s="48">
        <v>2</v>
      </c>
      <c r="H688" s="48" t="s">
        <v>1705</v>
      </c>
      <c r="I688" s="197">
        <v>120</v>
      </c>
      <c r="J688" s="197">
        <v>240</v>
      </c>
      <c r="K688" s="197">
        <v>38.4</v>
      </c>
      <c r="L688" s="200">
        <v>278.39999999999998</v>
      </c>
      <c r="M688" s="198">
        <v>0</v>
      </c>
      <c r="N688" s="48" t="s">
        <v>1617</v>
      </c>
      <c r="O688" s="48" t="s">
        <v>1860</v>
      </c>
      <c r="P688" s="48" t="s">
        <v>25</v>
      </c>
      <c r="Q688" s="38" t="s">
        <v>241</v>
      </c>
      <c r="R688" s="48" t="s">
        <v>369</v>
      </c>
      <c r="S688" s="48" t="s">
        <v>2601</v>
      </c>
      <c r="T688" s="114" t="s">
        <v>1617</v>
      </c>
      <c r="U688" s="38"/>
      <c r="Y688" s="50"/>
    </row>
    <row r="689" spans="1:36" customFormat="1" ht="14.4" x14ac:dyDescent="0.3">
      <c r="A689" s="48">
        <f t="shared" si="28"/>
        <v>10</v>
      </c>
      <c r="B689" s="113">
        <v>46084</v>
      </c>
      <c r="C689" s="48" t="str">
        <f t="shared" si="29"/>
        <v>marzo</v>
      </c>
      <c r="D689" s="48" t="s">
        <v>2135</v>
      </c>
      <c r="E689" s="42" t="s">
        <v>2728</v>
      </c>
      <c r="F689" s="47" t="s">
        <v>2604</v>
      </c>
      <c r="G689" s="48">
        <v>1</v>
      </c>
      <c r="H689" s="48" t="s">
        <v>2139</v>
      </c>
      <c r="I689" s="197">
        <v>500</v>
      </c>
      <c r="J689" s="197">
        <v>500</v>
      </c>
      <c r="K689" s="197">
        <v>80</v>
      </c>
      <c r="L689" s="200">
        <v>580</v>
      </c>
      <c r="M689" s="198">
        <v>0</v>
      </c>
      <c r="N689" s="48" t="s">
        <v>1617</v>
      </c>
      <c r="O689" s="48" t="s">
        <v>1860</v>
      </c>
      <c r="P689" s="48" t="s">
        <v>25</v>
      </c>
      <c r="Q689" s="38" t="s">
        <v>241</v>
      </c>
      <c r="R689" s="48" t="s">
        <v>369</v>
      </c>
      <c r="S689" s="48" t="s">
        <v>2601</v>
      </c>
      <c r="T689" s="114" t="s">
        <v>1617</v>
      </c>
      <c r="U689" s="38"/>
      <c r="Y689" s="50"/>
    </row>
    <row r="690" spans="1:36" ht="14.4" x14ac:dyDescent="0.3">
      <c r="A690" s="48">
        <f t="shared" ref="A690:A753" si="30">WEEKNUM(B690)</f>
        <v>10</v>
      </c>
      <c r="B690" s="113">
        <v>46084</v>
      </c>
      <c r="C690" s="48" t="str">
        <f t="shared" si="29"/>
        <v>marzo</v>
      </c>
      <c r="D690" s="48" t="s">
        <v>2135</v>
      </c>
      <c r="E690" s="42" t="s">
        <v>2728</v>
      </c>
      <c r="F690" s="47" t="s">
        <v>431</v>
      </c>
      <c r="G690" s="48">
        <v>1</v>
      </c>
      <c r="H690" s="48" t="s">
        <v>2139</v>
      </c>
      <c r="I690" s="197">
        <v>500</v>
      </c>
      <c r="J690" s="197">
        <v>500</v>
      </c>
      <c r="K690" s="197">
        <v>80</v>
      </c>
      <c r="L690" s="200">
        <v>580</v>
      </c>
      <c r="M690" s="198">
        <v>0</v>
      </c>
      <c r="N690" s="48" t="s">
        <v>1617</v>
      </c>
      <c r="O690" s="48" t="s">
        <v>1860</v>
      </c>
      <c r="P690" s="48" t="s">
        <v>25</v>
      </c>
      <c r="Q690" s="38" t="s">
        <v>241</v>
      </c>
      <c r="R690" s="48" t="s">
        <v>369</v>
      </c>
      <c r="S690" s="48" t="s">
        <v>2601</v>
      </c>
      <c r="T690" s="114" t="s">
        <v>1617</v>
      </c>
      <c r="U690" s="38" t="s">
        <v>2605</v>
      </c>
      <c r="V690"/>
      <c r="W690"/>
      <c r="X690"/>
      <c r="Z690"/>
      <c r="AA690"/>
      <c r="AB690"/>
      <c r="AC690"/>
      <c r="AD690"/>
      <c r="AE690"/>
      <c r="AF690"/>
      <c r="AG690"/>
      <c r="AH690"/>
      <c r="AI690"/>
      <c r="AJ690"/>
    </row>
    <row r="691" spans="1:36" customFormat="1" ht="14.4" x14ac:dyDescent="0.3">
      <c r="A691" s="48">
        <f t="shared" si="30"/>
        <v>10</v>
      </c>
      <c r="B691" s="113">
        <v>46084</v>
      </c>
      <c r="C691" s="48" t="str">
        <f t="shared" si="29"/>
        <v>marzo</v>
      </c>
      <c r="D691" s="48" t="s">
        <v>2135</v>
      </c>
      <c r="E691" s="42" t="s">
        <v>2728</v>
      </c>
      <c r="F691" s="47" t="s">
        <v>2606</v>
      </c>
      <c r="G691" s="48">
        <v>1</v>
      </c>
      <c r="H691" s="48" t="s">
        <v>2139</v>
      </c>
      <c r="I691" s="197">
        <v>12000</v>
      </c>
      <c r="J691" s="197">
        <v>12000</v>
      </c>
      <c r="K691" s="197">
        <v>1920</v>
      </c>
      <c r="L691" s="197">
        <v>13920</v>
      </c>
      <c r="M691" s="198">
        <v>0</v>
      </c>
      <c r="N691" s="48" t="s">
        <v>1617</v>
      </c>
      <c r="O691" s="48" t="s">
        <v>46</v>
      </c>
      <c r="P691" s="48" t="s">
        <v>25</v>
      </c>
      <c r="Q691" s="38" t="s">
        <v>241</v>
      </c>
      <c r="R691" s="48" t="s">
        <v>369</v>
      </c>
      <c r="S691" s="48" t="s">
        <v>2601</v>
      </c>
      <c r="T691" s="114" t="s">
        <v>1617</v>
      </c>
      <c r="U691" s="38" t="s">
        <v>2607</v>
      </c>
      <c r="Y691" s="50"/>
    </row>
    <row r="692" spans="1:36" customFormat="1" ht="14.4" x14ac:dyDescent="0.3">
      <c r="A692" s="48">
        <f t="shared" si="30"/>
        <v>10</v>
      </c>
      <c r="B692" s="113">
        <v>46084</v>
      </c>
      <c r="C692" s="48" t="str">
        <f t="shared" si="29"/>
        <v>marzo</v>
      </c>
      <c r="D692" s="48" t="s">
        <v>2135</v>
      </c>
      <c r="E692" s="42" t="s">
        <v>2728</v>
      </c>
      <c r="F692" s="47" t="s">
        <v>2608</v>
      </c>
      <c r="G692" s="48">
        <v>1</v>
      </c>
      <c r="H692" s="48" t="s">
        <v>2139</v>
      </c>
      <c r="I692" s="197">
        <v>950</v>
      </c>
      <c r="J692" s="197">
        <v>950</v>
      </c>
      <c r="K692" s="197">
        <v>152</v>
      </c>
      <c r="L692" s="201">
        <v>1102</v>
      </c>
      <c r="M692" s="198">
        <v>0</v>
      </c>
      <c r="N692" s="48" t="s">
        <v>1617</v>
      </c>
      <c r="O692" s="48" t="s">
        <v>213</v>
      </c>
      <c r="P692" s="48" t="s">
        <v>39</v>
      </c>
      <c r="Q692" s="38" t="s">
        <v>241</v>
      </c>
      <c r="R692" s="48" t="s">
        <v>369</v>
      </c>
      <c r="S692" s="48" t="s">
        <v>2601</v>
      </c>
      <c r="T692" s="114" t="s">
        <v>1617</v>
      </c>
      <c r="U692" s="38"/>
      <c r="Y692" s="50"/>
    </row>
    <row r="693" spans="1:36" ht="14.4" x14ac:dyDescent="0.3">
      <c r="A693" s="48">
        <f t="shared" si="30"/>
        <v>10</v>
      </c>
      <c r="B693" s="113">
        <v>46084</v>
      </c>
      <c r="C693" s="48" t="str">
        <f t="shared" si="29"/>
        <v>marzo</v>
      </c>
      <c r="D693" s="48" t="s">
        <v>2135</v>
      </c>
      <c r="E693" s="42" t="s">
        <v>2728</v>
      </c>
      <c r="F693" s="47" t="s">
        <v>2609</v>
      </c>
      <c r="G693" s="48">
        <v>1</v>
      </c>
      <c r="H693" s="48" t="s">
        <v>2139</v>
      </c>
      <c r="I693" s="197">
        <v>600</v>
      </c>
      <c r="J693" s="197">
        <v>600</v>
      </c>
      <c r="K693" s="197">
        <v>96</v>
      </c>
      <c r="L693" s="201">
        <v>696</v>
      </c>
      <c r="M693" s="198">
        <v>0</v>
      </c>
      <c r="N693" s="48" t="s">
        <v>1617</v>
      </c>
      <c r="O693" s="48" t="s">
        <v>213</v>
      </c>
      <c r="P693" s="48" t="s">
        <v>39</v>
      </c>
      <c r="Q693" s="38" t="s">
        <v>241</v>
      </c>
      <c r="R693" s="48" t="s">
        <v>369</v>
      </c>
      <c r="S693" s="48" t="s">
        <v>2601</v>
      </c>
      <c r="T693" s="114" t="s">
        <v>1617</v>
      </c>
      <c r="U693" s="38"/>
      <c r="V693"/>
      <c r="W693"/>
      <c r="X693"/>
      <c r="Z693"/>
      <c r="AA693"/>
      <c r="AB693"/>
      <c r="AC693"/>
      <c r="AD693"/>
      <c r="AE693"/>
      <c r="AF693"/>
      <c r="AG693"/>
      <c r="AH693"/>
      <c r="AI693"/>
      <c r="AJ693"/>
    </row>
    <row r="694" spans="1:36" ht="14.4" x14ac:dyDescent="0.3">
      <c r="A694" s="48">
        <f t="shared" si="30"/>
        <v>10</v>
      </c>
      <c r="B694" s="113">
        <v>46084</v>
      </c>
      <c r="C694" s="48" t="str">
        <f t="shared" si="29"/>
        <v>marzo</v>
      </c>
      <c r="D694" s="48" t="s">
        <v>2135</v>
      </c>
      <c r="E694" s="42" t="s">
        <v>2728</v>
      </c>
      <c r="F694" s="47" t="s">
        <v>2610</v>
      </c>
      <c r="G694" s="48">
        <v>1</v>
      </c>
      <c r="H694" s="48" t="s">
        <v>2139</v>
      </c>
      <c r="I694" s="197">
        <v>500</v>
      </c>
      <c r="J694" s="197">
        <v>500</v>
      </c>
      <c r="K694" s="197">
        <v>80</v>
      </c>
      <c r="L694" s="201">
        <v>580</v>
      </c>
      <c r="M694" s="198">
        <v>0</v>
      </c>
      <c r="N694" s="48" t="s">
        <v>1617</v>
      </c>
      <c r="O694" s="48" t="s">
        <v>213</v>
      </c>
      <c r="P694" s="48" t="s">
        <v>39</v>
      </c>
      <c r="Q694" s="38" t="s">
        <v>241</v>
      </c>
      <c r="R694" s="48" t="s">
        <v>369</v>
      </c>
      <c r="S694" s="48" t="s">
        <v>2601</v>
      </c>
      <c r="T694" s="114" t="s">
        <v>1617</v>
      </c>
      <c r="U694" s="38"/>
      <c r="V694"/>
      <c r="W694"/>
      <c r="X694"/>
      <c r="Z694"/>
      <c r="AA694"/>
      <c r="AB694"/>
      <c r="AC694"/>
      <c r="AD694"/>
      <c r="AE694"/>
      <c r="AF694"/>
      <c r="AG694"/>
      <c r="AH694"/>
      <c r="AI694"/>
      <c r="AJ694"/>
    </row>
    <row r="695" spans="1:36" ht="14.4" x14ac:dyDescent="0.3">
      <c r="A695" s="48">
        <f t="shared" si="30"/>
        <v>10</v>
      </c>
      <c r="B695" s="113">
        <v>46084</v>
      </c>
      <c r="C695" s="48" t="str">
        <f t="shared" si="29"/>
        <v>marzo</v>
      </c>
      <c r="D695" s="48" t="s">
        <v>2135</v>
      </c>
      <c r="E695" s="42" t="s">
        <v>2728</v>
      </c>
      <c r="F695" s="47" t="s">
        <v>1626</v>
      </c>
      <c r="G695" s="48">
        <v>1</v>
      </c>
      <c r="H695" s="48" t="s">
        <v>2139</v>
      </c>
      <c r="I695" s="197">
        <v>600</v>
      </c>
      <c r="J695" s="197">
        <v>600</v>
      </c>
      <c r="K695" s="197">
        <v>96</v>
      </c>
      <c r="L695" s="201">
        <v>696</v>
      </c>
      <c r="M695" s="198">
        <v>0</v>
      </c>
      <c r="N695" s="48" t="s">
        <v>1617</v>
      </c>
      <c r="O695" s="48" t="s">
        <v>213</v>
      </c>
      <c r="P695" s="48" t="s">
        <v>39</v>
      </c>
      <c r="Q695" s="38" t="s">
        <v>241</v>
      </c>
      <c r="R695" s="48" t="s">
        <v>369</v>
      </c>
      <c r="S695" s="48" t="s">
        <v>2601</v>
      </c>
      <c r="T695" s="114" t="s">
        <v>1617</v>
      </c>
      <c r="U695" s="38"/>
      <c r="V695"/>
      <c r="W695"/>
      <c r="X695"/>
      <c r="Z695"/>
      <c r="AA695"/>
      <c r="AB695"/>
      <c r="AC695"/>
      <c r="AD695"/>
      <c r="AE695"/>
      <c r="AF695"/>
      <c r="AG695"/>
      <c r="AH695"/>
      <c r="AI695"/>
      <c r="AJ695"/>
    </row>
    <row r="696" spans="1:36" ht="14.4" x14ac:dyDescent="0.3">
      <c r="A696" s="48">
        <f t="shared" si="30"/>
        <v>10</v>
      </c>
      <c r="B696" s="113">
        <v>46084</v>
      </c>
      <c r="C696" s="48" t="str">
        <f t="shared" si="29"/>
        <v>marzo</v>
      </c>
      <c r="D696" s="48" t="s">
        <v>2135</v>
      </c>
      <c r="E696" s="42" t="s">
        <v>2728</v>
      </c>
      <c r="F696" s="47" t="s">
        <v>2611</v>
      </c>
      <c r="G696" s="48">
        <v>1</v>
      </c>
      <c r="H696" s="48" t="s">
        <v>2139</v>
      </c>
      <c r="I696" s="197">
        <v>500</v>
      </c>
      <c r="J696" s="197">
        <v>500</v>
      </c>
      <c r="K696" s="197">
        <v>80</v>
      </c>
      <c r="L696" s="200">
        <v>580</v>
      </c>
      <c r="M696" s="198">
        <v>0</v>
      </c>
      <c r="N696" s="48" t="s">
        <v>1617</v>
      </c>
      <c r="O696" s="48" t="s">
        <v>645</v>
      </c>
      <c r="P696" s="48" t="s">
        <v>25</v>
      </c>
      <c r="Q696" s="38" t="s">
        <v>241</v>
      </c>
      <c r="R696" s="48" t="s">
        <v>369</v>
      </c>
      <c r="S696" s="48" t="s">
        <v>2601</v>
      </c>
      <c r="T696" s="114" t="s">
        <v>1617</v>
      </c>
      <c r="U696" s="38"/>
      <c r="V696"/>
      <c r="W696" t="s">
        <v>2612</v>
      </c>
      <c r="X696"/>
      <c r="Z696"/>
      <c r="AA696"/>
      <c r="AB696"/>
      <c r="AC696"/>
      <c r="AD696"/>
      <c r="AE696"/>
      <c r="AF696"/>
      <c r="AG696"/>
      <c r="AH696"/>
      <c r="AI696"/>
      <c r="AJ696"/>
    </row>
    <row r="697" spans="1:36" ht="12.75" customHeight="1" x14ac:dyDescent="0.3">
      <c r="A697" s="48">
        <f t="shared" si="30"/>
        <v>10</v>
      </c>
      <c r="B697" s="113">
        <v>46084</v>
      </c>
      <c r="C697" s="48" t="str">
        <f t="shared" si="29"/>
        <v>marzo</v>
      </c>
      <c r="D697" s="48" t="s">
        <v>2135</v>
      </c>
      <c r="E697" s="42" t="s">
        <v>2728</v>
      </c>
      <c r="F697" s="47" t="s">
        <v>431</v>
      </c>
      <c r="G697" s="48">
        <v>1</v>
      </c>
      <c r="H697" s="48" t="s">
        <v>2139</v>
      </c>
      <c r="I697" s="197">
        <v>500</v>
      </c>
      <c r="J697" s="197">
        <v>500</v>
      </c>
      <c r="K697" s="197">
        <v>80</v>
      </c>
      <c r="L697" s="200">
        <v>580</v>
      </c>
      <c r="M697" s="198">
        <v>0</v>
      </c>
      <c r="N697" s="48" t="s">
        <v>1617</v>
      </c>
      <c r="O697" s="48" t="s">
        <v>645</v>
      </c>
      <c r="P697" s="48" t="s">
        <v>25</v>
      </c>
      <c r="Q697" s="38" t="s">
        <v>241</v>
      </c>
      <c r="R697" s="48" t="s">
        <v>369</v>
      </c>
      <c r="S697" s="48" t="s">
        <v>2601</v>
      </c>
      <c r="T697" s="114" t="s">
        <v>1617</v>
      </c>
      <c r="U697" s="38"/>
      <c r="V697"/>
      <c r="W697" t="s">
        <v>2612</v>
      </c>
      <c r="X697"/>
      <c r="Z697"/>
      <c r="AA697"/>
      <c r="AB697"/>
      <c r="AC697"/>
      <c r="AD697"/>
      <c r="AE697"/>
      <c r="AF697"/>
      <c r="AG697"/>
      <c r="AH697"/>
      <c r="AI697"/>
      <c r="AJ697"/>
    </row>
    <row r="698" spans="1:36" ht="14.4" x14ac:dyDescent="0.3">
      <c r="A698" s="48">
        <f t="shared" si="30"/>
        <v>10</v>
      </c>
      <c r="B698" s="113">
        <v>46084</v>
      </c>
      <c r="C698" s="48" t="str">
        <f t="shared" si="29"/>
        <v>marzo</v>
      </c>
      <c r="D698" s="48" t="s">
        <v>2135</v>
      </c>
      <c r="E698" s="42" t="s">
        <v>2728</v>
      </c>
      <c r="F698" s="47" t="s">
        <v>2613</v>
      </c>
      <c r="G698" s="48">
        <v>1</v>
      </c>
      <c r="H698" s="48" t="s">
        <v>2139</v>
      </c>
      <c r="I698" s="197">
        <v>250</v>
      </c>
      <c r="J698" s="197">
        <v>250</v>
      </c>
      <c r="K698" s="197">
        <v>40</v>
      </c>
      <c r="L698" s="200">
        <v>290</v>
      </c>
      <c r="M698" s="198">
        <v>0</v>
      </c>
      <c r="N698" s="48" t="s">
        <v>1617</v>
      </c>
      <c r="O698" s="48" t="s">
        <v>645</v>
      </c>
      <c r="P698" s="48" t="s">
        <v>25</v>
      </c>
      <c r="Q698" s="38" t="s">
        <v>241</v>
      </c>
      <c r="R698" s="48" t="s">
        <v>369</v>
      </c>
      <c r="S698" s="48" t="s">
        <v>2601</v>
      </c>
      <c r="T698" s="114" t="s">
        <v>1617</v>
      </c>
      <c r="U698" s="38"/>
      <c r="V698"/>
      <c r="W698" t="s">
        <v>2612</v>
      </c>
      <c r="X698"/>
      <c r="Z698"/>
      <c r="AA698"/>
      <c r="AB698"/>
      <c r="AC698"/>
      <c r="AD698"/>
      <c r="AE698"/>
      <c r="AF698"/>
      <c r="AG698"/>
      <c r="AH698"/>
      <c r="AI698"/>
      <c r="AJ698"/>
    </row>
    <row r="699" spans="1:36" ht="14.4" x14ac:dyDescent="0.3">
      <c r="A699" s="48">
        <f t="shared" si="30"/>
        <v>10</v>
      </c>
      <c r="B699" s="113">
        <v>46084</v>
      </c>
      <c r="C699" s="48" t="str">
        <f t="shared" si="29"/>
        <v>marzo</v>
      </c>
      <c r="D699" s="48" t="s">
        <v>2135</v>
      </c>
      <c r="E699" s="42" t="s">
        <v>2728</v>
      </c>
      <c r="F699" s="47" t="s">
        <v>2614</v>
      </c>
      <c r="G699" s="48">
        <v>1</v>
      </c>
      <c r="H699" s="48" t="s">
        <v>2139</v>
      </c>
      <c r="I699" s="197">
        <v>400</v>
      </c>
      <c r="J699" s="197">
        <v>400</v>
      </c>
      <c r="K699" s="197">
        <v>64</v>
      </c>
      <c r="L699" s="200">
        <v>464</v>
      </c>
      <c r="M699" s="198">
        <v>0</v>
      </c>
      <c r="N699" s="48" t="s">
        <v>1617</v>
      </c>
      <c r="O699" s="48" t="s">
        <v>645</v>
      </c>
      <c r="P699" s="48" t="s">
        <v>25</v>
      </c>
      <c r="Q699" s="38" t="s">
        <v>241</v>
      </c>
      <c r="R699" s="48" t="s">
        <v>369</v>
      </c>
      <c r="S699" s="48" t="s">
        <v>2601</v>
      </c>
      <c r="T699" s="114" t="s">
        <v>1617</v>
      </c>
      <c r="U699" s="38" t="s">
        <v>2615</v>
      </c>
      <c r="V699"/>
      <c r="W699" t="s">
        <v>2612</v>
      </c>
      <c r="X699"/>
      <c r="Z699"/>
      <c r="AA699"/>
      <c r="AB699"/>
      <c r="AC699"/>
      <c r="AD699"/>
      <c r="AE699"/>
      <c r="AF699"/>
      <c r="AG699"/>
      <c r="AH699"/>
      <c r="AI699"/>
      <c r="AJ699"/>
    </row>
    <row r="700" spans="1:36" ht="12.75" customHeight="1" x14ac:dyDescent="0.3">
      <c r="A700" s="48">
        <f t="shared" si="30"/>
        <v>10</v>
      </c>
      <c r="B700" s="113">
        <v>46084</v>
      </c>
      <c r="C700" s="48" t="str">
        <f t="shared" si="29"/>
        <v>marzo</v>
      </c>
      <c r="D700" s="48" t="s">
        <v>2135</v>
      </c>
      <c r="E700" s="42" t="s">
        <v>2728</v>
      </c>
      <c r="F700" s="47" t="s">
        <v>2616</v>
      </c>
      <c r="G700" s="48">
        <v>1</v>
      </c>
      <c r="H700" s="48" t="s">
        <v>1705</v>
      </c>
      <c r="I700" s="197">
        <v>400</v>
      </c>
      <c r="J700" s="197">
        <v>400</v>
      </c>
      <c r="K700" s="197">
        <v>64</v>
      </c>
      <c r="L700" s="201">
        <v>464</v>
      </c>
      <c r="M700" s="198">
        <v>0</v>
      </c>
      <c r="N700" s="48" t="s">
        <v>1617</v>
      </c>
      <c r="O700" s="48" t="s">
        <v>2027</v>
      </c>
      <c r="P700" s="49" t="s">
        <v>1321</v>
      </c>
      <c r="Q700" s="38" t="s">
        <v>241</v>
      </c>
      <c r="R700" s="48" t="s">
        <v>369</v>
      </c>
      <c r="S700" s="48" t="s">
        <v>2601</v>
      </c>
      <c r="T700" s="114" t="s">
        <v>1617</v>
      </c>
      <c r="U700" s="38"/>
      <c r="V700"/>
      <c r="W700" t="s">
        <v>2617</v>
      </c>
      <c r="X700"/>
      <c r="Z700"/>
      <c r="AA700"/>
      <c r="AB700"/>
      <c r="AC700"/>
      <c r="AD700"/>
      <c r="AE700"/>
      <c r="AF700"/>
      <c r="AG700"/>
      <c r="AH700"/>
      <c r="AI700"/>
      <c r="AJ700"/>
    </row>
    <row r="701" spans="1:36" ht="12.75" customHeight="1" x14ac:dyDescent="0.3">
      <c r="A701" s="48">
        <f t="shared" si="30"/>
        <v>10</v>
      </c>
      <c r="B701" s="113">
        <v>46084</v>
      </c>
      <c r="C701" s="48" t="str">
        <f t="shared" si="29"/>
        <v>marzo</v>
      </c>
      <c r="D701" s="48" t="s">
        <v>2135</v>
      </c>
      <c r="E701" s="42" t="s">
        <v>2728</v>
      </c>
      <c r="F701" s="47" t="s">
        <v>456</v>
      </c>
      <c r="G701" s="48">
        <v>1</v>
      </c>
      <c r="H701" s="48" t="s">
        <v>1705</v>
      </c>
      <c r="I701" s="197">
        <v>1000</v>
      </c>
      <c r="J701" s="197">
        <v>1000</v>
      </c>
      <c r="K701" s="197">
        <v>160</v>
      </c>
      <c r="L701" s="201">
        <v>1160</v>
      </c>
      <c r="M701" s="198">
        <v>0</v>
      </c>
      <c r="N701" s="48" t="s">
        <v>1617</v>
      </c>
      <c r="O701" s="48" t="s">
        <v>2027</v>
      </c>
      <c r="P701" s="49" t="s">
        <v>1321</v>
      </c>
      <c r="Q701" s="38" t="s">
        <v>241</v>
      </c>
      <c r="R701" s="48" t="s">
        <v>369</v>
      </c>
      <c r="S701" s="48" t="s">
        <v>2601</v>
      </c>
      <c r="T701" s="114" t="s">
        <v>1617</v>
      </c>
      <c r="U701" s="38"/>
      <c r="V701"/>
      <c r="W701" t="s">
        <v>2617</v>
      </c>
      <c r="X701"/>
      <c r="Z701"/>
      <c r="AA701"/>
      <c r="AB701"/>
      <c r="AC701"/>
      <c r="AD701"/>
      <c r="AE701"/>
      <c r="AF701"/>
      <c r="AG701"/>
      <c r="AH701"/>
      <c r="AI701"/>
      <c r="AJ701"/>
    </row>
    <row r="702" spans="1:36" ht="12.75" customHeight="1" x14ac:dyDescent="0.3">
      <c r="A702" s="48">
        <f t="shared" si="30"/>
        <v>10</v>
      </c>
      <c r="B702" s="113">
        <v>46084</v>
      </c>
      <c r="C702" s="48" t="str">
        <f t="shared" si="29"/>
        <v>marzo</v>
      </c>
      <c r="D702" s="48" t="s">
        <v>2135</v>
      </c>
      <c r="E702" s="42" t="s">
        <v>2728</v>
      </c>
      <c r="F702" s="47" t="s">
        <v>2970</v>
      </c>
      <c r="G702" s="48">
        <v>1</v>
      </c>
      <c r="H702" s="48" t="s">
        <v>2139</v>
      </c>
      <c r="I702" s="197">
        <v>350</v>
      </c>
      <c r="J702" s="197">
        <v>350</v>
      </c>
      <c r="K702" s="197">
        <v>0</v>
      </c>
      <c r="L702" s="197">
        <v>350</v>
      </c>
      <c r="M702" s="198">
        <v>0</v>
      </c>
      <c r="N702" s="48" t="s">
        <v>1617</v>
      </c>
      <c r="O702" s="48" t="s">
        <v>1860</v>
      </c>
      <c r="P702" s="48" t="s">
        <v>25</v>
      </c>
      <c r="Q702" s="48" t="s">
        <v>1824</v>
      </c>
      <c r="R702" s="48" t="s">
        <v>369</v>
      </c>
      <c r="S702" s="48" t="s">
        <v>2971</v>
      </c>
      <c r="T702" s="114" t="s">
        <v>1617</v>
      </c>
      <c r="U702" s="38" t="s">
        <v>1759</v>
      </c>
      <c r="V702"/>
      <c r="W702" s="210" t="s">
        <v>1617</v>
      </c>
      <c r="X702"/>
      <c r="Z702"/>
      <c r="AA702"/>
      <c r="AB702"/>
      <c r="AC702"/>
      <c r="AD702"/>
      <c r="AE702"/>
      <c r="AF702"/>
      <c r="AG702"/>
      <c r="AH702"/>
      <c r="AI702"/>
      <c r="AJ702"/>
    </row>
    <row r="703" spans="1:36" customFormat="1" ht="14.4" x14ac:dyDescent="0.3">
      <c r="A703" s="48">
        <f t="shared" si="30"/>
        <v>10</v>
      </c>
      <c r="B703" s="113">
        <v>46084</v>
      </c>
      <c r="C703" s="48" t="str">
        <f t="shared" si="29"/>
        <v>marzo</v>
      </c>
      <c r="D703" s="48" t="s">
        <v>2135</v>
      </c>
      <c r="E703" s="50" t="s">
        <v>356</v>
      </c>
      <c r="F703" s="50" t="s">
        <v>2972</v>
      </c>
      <c r="G703" s="49">
        <v>1</v>
      </c>
      <c r="H703" s="48" t="s">
        <v>2138</v>
      </c>
      <c r="I703" s="202">
        <v>425.64</v>
      </c>
      <c r="J703" s="197">
        <v>425.64</v>
      </c>
      <c r="K703" s="197">
        <v>0</v>
      </c>
      <c r="L703" s="202">
        <v>425.64</v>
      </c>
      <c r="M703" s="198">
        <v>0</v>
      </c>
      <c r="N703" s="49" t="s">
        <v>1617</v>
      </c>
      <c r="O703" s="48" t="s">
        <v>118</v>
      </c>
      <c r="P703" s="48" t="s">
        <v>2734</v>
      </c>
      <c r="Q703" s="199" t="s">
        <v>1766</v>
      </c>
      <c r="R703" s="48" t="s">
        <v>2735</v>
      </c>
      <c r="S703" s="48"/>
      <c r="T703" s="114"/>
      <c r="U703" s="48" t="s">
        <v>2968</v>
      </c>
      <c r="W703" s="41" t="s">
        <v>1617</v>
      </c>
    </row>
    <row r="704" spans="1:36" customFormat="1" ht="14.4" x14ac:dyDescent="0.3">
      <c r="A704" s="48">
        <f t="shared" si="30"/>
        <v>10</v>
      </c>
      <c r="B704" s="113">
        <v>46084</v>
      </c>
      <c r="C704" s="48" t="str">
        <f t="shared" si="29"/>
        <v>marzo</v>
      </c>
      <c r="D704" s="48" t="s">
        <v>2135</v>
      </c>
      <c r="E704" s="50" t="s">
        <v>356</v>
      </c>
      <c r="F704" s="50" t="s">
        <v>2973</v>
      </c>
      <c r="G704" s="49">
        <v>1</v>
      </c>
      <c r="H704" s="48" t="s">
        <v>2138</v>
      </c>
      <c r="I704" s="202">
        <v>391</v>
      </c>
      <c r="J704" s="197">
        <v>391</v>
      </c>
      <c r="K704" s="197">
        <v>0</v>
      </c>
      <c r="L704" s="202">
        <v>391</v>
      </c>
      <c r="M704" s="198">
        <v>0</v>
      </c>
      <c r="N704" s="49" t="s">
        <v>1617</v>
      </c>
      <c r="O704" s="48" t="s">
        <v>118</v>
      </c>
      <c r="P704" s="48" t="s">
        <v>2734</v>
      </c>
      <c r="Q704" s="199" t="s">
        <v>1766</v>
      </c>
      <c r="R704" s="48" t="s">
        <v>2735</v>
      </c>
      <c r="S704" s="48"/>
      <c r="T704" s="114"/>
      <c r="U704" s="48" t="s">
        <v>2968</v>
      </c>
      <c r="W704" s="41" t="s">
        <v>1617</v>
      </c>
    </row>
    <row r="705" spans="1:36" ht="12.75" customHeight="1" x14ac:dyDescent="0.3">
      <c r="A705" s="48">
        <f t="shared" si="30"/>
        <v>10</v>
      </c>
      <c r="B705" s="113">
        <v>46085</v>
      </c>
      <c r="C705" s="48" t="str">
        <f t="shared" si="29"/>
        <v>marzo</v>
      </c>
      <c r="D705" s="48" t="s">
        <v>2135</v>
      </c>
      <c r="E705" s="42" t="s">
        <v>118</v>
      </c>
      <c r="F705" s="47" t="s">
        <v>2592</v>
      </c>
      <c r="G705" s="48">
        <v>1</v>
      </c>
      <c r="H705" s="48" t="s">
        <v>1705</v>
      </c>
      <c r="I705" s="197">
        <v>86.21</v>
      </c>
      <c r="J705" s="197">
        <v>86.21</v>
      </c>
      <c r="K705" s="197">
        <v>13.7936</v>
      </c>
      <c r="L705" s="197">
        <v>100.00359999999999</v>
      </c>
      <c r="M705" s="198">
        <v>0</v>
      </c>
      <c r="N705" s="48" t="s">
        <v>1617</v>
      </c>
      <c r="O705" s="48" t="s">
        <v>118</v>
      </c>
      <c r="P705" s="48" t="s">
        <v>25</v>
      </c>
      <c r="Q705" s="48" t="s">
        <v>488</v>
      </c>
      <c r="R705" s="48" t="s">
        <v>2727</v>
      </c>
      <c r="S705" s="48" t="s">
        <v>424</v>
      </c>
      <c r="T705" s="114" t="s">
        <v>2618</v>
      </c>
      <c r="U705" s="38" t="s">
        <v>2619</v>
      </c>
      <c r="V705"/>
      <c r="W705" t="s">
        <v>2620</v>
      </c>
      <c r="X705"/>
      <c r="Y705"/>
      <c r="Z705"/>
      <c r="AA705"/>
      <c r="AB705"/>
      <c r="AC705"/>
      <c r="AD705"/>
      <c r="AE705"/>
      <c r="AF705"/>
      <c r="AG705"/>
      <c r="AH705"/>
      <c r="AI705"/>
      <c r="AJ705"/>
    </row>
    <row r="706" spans="1:36" ht="12.75" customHeight="1" x14ac:dyDescent="0.3">
      <c r="A706" s="48">
        <f t="shared" si="30"/>
        <v>10</v>
      </c>
      <c r="B706" s="113">
        <v>46085</v>
      </c>
      <c r="C706" s="48" t="str">
        <f t="shared" si="29"/>
        <v>marzo</v>
      </c>
      <c r="D706" s="48" t="s">
        <v>2135</v>
      </c>
      <c r="E706" s="42" t="s">
        <v>356</v>
      </c>
      <c r="F706" s="47" t="s">
        <v>127</v>
      </c>
      <c r="G706" s="48">
        <v>10</v>
      </c>
      <c r="H706" s="48" t="s">
        <v>2017</v>
      </c>
      <c r="I706" s="197">
        <v>20.594999999999999</v>
      </c>
      <c r="J706" s="197">
        <v>205.95</v>
      </c>
      <c r="K706" s="197">
        <v>32.951999999999998</v>
      </c>
      <c r="L706" s="197">
        <v>238.90199999999999</v>
      </c>
      <c r="M706" s="198">
        <v>0</v>
      </c>
      <c r="N706" s="48" t="s">
        <v>1513</v>
      </c>
      <c r="O706" s="48" t="s">
        <v>645</v>
      </c>
      <c r="P706" s="48" t="s">
        <v>25</v>
      </c>
      <c r="Q706" s="48" t="s">
        <v>1844</v>
      </c>
      <c r="R706" s="48" t="s">
        <v>2821</v>
      </c>
      <c r="S706" s="48" t="s">
        <v>593</v>
      </c>
      <c r="T706" s="114" t="s">
        <v>2100</v>
      </c>
      <c r="U706" s="38" t="s">
        <v>2621</v>
      </c>
      <c r="V706"/>
      <c r="W706" t="s">
        <v>2622</v>
      </c>
      <c r="X706"/>
    </row>
    <row r="707" spans="1:36" ht="14.4" x14ac:dyDescent="0.3">
      <c r="A707" s="48">
        <f t="shared" si="30"/>
        <v>10</v>
      </c>
      <c r="B707" s="113">
        <v>46085</v>
      </c>
      <c r="C707" s="48" t="str">
        <f t="shared" ref="C707:C770" si="31">TEXT(B707,"MMMM")</f>
        <v>marzo</v>
      </c>
      <c r="D707" s="48" t="s">
        <v>2135</v>
      </c>
      <c r="E707" s="42" t="s">
        <v>356</v>
      </c>
      <c r="F707" s="47" t="s">
        <v>2974</v>
      </c>
      <c r="G707" s="48">
        <v>4.1859999999999999</v>
      </c>
      <c r="H707" s="48" t="s">
        <v>2017</v>
      </c>
      <c r="I707" s="197">
        <v>20.594999999999999</v>
      </c>
      <c r="J707" s="197">
        <v>86.210669999999993</v>
      </c>
      <c r="K707" s="197">
        <v>13.7937072</v>
      </c>
      <c r="L707" s="197">
        <v>100.00437719999999</v>
      </c>
      <c r="M707" s="198">
        <v>0</v>
      </c>
      <c r="N707" s="48" t="s">
        <v>2098</v>
      </c>
      <c r="O707" s="48" t="s">
        <v>2826</v>
      </c>
      <c r="P707" s="48" t="s">
        <v>25</v>
      </c>
      <c r="Q707" s="48" t="s">
        <v>1871</v>
      </c>
      <c r="R707" s="48" t="s">
        <v>2727</v>
      </c>
      <c r="S707" s="48" t="s">
        <v>593</v>
      </c>
      <c r="T707" s="114" t="s">
        <v>2100</v>
      </c>
      <c r="U707" s="48" t="s">
        <v>2583</v>
      </c>
      <c r="V707" s="50"/>
      <c r="W707" s="50" t="s">
        <v>2623</v>
      </c>
      <c r="Y707"/>
      <c r="Z707"/>
      <c r="AA707"/>
      <c r="AB707"/>
      <c r="AC707"/>
      <c r="AD707"/>
      <c r="AE707"/>
      <c r="AF707"/>
      <c r="AG707"/>
      <c r="AH707"/>
      <c r="AI707"/>
      <c r="AJ707"/>
    </row>
    <row r="708" spans="1:36" ht="12.75" customHeight="1" x14ac:dyDescent="0.3">
      <c r="A708" s="48">
        <f t="shared" si="30"/>
        <v>10</v>
      </c>
      <c r="B708" s="113">
        <v>46085</v>
      </c>
      <c r="C708" s="48" t="str">
        <f t="shared" si="31"/>
        <v>marzo</v>
      </c>
      <c r="D708" s="48" t="s">
        <v>2135</v>
      </c>
      <c r="E708" s="42" t="s">
        <v>356</v>
      </c>
      <c r="F708" s="47" t="s">
        <v>127</v>
      </c>
      <c r="G708" s="48">
        <v>33.729999999999997</v>
      </c>
      <c r="H708" s="48" t="s">
        <v>2017</v>
      </c>
      <c r="I708" s="197">
        <v>19.870999999999999</v>
      </c>
      <c r="J708" s="197">
        <v>670.24882999999988</v>
      </c>
      <c r="K708" s="197">
        <v>107.23981279999998</v>
      </c>
      <c r="L708" s="197">
        <v>777.48864279999987</v>
      </c>
      <c r="M708" s="198">
        <v>0</v>
      </c>
      <c r="N708" s="48" t="s">
        <v>1617</v>
      </c>
      <c r="O708" s="48" t="s">
        <v>1860</v>
      </c>
      <c r="P708" s="48" t="s">
        <v>25</v>
      </c>
      <c r="Q708" s="48" t="s">
        <v>488</v>
      </c>
      <c r="R708" s="48" t="s">
        <v>2727</v>
      </c>
      <c r="S708" s="48" t="s">
        <v>647</v>
      </c>
      <c r="T708" s="114" t="s">
        <v>2025</v>
      </c>
      <c r="U708" s="38" t="s">
        <v>2583</v>
      </c>
      <c r="V708"/>
      <c r="W708" t="s">
        <v>2624</v>
      </c>
      <c r="X708"/>
      <c r="Z708"/>
      <c r="AA708"/>
      <c r="AB708"/>
      <c r="AC708"/>
      <c r="AD708"/>
      <c r="AE708"/>
      <c r="AF708"/>
      <c r="AG708"/>
      <c r="AH708"/>
      <c r="AI708"/>
      <c r="AJ708"/>
    </row>
    <row r="709" spans="1:36" ht="14.4" x14ac:dyDescent="0.3">
      <c r="A709" s="48">
        <f t="shared" si="30"/>
        <v>10</v>
      </c>
      <c r="B709" s="113">
        <v>46085</v>
      </c>
      <c r="C709" s="48" t="str">
        <f t="shared" si="31"/>
        <v>marzo</v>
      </c>
      <c r="D709" s="48" t="s">
        <v>2135</v>
      </c>
      <c r="E709" s="42" t="s">
        <v>2728</v>
      </c>
      <c r="F709" s="47" t="s">
        <v>92</v>
      </c>
      <c r="G709" s="48">
        <v>1</v>
      </c>
      <c r="H709" s="48" t="s">
        <v>1705</v>
      </c>
      <c r="I709" s="197">
        <v>69.83</v>
      </c>
      <c r="J709" s="197">
        <v>69.83</v>
      </c>
      <c r="K709" s="197">
        <v>11.172800000000001</v>
      </c>
      <c r="L709" s="200">
        <v>81.002799999999993</v>
      </c>
      <c r="M709" s="198">
        <v>0</v>
      </c>
      <c r="N709" s="48" t="s">
        <v>1314</v>
      </c>
      <c r="O709" s="48" t="s">
        <v>334</v>
      </c>
      <c r="P709" s="48" t="s">
        <v>25</v>
      </c>
      <c r="Q709" s="48" t="s">
        <v>241</v>
      </c>
      <c r="R709" s="48" t="s">
        <v>2727</v>
      </c>
      <c r="S709" s="48" t="s">
        <v>381</v>
      </c>
      <c r="T709" s="114" t="s">
        <v>2502</v>
      </c>
      <c r="U709" s="38"/>
      <c r="V709"/>
      <c r="W709" t="s">
        <v>2625</v>
      </c>
      <c r="X709"/>
    </row>
    <row r="710" spans="1:36" ht="15" customHeight="1" x14ac:dyDescent="0.3">
      <c r="A710" s="48">
        <f t="shared" si="30"/>
        <v>10</v>
      </c>
      <c r="B710" s="113">
        <v>46085</v>
      </c>
      <c r="C710" s="48" t="str">
        <f t="shared" si="31"/>
        <v>marzo</v>
      </c>
      <c r="D710" s="48" t="s">
        <v>2135</v>
      </c>
      <c r="E710" s="42" t="s">
        <v>2728</v>
      </c>
      <c r="F710" s="47" t="s">
        <v>2188</v>
      </c>
      <c r="G710" s="48">
        <v>4</v>
      </c>
      <c r="H710" s="48" t="s">
        <v>1705</v>
      </c>
      <c r="I710" s="197">
        <v>68.97</v>
      </c>
      <c r="J710" s="197">
        <v>275.88</v>
      </c>
      <c r="K710" s="197">
        <v>44.140799999999999</v>
      </c>
      <c r="L710" s="200">
        <v>320.02080000000001</v>
      </c>
      <c r="M710" s="198">
        <v>0</v>
      </c>
      <c r="N710" s="48" t="s">
        <v>1314</v>
      </c>
      <c r="O710" s="48" t="s">
        <v>334</v>
      </c>
      <c r="P710" s="48" t="s">
        <v>25</v>
      </c>
      <c r="Q710" s="48" t="s">
        <v>241</v>
      </c>
      <c r="R710" s="48" t="s">
        <v>2727</v>
      </c>
      <c r="S710" s="48" t="s">
        <v>381</v>
      </c>
      <c r="T710" s="114" t="s">
        <v>1638</v>
      </c>
      <c r="U710" s="38"/>
      <c r="V710"/>
      <c r="W710" t="s">
        <v>2625</v>
      </c>
      <c r="X710"/>
    </row>
    <row r="711" spans="1:36" ht="14.4" x14ac:dyDescent="0.3">
      <c r="A711" s="48">
        <f t="shared" si="30"/>
        <v>10</v>
      </c>
      <c r="B711" s="113">
        <v>46085</v>
      </c>
      <c r="C711" s="48" t="str">
        <f t="shared" si="31"/>
        <v>marzo</v>
      </c>
      <c r="D711" s="48" t="s">
        <v>2135</v>
      </c>
      <c r="E711" s="42" t="s">
        <v>2728</v>
      </c>
      <c r="F711" s="47" t="s">
        <v>95</v>
      </c>
      <c r="G711" s="48">
        <v>1</v>
      </c>
      <c r="H711" s="48" t="s">
        <v>1705</v>
      </c>
      <c r="I711" s="197">
        <v>69.83</v>
      </c>
      <c r="J711" s="197">
        <v>69.83</v>
      </c>
      <c r="K711" s="197">
        <v>11.172800000000001</v>
      </c>
      <c r="L711" s="200">
        <v>81.002799999999993</v>
      </c>
      <c r="M711" s="198">
        <v>0</v>
      </c>
      <c r="N711" s="48" t="s">
        <v>1314</v>
      </c>
      <c r="O711" s="48" t="s">
        <v>334</v>
      </c>
      <c r="P711" s="48" t="s">
        <v>25</v>
      </c>
      <c r="Q711" s="48" t="s">
        <v>241</v>
      </c>
      <c r="R711" s="48" t="s">
        <v>2727</v>
      </c>
      <c r="S711" s="48" t="s">
        <v>381</v>
      </c>
      <c r="T711" s="114" t="s">
        <v>2626</v>
      </c>
      <c r="U711" s="38"/>
      <c r="V711"/>
      <c r="W711" t="s">
        <v>2625</v>
      </c>
      <c r="X711"/>
    </row>
    <row r="712" spans="1:36" ht="14.4" x14ac:dyDescent="0.3">
      <c r="A712" s="48">
        <f t="shared" si="30"/>
        <v>10</v>
      </c>
      <c r="B712" s="113">
        <v>46085</v>
      </c>
      <c r="C712" s="48" t="str">
        <f t="shared" si="31"/>
        <v>marzo</v>
      </c>
      <c r="D712" s="48" t="s">
        <v>2175</v>
      </c>
      <c r="E712" s="42" t="s">
        <v>2728</v>
      </c>
      <c r="F712" s="47" t="s">
        <v>2627</v>
      </c>
      <c r="G712" s="48">
        <v>20</v>
      </c>
      <c r="H712" s="48" t="s">
        <v>1705</v>
      </c>
      <c r="I712" s="197">
        <v>2.02</v>
      </c>
      <c r="J712" s="197">
        <v>40.4</v>
      </c>
      <c r="K712" s="197">
        <v>6.4639999999999995</v>
      </c>
      <c r="L712" s="202">
        <v>46.863999999999997</v>
      </c>
      <c r="M712" s="198">
        <v>0</v>
      </c>
      <c r="N712" s="48" t="s">
        <v>1314</v>
      </c>
      <c r="O712" s="48" t="s">
        <v>334</v>
      </c>
      <c r="P712" s="48" t="s">
        <v>25</v>
      </c>
      <c r="Q712" s="48" t="s">
        <v>241</v>
      </c>
      <c r="R712" s="48" t="s">
        <v>2727</v>
      </c>
      <c r="S712" s="48" t="s">
        <v>2436</v>
      </c>
      <c r="T712" s="114" t="s">
        <v>1669</v>
      </c>
      <c r="U712" s="38"/>
      <c r="V712"/>
      <c r="W712" t="s">
        <v>1762</v>
      </c>
      <c r="X712"/>
    </row>
    <row r="713" spans="1:36" ht="12.75" customHeight="1" x14ac:dyDescent="0.3">
      <c r="A713" s="48">
        <f t="shared" si="30"/>
        <v>10</v>
      </c>
      <c r="B713" s="113">
        <v>46085</v>
      </c>
      <c r="C713" s="48" t="str">
        <f t="shared" si="31"/>
        <v>marzo</v>
      </c>
      <c r="D713" s="48" t="s">
        <v>2135</v>
      </c>
      <c r="E713" s="50" t="s">
        <v>127</v>
      </c>
      <c r="F713" s="47" t="s">
        <v>1631</v>
      </c>
      <c r="G713" s="48">
        <v>1</v>
      </c>
      <c r="H713" s="48" t="s">
        <v>2139</v>
      </c>
      <c r="I713" s="197">
        <v>1500</v>
      </c>
      <c r="J713" s="197">
        <v>1500</v>
      </c>
      <c r="K713" s="197">
        <v>0</v>
      </c>
      <c r="L713" s="202">
        <v>1500</v>
      </c>
      <c r="M713" s="198">
        <v>0</v>
      </c>
      <c r="N713" s="48" t="s">
        <v>1617</v>
      </c>
      <c r="O713" s="48" t="s">
        <v>116</v>
      </c>
      <c r="P713" s="48" t="s">
        <v>2734</v>
      </c>
      <c r="Q713" s="48" t="s">
        <v>245</v>
      </c>
      <c r="R713" s="48" t="s">
        <v>369</v>
      </c>
      <c r="S713" s="48" t="s">
        <v>1632</v>
      </c>
      <c r="T713" s="114" t="s">
        <v>1617</v>
      </c>
      <c r="U713" s="48" t="s">
        <v>1759</v>
      </c>
      <c r="V713" s="49"/>
      <c r="W713" s="41" t="s">
        <v>1617</v>
      </c>
      <c r="X713"/>
    </row>
    <row r="714" spans="1:36" ht="12.75" customHeight="1" x14ac:dyDescent="0.3">
      <c r="A714" s="48">
        <f t="shared" si="30"/>
        <v>10</v>
      </c>
      <c r="B714" s="113">
        <v>46086</v>
      </c>
      <c r="C714" s="48" t="str">
        <f t="shared" si="31"/>
        <v>marzo</v>
      </c>
      <c r="D714" s="48" t="s">
        <v>2135</v>
      </c>
      <c r="E714" s="42" t="s">
        <v>477</v>
      </c>
      <c r="F714" s="47" t="s">
        <v>559</v>
      </c>
      <c r="G714" s="48">
        <v>1</v>
      </c>
      <c r="H714" s="48" t="s">
        <v>2138</v>
      </c>
      <c r="I714" s="197">
        <v>610</v>
      </c>
      <c r="J714" s="197">
        <v>610</v>
      </c>
      <c r="K714" s="197">
        <v>0</v>
      </c>
      <c r="L714" s="202">
        <v>610</v>
      </c>
      <c r="M714" s="198">
        <v>0</v>
      </c>
      <c r="N714" s="48" t="s">
        <v>1818</v>
      </c>
      <c r="O714" s="48" t="s">
        <v>213</v>
      </c>
      <c r="P714" s="48" t="s">
        <v>39</v>
      </c>
      <c r="Q714" s="48" t="s">
        <v>1824</v>
      </c>
      <c r="R714" s="48" t="s">
        <v>2726</v>
      </c>
      <c r="S714" s="48" t="s">
        <v>1827</v>
      </c>
      <c r="T714" s="114" t="s">
        <v>1617</v>
      </c>
      <c r="U714" s="38"/>
      <c r="V714"/>
      <c r="W714" s="121" t="s">
        <v>2628</v>
      </c>
      <c r="X714"/>
    </row>
    <row r="715" spans="1:36" ht="15" customHeight="1" x14ac:dyDescent="0.3">
      <c r="A715" s="48">
        <f t="shared" si="30"/>
        <v>10</v>
      </c>
      <c r="B715" s="113">
        <v>46086</v>
      </c>
      <c r="C715" s="48" t="str">
        <f t="shared" si="31"/>
        <v>marzo</v>
      </c>
      <c r="D715" s="48" t="s">
        <v>2135</v>
      </c>
      <c r="E715" s="42" t="s">
        <v>118</v>
      </c>
      <c r="F715" s="47" t="s">
        <v>2066</v>
      </c>
      <c r="G715" s="48">
        <v>1</v>
      </c>
      <c r="H715" s="48" t="s">
        <v>2138</v>
      </c>
      <c r="I715" s="202">
        <v>160</v>
      </c>
      <c r="J715" s="197">
        <v>160</v>
      </c>
      <c r="K715" s="197">
        <v>0</v>
      </c>
      <c r="L715" s="202">
        <v>160</v>
      </c>
      <c r="M715" s="198">
        <v>0</v>
      </c>
      <c r="N715" s="48" t="s">
        <v>1818</v>
      </c>
      <c r="O715" s="48" t="s">
        <v>213</v>
      </c>
      <c r="P715" s="48" t="s">
        <v>39</v>
      </c>
      <c r="Q715" s="48" t="s">
        <v>1824</v>
      </c>
      <c r="R715" s="48" t="s">
        <v>364</v>
      </c>
      <c r="S715" s="48" t="s">
        <v>1827</v>
      </c>
      <c r="T715" s="114" t="s">
        <v>1617</v>
      </c>
      <c r="U715" s="48" t="s">
        <v>2629</v>
      </c>
      <c r="V715"/>
      <c r="W715" s="41" t="s">
        <v>1617</v>
      </c>
      <c r="X715"/>
    </row>
    <row r="716" spans="1:36" ht="15" customHeight="1" x14ac:dyDescent="0.3">
      <c r="A716" s="48">
        <f t="shared" si="30"/>
        <v>10</v>
      </c>
      <c r="B716" s="113">
        <v>46086</v>
      </c>
      <c r="C716" s="48" t="str">
        <f t="shared" si="31"/>
        <v>marzo</v>
      </c>
      <c r="D716" s="48" t="s">
        <v>2135</v>
      </c>
      <c r="E716" s="50" t="s">
        <v>116</v>
      </c>
      <c r="F716" s="47" t="s">
        <v>2630</v>
      </c>
      <c r="G716" s="48">
        <v>1</v>
      </c>
      <c r="H716" s="48" t="s">
        <v>2139</v>
      </c>
      <c r="I716" s="197">
        <v>88.793099999999995</v>
      </c>
      <c r="J716" s="197">
        <v>88.793099999999995</v>
      </c>
      <c r="K716" s="197">
        <v>14.206896</v>
      </c>
      <c r="L716" s="197">
        <v>102.999996</v>
      </c>
      <c r="M716" s="198">
        <v>0</v>
      </c>
      <c r="N716" s="48" t="s">
        <v>1617</v>
      </c>
      <c r="O716" s="48" t="s">
        <v>116</v>
      </c>
      <c r="P716" s="48" t="s">
        <v>25</v>
      </c>
      <c r="Q716" s="48" t="s">
        <v>1921</v>
      </c>
      <c r="R716" s="48" t="s">
        <v>2821</v>
      </c>
      <c r="S716" s="48" t="s">
        <v>424</v>
      </c>
      <c r="T716" s="114" t="s">
        <v>2631</v>
      </c>
      <c r="U716" s="38"/>
      <c r="V716"/>
      <c r="W716" s="41" t="s">
        <v>1617</v>
      </c>
      <c r="X716"/>
    </row>
    <row r="717" spans="1:36" ht="14.4" x14ac:dyDescent="0.3">
      <c r="A717" s="48">
        <f t="shared" si="30"/>
        <v>10</v>
      </c>
      <c r="B717" s="113">
        <v>46086</v>
      </c>
      <c r="C717" s="48" t="str">
        <f t="shared" si="31"/>
        <v>marzo</v>
      </c>
      <c r="D717" s="48" t="s">
        <v>2135</v>
      </c>
      <c r="E717" s="42" t="s">
        <v>356</v>
      </c>
      <c r="F717" s="47" t="s">
        <v>127</v>
      </c>
      <c r="G717" s="125">
        <v>8.67</v>
      </c>
      <c r="H717" s="48" t="s">
        <v>2017</v>
      </c>
      <c r="I717" s="197">
        <v>19.885999999999999</v>
      </c>
      <c r="J717" s="197">
        <v>172.41162</v>
      </c>
      <c r="K717" s="197">
        <v>27.585859200000002</v>
      </c>
      <c r="L717" s="197">
        <v>199.99747919999999</v>
      </c>
      <c r="M717" s="198">
        <v>0</v>
      </c>
      <c r="N717" s="48" t="s">
        <v>1617</v>
      </c>
      <c r="O717" s="48" t="s">
        <v>213</v>
      </c>
      <c r="P717" s="48" t="s">
        <v>39</v>
      </c>
      <c r="Q717" s="48" t="s">
        <v>488</v>
      </c>
      <c r="R717" s="48" t="s">
        <v>2726</v>
      </c>
      <c r="S717" s="48" t="s">
        <v>647</v>
      </c>
      <c r="T717" s="114" t="s">
        <v>2025</v>
      </c>
      <c r="U717" s="38"/>
      <c r="V717"/>
      <c r="W717" t="s">
        <v>2632</v>
      </c>
      <c r="X717"/>
    </row>
    <row r="718" spans="1:36" customFormat="1" ht="14.4" x14ac:dyDescent="0.3">
      <c r="A718" s="48">
        <f t="shared" si="30"/>
        <v>10</v>
      </c>
      <c r="B718" s="113">
        <v>46086</v>
      </c>
      <c r="C718" s="48" t="str">
        <f t="shared" si="31"/>
        <v>marzo</v>
      </c>
      <c r="D718" s="48" t="s">
        <v>2135</v>
      </c>
      <c r="E718" s="42" t="s">
        <v>2728</v>
      </c>
      <c r="F718" s="47" t="s">
        <v>2301</v>
      </c>
      <c r="G718" s="48">
        <v>1</v>
      </c>
      <c r="H718" s="48" t="s">
        <v>1705</v>
      </c>
      <c r="I718" s="197">
        <v>2085.3447999999999</v>
      </c>
      <c r="J718" s="197">
        <v>2085.3447999999999</v>
      </c>
      <c r="K718" s="197">
        <v>333.655168</v>
      </c>
      <c r="L718" s="201">
        <v>2418.9999680000001</v>
      </c>
      <c r="M718" s="198">
        <v>0</v>
      </c>
      <c r="N718" s="48" t="s">
        <v>1157</v>
      </c>
      <c r="O718" s="48" t="s">
        <v>1265</v>
      </c>
      <c r="P718" s="48" t="s">
        <v>25</v>
      </c>
      <c r="Q718" s="48" t="s">
        <v>241</v>
      </c>
      <c r="R718" s="48" t="s">
        <v>2821</v>
      </c>
      <c r="S718" s="48" t="s">
        <v>2633</v>
      </c>
      <c r="T718" s="114" t="s">
        <v>1701</v>
      </c>
      <c r="U718" s="48"/>
      <c r="V718" s="50"/>
      <c r="W718" s="50" t="s">
        <v>1762</v>
      </c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</row>
    <row r="719" spans="1:36" customFormat="1" ht="14.4" x14ac:dyDescent="0.3">
      <c r="A719" s="48">
        <f t="shared" si="30"/>
        <v>10</v>
      </c>
      <c r="B719" s="113">
        <v>46086</v>
      </c>
      <c r="C719" s="48" t="str">
        <f t="shared" si="31"/>
        <v>marzo</v>
      </c>
      <c r="D719" s="48" t="s">
        <v>2135</v>
      </c>
      <c r="E719" s="50" t="s">
        <v>116</v>
      </c>
      <c r="F719" s="47" t="s">
        <v>2302</v>
      </c>
      <c r="G719" s="48">
        <v>1</v>
      </c>
      <c r="H719" s="48" t="s">
        <v>1705</v>
      </c>
      <c r="I719" s="197">
        <v>0</v>
      </c>
      <c r="J719" s="197">
        <v>0</v>
      </c>
      <c r="K719" s="197">
        <v>0</v>
      </c>
      <c r="L719" s="201">
        <v>0</v>
      </c>
      <c r="M719" s="198">
        <v>0</v>
      </c>
      <c r="N719" s="48" t="s">
        <v>1157</v>
      </c>
      <c r="O719" s="48" t="s">
        <v>1265</v>
      </c>
      <c r="P719" s="48" t="s">
        <v>25</v>
      </c>
      <c r="Q719" s="48" t="s">
        <v>241</v>
      </c>
      <c r="R719" s="48" t="s">
        <v>2821</v>
      </c>
      <c r="S719" s="48" t="s">
        <v>2633</v>
      </c>
      <c r="T719" s="114" t="s">
        <v>1701</v>
      </c>
      <c r="U719" s="48" t="s">
        <v>2634</v>
      </c>
      <c r="V719" s="49" t="s">
        <v>2635</v>
      </c>
      <c r="W719" s="50" t="s">
        <v>1762</v>
      </c>
      <c r="Y719" s="50"/>
    </row>
    <row r="720" spans="1:36" customFormat="1" ht="14.4" x14ac:dyDescent="0.3">
      <c r="A720" s="48">
        <f t="shared" si="30"/>
        <v>10</v>
      </c>
      <c r="B720" s="113">
        <v>46086</v>
      </c>
      <c r="C720" s="48" t="str">
        <f t="shared" si="31"/>
        <v>marzo</v>
      </c>
      <c r="D720" s="48" t="s">
        <v>2135</v>
      </c>
      <c r="E720" s="42" t="s">
        <v>2918</v>
      </c>
      <c r="F720" s="47" t="s">
        <v>708</v>
      </c>
      <c r="G720" s="48">
        <v>1</v>
      </c>
      <c r="H720" s="48" t="s">
        <v>2139</v>
      </c>
      <c r="I720" s="197">
        <v>9000</v>
      </c>
      <c r="J720" s="197">
        <v>9000</v>
      </c>
      <c r="K720" s="197">
        <v>0</v>
      </c>
      <c r="L720" s="197">
        <v>9000</v>
      </c>
      <c r="M720" s="198">
        <v>0</v>
      </c>
      <c r="N720" s="48" t="s">
        <v>1617</v>
      </c>
      <c r="O720" s="48" t="s">
        <v>2477</v>
      </c>
      <c r="P720" s="48" t="s">
        <v>25</v>
      </c>
      <c r="Q720" s="48" t="s">
        <v>1844</v>
      </c>
      <c r="R720" s="48" t="s">
        <v>369</v>
      </c>
      <c r="S720" s="48" t="s">
        <v>709</v>
      </c>
      <c r="T720" s="114" t="s">
        <v>1617</v>
      </c>
      <c r="U720" s="48" t="s">
        <v>2975</v>
      </c>
      <c r="V720" s="49" t="s">
        <v>1759</v>
      </c>
      <c r="W720" s="50" t="s">
        <v>1617</v>
      </c>
      <c r="Y720" s="50"/>
    </row>
    <row r="721" spans="1:36" customFormat="1" ht="14.4" x14ac:dyDescent="0.3">
      <c r="A721" s="48">
        <f t="shared" si="30"/>
        <v>10</v>
      </c>
      <c r="B721" s="113">
        <v>46087</v>
      </c>
      <c r="C721" s="48" t="str">
        <f t="shared" si="31"/>
        <v>marzo</v>
      </c>
      <c r="D721" s="48" t="s">
        <v>2135</v>
      </c>
      <c r="E721" s="42" t="s">
        <v>356</v>
      </c>
      <c r="F721" s="47" t="s">
        <v>127</v>
      </c>
      <c r="G721" s="125">
        <v>30.01</v>
      </c>
      <c r="H721" s="48" t="s">
        <v>2017</v>
      </c>
      <c r="I721" s="197">
        <v>19.875800000000002</v>
      </c>
      <c r="J721" s="197">
        <v>596.47275800000011</v>
      </c>
      <c r="K721" s="197">
        <v>95.435641280000027</v>
      </c>
      <c r="L721" s="197">
        <v>691.90839928000014</v>
      </c>
      <c r="M721" s="198">
        <v>0</v>
      </c>
      <c r="N721" s="48" t="s">
        <v>1617</v>
      </c>
      <c r="O721" s="48" t="s">
        <v>55</v>
      </c>
      <c r="P721" s="48" t="s">
        <v>25</v>
      </c>
      <c r="Q721" s="48" t="s">
        <v>1889</v>
      </c>
      <c r="R721" s="48" t="s">
        <v>2947</v>
      </c>
      <c r="S721" s="48" t="s">
        <v>647</v>
      </c>
      <c r="T721" s="114" t="s">
        <v>2025</v>
      </c>
      <c r="U721" s="48" t="s">
        <v>2636</v>
      </c>
      <c r="V721" s="50" t="s">
        <v>2637</v>
      </c>
      <c r="W721" s="50" t="s">
        <v>1617</v>
      </c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</row>
    <row r="722" spans="1:36" s="49" customFormat="1" ht="12.75" customHeight="1" x14ac:dyDescent="0.3">
      <c r="A722" s="48">
        <f t="shared" si="30"/>
        <v>10</v>
      </c>
      <c r="B722" s="113">
        <v>46087</v>
      </c>
      <c r="C722" s="48" t="str">
        <f t="shared" si="31"/>
        <v>marzo</v>
      </c>
      <c r="D722" s="48" t="s">
        <v>2175</v>
      </c>
      <c r="E722" s="42" t="s">
        <v>1830</v>
      </c>
      <c r="F722" s="47" t="s">
        <v>2638</v>
      </c>
      <c r="G722" s="48">
        <v>1</v>
      </c>
      <c r="H722" s="48" t="s">
        <v>1705</v>
      </c>
      <c r="I722" s="197">
        <v>1637.07</v>
      </c>
      <c r="J722" s="197">
        <v>1637.07</v>
      </c>
      <c r="K722" s="197">
        <v>261.93119999999999</v>
      </c>
      <c r="L722" s="200">
        <v>1899.0011999999999</v>
      </c>
      <c r="M722" s="198">
        <v>0</v>
      </c>
      <c r="N722" s="48" t="s">
        <v>1617</v>
      </c>
      <c r="O722" s="48" t="s">
        <v>62</v>
      </c>
      <c r="P722" s="48" t="s">
        <v>25</v>
      </c>
      <c r="Q722" s="48" t="s">
        <v>1844</v>
      </c>
      <c r="R722" s="48" t="s">
        <v>2821</v>
      </c>
      <c r="S722" s="48" t="s">
        <v>398</v>
      </c>
      <c r="T722" s="114" t="s">
        <v>2639</v>
      </c>
      <c r="U722" s="48"/>
      <c r="V722" s="50"/>
      <c r="W722" s="50" t="s">
        <v>2640</v>
      </c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</row>
    <row r="723" spans="1:36" s="49" customFormat="1" x14ac:dyDescent="0.3">
      <c r="A723" s="48">
        <f t="shared" si="30"/>
        <v>10</v>
      </c>
      <c r="B723" s="113">
        <v>46087</v>
      </c>
      <c r="C723" s="48" t="str">
        <f t="shared" si="31"/>
        <v>marzo</v>
      </c>
      <c r="D723" s="48" t="s">
        <v>2175</v>
      </c>
      <c r="E723" s="42" t="s">
        <v>1830</v>
      </c>
      <c r="F723" s="47" t="s">
        <v>2641</v>
      </c>
      <c r="G723" s="48">
        <v>4</v>
      </c>
      <c r="H723" s="48" t="s">
        <v>1705</v>
      </c>
      <c r="I723" s="197">
        <v>174.24</v>
      </c>
      <c r="J723" s="197">
        <v>696.96</v>
      </c>
      <c r="K723" s="197">
        <v>0</v>
      </c>
      <c r="L723" s="200">
        <v>696.96</v>
      </c>
      <c r="M723" s="198">
        <v>0</v>
      </c>
      <c r="N723" s="48" t="s">
        <v>1617</v>
      </c>
      <c r="O723" s="48" t="s">
        <v>62</v>
      </c>
      <c r="P723" s="48" t="s">
        <v>25</v>
      </c>
      <c r="Q723" s="48" t="s">
        <v>1844</v>
      </c>
      <c r="R723" s="48" t="s">
        <v>2821</v>
      </c>
      <c r="S723" s="48" t="s">
        <v>398</v>
      </c>
      <c r="T723" s="114" t="s">
        <v>2642</v>
      </c>
      <c r="U723" s="48"/>
      <c r="V723" s="50"/>
      <c r="W723" s="50" t="s">
        <v>325</v>
      </c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</row>
    <row r="724" spans="1:36" s="49" customFormat="1" ht="12.75" customHeight="1" x14ac:dyDescent="0.3">
      <c r="A724" s="48">
        <f t="shared" si="30"/>
        <v>10</v>
      </c>
      <c r="B724" s="113">
        <v>46087</v>
      </c>
      <c r="C724" s="48" t="str">
        <f t="shared" si="31"/>
        <v>marzo</v>
      </c>
      <c r="D724" s="48" t="s">
        <v>2175</v>
      </c>
      <c r="E724" s="42" t="s">
        <v>1830</v>
      </c>
      <c r="F724" s="47" t="s">
        <v>2643</v>
      </c>
      <c r="G724" s="48">
        <v>1</v>
      </c>
      <c r="H724" s="48" t="s">
        <v>1705</v>
      </c>
      <c r="I724" s="197">
        <v>798.47</v>
      </c>
      <c r="J724" s="197">
        <v>798.47</v>
      </c>
      <c r="K724" s="197">
        <v>0</v>
      </c>
      <c r="L724" s="200">
        <v>798.47</v>
      </c>
      <c r="M724" s="198">
        <v>0</v>
      </c>
      <c r="N724" s="48" t="s">
        <v>1617</v>
      </c>
      <c r="O724" s="48" t="s">
        <v>62</v>
      </c>
      <c r="P724" s="48" t="s">
        <v>25</v>
      </c>
      <c r="Q724" s="48" t="s">
        <v>1844</v>
      </c>
      <c r="R724" s="48" t="s">
        <v>2821</v>
      </c>
      <c r="S724" s="48" t="s">
        <v>398</v>
      </c>
      <c r="T724" s="114" t="s">
        <v>2644</v>
      </c>
      <c r="U724" s="48"/>
      <c r="V724" s="50"/>
      <c r="W724" s="50" t="s">
        <v>325</v>
      </c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</row>
    <row r="725" spans="1:36" s="49" customFormat="1" ht="12.75" customHeight="1" x14ac:dyDescent="0.3">
      <c r="A725" s="48">
        <f t="shared" si="30"/>
        <v>10</v>
      </c>
      <c r="B725" s="113">
        <v>46087</v>
      </c>
      <c r="C725" s="48" t="str">
        <f t="shared" si="31"/>
        <v>marzo</v>
      </c>
      <c r="D725" s="48" t="s">
        <v>2175</v>
      </c>
      <c r="E725" s="42" t="s">
        <v>1830</v>
      </c>
      <c r="F725" s="47" t="s">
        <v>2645</v>
      </c>
      <c r="G725" s="48">
        <v>4</v>
      </c>
      <c r="H725" s="48" t="s">
        <v>1705</v>
      </c>
      <c r="I725" s="197">
        <v>126.3017</v>
      </c>
      <c r="J725" s="197">
        <v>505.20679999999999</v>
      </c>
      <c r="K725" s="197">
        <v>80.833088000000004</v>
      </c>
      <c r="L725" s="200">
        <v>586.03988800000002</v>
      </c>
      <c r="M725" s="198">
        <v>0</v>
      </c>
      <c r="N725" s="48" t="s">
        <v>1617</v>
      </c>
      <c r="O725" s="48" t="s">
        <v>62</v>
      </c>
      <c r="P725" s="48" t="s">
        <v>25</v>
      </c>
      <c r="Q725" s="48" t="s">
        <v>1844</v>
      </c>
      <c r="R725" s="48" t="s">
        <v>2821</v>
      </c>
      <c r="S725" s="48" t="s">
        <v>398</v>
      </c>
      <c r="T725" s="114" t="s">
        <v>2646</v>
      </c>
      <c r="U725" s="48" t="s">
        <v>2647</v>
      </c>
      <c r="V725" s="50"/>
      <c r="W725" s="50" t="s">
        <v>2648</v>
      </c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</row>
    <row r="726" spans="1:36" s="49" customFormat="1" ht="12.75" customHeight="1" x14ac:dyDescent="0.3">
      <c r="A726" s="48">
        <f t="shared" si="30"/>
        <v>10</v>
      </c>
      <c r="B726" s="113">
        <v>46087</v>
      </c>
      <c r="C726" s="48" t="str">
        <f t="shared" si="31"/>
        <v>marzo</v>
      </c>
      <c r="D726" s="48" t="s">
        <v>2175</v>
      </c>
      <c r="E726" s="42" t="s">
        <v>1830</v>
      </c>
      <c r="F726" s="47" t="s">
        <v>2649</v>
      </c>
      <c r="G726" s="48">
        <v>1</v>
      </c>
      <c r="H726" s="48" t="s">
        <v>1705</v>
      </c>
      <c r="I726" s="197">
        <v>2269</v>
      </c>
      <c r="J726" s="197">
        <v>2269</v>
      </c>
      <c r="K726" s="197">
        <v>0</v>
      </c>
      <c r="L726" s="200">
        <v>2269</v>
      </c>
      <c r="M726" s="198">
        <v>0</v>
      </c>
      <c r="N726" s="48" t="s">
        <v>1617</v>
      </c>
      <c r="O726" s="48" t="s">
        <v>62</v>
      </c>
      <c r="P726" s="48" t="s">
        <v>25</v>
      </c>
      <c r="Q726" s="48" t="s">
        <v>1844</v>
      </c>
      <c r="R726" s="48" t="s">
        <v>2821</v>
      </c>
      <c r="S726" s="48" t="s">
        <v>398</v>
      </c>
      <c r="T726" s="114" t="s">
        <v>2650</v>
      </c>
      <c r="U726" s="48"/>
      <c r="V726" s="50"/>
      <c r="W726" s="50" t="s">
        <v>325</v>
      </c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</row>
    <row r="727" spans="1:36" s="49" customFormat="1" ht="12.75" customHeight="1" x14ac:dyDescent="0.3">
      <c r="A727" s="48">
        <f t="shared" si="30"/>
        <v>10</v>
      </c>
      <c r="B727" s="113">
        <v>46087</v>
      </c>
      <c r="C727" s="48" t="str">
        <f t="shared" si="31"/>
        <v>marzo</v>
      </c>
      <c r="D727" s="48" t="s">
        <v>2175</v>
      </c>
      <c r="E727" s="42" t="s">
        <v>1830</v>
      </c>
      <c r="F727" s="47" t="s">
        <v>2651</v>
      </c>
      <c r="G727" s="48">
        <v>1</v>
      </c>
      <c r="H727" s="48" t="s">
        <v>2139</v>
      </c>
      <c r="I727" s="197">
        <v>1195.42</v>
      </c>
      <c r="J727" s="197">
        <v>1195.42</v>
      </c>
      <c r="K727" s="197">
        <v>0</v>
      </c>
      <c r="L727" s="200">
        <v>1195.42</v>
      </c>
      <c r="M727" s="198">
        <v>0</v>
      </c>
      <c r="N727" s="48" t="s">
        <v>1617</v>
      </c>
      <c r="O727" s="48" t="s">
        <v>62</v>
      </c>
      <c r="P727" s="48" t="s">
        <v>25</v>
      </c>
      <c r="Q727" s="48" t="s">
        <v>1844</v>
      </c>
      <c r="R727" s="48" t="s">
        <v>2821</v>
      </c>
      <c r="S727" s="48" t="s">
        <v>398</v>
      </c>
      <c r="T727" s="114" t="s">
        <v>2652</v>
      </c>
      <c r="U727" s="48"/>
      <c r="V727" s="50"/>
      <c r="W727" s="50" t="s">
        <v>325</v>
      </c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</row>
    <row r="728" spans="1:36" s="49" customFormat="1" ht="12.75" customHeight="1" x14ac:dyDescent="0.3">
      <c r="A728" s="48">
        <f t="shared" si="30"/>
        <v>10</v>
      </c>
      <c r="B728" s="113">
        <v>46087</v>
      </c>
      <c r="C728" s="48" t="str">
        <f t="shared" si="31"/>
        <v>marzo</v>
      </c>
      <c r="D728" s="48" t="s">
        <v>2175</v>
      </c>
      <c r="E728" s="42" t="s">
        <v>1830</v>
      </c>
      <c r="F728" s="47" t="s">
        <v>2653</v>
      </c>
      <c r="G728" s="48">
        <v>1</v>
      </c>
      <c r="H728" s="48" t="s">
        <v>2139</v>
      </c>
      <c r="I728" s="197">
        <v>1393.22</v>
      </c>
      <c r="J728" s="197">
        <v>1393.22</v>
      </c>
      <c r="K728" s="197">
        <v>0</v>
      </c>
      <c r="L728" s="200">
        <v>1393.22</v>
      </c>
      <c r="M728" s="198">
        <v>0</v>
      </c>
      <c r="N728" s="48" t="s">
        <v>1617</v>
      </c>
      <c r="O728" s="48" t="s">
        <v>62</v>
      </c>
      <c r="P728" s="48" t="s">
        <v>25</v>
      </c>
      <c r="Q728" s="48" t="s">
        <v>1844</v>
      </c>
      <c r="R728" s="48" t="s">
        <v>2821</v>
      </c>
      <c r="S728" s="48" t="s">
        <v>398</v>
      </c>
      <c r="T728" s="114" t="s">
        <v>2654</v>
      </c>
      <c r="U728" s="48"/>
      <c r="V728" s="50"/>
      <c r="W728" s="50" t="s">
        <v>325</v>
      </c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</row>
    <row r="729" spans="1:36" s="49" customFormat="1" ht="12.75" customHeight="1" x14ac:dyDescent="0.3">
      <c r="A729" s="48">
        <f t="shared" si="30"/>
        <v>10</v>
      </c>
      <c r="B729" s="113">
        <v>46087</v>
      </c>
      <c r="C729" s="48" t="str">
        <f t="shared" si="31"/>
        <v>marzo</v>
      </c>
      <c r="D729" s="48" t="s">
        <v>2175</v>
      </c>
      <c r="E729" s="42" t="s">
        <v>1830</v>
      </c>
      <c r="F729" s="47" t="s">
        <v>2655</v>
      </c>
      <c r="G729" s="48">
        <v>1</v>
      </c>
      <c r="H729" s="48" t="s">
        <v>2139</v>
      </c>
      <c r="I729" s="197">
        <v>282.08</v>
      </c>
      <c r="J729" s="197">
        <v>282.08</v>
      </c>
      <c r="K729" s="197">
        <v>0</v>
      </c>
      <c r="L729" s="200">
        <v>282.08</v>
      </c>
      <c r="M729" s="198">
        <v>0</v>
      </c>
      <c r="N729" s="48" t="s">
        <v>1617</v>
      </c>
      <c r="O729" s="48" t="s">
        <v>62</v>
      </c>
      <c r="P729" s="48" t="s">
        <v>25</v>
      </c>
      <c r="Q729" s="48" t="s">
        <v>1844</v>
      </c>
      <c r="R729" s="48" t="s">
        <v>2821</v>
      </c>
      <c r="S729" s="48" t="s">
        <v>398</v>
      </c>
      <c r="T729" s="114" t="s">
        <v>1637</v>
      </c>
      <c r="U729" s="48" t="s">
        <v>2647</v>
      </c>
      <c r="V729" s="50"/>
      <c r="W729" s="50" t="s">
        <v>325</v>
      </c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</row>
    <row r="730" spans="1:36" s="49" customFormat="1" ht="12.75" customHeight="1" x14ac:dyDescent="0.3">
      <c r="A730" s="48">
        <f t="shared" si="30"/>
        <v>10</v>
      </c>
      <c r="B730" s="113">
        <v>46087</v>
      </c>
      <c r="C730" s="48" t="str">
        <f t="shared" si="31"/>
        <v>marzo</v>
      </c>
      <c r="D730" s="48" t="s">
        <v>2175</v>
      </c>
      <c r="E730" s="42" t="s">
        <v>1830</v>
      </c>
      <c r="F730" s="47" t="s">
        <v>2656</v>
      </c>
      <c r="G730" s="48">
        <v>1</v>
      </c>
      <c r="H730" s="48" t="s">
        <v>1705</v>
      </c>
      <c r="I730" s="197">
        <v>651.88</v>
      </c>
      <c r="J730" s="197">
        <v>651.88</v>
      </c>
      <c r="K730" s="197">
        <v>0</v>
      </c>
      <c r="L730" s="200">
        <v>651.88</v>
      </c>
      <c r="M730" s="198">
        <v>0</v>
      </c>
      <c r="N730" s="48" t="s">
        <v>1617</v>
      </c>
      <c r="O730" s="48" t="s">
        <v>62</v>
      </c>
      <c r="P730" s="48" t="s">
        <v>25</v>
      </c>
      <c r="Q730" s="48" t="s">
        <v>1844</v>
      </c>
      <c r="R730" s="48" t="s">
        <v>2821</v>
      </c>
      <c r="S730" s="48" t="s">
        <v>398</v>
      </c>
      <c r="T730" s="114" t="s">
        <v>2657</v>
      </c>
      <c r="U730" s="48"/>
      <c r="V730" s="50"/>
      <c r="W730" s="50" t="s">
        <v>325</v>
      </c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</row>
    <row r="731" spans="1:36" s="49" customFormat="1" ht="12.75" customHeight="1" x14ac:dyDescent="0.3">
      <c r="A731" s="48">
        <f t="shared" si="30"/>
        <v>10</v>
      </c>
      <c r="B731" s="113">
        <v>46087</v>
      </c>
      <c r="C731" s="48" t="str">
        <f t="shared" si="31"/>
        <v>marzo</v>
      </c>
      <c r="D731" s="48" t="s">
        <v>2135</v>
      </c>
      <c r="E731" s="42" t="s">
        <v>1830</v>
      </c>
      <c r="F731" s="47" t="s">
        <v>2658</v>
      </c>
      <c r="G731" s="48">
        <v>1</v>
      </c>
      <c r="H731" s="48" t="s">
        <v>2139</v>
      </c>
      <c r="I731" s="197">
        <v>199.66</v>
      </c>
      <c r="J731" s="197">
        <v>199.66</v>
      </c>
      <c r="K731" s="197">
        <v>0</v>
      </c>
      <c r="L731" s="200">
        <v>199.66</v>
      </c>
      <c r="M731" s="198">
        <v>0</v>
      </c>
      <c r="N731" s="48" t="s">
        <v>1617</v>
      </c>
      <c r="O731" s="48" t="s">
        <v>62</v>
      </c>
      <c r="P731" s="48" t="s">
        <v>25</v>
      </c>
      <c r="Q731" s="48" t="s">
        <v>1844</v>
      </c>
      <c r="R731" s="48" t="s">
        <v>2821</v>
      </c>
      <c r="S731" s="48" t="s">
        <v>398</v>
      </c>
      <c r="T731" s="48" t="s">
        <v>398</v>
      </c>
      <c r="U731" s="48"/>
      <c r="V731" s="50"/>
      <c r="W731" s="50" t="s">
        <v>325</v>
      </c>
      <c r="X731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</row>
    <row r="732" spans="1:36" customFormat="1" ht="14.4" x14ac:dyDescent="0.3">
      <c r="A732" s="48">
        <f t="shared" si="30"/>
        <v>10</v>
      </c>
      <c r="B732" s="113">
        <v>46087</v>
      </c>
      <c r="C732" s="48" t="str">
        <f t="shared" si="31"/>
        <v>marzo</v>
      </c>
      <c r="D732" s="48" t="s">
        <v>2135</v>
      </c>
      <c r="E732" s="42" t="s">
        <v>1830</v>
      </c>
      <c r="F732" s="47" t="s">
        <v>2659</v>
      </c>
      <c r="G732" s="48">
        <v>1</v>
      </c>
      <c r="H732" s="48" t="s">
        <v>2139</v>
      </c>
      <c r="I732" s="197">
        <v>146.63999999999999</v>
      </c>
      <c r="J732" s="197">
        <v>146.63999999999999</v>
      </c>
      <c r="K732" s="197">
        <v>0</v>
      </c>
      <c r="L732" s="200">
        <v>146.63999999999999</v>
      </c>
      <c r="M732" s="198">
        <v>0</v>
      </c>
      <c r="N732" s="48" t="s">
        <v>1617</v>
      </c>
      <c r="O732" s="48" t="s">
        <v>62</v>
      </c>
      <c r="P732" s="48" t="s">
        <v>25</v>
      </c>
      <c r="Q732" s="48" t="s">
        <v>1844</v>
      </c>
      <c r="R732" s="48" t="s">
        <v>2821</v>
      </c>
      <c r="S732" s="48" t="s">
        <v>398</v>
      </c>
      <c r="T732" s="48" t="s">
        <v>398</v>
      </c>
      <c r="U732" s="48" t="s">
        <v>2660</v>
      </c>
      <c r="V732" s="50"/>
      <c r="W732" s="50" t="s">
        <v>325</v>
      </c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</row>
    <row r="733" spans="1:36" customFormat="1" ht="14.4" x14ac:dyDescent="0.3">
      <c r="A733" s="48">
        <f t="shared" si="30"/>
        <v>10</v>
      </c>
      <c r="B733" s="113">
        <v>46087</v>
      </c>
      <c r="C733" s="48" t="str">
        <f t="shared" si="31"/>
        <v>marzo</v>
      </c>
      <c r="D733" s="48" t="s">
        <v>2135</v>
      </c>
      <c r="E733" s="42" t="s">
        <v>477</v>
      </c>
      <c r="F733" s="47" t="s">
        <v>559</v>
      </c>
      <c r="G733" s="48">
        <v>1</v>
      </c>
      <c r="H733" s="48" t="s">
        <v>2138</v>
      </c>
      <c r="I733" s="197">
        <v>610</v>
      </c>
      <c r="J733" s="197">
        <v>610</v>
      </c>
      <c r="K733" s="197">
        <v>0</v>
      </c>
      <c r="L733" s="202">
        <v>610</v>
      </c>
      <c r="M733" s="198">
        <v>0</v>
      </c>
      <c r="N733" s="48" t="s">
        <v>1818</v>
      </c>
      <c r="O733" s="48" t="s">
        <v>2976</v>
      </c>
      <c r="P733" s="48" t="s">
        <v>25</v>
      </c>
      <c r="Q733" s="48" t="s">
        <v>1824</v>
      </c>
      <c r="R733" s="48" t="s">
        <v>2735</v>
      </c>
      <c r="S733" s="48" t="s">
        <v>1827</v>
      </c>
      <c r="T733" s="114" t="s">
        <v>1617</v>
      </c>
      <c r="U733" s="38"/>
      <c r="V733" s="130" t="s">
        <v>2969</v>
      </c>
      <c r="W733" s="139" t="s">
        <v>325</v>
      </c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</row>
    <row r="734" spans="1:36" customFormat="1" ht="14.4" x14ac:dyDescent="0.3">
      <c r="A734" s="48">
        <f t="shared" si="30"/>
        <v>10</v>
      </c>
      <c r="B734" s="113">
        <v>46088</v>
      </c>
      <c r="C734" s="48" t="str">
        <f t="shared" si="31"/>
        <v>marzo</v>
      </c>
      <c r="D734" s="48" t="s">
        <v>2135</v>
      </c>
      <c r="E734" s="42" t="s">
        <v>356</v>
      </c>
      <c r="F734" s="47" t="s">
        <v>127</v>
      </c>
      <c r="G734" s="48">
        <v>20</v>
      </c>
      <c r="H734" s="48" t="s">
        <v>2017</v>
      </c>
      <c r="I734" s="197">
        <v>19.8706</v>
      </c>
      <c r="J734" s="197">
        <v>397.41199999999998</v>
      </c>
      <c r="K734" s="197">
        <v>63.585919999999994</v>
      </c>
      <c r="L734" s="197">
        <v>460.99791999999997</v>
      </c>
      <c r="M734" s="198">
        <v>0</v>
      </c>
      <c r="N734" s="48" t="s">
        <v>1617</v>
      </c>
      <c r="O734" s="48" t="s">
        <v>1860</v>
      </c>
      <c r="P734" s="48" t="s">
        <v>25</v>
      </c>
      <c r="Q734" s="48" t="s">
        <v>241</v>
      </c>
      <c r="R734" s="48" t="s">
        <v>2727</v>
      </c>
      <c r="S734" s="48" t="s">
        <v>647</v>
      </c>
      <c r="T734" s="114" t="s">
        <v>2025</v>
      </c>
      <c r="U734" s="48"/>
      <c r="V734" s="50"/>
      <c r="W734" s="50" t="s">
        <v>2661</v>
      </c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</row>
    <row r="735" spans="1:36" customFormat="1" ht="14.4" x14ac:dyDescent="0.3">
      <c r="A735" s="48">
        <f t="shared" si="30"/>
        <v>10</v>
      </c>
      <c r="B735" s="113">
        <v>46088</v>
      </c>
      <c r="C735" s="48" t="str">
        <f t="shared" si="31"/>
        <v>marzo</v>
      </c>
      <c r="D735" s="48" t="s">
        <v>2135</v>
      </c>
      <c r="E735" s="42" t="s">
        <v>2728</v>
      </c>
      <c r="F735" s="47" t="s">
        <v>2977</v>
      </c>
      <c r="G735" s="48">
        <v>1</v>
      </c>
      <c r="H735" s="48" t="s">
        <v>2139</v>
      </c>
      <c r="I735" s="197">
        <v>130</v>
      </c>
      <c r="J735" s="197">
        <v>130</v>
      </c>
      <c r="K735" s="197">
        <v>0</v>
      </c>
      <c r="L735" s="197">
        <v>130</v>
      </c>
      <c r="M735" s="198">
        <v>0</v>
      </c>
      <c r="N735" s="48" t="s">
        <v>1423</v>
      </c>
      <c r="O735" s="48" t="s">
        <v>55</v>
      </c>
      <c r="P735" s="48" t="s">
        <v>25</v>
      </c>
      <c r="Q735" s="48" t="s">
        <v>241</v>
      </c>
      <c r="R735" s="48" t="s">
        <v>364</v>
      </c>
      <c r="S735" s="48" t="s">
        <v>2978</v>
      </c>
      <c r="T735" s="114" t="s">
        <v>1617</v>
      </c>
      <c r="U735" s="48" t="s">
        <v>2979</v>
      </c>
      <c r="V735" s="50" t="s">
        <v>1759</v>
      </c>
      <c r="W735" s="50" t="s">
        <v>1617</v>
      </c>
      <c r="X735" s="50"/>
      <c r="Y735" s="50"/>
    </row>
    <row r="736" spans="1:36" customFormat="1" ht="14.4" x14ac:dyDescent="0.3">
      <c r="A736" s="48">
        <f t="shared" si="30"/>
        <v>11</v>
      </c>
      <c r="B736" s="113">
        <v>46090</v>
      </c>
      <c r="C736" s="48" t="str">
        <f t="shared" si="31"/>
        <v>marzo</v>
      </c>
      <c r="D736" s="48" t="s">
        <v>2135</v>
      </c>
      <c r="E736" s="42" t="s">
        <v>356</v>
      </c>
      <c r="F736" s="47" t="s">
        <v>2662</v>
      </c>
      <c r="G736" s="48">
        <v>1</v>
      </c>
      <c r="H736" s="48" t="s">
        <v>2139</v>
      </c>
      <c r="I736" s="197">
        <v>132.94999999999999</v>
      </c>
      <c r="J736" s="197">
        <v>132.94999999999999</v>
      </c>
      <c r="K736" s="197">
        <v>0</v>
      </c>
      <c r="L736" s="197">
        <v>132.94999999999999</v>
      </c>
      <c r="M736" s="198">
        <v>0</v>
      </c>
      <c r="N736" s="48" t="s">
        <v>1617</v>
      </c>
      <c r="O736" s="48" t="s">
        <v>118</v>
      </c>
      <c r="P736" s="48" t="s">
        <v>2734</v>
      </c>
      <c r="Q736" s="48" t="s">
        <v>1844</v>
      </c>
      <c r="R736" s="48" t="s">
        <v>2735</v>
      </c>
      <c r="S736" s="48" t="s">
        <v>866</v>
      </c>
      <c r="T736" s="114" t="s">
        <v>2143</v>
      </c>
      <c r="U736" s="48" t="s">
        <v>2980</v>
      </c>
      <c r="V736" s="50"/>
      <c r="W736" s="50" t="s">
        <v>1617</v>
      </c>
      <c r="X736" s="50"/>
    </row>
    <row r="737" spans="1:36" customFormat="1" ht="14.4" x14ac:dyDescent="0.3">
      <c r="A737" s="48">
        <f t="shared" si="30"/>
        <v>11</v>
      </c>
      <c r="B737" s="113">
        <v>46090</v>
      </c>
      <c r="C737" s="48" t="str">
        <f t="shared" si="31"/>
        <v>marzo</v>
      </c>
      <c r="D737" s="48" t="s">
        <v>2135</v>
      </c>
      <c r="E737" s="42" t="s">
        <v>2918</v>
      </c>
      <c r="F737" s="47" t="s">
        <v>708</v>
      </c>
      <c r="G737" s="48">
        <v>1</v>
      </c>
      <c r="H737" s="48" t="s">
        <v>2139</v>
      </c>
      <c r="I737" s="197">
        <v>5500</v>
      </c>
      <c r="J737" s="197">
        <v>5500</v>
      </c>
      <c r="K737" s="197">
        <v>0</v>
      </c>
      <c r="L737" s="197">
        <v>5500</v>
      </c>
      <c r="M737" s="198">
        <v>0</v>
      </c>
      <c r="N737" s="48" t="s">
        <v>1617</v>
      </c>
      <c r="O737" s="49" t="s">
        <v>2981</v>
      </c>
      <c r="P737" s="48" t="s">
        <v>25</v>
      </c>
      <c r="Q737" s="48" t="s">
        <v>1844</v>
      </c>
      <c r="R737" s="48" t="s">
        <v>369</v>
      </c>
      <c r="S737" s="48" t="s">
        <v>709</v>
      </c>
      <c r="T737" s="114" t="s">
        <v>1617</v>
      </c>
      <c r="U737" s="48" t="s">
        <v>2982</v>
      </c>
      <c r="V737" s="50" t="s">
        <v>1759</v>
      </c>
      <c r="W737" s="50" t="s">
        <v>1617</v>
      </c>
      <c r="X737" s="50"/>
      <c r="Y737" s="50"/>
    </row>
    <row r="738" spans="1:36" customFormat="1" ht="14.4" x14ac:dyDescent="0.3">
      <c r="A738" s="48">
        <f t="shared" si="30"/>
        <v>11</v>
      </c>
      <c r="B738" s="113">
        <v>46090</v>
      </c>
      <c r="C738" s="48" t="str">
        <f t="shared" si="31"/>
        <v>marzo</v>
      </c>
      <c r="D738" s="48" t="s">
        <v>2135</v>
      </c>
      <c r="E738" s="50" t="s">
        <v>116</v>
      </c>
      <c r="F738" s="50" t="s">
        <v>2967</v>
      </c>
      <c r="G738" s="49">
        <v>1</v>
      </c>
      <c r="H738" s="48" t="s">
        <v>2138</v>
      </c>
      <c r="I738" s="202">
        <v>100</v>
      </c>
      <c r="J738" s="197">
        <v>100</v>
      </c>
      <c r="K738" s="197">
        <v>0</v>
      </c>
      <c r="L738" s="202">
        <v>100</v>
      </c>
      <c r="M738" s="198">
        <v>0</v>
      </c>
      <c r="N738" s="49" t="s">
        <v>1617</v>
      </c>
      <c r="O738" s="48" t="s">
        <v>116</v>
      </c>
      <c r="P738" s="48" t="s">
        <v>2734</v>
      </c>
      <c r="Q738" s="199" t="s">
        <v>1766</v>
      </c>
      <c r="R738" s="48" t="s">
        <v>364</v>
      </c>
      <c r="S738" s="48"/>
      <c r="T738" s="114" t="s">
        <v>1617</v>
      </c>
      <c r="U738" s="48" t="s">
        <v>2968</v>
      </c>
      <c r="W738" s="41" t="s">
        <v>1617</v>
      </c>
    </row>
    <row r="739" spans="1:36" ht="15" customHeight="1" x14ac:dyDescent="0.3">
      <c r="A739" s="48">
        <f t="shared" si="30"/>
        <v>11</v>
      </c>
      <c r="B739" s="113">
        <v>46090</v>
      </c>
      <c r="C739" s="48" t="str">
        <f t="shared" si="31"/>
        <v>marzo</v>
      </c>
      <c r="D739" s="48" t="s">
        <v>2135</v>
      </c>
      <c r="E739" s="50" t="s">
        <v>116</v>
      </c>
      <c r="F739" s="50" t="s">
        <v>694</v>
      </c>
      <c r="G739" s="49">
        <v>1</v>
      </c>
      <c r="H739" s="48" t="s">
        <v>2138</v>
      </c>
      <c r="I739" s="202">
        <v>93</v>
      </c>
      <c r="J739" s="197">
        <v>93</v>
      </c>
      <c r="K739" s="197">
        <v>0</v>
      </c>
      <c r="L739" s="202">
        <v>93</v>
      </c>
      <c r="M739" s="198">
        <v>0</v>
      </c>
      <c r="N739" s="49" t="s">
        <v>1617</v>
      </c>
      <c r="O739" s="48" t="s">
        <v>116</v>
      </c>
      <c r="P739" s="48" t="s">
        <v>2734</v>
      </c>
      <c r="Q739" s="199" t="s">
        <v>1766</v>
      </c>
      <c r="R739" s="48" t="s">
        <v>2735</v>
      </c>
      <c r="S739" s="48"/>
      <c r="T739" s="114" t="s">
        <v>1617</v>
      </c>
      <c r="U739" s="48" t="s">
        <v>2968</v>
      </c>
      <c r="V739"/>
      <c r="W739" s="41" t="s">
        <v>1617</v>
      </c>
      <c r="X73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</row>
    <row r="740" spans="1:36" ht="15" customHeight="1" x14ac:dyDescent="0.3">
      <c r="A740" s="133">
        <f t="shared" si="30"/>
        <v>11</v>
      </c>
      <c r="B740" s="134">
        <v>46091</v>
      </c>
      <c r="C740" s="48" t="str">
        <f t="shared" si="31"/>
        <v>marzo</v>
      </c>
      <c r="D740" s="133" t="s">
        <v>2135</v>
      </c>
      <c r="E740" s="208" t="s">
        <v>356</v>
      </c>
      <c r="F740" s="135" t="s">
        <v>127</v>
      </c>
      <c r="G740" s="133">
        <v>16.670000000000002</v>
      </c>
      <c r="H740" s="133" t="s">
        <v>2017</v>
      </c>
      <c r="I740" s="204">
        <v>20.76</v>
      </c>
      <c r="J740" s="204">
        <v>346.06920000000008</v>
      </c>
      <c r="K740" s="204">
        <v>55.371072000000012</v>
      </c>
      <c r="L740" s="204">
        <v>401.44027200000011</v>
      </c>
      <c r="M740" s="203">
        <v>0</v>
      </c>
      <c r="N740" s="133"/>
      <c r="O740" s="48" t="s">
        <v>118</v>
      </c>
      <c r="P740" s="133"/>
      <c r="Q740" s="133"/>
      <c r="R740" s="133"/>
      <c r="S740" s="133"/>
      <c r="T740" s="137"/>
      <c r="U740" s="133"/>
      <c r="V740" s="207" t="s">
        <v>2983</v>
      </c>
      <c r="W740" s="207"/>
      <c r="X740" s="207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</row>
    <row r="741" spans="1:36" ht="15" customHeight="1" x14ac:dyDescent="0.3">
      <c r="A741" s="48">
        <f t="shared" si="30"/>
        <v>11</v>
      </c>
      <c r="B741" s="113">
        <v>46091</v>
      </c>
      <c r="C741" s="48" t="str">
        <f t="shared" si="31"/>
        <v>marzo</v>
      </c>
      <c r="D741" s="48" t="s">
        <v>2135</v>
      </c>
      <c r="E741" s="42" t="s">
        <v>477</v>
      </c>
      <c r="F741" s="47" t="s">
        <v>2984</v>
      </c>
      <c r="G741" s="48">
        <v>1</v>
      </c>
      <c r="H741" s="48" t="s">
        <v>2138</v>
      </c>
      <c r="I741" s="197">
        <v>160</v>
      </c>
      <c r="J741" s="197">
        <v>160</v>
      </c>
      <c r="K741" s="197">
        <v>0</v>
      </c>
      <c r="L741" s="197">
        <v>160</v>
      </c>
      <c r="M741" s="198">
        <v>0</v>
      </c>
      <c r="N741" s="48" t="s">
        <v>1958</v>
      </c>
      <c r="O741" s="48" t="s">
        <v>51</v>
      </c>
      <c r="P741" s="48" t="s">
        <v>25</v>
      </c>
      <c r="Q741" s="48" t="s">
        <v>1844</v>
      </c>
      <c r="R741" s="48" t="s">
        <v>364</v>
      </c>
      <c r="S741" s="48" t="s">
        <v>2064</v>
      </c>
      <c r="T741" s="114" t="s">
        <v>1617</v>
      </c>
      <c r="U741" s="48" t="s">
        <v>2980</v>
      </c>
      <c r="V741" s="50" t="s">
        <v>1759</v>
      </c>
      <c r="W741" s="50" t="s">
        <v>1617</v>
      </c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</row>
    <row r="742" spans="1:36" customFormat="1" ht="14.4" x14ac:dyDescent="0.3">
      <c r="A742" s="48">
        <f t="shared" si="30"/>
        <v>11</v>
      </c>
      <c r="B742" s="113">
        <v>46091</v>
      </c>
      <c r="C742" s="48" t="str">
        <f t="shared" si="31"/>
        <v>marzo</v>
      </c>
      <c r="D742" s="48" t="s">
        <v>2135</v>
      </c>
      <c r="E742" s="50" t="s">
        <v>116</v>
      </c>
      <c r="F742" s="47" t="s">
        <v>2985</v>
      </c>
      <c r="G742" s="48">
        <v>98</v>
      </c>
      <c r="H742" s="48" t="s">
        <v>2017</v>
      </c>
      <c r="I742" s="197">
        <v>8.8189659999999996</v>
      </c>
      <c r="J742" s="197">
        <v>864.25866799999994</v>
      </c>
      <c r="K742" s="197">
        <v>138.28138687999999</v>
      </c>
      <c r="L742" s="197">
        <v>1002.54005488</v>
      </c>
      <c r="M742" s="198">
        <v>0</v>
      </c>
      <c r="N742" s="48" t="s">
        <v>1617</v>
      </c>
      <c r="O742" s="48" t="s">
        <v>116</v>
      </c>
      <c r="P742" s="48" t="s">
        <v>2734</v>
      </c>
      <c r="Q742" s="48" t="s">
        <v>1841</v>
      </c>
      <c r="R742" s="48" t="s">
        <v>364</v>
      </c>
      <c r="S742" s="48" t="s">
        <v>2986</v>
      </c>
      <c r="T742" s="114" t="s">
        <v>2985</v>
      </c>
      <c r="U742" s="48" t="s">
        <v>2979</v>
      </c>
      <c r="V742" s="50"/>
      <c r="W742" s="50" t="s">
        <v>2987</v>
      </c>
      <c r="X742" s="50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</row>
    <row r="743" spans="1:36" customFormat="1" ht="14.4" x14ac:dyDescent="0.3">
      <c r="A743" s="48">
        <f t="shared" si="30"/>
        <v>11</v>
      </c>
      <c r="B743" s="113">
        <v>46091</v>
      </c>
      <c r="C743" s="48" t="str">
        <f t="shared" si="31"/>
        <v>marzo</v>
      </c>
      <c r="D743" s="48" t="s">
        <v>2135</v>
      </c>
      <c r="E743" s="42" t="s">
        <v>2728</v>
      </c>
      <c r="F743" s="47" t="s">
        <v>2988</v>
      </c>
      <c r="G743" s="48">
        <v>1</v>
      </c>
      <c r="H743" s="48" t="s">
        <v>1705</v>
      </c>
      <c r="I743" s="197">
        <v>1267.24</v>
      </c>
      <c r="J743" s="197">
        <v>1267.24</v>
      </c>
      <c r="K743" s="197">
        <v>202.75839999999999</v>
      </c>
      <c r="L743" s="197">
        <v>1469.9983999999999</v>
      </c>
      <c r="M743" s="198">
        <v>0</v>
      </c>
      <c r="N743" s="48" t="s">
        <v>1960</v>
      </c>
      <c r="O743" s="48" t="s">
        <v>123</v>
      </c>
      <c r="P743" s="48" t="s">
        <v>871</v>
      </c>
      <c r="Q743" s="48" t="s">
        <v>241</v>
      </c>
      <c r="R743" s="48" t="s">
        <v>2726</v>
      </c>
      <c r="S743" s="48" t="s">
        <v>2989</v>
      </c>
      <c r="T743" s="114" t="s">
        <v>2990</v>
      </c>
      <c r="U743" s="48"/>
      <c r="V743" s="50"/>
      <c r="W743" s="50" t="s">
        <v>2991</v>
      </c>
      <c r="X743" s="50"/>
      <c r="Y743" s="50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</row>
    <row r="744" spans="1:36" customFormat="1" ht="14.4" x14ac:dyDescent="0.3">
      <c r="A744" s="48">
        <f t="shared" si="30"/>
        <v>11</v>
      </c>
      <c r="B744" s="113">
        <v>46091</v>
      </c>
      <c r="C744" s="48" t="str">
        <f t="shared" si="31"/>
        <v>marzo</v>
      </c>
      <c r="D744" s="48" t="s">
        <v>2135</v>
      </c>
      <c r="E744" s="42" t="s">
        <v>2728</v>
      </c>
      <c r="F744" s="47" t="s">
        <v>2992</v>
      </c>
      <c r="G744" s="48">
        <v>1</v>
      </c>
      <c r="H744" s="48" t="s">
        <v>1705</v>
      </c>
      <c r="I744" s="197">
        <v>20</v>
      </c>
      <c r="J744" s="197">
        <v>20</v>
      </c>
      <c r="K744" s="197">
        <v>0</v>
      </c>
      <c r="L744" s="197">
        <v>20</v>
      </c>
      <c r="M744" s="198">
        <v>0</v>
      </c>
      <c r="N744" s="48" t="s">
        <v>1960</v>
      </c>
      <c r="O744" s="48" t="s">
        <v>123</v>
      </c>
      <c r="P744" s="48" t="s">
        <v>871</v>
      </c>
      <c r="Q744" s="48" t="s">
        <v>241</v>
      </c>
      <c r="R744" s="48" t="s">
        <v>364</v>
      </c>
      <c r="S744" s="48" t="s">
        <v>2989</v>
      </c>
      <c r="T744" s="114" t="s">
        <v>1617</v>
      </c>
      <c r="U744" s="48" t="s">
        <v>2980</v>
      </c>
      <c r="V744" s="50" t="s">
        <v>2993</v>
      </c>
      <c r="W744" s="50" t="s">
        <v>1617</v>
      </c>
      <c r="X744" s="50"/>
      <c r="Y744" s="50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</row>
    <row r="745" spans="1:36" customFormat="1" ht="14.4" x14ac:dyDescent="0.3">
      <c r="A745" s="48">
        <f t="shared" si="30"/>
        <v>11</v>
      </c>
      <c r="B745" s="113">
        <v>46091</v>
      </c>
      <c r="C745" s="48" t="str">
        <f t="shared" si="31"/>
        <v>marzo</v>
      </c>
      <c r="D745" s="48" t="s">
        <v>2135</v>
      </c>
      <c r="E745" s="42" t="s">
        <v>2728</v>
      </c>
      <c r="F745" s="47" t="s">
        <v>2994</v>
      </c>
      <c r="G745" s="48">
        <v>1</v>
      </c>
      <c r="H745" s="48" t="s">
        <v>1705</v>
      </c>
      <c r="I745" s="197">
        <v>108.76</v>
      </c>
      <c r="J745" s="197">
        <v>108.76</v>
      </c>
      <c r="K745" s="197">
        <v>17.401600000000002</v>
      </c>
      <c r="L745" s="201">
        <v>126.16160000000001</v>
      </c>
      <c r="M745" s="198">
        <v>0</v>
      </c>
      <c r="N745" s="48" t="s">
        <v>2995</v>
      </c>
      <c r="O745" s="48" t="s">
        <v>36</v>
      </c>
      <c r="P745" s="48" t="s">
        <v>25</v>
      </c>
      <c r="Q745" s="48" t="s">
        <v>241</v>
      </c>
      <c r="R745" s="48" t="s">
        <v>2821</v>
      </c>
      <c r="S745" s="48" t="s">
        <v>2996</v>
      </c>
      <c r="T745" s="114" t="s">
        <v>1669</v>
      </c>
      <c r="U745" s="48"/>
      <c r="V745" s="50"/>
      <c r="W745" s="50" t="s">
        <v>1762</v>
      </c>
      <c r="X745" s="50"/>
      <c r="Y745" s="50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</row>
    <row r="746" spans="1:36" customFormat="1" ht="14.4" x14ac:dyDescent="0.3">
      <c r="A746" s="48">
        <f t="shared" si="30"/>
        <v>11</v>
      </c>
      <c r="B746" s="113">
        <v>46091</v>
      </c>
      <c r="C746" s="48" t="str">
        <f t="shared" si="31"/>
        <v>marzo</v>
      </c>
      <c r="D746" s="48" t="s">
        <v>2135</v>
      </c>
      <c r="E746" s="42" t="s">
        <v>2728</v>
      </c>
      <c r="F746" s="47" t="s">
        <v>2997</v>
      </c>
      <c r="G746" s="48">
        <v>2</v>
      </c>
      <c r="H746" s="48" t="s">
        <v>1705</v>
      </c>
      <c r="I746" s="197">
        <v>2.09</v>
      </c>
      <c r="J746" s="197">
        <v>4.18</v>
      </c>
      <c r="K746" s="197">
        <v>0.66879999999999995</v>
      </c>
      <c r="L746" s="201">
        <v>4.8487999999999998</v>
      </c>
      <c r="M746" s="198">
        <v>0</v>
      </c>
      <c r="N746" s="48" t="s">
        <v>2995</v>
      </c>
      <c r="O746" s="48" t="s">
        <v>36</v>
      </c>
      <c r="P746" s="48" t="s">
        <v>25</v>
      </c>
      <c r="Q746" s="48" t="s">
        <v>241</v>
      </c>
      <c r="R746" s="48" t="s">
        <v>2821</v>
      </c>
      <c r="S746" s="48" t="s">
        <v>2996</v>
      </c>
      <c r="T746" s="114" t="s">
        <v>1669</v>
      </c>
      <c r="U746" s="48"/>
      <c r="V746" s="50"/>
      <c r="W746" s="50" t="s">
        <v>1762</v>
      </c>
      <c r="X746" s="50"/>
      <c r="Y746" s="50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</row>
    <row r="747" spans="1:36" customFormat="1" ht="14.4" x14ac:dyDescent="0.3">
      <c r="A747" s="48">
        <f t="shared" si="30"/>
        <v>11</v>
      </c>
      <c r="B747" s="113">
        <v>46091</v>
      </c>
      <c r="C747" s="48" t="str">
        <f t="shared" si="31"/>
        <v>marzo</v>
      </c>
      <c r="D747" s="48" t="s">
        <v>2175</v>
      </c>
      <c r="E747" s="42" t="s">
        <v>1830</v>
      </c>
      <c r="F747" s="47" t="s">
        <v>2994</v>
      </c>
      <c r="G747" s="48">
        <v>1</v>
      </c>
      <c r="H747" s="48" t="s">
        <v>1705</v>
      </c>
      <c r="I747" s="197">
        <v>108.76</v>
      </c>
      <c r="J747" s="197">
        <v>108.76</v>
      </c>
      <c r="K747" s="197">
        <v>17.401600000000002</v>
      </c>
      <c r="L747" s="201">
        <v>126.16160000000001</v>
      </c>
      <c r="M747" s="198">
        <v>0</v>
      </c>
      <c r="N747" s="48" t="s">
        <v>1617</v>
      </c>
      <c r="O747" s="48" t="s">
        <v>118</v>
      </c>
      <c r="P747" s="48" t="s">
        <v>25</v>
      </c>
      <c r="Q747" s="48" t="s">
        <v>241</v>
      </c>
      <c r="R747" s="48" t="s">
        <v>2821</v>
      </c>
      <c r="S747" s="48" t="s">
        <v>2996</v>
      </c>
      <c r="T747" s="114" t="s">
        <v>1669</v>
      </c>
      <c r="U747" s="48"/>
      <c r="V747" s="50"/>
      <c r="W747" s="50" t="s">
        <v>1762</v>
      </c>
      <c r="X747" s="50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</row>
    <row r="748" spans="1:36" customFormat="1" ht="14.4" x14ac:dyDescent="0.3">
      <c r="A748" s="48">
        <f t="shared" si="30"/>
        <v>11</v>
      </c>
      <c r="B748" s="113">
        <v>46091</v>
      </c>
      <c r="C748" s="48" t="str">
        <f t="shared" si="31"/>
        <v>marzo</v>
      </c>
      <c r="D748" s="48" t="s">
        <v>2175</v>
      </c>
      <c r="E748" s="42" t="s">
        <v>1830</v>
      </c>
      <c r="F748" s="47" t="s">
        <v>2997</v>
      </c>
      <c r="G748" s="48">
        <v>18</v>
      </c>
      <c r="H748" s="48" t="s">
        <v>1705</v>
      </c>
      <c r="I748" s="197">
        <v>2.09</v>
      </c>
      <c r="J748" s="197">
        <v>37.619999999999997</v>
      </c>
      <c r="K748" s="197">
        <v>6.0191999999999997</v>
      </c>
      <c r="L748" s="201">
        <v>43.639199999999995</v>
      </c>
      <c r="M748" s="198">
        <v>0</v>
      </c>
      <c r="N748" s="48" t="s">
        <v>1617</v>
      </c>
      <c r="O748" s="48" t="s">
        <v>118</v>
      </c>
      <c r="P748" s="48" t="s">
        <v>25</v>
      </c>
      <c r="Q748" s="48" t="s">
        <v>241</v>
      </c>
      <c r="R748" s="48" t="s">
        <v>2821</v>
      </c>
      <c r="S748" s="48" t="s">
        <v>2996</v>
      </c>
      <c r="T748" s="114" t="s">
        <v>1669</v>
      </c>
      <c r="U748" s="48"/>
      <c r="V748" s="50" t="s">
        <v>2998</v>
      </c>
      <c r="W748" s="50" t="s">
        <v>1762</v>
      </c>
      <c r="X748" s="50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</row>
    <row r="749" spans="1:36" customFormat="1" ht="14.4" x14ac:dyDescent="0.3">
      <c r="A749" s="48">
        <f t="shared" si="30"/>
        <v>11</v>
      </c>
      <c r="B749" s="113">
        <v>46091</v>
      </c>
      <c r="C749" s="48" t="str">
        <f t="shared" si="31"/>
        <v>marzo</v>
      </c>
      <c r="D749" s="48" t="s">
        <v>2135</v>
      </c>
      <c r="E749" s="42" t="s">
        <v>356</v>
      </c>
      <c r="F749" s="47" t="s">
        <v>127</v>
      </c>
      <c r="G749" s="48">
        <v>12.98</v>
      </c>
      <c r="H749" s="48" t="s">
        <v>2017</v>
      </c>
      <c r="I749" s="197">
        <v>19.924499999999998</v>
      </c>
      <c r="J749" s="197">
        <v>258.62000999999998</v>
      </c>
      <c r="K749" s="197">
        <v>41.379201599999995</v>
      </c>
      <c r="L749" s="197">
        <v>299.99921159999997</v>
      </c>
      <c r="M749" s="198">
        <v>0</v>
      </c>
      <c r="N749" s="48" t="s">
        <v>872</v>
      </c>
      <c r="O749" s="48" t="s">
        <v>256</v>
      </c>
      <c r="P749" s="48" t="s">
        <v>871</v>
      </c>
      <c r="Q749" s="48" t="s">
        <v>1921</v>
      </c>
      <c r="R749" s="48" t="s">
        <v>2821</v>
      </c>
      <c r="S749" s="48" t="s">
        <v>647</v>
      </c>
      <c r="T749" s="114" t="s">
        <v>2025</v>
      </c>
      <c r="U749" s="48" t="s">
        <v>2999</v>
      </c>
      <c r="V749" s="50"/>
      <c r="W749" s="50" t="s">
        <v>3000</v>
      </c>
      <c r="X749" s="50"/>
      <c r="Y749" s="50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</row>
    <row r="750" spans="1:36" customFormat="1" ht="14.4" x14ac:dyDescent="0.3">
      <c r="A750" s="48">
        <f t="shared" si="30"/>
        <v>11</v>
      </c>
      <c r="B750" s="113">
        <v>46091</v>
      </c>
      <c r="C750" s="48" t="str">
        <f t="shared" si="31"/>
        <v>marzo</v>
      </c>
      <c r="D750" s="48" t="s">
        <v>2135</v>
      </c>
      <c r="E750" s="42" t="s">
        <v>477</v>
      </c>
      <c r="F750" s="47" t="s">
        <v>559</v>
      </c>
      <c r="G750" s="48">
        <v>1</v>
      </c>
      <c r="H750" s="48" t="s">
        <v>2138</v>
      </c>
      <c r="I750" s="197">
        <v>525.86</v>
      </c>
      <c r="J750" s="197">
        <v>525.86</v>
      </c>
      <c r="K750" s="197">
        <v>84.137600000000006</v>
      </c>
      <c r="L750" s="197">
        <v>609.99760000000003</v>
      </c>
      <c r="M750" s="198">
        <v>0</v>
      </c>
      <c r="N750" s="48" t="s">
        <v>1958</v>
      </c>
      <c r="O750" s="48" t="s">
        <v>51</v>
      </c>
      <c r="P750" s="48" t="s">
        <v>25</v>
      </c>
      <c r="Q750" s="48" t="s">
        <v>1824</v>
      </c>
      <c r="R750" s="48" t="s">
        <v>364</v>
      </c>
      <c r="S750" s="48" t="s">
        <v>2064</v>
      </c>
      <c r="T750" s="114" t="s">
        <v>1617</v>
      </c>
      <c r="U750" s="48"/>
      <c r="V750" s="50"/>
      <c r="W750" s="139" t="s">
        <v>3001</v>
      </c>
      <c r="X750" s="50"/>
      <c r="Y750" s="50"/>
    </row>
    <row r="751" spans="1:36" customFormat="1" ht="14.4" x14ac:dyDescent="0.3">
      <c r="A751" s="48">
        <f t="shared" si="30"/>
        <v>11</v>
      </c>
      <c r="B751" s="113">
        <v>46091</v>
      </c>
      <c r="C751" s="48" t="str">
        <f t="shared" si="31"/>
        <v>marzo</v>
      </c>
      <c r="D751" s="48" t="s">
        <v>2135</v>
      </c>
      <c r="E751" s="42" t="s">
        <v>2732</v>
      </c>
      <c r="F751" s="47" t="s">
        <v>3002</v>
      </c>
      <c r="G751" s="48">
        <v>1</v>
      </c>
      <c r="H751" s="48" t="s">
        <v>1705</v>
      </c>
      <c r="I751" s="197">
        <v>54</v>
      </c>
      <c r="J751" s="197">
        <v>54</v>
      </c>
      <c r="K751" s="197">
        <v>0</v>
      </c>
      <c r="L751" s="197">
        <v>54</v>
      </c>
      <c r="M751" s="198">
        <v>0</v>
      </c>
      <c r="N751" s="48" t="s">
        <v>1617</v>
      </c>
      <c r="O751" s="48" t="s">
        <v>116</v>
      </c>
      <c r="P751" s="48" t="s">
        <v>25</v>
      </c>
      <c r="Q751" s="48" t="s">
        <v>1921</v>
      </c>
      <c r="R751" s="48" t="s">
        <v>2801</v>
      </c>
      <c r="S751" s="48" t="s">
        <v>424</v>
      </c>
      <c r="T751" s="114" t="s">
        <v>3003</v>
      </c>
      <c r="U751" s="48"/>
      <c r="V751" s="50"/>
      <c r="W751" s="139"/>
      <c r="X751" s="50"/>
    </row>
    <row r="752" spans="1:36" customFormat="1" ht="14.4" x14ac:dyDescent="0.3">
      <c r="A752" s="48">
        <f t="shared" si="30"/>
        <v>11</v>
      </c>
      <c r="B752" s="212">
        <v>46092</v>
      </c>
      <c r="C752" s="48" t="str">
        <f t="shared" si="31"/>
        <v>marzo</v>
      </c>
      <c r="D752" s="48" t="s">
        <v>2135</v>
      </c>
      <c r="E752" s="50" t="s">
        <v>356</v>
      </c>
      <c r="F752" s="47" t="s">
        <v>2974</v>
      </c>
      <c r="G752" s="49">
        <v>4.1859999999999999</v>
      </c>
      <c r="H752" s="48" t="s">
        <v>2017</v>
      </c>
      <c r="I752" s="197">
        <v>20.594799999999999</v>
      </c>
      <c r="J752" s="197">
        <v>86.209832800000001</v>
      </c>
      <c r="K752" s="197">
        <v>13.793573248000001</v>
      </c>
      <c r="L752" s="202">
        <v>100.003406048</v>
      </c>
      <c r="M752" s="198">
        <v>0</v>
      </c>
      <c r="N752" s="48" t="s">
        <v>3004</v>
      </c>
      <c r="O752" s="48" t="s">
        <v>2826</v>
      </c>
      <c r="P752" s="48" t="s">
        <v>25</v>
      </c>
      <c r="Q752" s="199" t="s">
        <v>1871</v>
      </c>
      <c r="R752" s="48" t="s">
        <v>2821</v>
      </c>
      <c r="S752" s="49" t="s">
        <v>593</v>
      </c>
      <c r="T752" s="49" t="s">
        <v>2100</v>
      </c>
      <c r="U752" s="49"/>
      <c r="V752" s="49"/>
      <c r="W752" s="196" t="s">
        <v>3005</v>
      </c>
      <c r="X752" s="49"/>
    </row>
    <row r="753" spans="1:36" customFormat="1" ht="14.4" x14ac:dyDescent="0.3">
      <c r="A753" s="48">
        <f t="shared" si="30"/>
        <v>11</v>
      </c>
      <c r="B753" s="212">
        <v>46092</v>
      </c>
      <c r="C753" s="48" t="str">
        <f t="shared" si="31"/>
        <v>marzo</v>
      </c>
      <c r="D753" s="48" t="s">
        <v>2135</v>
      </c>
      <c r="E753" s="42" t="s">
        <v>2732</v>
      </c>
      <c r="F753" s="47" t="s">
        <v>3006</v>
      </c>
      <c r="G753" s="49">
        <v>4</v>
      </c>
      <c r="H753" s="48" t="s">
        <v>2139</v>
      </c>
      <c r="I753" s="197">
        <v>94.12</v>
      </c>
      <c r="J753" s="197">
        <v>376.48</v>
      </c>
      <c r="K753" s="197">
        <v>0</v>
      </c>
      <c r="L753" s="200">
        <v>376.48</v>
      </c>
      <c r="M753" s="198">
        <v>0</v>
      </c>
      <c r="N753" s="48" t="s">
        <v>1617</v>
      </c>
      <c r="O753" s="48" t="s">
        <v>116</v>
      </c>
      <c r="P753" s="48" t="s">
        <v>25</v>
      </c>
      <c r="Q753" s="48" t="s">
        <v>245</v>
      </c>
      <c r="R753" s="48" t="s">
        <v>2821</v>
      </c>
      <c r="S753" s="49" t="s">
        <v>3007</v>
      </c>
      <c r="T753" s="49" t="s">
        <v>2201</v>
      </c>
      <c r="U753" s="49"/>
      <c r="V753" s="49"/>
      <c r="W753" s="196" t="s">
        <v>3008</v>
      </c>
      <c r="X753" s="49"/>
    </row>
    <row r="754" spans="1:36" customFormat="1" ht="14.4" x14ac:dyDescent="0.3">
      <c r="A754" s="48">
        <f t="shared" ref="A754:A818" si="32">WEEKNUM(B754)</f>
        <v>11</v>
      </c>
      <c r="B754" s="212">
        <v>46092</v>
      </c>
      <c r="C754" s="48" t="str">
        <f t="shared" si="31"/>
        <v>marzo</v>
      </c>
      <c r="D754" s="48" t="s">
        <v>2135</v>
      </c>
      <c r="E754" s="42" t="s">
        <v>2732</v>
      </c>
      <c r="F754" s="47" t="s">
        <v>3009</v>
      </c>
      <c r="G754" s="49">
        <v>1</v>
      </c>
      <c r="H754" s="48" t="s">
        <v>1705</v>
      </c>
      <c r="I754" s="197">
        <v>212.78</v>
      </c>
      <c r="J754" s="197">
        <v>212.78</v>
      </c>
      <c r="K754" s="197">
        <v>0</v>
      </c>
      <c r="L754" s="200">
        <v>212.78</v>
      </c>
      <c r="M754" s="198">
        <v>0</v>
      </c>
      <c r="N754" s="48" t="s">
        <v>1617</v>
      </c>
      <c r="O754" s="48" t="s">
        <v>116</v>
      </c>
      <c r="P754" s="48" t="s">
        <v>25</v>
      </c>
      <c r="Q754" s="48" t="s">
        <v>245</v>
      </c>
      <c r="R754" s="48" t="s">
        <v>2821</v>
      </c>
      <c r="S754" s="49" t="s">
        <v>3007</v>
      </c>
      <c r="T754" s="49" t="s">
        <v>2201</v>
      </c>
      <c r="U754" s="49" t="s">
        <v>3010</v>
      </c>
      <c r="V754" s="49" t="s">
        <v>3011</v>
      </c>
      <c r="W754" s="196" t="s">
        <v>3008</v>
      </c>
      <c r="X754" s="49"/>
    </row>
    <row r="755" spans="1:36" customFormat="1" ht="14.4" x14ac:dyDescent="0.3">
      <c r="A755" s="48">
        <f t="shared" si="32"/>
        <v>11</v>
      </c>
      <c r="B755" s="212">
        <v>46092</v>
      </c>
      <c r="C755" s="48" t="str">
        <f t="shared" si="31"/>
        <v>marzo</v>
      </c>
      <c r="D755" s="48" t="s">
        <v>2175</v>
      </c>
      <c r="E755" s="50" t="s">
        <v>1830</v>
      </c>
      <c r="F755" s="47" t="s">
        <v>3012</v>
      </c>
      <c r="G755" s="49">
        <v>1</v>
      </c>
      <c r="H755" s="48" t="s">
        <v>2139</v>
      </c>
      <c r="I755" s="197">
        <v>991.38</v>
      </c>
      <c r="J755" s="197">
        <v>991.38</v>
      </c>
      <c r="K755" s="197">
        <v>158.6208</v>
      </c>
      <c r="L755" s="202">
        <v>1150.0008</v>
      </c>
      <c r="M755" s="198">
        <v>0</v>
      </c>
      <c r="N755" s="48" t="s">
        <v>1617</v>
      </c>
      <c r="O755" s="48" t="s">
        <v>62</v>
      </c>
      <c r="P755" s="48" t="s">
        <v>2734</v>
      </c>
      <c r="Q755" s="199" t="s">
        <v>488</v>
      </c>
      <c r="R755" s="48" t="s">
        <v>2735</v>
      </c>
      <c r="S755" s="49" t="s">
        <v>3013</v>
      </c>
      <c r="T755" s="49" t="s">
        <v>2357</v>
      </c>
      <c r="U755" s="48" t="s">
        <v>1811</v>
      </c>
      <c r="V755" s="49" t="s">
        <v>3014</v>
      </c>
      <c r="W755" s="196" t="s">
        <v>3015</v>
      </c>
      <c r="X755" s="49"/>
    </row>
    <row r="756" spans="1:36" customFormat="1" ht="14.4" x14ac:dyDescent="0.3">
      <c r="A756" s="48">
        <f t="shared" si="32"/>
        <v>11</v>
      </c>
      <c r="B756" s="212">
        <v>46092</v>
      </c>
      <c r="C756" s="48" t="str">
        <f t="shared" si="31"/>
        <v>marzo</v>
      </c>
      <c r="D756" s="48" t="s">
        <v>2135</v>
      </c>
      <c r="E756" s="50" t="s">
        <v>116</v>
      </c>
      <c r="F756" s="47" t="s">
        <v>3016</v>
      </c>
      <c r="G756" s="49">
        <v>1</v>
      </c>
      <c r="H756" s="48" t="s">
        <v>1705</v>
      </c>
      <c r="I756" s="197">
        <v>60</v>
      </c>
      <c r="J756" s="197">
        <v>60</v>
      </c>
      <c r="K756" s="197">
        <v>0</v>
      </c>
      <c r="L756" s="201">
        <v>60</v>
      </c>
      <c r="M756" s="198">
        <v>0</v>
      </c>
      <c r="N756" s="48" t="s">
        <v>1617</v>
      </c>
      <c r="O756" s="48" t="s">
        <v>116</v>
      </c>
      <c r="P756" s="48" t="s">
        <v>25</v>
      </c>
      <c r="Q756" s="199" t="s">
        <v>1841</v>
      </c>
      <c r="R756" s="48" t="s">
        <v>2821</v>
      </c>
      <c r="S756" s="49" t="s">
        <v>3017</v>
      </c>
      <c r="T756" s="49" t="s">
        <v>3018</v>
      </c>
      <c r="U756" s="49"/>
      <c r="V756" s="49"/>
      <c r="W756" s="196" t="s">
        <v>1617</v>
      </c>
      <c r="X756" s="49"/>
    </row>
    <row r="757" spans="1:36" ht="15" customHeight="1" x14ac:dyDescent="0.3">
      <c r="A757" s="48">
        <f t="shared" si="32"/>
        <v>11</v>
      </c>
      <c r="B757" s="212">
        <v>46092</v>
      </c>
      <c r="C757" s="48" t="str">
        <f t="shared" si="31"/>
        <v>marzo</v>
      </c>
      <c r="D757" s="48" t="s">
        <v>2135</v>
      </c>
      <c r="E757" s="50" t="s">
        <v>116</v>
      </c>
      <c r="F757" s="47" t="s">
        <v>3019</v>
      </c>
      <c r="G757" s="49">
        <v>1</v>
      </c>
      <c r="H757" s="48" t="s">
        <v>1705</v>
      </c>
      <c r="I757" s="197">
        <v>60</v>
      </c>
      <c r="J757" s="197">
        <v>60</v>
      </c>
      <c r="K757" s="197">
        <v>0</v>
      </c>
      <c r="L757" s="201">
        <v>60</v>
      </c>
      <c r="M757" s="198">
        <v>0</v>
      </c>
      <c r="N757" s="48" t="s">
        <v>1617</v>
      </c>
      <c r="O757" s="48" t="s">
        <v>116</v>
      </c>
      <c r="P757" s="48" t="s">
        <v>25</v>
      </c>
      <c r="Q757" s="199" t="s">
        <v>1841</v>
      </c>
      <c r="R757" s="48" t="s">
        <v>2821</v>
      </c>
      <c r="S757" s="49" t="s">
        <v>3017</v>
      </c>
      <c r="T757" s="49" t="s">
        <v>3018</v>
      </c>
      <c r="U757" s="49"/>
      <c r="V757" s="49"/>
      <c r="W757" s="196" t="s">
        <v>1617</v>
      </c>
      <c r="X757" s="49"/>
    </row>
    <row r="758" spans="1:36" x14ac:dyDescent="0.3">
      <c r="A758" s="48">
        <f t="shared" si="32"/>
        <v>11</v>
      </c>
      <c r="B758" s="212">
        <v>46092</v>
      </c>
      <c r="C758" s="48" t="str">
        <f t="shared" si="31"/>
        <v>marzo</v>
      </c>
      <c r="D758" s="48" t="s">
        <v>2135</v>
      </c>
      <c r="E758" s="50" t="s">
        <v>116</v>
      </c>
      <c r="F758" s="47" t="s">
        <v>3020</v>
      </c>
      <c r="G758" s="49">
        <v>2</v>
      </c>
      <c r="H758" s="48" t="s">
        <v>1705</v>
      </c>
      <c r="I758" s="197">
        <v>35</v>
      </c>
      <c r="J758" s="197">
        <v>70</v>
      </c>
      <c r="K758" s="197">
        <v>0</v>
      </c>
      <c r="L758" s="213">
        <v>70</v>
      </c>
      <c r="M758" s="198">
        <v>0</v>
      </c>
      <c r="N758" s="48" t="s">
        <v>1617</v>
      </c>
      <c r="O758" s="48" t="s">
        <v>116</v>
      </c>
      <c r="P758" s="48" t="s">
        <v>25</v>
      </c>
      <c r="Q758" s="199" t="s">
        <v>1841</v>
      </c>
      <c r="R758" s="48" t="s">
        <v>2821</v>
      </c>
      <c r="S758" s="49" t="s">
        <v>3017</v>
      </c>
      <c r="T758" s="49" t="s">
        <v>3021</v>
      </c>
      <c r="U758" s="49"/>
      <c r="V758" s="49"/>
      <c r="W758" s="196" t="s">
        <v>1617</v>
      </c>
      <c r="X758" s="49"/>
    </row>
    <row r="759" spans="1:36" x14ac:dyDescent="0.3">
      <c r="A759" s="48">
        <f t="shared" si="32"/>
        <v>11</v>
      </c>
      <c r="B759" s="212">
        <v>46092</v>
      </c>
      <c r="C759" s="48" t="str">
        <f t="shared" si="31"/>
        <v>marzo</v>
      </c>
      <c r="D759" s="48" t="s">
        <v>2135</v>
      </c>
      <c r="E759" s="50" t="s">
        <v>116</v>
      </c>
      <c r="F759" s="47" t="s">
        <v>3022</v>
      </c>
      <c r="G759" s="49">
        <v>1</v>
      </c>
      <c r="H759" s="48" t="s">
        <v>2139</v>
      </c>
      <c r="I759" s="197">
        <v>30</v>
      </c>
      <c r="J759" s="197">
        <v>30</v>
      </c>
      <c r="K759" s="197">
        <v>0</v>
      </c>
      <c r="L759" s="213">
        <v>30</v>
      </c>
      <c r="M759" s="198">
        <v>0</v>
      </c>
      <c r="N759" s="48" t="s">
        <v>1617</v>
      </c>
      <c r="O759" s="48" t="s">
        <v>116</v>
      </c>
      <c r="P759" s="48" t="s">
        <v>25</v>
      </c>
      <c r="Q759" s="199" t="s">
        <v>1841</v>
      </c>
      <c r="R759" s="48" t="s">
        <v>2821</v>
      </c>
      <c r="S759" s="49" t="s">
        <v>3017</v>
      </c>
      <c r="T759" s="49" t="s">
        <v>3023</v>
      </c>
      <c r="U759" s="49"/>
      <c r="V759" s="49"/>
      <c r="W759" s="196" t="s">
        <v>1617</v>
      </c>
      <c r="X759" s="49"/>
    </row>
    <row r="760" spans="1:36" ht="14.4" x14ac:dyDescent="0.3">
      <c r="A760" s="48">
        <f t="shared" si="32"/>
        <v>11</v>
      </c>
      <c r="B760" s="212">
        <v>46092</v>
      </c>
      <c r="C760" s="48" t="str">
        <f t="shared" si="31"/>
        <v>marzo</v>
      </c>
      <c r="D760" s="48" t="s">
        <v>2135</v>
      </c>
      <c r="E760" s="50" t="s">
        <v>116</v>
      </c>
      <c r="F760" s="47" t="s">
        <v>3024</v>
      </c>
      <c r="G760" s="49">
        <v>1</v>
      </c>
      <c r="H760" s="48" t="s">
        <v>1705</v>
      </c>
      <c r="I760" s="197">
        <v>40</v>
      </c>
      <c r="J760" s="197">
        <v>40</v>
      </c>
      <c r="K760" s="197">
        <v>0</v>
      </c>
      <c r="L760" s="213">
        <v>40</v>
      </c>
      <c r="M760" s="198">
        <v>0</v>
      </c>
      <c r="N760" s="48" t="s">
        <v>1617</v>
      </c>
      <c r="O760" s="48" t="s">
        <v>116</v>
      </c>
      <c r="P760" s="48" t="s">
        <v>25</v>
      </c>
      <c r="Q760" s="199" t="s">
        <v>1841</v>
      </c>
      <c r="R760" s="48" t="s">
        <v>2821</v>
      </c>
      <c r="S760" s="49" t="s">
        <v>3017</v>
      </c>
      <c r="T760" s="49" t="s">
        <v>3025</v>
      </c>
      <c r="U760" s="49"/>
      <c r="V760" s="49"/>
      <c r="W760" s="196" t="s">
        <v>1617</v>
      </c>
      <c r="X760" s="49"/>
      <c r="Y760"/>
      <c r="Z760"/>
      <c r="AA760"/>
      <c r="AB760"/>
      <c r="AC760"/>
      <c r="AD760"/>
      <c r="AE760"/>
      <c r="AF760"/>
      <c r="AG760"/>
      <c r="AH760"/>
      <c r="AI760"/>
      <c r="AJ760"/>
    </row>
    <row r="761" spans="1:36" ht="14.4" x14ac:dyDescent="0.3">
      <c r="A761" s="48">
        <f t="shared" si="32"/>
        <v>11</v>
      </c>
      <c r="B761" s="212">
        <v>46092</v>
      </c>
      <c r="C761" s="48" t="str">
        <f t="shared" si="31"/>
        <v>marzo</v>
      </c>
      <c r="D761" s="48" t="s">
        <v>2135</v>
      </c>
      <c r="E761" s="50" t="s">
        <v>116</v>
      </c>
      <c r="F761" s="47" t="s">
        <v>3026</v>
      </c>
      <c r="G761" s="49">
        <v>1</v>
      </c>
      <c r="H761" s="48" t="s">
        <v>1705</v>
      </c>
      <c r="I761" s="197">
        <v>45</v>
      </c>
      <c r="J761" s="197">
        <v>45</v>
      </c>
      <c r="K761" s="197">
        <v>0</v>
      </c>
      <c r="L761" s="213">
        <v>45</v>
      </c>
      <c r="M761" s="198">
        <v>0</v>
      </c>
      <c r="N761" s="48" t="s">
        <v>1617</v>
      </c>
      <c r="O761" s="48" t="s">
        <v>116</v>
      </c>
      <c r="P761" s="48" t="s">
        <v>25</v>
      </c>
      <c r="Q761" s="199" t="s">
        <v>1841</v>
      </c>
      <c r="R761" s="48" t="s">
        <v>2821</v>
      </c>
      <c r="S761" s="49" t="s">
        <v>3017</v>
      </c>
      <c r="T761" s="49" t="s">
        <v>3025</v>
      </c>
      <c r="U761" s="49"/>
      <c r="V761" s="49"/>
      <c r="W761" s="196" t="s">
        <v>1617</v>
      </c>
      <c r="X761" s="49"/>
      <c r="Y761"/>
      <c r="Z761"/>
      <c r="AA761"/>
      <c r="AB761"/>
      <c r="AC761"/>
      <c r="AD761"/>
      <c r="AE761"/>
      <c r="AF761"/>
      <c r="AG761"/>
      <c r="AH761"/>
      <c r="AI761"/>
      <c r="AJ761"/>
    </row>
    <row r="762" spans="1:36" ht="14.4" x14ac:dyDescent="0.3">
      <c r="A762" s="48">
        <f t="shared" si="32"/>
        <v>11</v>
      </c>
      <c r="B762" s="212">
        <v>46092</v>
      </c>
      <c r="C762" s="48" t="str">
        <f t="shared" si="31"/>
        <v>marzo</v>
      </c>
      <c r="D762" s="48" t="s">
        <v>2135</v>
      </c>
      <c r="E762" s="50" t="s">
        <v>116</v>
      </c>
      <c r="F762" s="47" t="s">
        <v>3027</v>
      </c>
      <c r="G762" s="49">
        <v>1</v>
      </c>
      <c r="H762" s="48" t="s">
        <v>1705</v>
      </c>
      <c r="I762" s="197">
        <v>15</v>
      </c>
      <c r="J762" s="197">
        <v>15</v>
      </c>
      <c r="K762" s="197">
        <v>0</v>
      </c>
      <c r="L762" s="213">
        <v>15</v>
      </c>
      <c r="M762" s="198">
        <v>0</v>
      </c>
      <c r="N762" s="48" t="s">
        <v>1617</v>
      </c>
      <c r="O762" s="48" t="s">
        <v>116</v>
      </c>
      <c r="P762" s="48" t="s">
        <v>25</v>
      </c>
      <c r="Q762" s="199" t="s">
        <v>1841</v>
      </c>
      <c r="R762" s="48" t="s">
        <v>2821</v>
      </c>
      <c r="S762" s="49" t="s">
        <v>3017</v>
      </c>
      <c r="T762" s="49" t="s">
        <v>3028</v>
      </c>
      <c r="U762" s="49"/>
      <c r="V762" s="49"/>
      <c r="W762" s="196" t="s">
        <v>1617</v>
      </c>
      <c r="X762"/>
      <c r="Y762"/>
      <c r="Z762"/>
      <c r="AA762"/>
      <c r="AB762"/>
      <c r="AC762"/>
      <c r="AD762"/>
      <c r="AE762"/>
      <c r="AF762"/>
      <c r="AG762"/>
      <c r="AH762"/>
      <c r="AI762"/>
      <c r="AJ762"/>
    </row>
    <row r="763" spans="1:36" ht="14.4" x14ac:dyDescent="0.3">
      <c r="A763" s="48">
        <f t="shared" si="32"/>
        <v>11</v>
      </c>
      <c r="B763" s="212">
        <v>46092</v>
      </c>
      <c r="C763" s="48" t="str">
        <f t="shared" si="31"/>
        <v>marzo</v>
      </c>
      <c r="D763" s="48" t="s">
        <v>2135</v>
      </c>
      <c r="E763" s="50" t="s">
        <v>116</v>
      </c>
      <c r="F763" s="47" t="s">
        <v>3029</v>
      </c>
      <c r="G763" s="49">
        <v>1</v>
      </c>
      <c r="H763" s="48" t="s">
        <v>1705</v>
      </c>
      <c r="I763" s="197">
        <v>20</v>
      </c>
      <c r="J763" s="197">
        <v>20</v>
      </c>
      <c r="K763" s="197">
        <v>0</v>
      </c>
      <c r="L763" s="213">
        <v>20</v>
      </c>
      <c r="M763" s="198">
        <v>0</v>
      </c>
      <c r="N763" s="48" t="s">
        <v>1617</v>
      </c>
      <c r="O763" s="48" t="s">
        <v>116</v>
      </c>
      <c r="P763" s="48" t="s">
        <v>25</v>
      </c>
      <c r="Q763" s="199" t="s">
        <v>1841</v>
      </c>
      <c r="R763" s="48" t="s">
        <v>2821</v>
      </c>
      <c r="S763" s="49" t="s">
        <v>3017</v>
      </c>
      <c r="T763" s="49" t="s">
        <v>3030</v>
      </c>
      <c r="U763" s="49"/>
      <c r="V763" s="49"/>
      <c r="W763" s="196" t="s">
        <v>1617</v>
      </c>
      <c r="X763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</row>
    <row r="764" spans="1:36" customFormat="1" ht="14.4" x14ac:dyDescent="0.3">
      <c r="A764" s="48">
        <f t="shared" si="32"/>
        <v>11</v>
      </c>
      <c r="B764" s="212">
        <v>46092</v>
      </c>
      <c r="C764" s="48" t="str">
        <f t="shared" si="31"/>
        <v>marzo</v>
      </c>
      <c r="D764" s="48" t="s">
        <v>2135</v>
      </c>
      <c r="E764" s="50" t="s">
        <v>116</v>
      </c>
      <c r="F764" s="47" t="s">
        <v>3031</v>
      </c>
      <c r="G764" s="49">
        <v>1</v>
      </c>
      <c r="H764" s="48" t="s">
        <v>1705</v>
      </c>
      <c r="I764" s="197">
        <v>18</v>
      </c>
      <c r="J764" s="197">
        <v>18</v>
      </c>
      <c r="K764" s="197">
        <v>0</v>
      </c>
      <c r="L764" s="213">
        <v>18</v>
      </c>
      <c r="M764" s="198">
        <v>0</v>
      </c>
      <c r="N764" s="48" t="s">
        <v>1617</v>
      </c>
      <c r="O764" s="48" t="s">
        <v>116</v>
      </c>
      <c r="P764" s="48" t="s">
        <v>25</v>
      </c>
      <c r="Q764" s="199" t="s">
        <v>1841</v>
      </c>
      <c r="R764" s="48" t="s">
        <v>2821</v>
      </c>
      <c r="S764" s="49" t="s">
        <v>3017</v>
      </c>
      <c r="T764" s="49" t="s">
        <v>3032</v>
      </c>
      <c r="U764" s="49"/>
      <c r="V764" s="49" t="s">
        <v>3033</v>
      </c>
      <c r="W764" s="196" t="s">
        <v>1617</v>
      </c>
    </row>
    <row r="765" spans="1:36" customFormat="1" ht="14.4" x14ac:dyDescent="0.3">
      <c r="A765" s="48">
        <f t="shared" si="32"/>
        <v>11</v>
      </c>
      <c r="B765" s="212">
        <v>46092</v>
      </c>
      <c r="C765" s="48" t="str">
        <f t="shared" si="31"/>
        <v>marzo</v>
      </c>
      <c r="D765" s="48" t="s">
        <v>2135</v>
      </c>
      <c r="E765" s="42" t="s">
        <v>2728</v>
      </c>
      <c r="F765" s="47" t="s">
        <v>3034</v>
      </c>
      <c r="G765" s="49">
        <v>2</v>
      </c>
      <c r="H765" s="48" t="s">
        <v>1705</v>
      </c>
      <c r="I765" s="197">
        <v>100</v>
      </c>
      <c r="J765" s="197">
        <v>200</v>
      </c>
      <c r="K765" s="197">
        <v>0</v>
      </c>
      <c r="L765" s="214">
        <v>200</v>
      </c>
      <c r="M765" s="198">
        <v>0</v>
      </c>
      <c r="N765" s="48" t="s">
        <v>1956</v>
      </c>
      <c r="O765" s="48" t="s">
        <v>257</v>
      </c>
      <c r="P765" s="48" t="s">
        <v>25</v>
      </c>
      <c r="Q765" s="199" t="s">
        <v>1813</v>
      </c>
      <c r="R765" s="49" t="s">
        <v>364</v>
      </c>
      <c r="S765" s="49" t="s">
        <v>2083</v>
      </c>
      <c r="T765" s="49" t="s">
        <v>1617</v>
      </c>
      <c r="U765" s="39" t="s">
        <v>1759</v>
      </c>
      <c r="V765" s="49" t="s">
        <v>3035</v>
      </c>
      <c r="W765" s="196" t="s">
        <v>1617</v>
      </c>
      <c r="Y765" s="50"/>
    </row>
    <row r="766" spans="1:36" customFormat="1" ht="14.4" x14ac:dyDescent="0.3">
      <c r="A766" s="48">
        <f t="shared" si="32"/>
        <v>11</v>
      </c>
      <c r="B766" s="212">
        <v>46092</v>
      </c>
      <c r="C766" s="48" t="str">
        <f t="shared" si="31"/>
        <v>marzo</v>
      </c>
      <c r="D766" s="48" t="s">
        <v>2135</v>
      </c>
      <c r="E766" s="42" t="s">
        <v>2728</v>
      </c>
      <c r="F766" s="47" t="s">
        <v>3036</v>
      </c>
      <c r="G766" s="49">
        <v>1</v>
      </c>
      <c r="H766" s="48" t="s">
        <v>2016</v>
      </c>
      <c r="I766" s="197">
        <v>350</v>
      </c>
      <c r="J766" s="197">
        <v>350</v>
      </c>
      <c r="K766" s="197">
        <v>0</v>
      </c>
      <c r="L766" s="214">
        <v>350</v>
      </c>
      <c r="M766" s="198">
        <v>0</v>
      </c>
      <c r="N766" s="48" t="s">
        <v>1956</v>
      </c>
      <c r="O766" s="48" t="s">
        <v>257</v>
      </c>
      <c r="P766" s="48" t="s">
        <v>25</v>
      </c>
      <c r="Q766" s="199" t="s">
        <v>241</v>
      </c>
      <c r="R766" s="48" t="s">
        <v>2801</v>
      </c>
      <c r="S766" s="49" t="s">
        <v>381</v>
      </c>
      <c r="T766" s="49" t="s">
        <v>2578</v>
      </c>
      <c r="U766" s="39"/>
      <c r="V766" s="49"/>
      <c r="W766" s="196" t="s">
        <v>3037</v>
      </c>
      <c r="Y766" s="50"/>
    </row>
    <row r="767" spans="1:36" customFormat="1" ht="14.4" x14ac:dyDescent="0.3">
      <c r="A767" s="48">
        <f t="shared" si="32"/>
        <v>11</v>
      </c>
      <c r="B767" s="212">
        <v>46092</v>
      </c>
      <c r="C767" s="48" t="str">
        <f t="shared" si="31"/>
        <v>marzo</v>
      </c>
      <c r="D767" s="48" t="s">
        <v>2135</v>
      </c>
      <c r="E767" s="42" t="s">
        <v>2728</v>
      </c>
      <c r="F767" s="47" t="s">
        <v>3038</v>
      </c>
      <c r="G767" s="49">
        <v>2</v>
      </c>
      <c r="H767" s="48" t="s">
        <v>1705</v>
      </c>
      <c r="I767" s="197">
        <v>850</v>
      </c>
      <c r="J767" s="197">
        <v>1700</v>
      </c>
      <c r="K767" s="197">
        <v>0</v>
      </c>
      <c r="L767" s="215">
        <v>1700</v>
      </c>
      <c r="M767" s="198">
        <v>0</v>
      </c>
      <c r="N767" s="48" t="s">
        <v>944</v>
      </c>
      <c r="O767" s="48" t="s">
        <v>372</v>
      </c>
      <c r="P767" s="48" t="s">
        <v>39</v>
      </c>
      <c r="Q767" s="199" t="s">
        <v>241</v>
      </c>
      <c r="R767" s="49" t="s">
        <v>2727</v>
      </c>
      <c r="S767" s="49" t="s">
        <v>3039</v>
      </c>
      <c r="T767" s="49" t="s">
        <v>3040</v>
      </c>
      <c r="U767" s="39"/>
      <c r="V767" s="49"/>
      <c r="W767" s="196" t="s">
        <v>3041</v>
      </c>
      <c r="Y767" s="50"/>
    </row>
    <row r="768" spans="1:36" customFormat="1" ht="14.4" x14ac:dyDescent="0.3">
      <c r="A768" s="48">
        <f t="shared" si="32"/>
        <v>11</v>
      </c>
      <c r="B768" s="212">
        <v>46092</v>
      </c>
      <c r="C768" s="48" t="str">
        <f t="shared" si="31"/>
        <v>marzo</v>
      </c>
      <c r="D768" s="48" t="s">
        <v>2135</v>
      </c>
      <c r="E768" s="42" t="s">
        <v>2728</v>
      </c>
      <c r="F768" s="47" t="s">
        <v>3042</v>
      </c>
      <c r="G768" s="49">
        <v>4</v>
      </c>
      <c r="H768" s="48" t="s">
        <v>1705</v>
      </c>
      <c r="I768" s="197">
        <v>850</v>
      </c>
      <c r="J768" s="197">
        <v>3400</v>
      </c>
      <c r="K768" s="197">
        <v>0</v>
      </c>
      <c r="L768" s="215">
        <v>3400</v>
      </c>
      <c r="M768" s="198">
        <v>0</v>
      </c>
      <c r="N768" s="48" t="s">
        <v>2995</v>
      </c>
      <c r="O768" s="48" t="s">
        <v>36</v>
      </c>
      <c r="P768" s="48" t="s">
        <v>25</v>
      </c>
      <c r="Q768" s="199" t="s">
        <v>241</v>
      </c>
      <c r="R768" s="49" t="s">
        <v>2727</v>
      </c>
      <c r="S768" s="49" t="s">
        <v>3039</v>
      </c>
      <c r="T768" s="49" t="s">
        <v>3043</v>
      </c>
      <c r="V768" s="130"/>
      <c r="W768" s="196" t="s">
        <v>3041</v>
      </c>
      <c r="Y768" s="50"/>
    </row>
    <row r="769" spans="1:36" customFormat="1" ht="14.4" x14ac:dyDescent="0.3">
      <c r="A769" s="48">
        <f t="shared" si="32"/>
        <v>11</v>
      </c>
      <c r="B769" s="113">
        <v>46092</v>
      </c>
      <c r="C769" s="48" t="str">
        <f t="shared" si="31"/>
        <v>marzo</v>
      </c>
      <c r="D769" s="48" t="s">
        <v>2135</v>
      </c>
      <c r="E769" s="42" t="s">
        <v>477</v>
      </c>
      <c r="F769" s="47" t="s">
        <v>559</v>
      </c>
      <c r="G769" s="48">
        <v>1</v>
      </c>
      <c r="H769" s="48" t="s">
        <v>2138</v>
      </c>
      <c r="I769" s="202">
        <v>525.86</v>
      </c>
      <c r="J769" s="197">
        <v>525.86</v>
      </c>
      <c r="K769" s="202">
        <v>84.137600000000006</v>
      </c>
      <c r="L769" s="214">
        <v>609.99760000000003</v>
      </c>
      <c r="M769" s="198">
        <v>0</v>
      </c>
      <c r="N769" s="48" t="s">
        <v>1958</v>
      </c>
      <c r="O769" s="48" t="s">
        <v>101</v>
      </c>
      <c r="P769" s="48" t="s">
        <v>25</v>
      </c>
      <c r="Q769" s="48" t="s">
        <v>1824</v>
      </c>
      <c r="R769" s="48" t="s">
        <v>2735</v>
      </c>
      <c r="S769" s="48" t="s">
        <v>2064</v>
      </c>
      <c r="T769" s="114" t="s">
        <v>1617</v>
      </c>
      <c r="U769" s="48"/>
      <c r="V769" s="130" t="s">
        <v>2969</v>
      </c>
      <c r="W769" s="139" t="s">
        <v>325</v>
      </c>
      <c r="X769" s="50"/>
      <c r="Y769" s="50"/>
    </row>
    <row r="770" spans="1:36" ht="14.4" x14ac:dyDescent="0.3">
      <c r="A770" s="48">
        <f t="shared" si="32"/>
        <v>11</v>
      </c>
      <c r="B770" s="195">
        <v>46092</v>
      </c>
      <c r="C770" s="48" t="str">
        <f t="shared" si="31"/>
        <v>marzo</v>
      </c>
      <c r="D770" s="48" t="s">
        <v>2135</v>
      </c>
      <c r="E770" s="50" t="s">
        <v>850</v>
      </c>
      <c r="F770" s="209" t="s">
        <v>2937</v>
      </c>
      <c r="G770" s="199">
        <v>1</v>
      </c>
      <c r="H770" s="48" t="s">
        <v>2138</v>
      </c>
      <c r="I770" s="197">
        <v>8552.060344827587</v>
      </c>
      <c r="J770" s="197">
        <v>8552.060344827587</v>
      </c>
      <c r="K770" s="197">
        <v>1368.329655172414</v>
      </c>
      <c r="L770" s="198">
        <v>9920.3900000000012</v>
      </c>
      <c r="M770" s="198">
        <v>0</v>
      </c>
      <c r="O770" s="48" t="s">
        <v>64</v>
      </c>
      <c r="P770" s="49" t="s">
        <v>25</v>
      </c>
      <c r="Q770" s="199" t="s">
        <v>1766</v>
      </c>
      <c r="R770" s="48" t="s">
        <v>2735</v>
      </c>
      <c r="S770" s="50" t="s">
        <v>669</v>
      </c>
      <c r="Z770"/>
      <c r="AA770"/>
      <c r="AB770"/>
      <c r="AC770"/>
      <c r="AD770"/>
      <c r="AE770"/>
      <c r="AF770"/>
      <c r="AG770"/>
      <c r="AH770"/>
      <c r="AI770"/>
      <c r="AJ770"/>
    </row>
    <row r="771" spans="1:36" s="49" customFormat="1" ht="12.75" customHeight="1" x14ac:dyDescent="0.3">
      <c r="A771" s="48">
        <f t="shared" si="32"/>
        <v>11</v>
      </c>
      <c r="B771" s="195">
        <v>46092</v>
      </c>
      <c r="C771" s="48" t="str">
        <f t="shared" ref="C771:C835" si="33">TEXT(B771,"MMMM")</f>
        <v>marzo</v>
      </c>
      <c r="D771" s="48" t="s">
        <v>2135</v>
      </c>
      <c r="E771" s="50" t="s">
        <v>850</v>
      </c>
      <c r="F771" s="209" t="s">
        <v>2937</v>
      </c>
      <c r="G771" s="199">
        <v>1</v>
      </c>
      <c r="H771" s="48" t="s">
        <v>2138</v>
      </c>
      <c r="I771" s="197">
        <v>11697.422413793105</v>
      </c>
      <c r="J771" s="197">
        <v>11697.422413793105</v>
      </c>
      <c r="K771" s="197">
        <v>1871.587586206897</v>
      </c>
      <c r="L771" s="198">
        <v>13569.010000000002</v>
      </c>
      <c r="M771" s="198">
        <v>0</v>
      </c>
      <c r="N771" s="50"/>
      <c r="O771" s="49" t="s">
        <v>1586</v>
      </c>
      <c r="P771" s="49" t="s">
        <v>25</v>
      </c>
      <c r="Q771" s="199" t="s">
        <v>1766</v>
      </c>
      <c r="R771" s="48" t="s">
        <v>2735</v>
      </c>
      <c r="S771" s="50" t="s">
        <v>669</v>
      </c>
      <c r="T771" s="50"/>
      <c r="U771" s="50"/>
      <c r="V771" s="196"/>
      <c r="W771" s="50"/>
      <c r="X771" s="50"/>
      <c r="Y771" s="50"/>
      <c r="Z771"/>
      <c r="AA771"/>
      <c r="AB771"/>
      <c r="AC771"/>
      <c r="AD771"/>
      <c r="AE771"/>
      <c r="AF771"/>
      <c r="AG771"/>
      <c r="AH771"/>
      <c r="AI771"/>
      <c r="AJ771"/>
    </row>
    <row r="772" spans="1:36" ht="12.75" customHeight="1" x14ac:dyDescent="0.3">
      <c r="A772" s="48">
        <f t="shared" si="32"/>
        <v>11</v>
      </c>
      <c r="B772" s="195">
        <v>46092</v>
      </c>
      <c r="C772" s="48" t="str">
        <f t="shared" si="33"/>
        <v>marzo</v>
      </c>
      <c r="D772" s="48" t="s">
        <v>2135</v>
      </c>
      <c r="E772" s="50" t="s">
        <v>850</v>
      </c>
      <c r="F772" s="209" t="s">
        <v>2937</v>
      </c>
      <c r="G772" s="199">
        <v>1</v>
      </c>
      <c r="H772" s="48" t="s">
        <v>2138</v>
      </c>
      <c r="I772" s="197">
        <v>9503.6465517241377</v>
      </c>
      <c r="J772" s="197">
        <v>9503.6465517241377</v>
      </c>
      <c r="K772" s="197">
        <v>1520.5834482758621</v>
      </c>
      <c r="L772" s="198">
        <v>11024.23</v>
      </c>
      <c r="M772" s="198">
        <v>0</v>
      </c>
      <c r="O772" s="49" t="s">
        <v>1611</v>
      </c>
      <c r="P772" s="49" t="s">
        <v>25</v>
      </c>
      <c r="Q772" s="199" t="s">
        <v>1766</v>
      </c>
      <c r="R772" s="48" t="s">
        <v>2735</v>
      </c>
      <c r="S772" s="50" t="s">
        <v>669</v>
      </c>
      <c r="Z772"/>
      <c r="AA772"/>
      <c r="AB772"/>
      <c r="AC772"/>
      <c r="AD772"/>
      <c r="AE772"/>
      <c r="AF772"/>
      <c r="AG772"/>
      <c r="AH772"/>
      <c r="AI772"/>
      <c r="AJ772"/>
    </row>
    <row r="773" spans="1:36" ht="12.75" customHeight="1" x14ac:dyDescent="0.3">
      <c r="A773" s="48">
        <f t="shared" si="32"/>
        <v>11</v>
      </c>
      <c r="B773" s="195">
        <v>46092</v>
      </c>
      <c r="C773" s="48" t="str">
        <f t="shared" si="33"/>
        <v>marzo</v>
      </c>
      <c r="D773" s="48" t="s">
        <v>2135</v>
      </c>
      <c r="E773" s="50" t="s">
        <v>850</v>
      </c>
      <c r="F773" s="209" t="s">
        <v>2937</v>
      </c>
      <c r="G773" s="199">
        <v>1</v>
      </c>
      <c r="H773" s="48" t="s">
        <v>2138</v>
      </c>
      <c r="I773" s="197">
        <v>13850.103448275864</v>
      </c>
      <c r="J773" s="197">
        <v>13850.103448275864</v>
      </c>
      <c r="K773" s="197">
        <v>2216.0165517241385</v>
      </c>
      <c r="L773" s="198">
        <v>16066.120000000003</v>
      </c>
      <c r="M773" s="198">
        <v>0</v>
      </c>
      <c r="O773" s="49" t="s">
        <v>1829</v>
      </c>
      <c r="P773" s="49" t="s">
        <v>25</v>
      </c>
      <c r="Q773" s="199" t="s">
        <v>1766</v>
      </c>
      <c r="R773" s="48" t="s">
        <v>2735</v>
      </c>
      <c r="S773" s="50" t="s">
        <v>669</v>
      </c>
      <c r="Z773"/>
      <c r="AA773"/>
      <c r="AB773"/>
      <c r="AC773"/>
      <c r="AD773"/>
      <c r="AE773"/>
      <c r="AF773"/>
      <c r="AG773"/>
      <c r="AH773"/>
      <c r="AI773"/>
      <c r="AJ773"/>
    </row>
    <row r="774" spans="1:36" ht="12.75" customHeight="1" x14ac:dyDescent="0.3">
      <c r="A774" s="48">
        <f t="shared" si="32"/>
        <v>11</v>
      </c>
      <c r="B774" s="113">
        <v>46093</v>
      </c>
      <c r="C774" s="48" t="str">
        <f t="shared" si="33"/>
        <v>marzo</v>
      </c>
      <c r="D774" s="48" t="s">
        <v>2135</v>
      </c>
      <c r="E774" s="50" t="s">
        <v>356</v>
      </c>
      <c r="F774" s="196" t="s">
        <v>2974</v>
      </c>
      <c r="G774" s="49">
        <v>4.1719999999999997</v>
      </c>
      <c r="H774" s="48" t="s">
        <v>2017</v>
      </c>
      <c r="I774" s="197">
        <v>20.664000000000001</v>
      </c>
      <c r="J774" s="197">
        <v>86.210207999999994</v>
      </c>
      <c r="K774" s="197">
        <v>13.79363328</v>
      </c>
      <c r="L774" s="202">
        <v>100.00384127999999</v>
      </c>
      <c r="M774" s="198">
        <v>0</v>
      </c>
      <c r="N774" s="48" t="s">
        <v>2098</v>
      </c>
      <c r="O774" s="48" t="s">
        <v>2826</v>
      </c>
      <c r="P774" s="48" t="s">
        <v>25</v>
      </c>
      <c r="Q774" s="199" t="s">
        <v>488</v>
      </c>
      <c r="R774" s="48" t="s">
        <v>2801</v>
      </c>
      <c r="S774" s="49" t="s">
        <v>3044</v>
      </c>
      <c r="T774" s="49" t="s">
        <v>3045</v>
      </c>
      <c r="U774" s="49" t="s">
        <v>2636</v>
      </c>
      <c r="W774" s="50" t="s">
        <v>3046</v>
      </c>
      <c r="Y774"/>
      <c r="Z774"/>
      <c r="AA774"/>
      <c r="AB774"/>
      <c r="AC774"/>
      <c r="AD774"/>
      <c r="AE774"/>
      <c r="AF774"/>
      <c r="AG774"/>
      <c r="AH774"/>
      <c r="AI774"/>
      <c r="AJ774"/>
    </row>
    <row r="775" spans="1:36" ht="12.75" customHeight="1" x14ac:dyDescent="0.3">
      <c r="A775" s="48">
        <f t="shared" si="32"/>
        <v>11</v>
      </c>
      <c r="B775" s="113">
        <v>46093</v>
      </c>
      <c r="C775" s="48" t="str">
        <f t="shared" si="33"/>
        <v>marzo</v>
      </c>
      <c r="D775" s="48" t="s">
        <v>2135</v>
      </c>
      <c r="E775" s="42" t="s">
        <v>2732</v>
      </c>
      <c r="F775" s="196" t="s">
        <v>3047</v>
      </c>
      <c r="G775" s="49">
        <v>1</v>
      </c>
      <c r="H775" s="48" t="s">
        <v>1705</v>
      </c>
      <c r="I775" s="197">
        <v>38.793100000000003</v>
      </c>
      <c r="J775" s="197">
        <v>38.793100000000003</v>
      </c>
      <c r="K775" s="197">
        <v>6.2068960000000004</v>
      </c>
      <c r="L775" s="201">
        <v>44.999996000000003</v>
      </c>
      <c r="M775" s="198">
        <v>0</v>
      </c>
      <c r="N775" s="48" t="s">
        <v>1617</v>
      </c>
      <c r="O775" s="48" t="s">
        <v>116</v>
      </c>
      <c r="P775" s="48" t="s">
        <v>25</v>
      </c>
      <c r="Q775" s="199" t="s">
        <v>488</v>
      </c>
      <c r="R775" s="48" t="s">
        <v>2801</v>
      </c>
      <c r="S775" s="49" t="s">
        <v>1890</v>
      </c>
      <c r="T775" s="49" t="s">
        <v>2339</v>
      </c>
      <c r="U775"/>
      <c r="V775" s="130"/>
      <c r="W775" t="s">
        <v>3048</v>
      </c>
    </row>
    <row r="776" spans="1:36" ht="12.75" customHeight="1" x14ac:dyDescent="0.3">
      <c r="A776" s="48">
        <f t="shared" si="32"/>
        <v>11</v>
      </c>
      <c r="B776" s="113">
        <v>46093</v>
      </c>
      <c r="C776" s="48" t="str">
        <f t="shared" si="33"/>
        <v>marzo</v>
      </c>
      <c r="D776" s="48" t="s">
        <v>2135</v>
      </c>
      <c r="E776" s="42" t="s">
        <v>2732</v>
      </c>
      <c r="F776" s="196" t="s">
        <v>3049</v>
      </c>
      <c r="G776" s="49">
        <v>1</v>
      </c>
      <c r="H776" s="48" t="s">
        <v>1705</v>
      </c>
      <c r="I776" s="197">
        <v>37.5</v>
      </c>
      <c r="J776" s="197">
        <v>37.5</v>
      </c>
      <c r="K776" s="197">
        <v>6</v>
      </c>
      <c r="L776" s="201">
        <v>43.5</v>
      </c>
      <c r="M776" s="198">
        <v>0</v>
      </c>
      <c r="N776" s="48" t="s">
        <v>1617</v>
      </c>
      <c r="O776" s="48" t="s">
        <v>116</v>
      </c>
      <c r="P776" s="48" t="s">
        <v>25</v>
      </c>
      <c r="Q776" s="199" t="s">
        <v>488</v>
      </c>
      <c r="R776" s="48" t="s">
        <v>2801</v>
      </c>
      <c r="S776" s="49" t="s">
        <v>1890</v>
      </c>
      <c r="T776" s="49" t="s">
        <v>2339</v>
      </c>
      <c r="U776"/>
      <c r="V776" s="130"/>
      <c r="W776" t="s">
        <v>3048</v>
      </c>
    </row>
    <row r="777" spans="1:36" ht="12.75" customHeight="1" x14ac:dyDescent="0.3">
      <c r="A777" s="48">
        <f t="shared" si="32"/>
        <v>11</v>
      </c>
      <c r="B777" s="113">
        <v>46093</v>
      </c>
      <c r="C777" s="48" t="str">
        <f t="shared" si="33"/>
        <v>marzo</v>
      </c>
      <c r="D777" s="48" t="s">
        <v>2135</v>
      </c>
      <c r="E777" s="42" t="s">
        <v>2732</v>
      </c>
      <c r="F777" s="196" t="s">
        <v>3050</v>
      </c>
      <c r="G777" s="49">
        <v>1</v>
      </c>
      <c r="H777" s="48" t="s">
        <v>1705</v>
      </c>
      <c r="I777" s="197">
        <v>38.793100000000003</v>
      </c>
      <c r="J777" s="197">
        <v>38.793100000000003</v>
      </c>
      <c r="K777" s="197">
        <v>6.2068960000000004</v>
      </c>
      <c r="L777" s="201">
        <v>44.999996000000003</v>
      </c>
      <c r="M777" s="198">
        <v>0</v>
      </c>
      <c r="N777" s="48" t="s">
        <v>1617</v>
      </c>
      <c r="O777" s="48" t="s">
        <v>116</v>
      </c>
      <c r="P777" s="48" t="s">
        <v>25</v>
      </c>
      <c r="Q777" s="199" t="s">
        <v>488</v>
      </c>
      <c r="R777" s="48" t="s">
        <v>2801</v>
      </c>
      <c r="S777" s="49" t="s">
        <v>1890</v>
      </c>
      <c r="T777" s="49" t="s">
        <v>2339</v>
      </c>
      <c r="U777"/>
      <c r="V777" s="130"/>
      <c r="W777" t="s">
        <v>3048</v>
      </c>
      <c r="X777"/>
    </row>
    <row r="778" spans="1:36" ht="12.75" customHeight="1" x14ac:dyDescent="0.3">
      <c r="A778" s="48">
        <f t="shared" si="32"/>
        <v>11</v>
      </c>
      <c r="B778" s="113">
        <v>46093</v>
      </c>
      <c r="C778" s="48" t="str">
        <f t="shared" si="33"/>
        <v>marzo</v>
      </c>
      <c r="D778" s="48" t="s">
        <v>2135</v>
      </c>
      <c r="E778" s="42" t="s">
        <v>2732</v>
      </c>
      <c r="F778" s="196" t="s">
        <v>3051</v>
      </c>
      <c r="G778" s="49">
        <v>1</v>
      </c>
      <c r="H778" s="48" t="s">
        <v>1705</v>
      </c>
      <c r="I778" s="197">
        <v>41.379300000000001</v>
      </c>
      <c r="J778" s="197">
        <v>41.379300000000001</v>
      </c>
      <c r="K778" s="197">
        <v>6.6206880000000004</v>
      </c>
      <c r="L778" s="201">
        <v>47.999988000000002</v>
      </c>
      <c r="M778" s="198">
        <v>0</v>
      </c>
      <c r="N778" s="48" t="s">
        <v>1617</v>
      </c>
      <c r="O778" s="48" t="s">
        <v>116</v>
      </c>
      <c r="P778" s="48" t="s">
        <v>25</v>
      </c>
      <c r="Q778" s="199" t="s">
        <v>488</v>
      </c>
      <c r="R778" s="48" t="s">
        <v>2801</v>
      </c>
      <c r="S778" s="49" t="s">
        <v>1890</v>
      </c>
      <c r="T778" s="49" t="s">
        <v>2339</v>
      </c>
      <c r="U778"/>
      <c r="V778" s="49" t="s">
        <v>3052</v>
      </c>
      <c r="W778" t="s">
        <v>3048</v>
      </c>
      <c r="X778"/>
    </row>
    <row r="779" spans="1:36" ht="12.75" customHeight="1" x14ac:dyDescent="0.3">
      <c r="A779" s="48">
        <f t="shared" si="32"/>
        <v>11</v>
      </c>
      <c r="B779" s="113">
        <v>46093</v>
      </c>
      <c r="C779" s="48" t="str">
        <f t="shared" si="33"/>
        <v>marzo</v>
      </c>
      <c r="D779" s="48" t="s">
        <v>2135</v>
      </c>
      <c r="E779" s="42" t="s">
        <v>2732</v>
      </c>
      <c r="F779" s="196" t="s">
        <v>3053</v>
      </c>
      <c r="G779" s="49">
        <v>50</v>
      </c>
      <c r="H779" s="48" t="s">
        <v>1705</v>
      </c>
      <c r="I779" s="197">
        <v>26</v>
      </c>
      <c r="J779" s="197">
        <v>1300</v>
      </c>
      <c r="K779" s="197">
        <v>0</v>
      </c>
      <c r="L779" s="200">
        <v>1300</v>
      </c>
      <c r="M779" s="198">
        <v>0</v>
      </c>
      <c r="N779" s="48" t="s">
        <v>1617</v>
      </c>
      <c r="O779" s="48" t="s">
        <v>116</v>
      </c>
      <c r="P779" s="48" t="s">
        <v>25</v>
      </c>
      <c r="Q779" s="199" t="s">
        <v>3054</v>
      </c>
      <c r="R779" s="48" t="s">
        <v>2801</v>
      </c>
      <c r="S779" s="49" t="s">
        <v>3055</v>
      </c>
      <c r="T779" s="49" t="s">
        <v>3055</v>
      </c>
      <c r="U779" s="49" t="s">
        <v>1759</v>
      </c>
      <c r="V779" s="130"/>
      <c r="W779" s="50" t="s">
        <v>1617</v>
      </c>
      <c r="X779"/>
    </row>
    <row r="780" spans="1:36" ht="12.75" customHeight="1" x14ac:dyDescent="0.3">
      <c r="A780" s="48">
        <f t="shared" si="32"/>
        <v>11</v>
      </c>
      <c r="B780" s="113">
        <v>46093</v>
      </c>
      <c r="C780" s="48" t="str">
        <f t="shared" si="33"/>
        <v>marzo</v>
      </c>
      <c r="D780" s="48" t="s">
        <v>2135</v>
      </c>
      <c r="E780" s="42" t="s">
        <v>2732</v>
      </c>
      <c r="F780" s="196" t="s">
        <v>3056</v>
      </c>
      <c r="G780" s="49">
        <v>20</v>
      </c>
      <c r="H780" s="48" t="s">
        <v>1705</v>
      </c>
      <c r="I780" s="197">
        <v>26</v>
      </c>
      <c r="J780" s="197">
        <v>520</v>
      </c>
      <c r="K780" s="197">
        <v>0</v>
      </c>
      <c r="L780" s="200">
        <v>520</v>
      </c>
      <c r="M780" s="198">
        <v>0</v>
      </c>
      <c r="N780" s="48" t="s">
        <v>1617</v>
      </c>
      <c r="O780" s="48" t="s">
        <v>116</v>
      </c>
      <c r="P780" s="48" t="s">
        <v>25</v>
      </c>
      <c r="Q780" s="199" t="s">
        <v>3054</v>
      </c>
      <c r="R780" s="48" t="s">
        <v>2801</v>
      </c>
      <c r="S780" s="49" t="s">
        <v>3055</v>
      </c>
      <c r="T780" s="49" t="s">
        <v>3055</v>
      </c>
      <c r="U780" s="49" t="s">
        <v>1759</v>
      </c>
      <c r="V780" s="130"/>
      <c r="W780" s="50" t="s">
        <v>1617</v>
      </c>
      <c r="X780"/>
    </row>
    <row r="781" spans="1:36" ht="12.75" customHeight="1" x14ac:dyDescent="0.3">
      <c r="A781" s="48">
        <f t="shared" si="32"/>
        <v>11</v>
      </c>
      <c r="B781" s="113">
        <v>46093</v>
      </c>
      <c r="C781" s="48" t="str">
        <f t="shared" si="33"/>
        <v>marzo</v>
      </c>
      <c r="D781" s="48" t="s">
        <v>2135</v>
      </c>
      <c r="E781" s="42" t="s">
        <v>2826</v>
      </c>
      <c r="F781" s="196" t="s">
        <v>3057</v>
      </c>
      <c r="G781" s="49">
        <v>1</v>
      </c>
      <c r="H781" s="48" t="s">
        <v>1705</v>
      </c>
      <c r="I781" s="197">
        <v>182</v>
      </c>
      <c r="J781" s="197">
        <v>182</v>
      </c>
      <c r="K781" s="197">
        <v>0</v>
      </c>
      <c r="L781" s="200">
        <v>182</v>
      </c>
      <c r="M781" s="198">
        <v>0</v>
      </c>
      <c r="N781" s="48" t="s">
        <v>1617</v>
      </c>
      <c r="O781" s="48" t="s">
        <v>118</v>
      </c>
      <c r="P781" s="48" t="s">
        <v>25</v>
      </c>
      <c r="Q781" s="199" t="s">
        <v>3054</v>
      </c>
      <c r="R781" s="48" t="s">
        <v>2801</v>
      </c>
      <c r="S781" s="49" t="s">
        <v>3055</v>
      </c>
      <c r="T781" s="49" t="s">
        <v>3055</v>
      </c>
      <c r="U781" s="49" t="s">
        <v>1759</v>
      </c>
      <c r="V781" s="49" t="s">
        <v>3058</v>
      </c>
      <c r="W781" s="50" t="s">
        <v>1617</v>
      </c>
      <c r="X781"/>
    </row>
    <row r="782" spans="1:36" ht="12.75" customHeight="1" x14ac:dyDescent="0.3">
      <c r="A782" s="48">
        <f t="shared" si="32"/>
        <v>11</v>
      </c>
      <c r="B782" s="113">
        <v>46093</v>
      </c>
      <c r="C782" s="48" t="str">
        <f t="shared" si="33"/>
        <v>marzo</v>
      </c>
      <c r="D782" s="48" t="s">
        <v>2135</v>
      </c>
      <c r="E782" s="42" t="s">
        <v>2732</v>
      </c>
      <c r="F782" s="196" t="s">
        <v>3059</v>
      </c>
      <c r="G782" s="49">
        <v>1</v>
      </c>
      <c r="H782" s="48" t="s">
        <v>1705</v>
      </c>
      <c r="I782" s="197">
        <v>356.48</v>
      </c>
      <c r="J782" s="197">
        <v>356.48</v>
      </c>
      <c r="K782" s="204">
        <v>28.518400000000003</v>
      </c>
      <c r="L782" s="201">
        <v>384.9984</v>
      </c>
      <c r="M782" s="198">
        <v>0</v>
      </c>
      <c r="N782" s="48" t="s">
        <v>1617</v>
      </c>
      <c r="O782" s="48" t="s">
        <v>116</v>
      </c>
      <c r="P782" s="48" t="s">
        <v>25</v>
      </c>
      <c r="Q782" s="199" t="s">
        <v>1871</v>
      </c>
      <c r="R782" s="48" t="s">
        <v>2801</v>
      </c>
      <c r="S782" s="49" t="s">
        <v>3060</v>
      </c>
      <c r="T782" s="49" t="s">
        <v>3060</v>
      </c>
      <c r="U782" s="49" t="s">
        <v>3061</v>
      </c>
      <c r="V782" s="130"/>
      <c r="W782" s="50" t="s">
        <v>3062</v>
      </c>
      <c r="X782"/>
      <c r="Y782"/>
      <c r="Z782"/>
      <c r="AA782"/>
      <c r="AB782"/>
      <c r="AC782"/>
      <c r="AD782"/>
      <c r="AE782"/>
      <c r="AF782"/>
      <c r="AG782"/>
      <c r="AH782"/>
      <c r="AI782"/>
      <c r="AJ782"/>
    </row>
    <row r="783" spans="1:36" ht="14.4" x14ac:dyDescent="0.3">
      <c r="A783" s="48">
        <f t="shared" si="32"/>
        <v>11</v>
      </c>
      <c r="B783" s="113">
        <v>46093</v>
      </c>
      <c r="C783" s="48" t="str">
        <f t="shared" si="33"/>
        <v>marzo</v>
      </c>
      <c r="D783" s="48" t="s">
        <v>2135</v>
      </c>
      <c r="E783" s="42" t="s">
        <v>2732</v>
      </c>
      <c r="F783" s="196" t="s">
        <v>3063</v>
      </c>
      <c r="G783" s="49">
        <v>1</v>
      </c>
      <c r="H783" s="48" t="s">
        <v>1705</v>
      </c>
      <c r="I783" s="197">
        <v>34.479999999999997</v>
      </c>
      <c r="J783" s="197">
        <v>34.479999999999997</v>
      </c>
      <c r="K783" s="197">
        <v>5.5167999999999999</v>
      </c>
      <c r="L783" s="201">
        <v>39.996799999999993</v>
      </c>
      <c r="M783" s="198">
        <v>0</v>
      </c>
      <c r="N783" s="48" t="s">
        <v>1617</v>
      </c>
      <c r="O783" s="48" t="s">
        <v>116</v>
      </c>
      <c r="P783" s="48" t="s">
        <v>25</v>
      </c>
      <c r="Q783" s="199" t="s">
        <v>1871</v>
      </c>
      <c r="R783" s="48" t="s">
        <v>2801</v>
      </c>
      <c r="S783" s="49" t="s">
        <v>3060</v>
      </c>
      <c r="T783" s="49" t="s">
        <v>3060</v>
      </c>
      <c r="U783"/>
      <c r="V783" s="49" t="s">
        <v>3064</v>
      </c>
      <c r="W783" s="50" t="s">
        <v>3062</v>
      </c>
      <c r="X783"/>
      <c r="Y783"/>
      <c r="Z783"/>
      <c r="AA783"/>
      <c r="AB783"/>
      <c r="AC783"/>
      <c r="AD783"/>
      <c r="AE783"/>
      <c r="AF783"/>
      <c r="AG783"/>
      <c r="AH783"/>
      <c r="AI783"/>
      <c r="AJ783"/>
    </row>
    <row r="784" spans="1:36" ht="14.4" x14ac:dyDescent="0.3">
      <c r="A784" s="48">
        <f t="shared" si="32"/>
        <v>11</v>
      </c>
      <c r="B784" s="113">
        <v>46093</v>
      </c>
      <c r="C784" s="48" t="str">
        <f t="shared" si="33"/>
        <v>marzo</v>
      </c>
      <c r="D784" s="48" t="s">
        <v>2135</v>
      </c>
      <c r="E784" s="42" t="s">
        <v>2728</v>
      </c>
      <c r="F784" s="196" t="s">
        <v>3065</v>
      </c>
      <c r="G784" s="49">
        <v>1</v>
      </c>
      <c r="H784" s="48" t="s">
        <v>1705</v>
      </c>
      <c r="I784" s="197">
        <v>21.55</v>
      </c>
      <c r="J784" s="197">
        <v>21.55</v>
      </c>
      <c r="K784" s="197">
        <v>3.4480000000000004</v>
      </c>
      <c r="L784" s="200">
        <v>24.998000000000001</v>
      </c>
      <c r="M784" s="198">
        <v>0</v>
      </c>
      <c r="N784" s="49" t="s">
        <v>585</v>
      </c>
      <c r="O784" s="49" t="s">
        <v>42</v>
      </c>
      <c r="P784" s="49" t="s">
        <v>25</v>
      </c>
      <c r="Q784" s="199" t="s">
        <v>241</v>
      </c>
      <c r="R784" s="49" t="s">
        <v>2727</v>
      </c>
      <c r="S784" s="49" t="s">
        <v>1678</v>
      </c>
      <c r="T784" s="114" t="s">
        <v>1617</v>
      </c>
      <c r="U784"/>
      <c r="V784" s="130"/>
      <c r="W784" s="50" t="s">
        <v>1762</v>
      </c>
      <c r="X784"/>
      <c r="Z784"/>
      <c r="AA784"/>
      <c r="AB784"/>
      <c r="AC784"/>
      <c r="AD784"/>
      <c r="AE784"/>
      <c r="AF784"/>
      <c r="AG784"/>
      <c r="AH784"/>
      <c r="AI784"/>
      <c r="AJ784"/>
    </row>
    <row r="785" spans="1:36" ht="14.4" x14ac:dyDescent="0.3">
      <c r="A785" s="48">
        <f t="shared" si="32"/>
        <v>11</v>
      </c>
      <c r="B785" s="113">
        <v>46093</v>
      </c>
      <c r="C785" s="48" t="str">
        <f t="shared" si="33"/>
        <v>marzo</v>
      </c>
      <c r="D785" s="48" t="s">
        <v>2135</v>
      </c>
      <c r="E785" s="42" t="s">
        <v>2728</v>
      </c>
      <c r="F785" s="196" t="s">
        <v>3066</v>
      </c>
      <c r="G785" s="49">
        <v>1</v>
      </c>
      <c r="H785" s="48" t="s">
        <v>1705</v>
      </c>
      <c r="I785" s="197">
        <v>94.83</v>
      </c>
      <c r="J785" s="197">
        <v>94.83</v>
      </c>
      <c r="K785" s="197">
        <v>15.172800000000001</v>
      </c>
      <c r="L785" s="200">
        <v>110.00279999999999</v>
      </c>
      <c r="M785" s="198">
        <v>0</v>
      </c>
      <c r="N785" s="49" t="s">
        <v>585</v>
      </c>
      <c r="O785" s="49" t="s">
        <v>42</v>
      </c>
      <c r="P785" s="49" t="s">
        <v>25</v>
      </c>
      <c r="Q785" s="199" t="s">
        <v>241</v>
      </c>
      <c r="R785" s="49" t="s">
        <v>2727</v>
      </c>
      <c r="S785" s="49" t="s">
        <v>1678</v>
      </c>
      <c r="T785" s="114" t="s">
        <v>1617</v>
      </c>
      <c r="U785"/>
      <c r="V785" s="49" t="s">
        <v>3067</v>
      </c>
      <c r="W785" s="50" t="s">
        <v>1762</v>
      </c>
      <c r="X785"/>
      <c r="Z785"/>
      <c r="AA785"/>
      <c r="AB785"/>
      <c r="AC785"/>
      <c r="AD785"/>
      <c r="AE785"/>
      <c r="AF785"/>
      <c r="AG785"/>
      <c r="AH785"/>
      <c r="AI785"/>
      <c r="AJ785"/>
    </row>
    <row r="786" spans="1:36" ht="14.4" x14ac:dyDescent="0.3">
      <c r="A786" s="48">
        <f t="shared" si="32"/>
        <v>11</v>
      </c>
      <c r="B786" s="113">
        <v>46093</v>
      </c>
      <c r="C786" s="48" t="str">
        <f t="shared" si="33"/>
        <v>marzo</v>
      </c>
      <c r="D786" s="48" t="s">
        <v>2135</v>
      </c>
      <c r="E786" s="42" t="s">
        <v>2728</v>
      </c>
      <c r="F786" s="196" t="s">
        <v>1840</v>
      </c>
      <c r="G786" s="49">
        <v>2</v>
      </c>
      <c r="H786" s="48" t="s">
        <v>1705</v>
      </c>
      <c r="I786" s="197">
        <v>203.45</v>
      </c>
      <c r="J786" s="197">
        <v>406.9</v>
      </c>
      <c r="K786" s="197">
        <v>65.103999999999999</v>
      </c>
      <c r="L786" s="201">
        <v>472.00399999999996</v>
      </c>
      <c r="M786" s="198">
        <v>0</v>
      </c>
      <c r="N786" s="49" t="s">
        <v>585</v>
      </c>
      <c r="O786" s="49" t="s">
        <v>42</v>
      </c>
      <c r="P786" s="49" t="s">
        <v>25</v>
      </c>
      <c r="Q786" s="199" t="s">
        <v>241</v>
      </c>
      <c r="R786" s="49" t="s">
        <v>2727</v>
      </c>
      <c r="S786" s="49" t="s">
        <v>574</v>
      </c>
      <c r="T786" s="114" t="s">
        <v>3068</v>
      </c>
      <c r="U786"/>
      <c r="V786" s="130"/>
      <c r="W786" s="50" t="s">
        <v>1762</v>
      </c>
      <c r="X786"/>
      <c r="Z786"/>
      <c r="AA786"/>
      <c r="AB786"/>
      <c r="AC786"/>
      <c r="AD786"/>
      <c r="AE786"/>
      <c r="AF786"/>
      <c r="AG786"/>
      <c r="AH786"/>
      <c r="AI786"/>
      <c r="AJ786"/>
    </row>
    <row r="787" spans="1:36" ht="14.4" x14ac:dyDescent="0.3">
      <c r="A787" s="48">
        <f t="shared" si="32"/>
        <v>11</v>
      </c>
      <c r="B787" s="113">
        <v>46093</v>
      </c>
      <c r="C787" s="48" t="str">
        <f t="shared" si="33"/>
        <v>marzo</v>
      </c>
      <c r="D787" s="48" t="s">
        <v>2135</v>
      </c>
      <c r="E787" s="42" t="s">
        <v>2728</v>
      </c>
      <c r="F787" s="196" t="s">
        <v>3069</v>
      </c>
      <c r="G787" s="49">
        <v>1</v>
      </c>
      <c r="H787" s="48" t="s">
        <v>2016</v>
      </c>
      <c r="I787" s="197">
        <v>65.517200000000003</v>
      </c>
      <c r="J787" s="197">
        <v>65.517200000000003</v>
      </c>
      <c r="K787" s="197">
        <v>10.482752000000001</v>
      </c>
      <c r="L787" s="201">
        <v>75.999952000000008</v>
      </c>
      <c r="M787" s="198">
        <v>0</v>
      </c>
      <c r="N787" s="49" t="s">
        <v>585</v>
      </c>
      <c r="O787" s="49" t="s">
        <v>42</v>
      </c>
      <c r="P787" s="49" t="s">
        <v>25</v>
      </c>
      <c r="Q787" s="199" t="s">
        <v>241</v>
      </c>
      <c r="R787" s="49" t="s">
        <v>2727</v>
      </c>
      <c r="S787" s="49" t="s">
        <v>574</v>
      </c>
      <c r="T787" s="114" t="s">
        <v>3068</v>
      </c>
      <c r="U787"/>
      <c r="V787" s="49" t="s">
        <v>3070</v>
      </c>
      <c r="W787" s="50" t="s">
        <v>1762</v>
      </c>
      <c r="X787"/>
      <c r="Z787"/>
      <c r="AA787"/>
      <c r="AB787"/>
      <c r="AC787"/>
      <c r="AD787"/>
      <c r="AE787"/>
      <c r="AF787"/>
      <c r="AG787"/>
      <c r="AH787"/>
      <c r="AI787"/>
      <c r="AJ787"/>
    </row>
    <row r="788" spans="1:36" ht="15" customHeight="1" x14ac:dyDescent="0.3">
      <c r="A788" s="48">
        <f t="shared" si="32"/>
        <v>11</v>
      </c>
      <c r="B788" s="113">
        <v>46093</v>
      </c>
      <c r="C788" s="48" t="str">
        <f t="shared" si="33"/>
        <v>marzo</v>
      </c>
      <c r="D788" s="48" t="s">
        <v>2135</v>
      </c>
      <c r="E788" s="42" t="s">
        <v>193</v>
      </c>
      <c r="F788" s="196" t="s">
        <v>3071</v>
      </c>
      <c r="G788" s="49">
        <v>1</v>
      </c>
      <c r="H788" s="48" t="s">
        <v>2139</v>
      </c>
      <c r="I788" s="197">
        <v>2500</v>
      </c>
      <c r="J788" s="197">
        <v>2500</v>
      </c>
      <c r="K788" s="197">
        <v>400</v>
      </c>
      <c r="L788" s="202">
        <v>2900</v>
      </c>
      <c r="M788" s="198">
        <v>0</v>
      </c>
      <c r="N788" s="49" t="s">
        <v>1295</v>
      </c>
      <c r="O788" s="49" t="s">
        <v>53</v>
      </c>
      <c r="P788" s="49" t="s">
        <v>25</v>
      </c>
      <c r="Q788" s="199" t="s">
        <v>241</v>
      </c>
      <c r="R788" s="49" t="s">
        <v>369</v>
      </c>
      <c r="S788" s="49" t="s">
        <v>2601</v>
      </c>
      <c r="T788" s="114" t="s">
        <v>1617</v>
      </c>
      <c r="U788" s="49" t="s">
        <v>3072</v>
      </c>
      <c r="V788" s="130"/>
      <c r="W788" s="50" t="s">
        <v>325</v>
      </c>
      <c r="X788"/>
    </row>
    <row r="789" spans="1:36" ht="12.75" customHeight="1" x14ac:dyDescent="0.3">
      <c r="A789" s="48">
        <f t="shared" si="32"/>
        <v>11</v>
      </c>
      <c r="B789" s="113">
        <v>46093</v>
      </c>
      <c r="C789" s="48" t="str">
        <f t="shared" si="33"/>
        <v>marzo</v>
      </c>
      <c r="D789" s="48" t="s">
        <v>2135</v>
      </c>
      <c r="E789" s="42" t="s">
        <v>2728</v>
      </c>
      <c r="F789" s="196" t="s">
        <v>3073</v>
      </c>
      <c r="G789" s="49">
        <v>1</v>
      </c>
      <c r="H789" s="48" t="s">
        <v>2139</v>
      </c>
      <c r="I789" s="197">
        <v>3800</v>
      </c>
      <c r="J789" s="197">
        <v>3800</v>
      </c>
      <c r="K789" s="197">
        <v>608</v>
      </c>
      <c r="L789" s="200">
        <v>4408</v>
      </c>
      <c r="M789" s="198">
        <v>0</v>
      </c>
      <c r="N789" s="49" t="s">
        <v>1617</v>
      </c>
      <c r="O789" s="49" t="s">
        <v>2981</v>
      </c>
      <c r="P789" s="49" t="s">
        <v>25</v>
      </c>
      <c r="Q789" s="199" t="s">
        <v>241</v>
      </c>
      <c r="R789" s="49" t="s">
        <v>369</v>
      </c>
      <c r="S789" s="49" t="s">
        <v>2601</v>
      </c>
      <c r="T789" s="114" t="s">
        <v>1617</v>
      </c>
      <c r="U789" s="49" t="s">
        <v>3072</v>
      </c>
      <c r="V789" s="130"/>
      <c r="W789" s="50" t="s">
        <v>325</v>
      </c>
      <c r="X789"/>
    </row>
    <row r="790" spans="1:36" ht="14.4" x14ac:dyDescent="0.3">
      <c r="A790" s="48">
        <f t="shared" si="32"/>
        <v>11</v>
      </c>
      <c r="B790" s="113">
        <v>46093</v>
      </c>
      <c r="C790" s="48" t="str">
        <f t="shared" si="33"/>
        <v>marzo</v>
      </c>
      <c r="D790" s="48" t="s">
        <v>2135</v>
      </c>
      <c r="E790" s="42" t="s">
        <v>2728</v>
      </c>
      <c r="F790" s="196" t="s">
        <v>127</v>
      </c>
      <c r="G790" s="49">
        <v>1</v>
      </c>
      <c r="H790" s="48" t="s">
        <v>2139</v>
      </c>
      <c r="I790" s="197">
        <v>239</v>
      </c>
      <c r="J790" s="197">
        <v>239</v>
      </c>
      <c r="K790" s="197">
        <v>38.24</v>
      </c>
      <c r="L790" s="200">
        <v>277.24</v>
      </c>
      <c r="M790" s="198">
        <v>0</v>
      </c>
      <c r="N790" s="49" t="s">
        <v>1617</v>
      </c>
      <c r="O790" s="49" t="s">
        <v>2981</v>
      </c>
      <c r="P790" s="49" t="s">
        <v>25</v>
      </c>
      <c r="Q790" s="199" t="s">
        <v>241</v>
      </c>
      <c r="R790" s="49" t="s">
        <v>369</v>
      </c>
      <c r="S790" s="49" t="s">
        <v>2601</v>
      </c>
      <c r="T790" s="114" t="s">
        <v>1617</v>
      </c>
      <c r="U790" s="49" t="s">
        <v>3072</v>
      </c>
      <c r="V790" s="130"/>
      <c r="W790" s="50" t="s">
        <v>325</v>
      </c>
      <c r="X790"/>
    </row>
    <row r="791" spans="1:36" ht="14.4" x14ac:dyDescent="0.3">
      <c r="A791" s="48">
        <f t="shared" si="32"/>
        <v>11</v>
      </c>
      <c r="B791" s="113">
        <v>46093</v>
      </c>
      <c r="C791" s="48" t="str">
        <f t="shared" si="33"/>
        <v>marzo</v>
      </c>
      <c r="D791" s="48" t="s">
        <v>2135</v>
      </c>
      <c r="E791" s="42" t="s">
        <v>2728</v>
      </c>
      <c r="F791" s="196" t="s">
        <v>3074</v>
      </c>
      <c r="G791" s="49">
        <v>1</v>
      </c>
      <c r="H791" s="48" t="s">
        <v>2139</v>
      </c>
      <c r="I791" s="197">
        <v>1500</v>
      </c>
      <c r="J791" s="197">
        <v>1500</v>
      </c>
      <c r="K791" s="197">
        <v>240</v>
      </c>
      <c r="L791" s="200">
        <v>1740</v>
      </c>
      <c r="M791" s="198">
        <v>0</v>
      </c>
      <c r="N791" s="49" t="s">
        <v>1617</v>
      </c>
      <c r="O791" s="49" t="s">
        <v>2981</v>
      </c>
      <c r="P791" s="49" t="s">
        <v>25</v>
      </c>
      <c r="Q791" s="199" t="s">
        <v>241</v>
      </c>
      <c r="R791" s="49" t="s">
        <v>369</v>
      </c>
      <c r="S791" s="49" t="s">
        <v>2601</v>
      </c>
      <c r="T791" s="114" t="s">
        <v>1617</v>
      </c>
      <c r="U791" s="49" t="s">
        <v>3072</v>
      </c>
      <c r="V791" s="130"/>
      <c r="W791" s="50" t="s">
        <v>325</v>
      </c>
    </row>
    <row r="792" spans="1:36" ht="14.4" x14ac:dyDescent="0.3">
      <c r="A792" s="48">
        <f t="shared" si="32"/>
        <v>11</v>
      </c>
      <c r="B792" s="113">
        <v>46093</v>
      </c>
      <c r="C792" s="48" t="str">
        <f t="shared" si="33"/>
        <v>marzo</v>
      </c>
      <c r="D792" s="48" t="s">
        <v>2135</v>
      </c>
      <c r="E792" s="42" t="s">
        <v>2728</v>
      </c>
      <c r="F792" s="196" t="s">
        <v>3075</v>
      </c>
      <c r="G792" s="49">
        <v>1</v>
      </c>
      <c r="H792" s="48" t="s">
        <v>2139</v>
      </c>
      <c r="I792" s="197">
        <v>600</v>
      </c>
      <c r="J792" s="197">
        <v>600</v>
      </c>
      <c r="K792" s="197">
        <v>96</v>
      </c>
      <c r="L792" s="200">
        <v>696</v>
      </c>
      <c r="M792" s="198">
        <v>0</v>
      </c>
      <c r="N792" s="49" t="s">
        <v>1617</v>
      </c>
      <c r="O792" s="49" t="s">
        <v>2981</v>
      </c>
      <c r="P792" s="49" t="s">
        <v>25</v>
      </c>
      <c r="Q792" s="199" t="s">
        <v>241</v>
      </c>
      <c r="R792" s="49" t="s">
        <v>369</v>
      </c>
      <c r="S792" s="49" t="s">
        <v>2601</v>
      </c>
      <c r="T792" s="114" t="s">
        <v>1617</v>
      </c>
      <c r="U792" s="49" t="s">
        <v>3072</v>
      </c>
      <c r="V792" s="130"/>
      <c r="W792" s="50" t="s">
        <v>325</v>
      </c>
    </row>
    <row r="793" spans="1:36" ht="14.4" x14ac:dyDescent="0.3">
      <c r="A793" s="48">
        <f t="shared" si="32"/>
        <v>11</v>
      </c>
      <c r="B793" s="113">
        <v>46093</v>
      </c>
      <c r="C793" s="48" t="str">
        <f t="shared" si="33"/>
        <v>marzo</v>
      </c>
      <c r="D793" s="48" t="s">
        <v>2135</v>
      </c>
      <c r="E793" s="42" t="s">
        <v>2728</v>
      </c>
      <c r="F793" s="196" t="s">
        <v>3076</v>
      </c>
      <c r="G793" s="49">
        <v>1</v>
      </c>
      <c r="H793" s="48" t="s">
        <v>2139</v>
      </c>
      <c r="I793" s="197">
        <v>1200</v>
      </c>
      <c r="J793" s="197">
        <v>1200</v>
      </c>
      <c r="K793" s="197">
        <v>192</v>
      </c>
      <c r="L793" s="200">
        <v>1392</v>
      </c>
      <c r="M793" s="198">
        <v>0</v>
      </c>
      <c r="N793" s="49" t="s">
        <v>1617</v>
      </c>
      <c r="O793" s="49" t="s">
        <v>2981</v>
      </c>
      <c r="P793" s="49" t="s">
        <v>25</v>
      </c>
      <c r="Q793" s="199" t="s">
        <v>241</v>
      </c>
      <c r="R793" s="49" t="s">
        <v>369</v>
      </c>
      <c r="S793" s="49" t="s">
        <v>2601</v>
      </c>
      <c r="T793" s="114" t="s">
        <v>1617</v>
      </c>
      <c r="U793" s="49" t="s">
        <v>3072</v>
      </c>
      <c r="V793" s="130"/>
      <c r="W793" s="50" t="s">
        <v>325</v>
      </c>
    </row>
    <row r="794" spans="1:36" x14ac:dyDescent="0.3">
      <c r="A794" s="48">
        <f t="shared" si="32"/>
        <v>11</v>
      </c>
      <c r="B794" s="113">
        <v>46093</v>
      </c>
      <c r="C794" s="48" t="str">
        <f t="shared" si="33"/>
        <v>marzo</v>
      </c>
      <c r="D794" s="48" t="s">
        <v>2135</v>
      </c>
      <c r="E794" s="42" t="s">
        <v>2728</v>
      </c>
      <c r="F794" s="196" t="s">
        <v>306</v>
      </c>
      <c r="G794" s="49">
        <v>1</v>
      </c>
      <c r="H794" s="48" t="s">
        <v>2139</v>
      </c>
      <c r="I794" s="197">
        <v>2000</v>
      </c>
      <c r="J794" s="197">
        <v>2000</v>
      </c>
      <c r="K794" s="197">
        <v>320</v>
      </c>
      <c r="L794" s="200">
        <v>2320</v>
      </c>
      <c r="M794" s="198">
        <v>0</v>
      </c>
      <c r="N794" s="49" t="s">
        <v>1617</v>
      </c>
      <c r="O794" s="49" t="s">
        <v>2981</v>
      </c>
      <c r="P794" s="49" t="s">
        <v>25</v>
      </c>
      <c r="Q794" s="199" t="s">
        <v>241</v>
      </c>
      <c r="R794" s="49" t="s">
        <v>369</v>
      </c>
      <c r="S794" s="49" t="s">
        <v>2601</v>
      </c>
      <c r="T794" s="114" t="s">
        <v>1617</v>
      </c>
      <c r="U794" s="49" t="s">
        <v>3072</v>
      </c>
      <c r="V794" s="49" t="s">
        <v>3077</v>
      </c>
      <c r="W794" s="50" t="s">
        <v>325</v>
      </c>
    </row>
    <row r="795" spans="1:36" x14ac:dyDescent="0.3">
      <c r="A795" s="48">
        <f t="shared" si="32"/>
        <v>11</v>
      </c>
      <c r="B795" s="113">
        <v>46093</v>
      </c>
      <c r="C795" s="48" t="str">
        <f t="shared" si="33"/>
        <v>marzo</v>
      </c>
      <c r="D795" s="48" t="s">
        <v>2135</v>
      </c>
      <c r="E795" s="50" t="s">
        <v>127</v>
      </c>
      <c r="F795" s="47" t="s">
        <v>1631</v>
      </c>
      <c r="G795" s="48">
        <v>1</v>
      </c>
      <c r="H795" s="48" t="s">
        <v>2139</v>
      </c>
      <c r="I795" s="197">
        <v>1000</v>
      </c>
      <c r="J795" s="197">
        <v>1000</v>
      </c>
      <c r="K795" s="197">
        <v>0</v>
      </c>
      <c r="L795" s="201">
        <v>1000</v>
      </c>
      <c r="M795" s="198">
        <v>0</v>
      </c>
      <c r="N795" s="48" t="s">
        <v>1617</v>
      </c>
      <c r="O795" s="48" t="s">
        <v>116</v>
      </c>
      <c r="P795" s="48" t="s">
        <v>25</v>
      </c>
      <c r="Q795" s="48" t="s">
        <v>245</v>
      </c>
      <c r="R795" s="48" t="s">
        <v>369</v>
      </c>
      <c r="S795" s="48" t="s">
        <v>1632</v>
      </c>
      <c r="T795" s="114" t="s">
        <v>1617</v>
      </c>
      <c r="U795" s="48" t="s">
        <v>1759</v>
      </c>
      <c r="V795" s="49"/>
      <c r="W795" s="41" t="s">
        <v>1617</v>
      </c>
    </row>
    <row r="796" spans="1:36" x14ac:dyDescent="0.3">
      <c r="A796" s="48">
        <f t="shared" si="32"/>
        <v>11</v>
      </c>
      <c r="B796" s="113">
        <v>46093</v>
      </c>
      <c r="C796" s="48" t="str">
        <f t="shared" si="33"/>
        <v>marzo</v>
      </c>
      <c r="D796" s="48" t="s">
        <v>2135</v>
      </c>
      <c r="E796" s="50" t="s">
        <v>127</v>
      </c>
      <c r="F796" s="47" t="s">
        <v>1631</v>
      </c>
      <c r="G796" s="48">
        <v>1</v>
      </c>
      <c r="H796" s="48" t="s">
        <v>2139</v>
      </c>
      <c r="I796" s="197">
        <v>500</v>
      </c>
      <c r="J796" s="197">
        <v>500</v>
      </c>
      <c r="K796" s="197">
        <v>0</v>
      </c>
      <c r="L796" s="201">
        <v>500</v>
      </c>
      <c r="M796" s="198">
        <v>0</v>
      </c>
      <c r="N796" s="48" t="s">
        <v>1617</v>
      </c>
      <c r="O796" s="48" t="s">
        <v>116</v>
      </c>
      <c r="P796" s="48" t="s">
        <v>39</v>
      </c>
      <c r="Q796" s="48" t="s">
        <v>245</v>
      </c>
      <c r="R796" s="48" t="s">
        <v>369</v>
      </c>
      <c r="S796" s="48" t="s">
        <v>1632</v>
      </c>
      <c r="T796" s="114" t="s">
        <v>1617</v>
      </c>
      <c r="U796" s="48"/>
      <c r="V796" s="49"/>
      <c r="W796" s="41"/>
    </row>
    <row r="797" spans="1:36" x14ac:dyDescent="0.3">
      <c r="A797" s="48">
        <f t="shared" si="32"/>
        <v>11</v>
      </c>
      <c r="B797" s="113">
        <v>46093</v>
      </c>
      <c r="C797" s="48" t="str">
        <f t="shared" si="33"/>
        <v>marzo</v>
      </c>
      <c r="D797" s="48" t="s">
        <v>2135</v>
      </c>
      <c r="E797" s="50" t="s">
        <v>127</v>
      </c>
      <c r="F797" s="47" t="s">
        <v>1631</v>
      </c>
      <c r="G797" s="48">
        <v>1</v>
      </c>
      <c r="H797" s="48" t="s">
        <v>2139</v>
      </c>
      <c r="I797" s="197">
        <v>500</v>
      </c>
      <c r="J797" s="197">
        <v>500</v>
      </c>
      <c r="K797" s="197">
        <v>0</v>
      </c>
      <c r="L797" s="201">
        <v>500</v>
      </c>
      <c r="M797" s="198">
        <v>0</v>
      </c>
      <c r="N797" s="48" t="s">
        <v>1617</v>
      </c>
      <c r="O797" s="48" t="s">
        <v>116</v>
      </c>
      <c r="P797" s="48" t="s">
        <v>1321</v>
      </c>
      <c r="Q797" s="48" t="s">
        <v>245</v>
      </c>
      <c r="R797" s="48" t="s">
        <v>369</v>
      </c>
      <c r="S797" s="48" t="s">
        <v>1632</v>
      </c>
      <c r="T797" s="114" t="s">
        <v>1617</v>
      </c>
      <c r="U797" s="48" t="s">
        <v>1759</v>
      </c>
      <c r="V797" s="49" t="s">
        <v>3078</v>
      </c>
      <c r="W797" s="41" t="s">
        <v>1617</v>
      </c>
    </row>
    <row r="798" spans="1:36" x14ac:dyDescent="0.3">
      <c r="A798" s="48">
        <f t="shared" si="32"/>
        <v>11</v>
      </c>
      <c r="B798" s="113">
        <v>46093</v>
      </c>
      <c r="C798" s="48" t="str">
        <f t="shared" si="33"/>
        <v>marzo</v>
      </c>
      <c r="D798" s="48" t="s">
        <v>2135</v>
      </c>
      <c r="E798" s="50" t="s">
        <v>356</v>
      </c>
      <c r="F798" s="50" t="s">
        <v>3079</v>
      </c>
      <c r="G798" s="48">
        <v>1</v>
      </c>
      <c r="H798" s="48" t="s">
        <v>2138</v>
      </c>
      <c r="I798" s="197">
        <v>25.86</v>
      </c>
      <c r="J798" s="197">
        <v>25.86</v>
      </c>
      <c r="K798" s="197">
        <v>4.1375999999999999</v>
      </c>
      <c r="L798" s="202">
        <v>29.997599999999998</v>
      </c>
      <c r="M798" s="198">
        <v>0</v>
      </c>
      <c r="N798" s="48" t="s">
        <v>1617</v>
      </c>
      <c r="O798" s="48" t="s">
        <v>118</v>
      </c>
      <c r="P798" s="48" t="s">
        <v>2734</v>
      </c>
      <c r="Q798" s="199" t="s">
        <v>241</v>
      </c>
      <c r="R798" s="48" t="s">
        <v>364</v>
      </c>
      <c r="S798" s="48" t="s">
        <v>3080</v>
      </c>
      <c r="T798" s="114" t="s">
        <v>3081</v>
      </c>
      <c r="U798" s="48" t="s">
        <v>1831</v>
      </c>
      <c r="V798" s="48" t="s">
        <v>1759</v>
      </c>
      <c r="W798" s="41" t="s">
        <v>1617</v>
      </c>
    </row>
    <row r="799" spans="1:36" ht="14.4" x14ac:dyDescent="0.3">
      <c r="A799" s="48">
        <f t="shared" si="32"/>
        <v>11</v>
      </c>
      <c r="B799" s="113">
        <v>46093</v>
      </c>
      <c r="C799" s="48" t="str">
        <f t="shared" si="33"/>
        <v>marzo</v>
      </c>
      <c r="D799" s="48" t="s">
        <v>2135</v>
      </c>
      <c r="E799" s="42" t="s">
        <v>2728</v>
      </c>
      <c r="F799" s="50" t="s">
        <v>3082</v>
      </c>
      <c r="G799" s="49">
        <v>1</v>
      </c>
      <c r="H799" s="48" t="s">
        <v>1705</v>
      </c>
      <c r="I799" s="197">
        <v>800</v>
      </c>
      <c r="J799" s="197">
        <v>800</v>
      </c>
      <c r="K799" s="197">
        <v>0</v>
      </c>
      <c r="L799" s="202">
        <v>800</v>
      </c>
      <c r="M799" s="198">
        <v>0</v>
      </c>
      <c r="N799" s="49" t="s">
        <v>1295</v>
      </c>
      <c r="O799" s="49" t="s">
        <v>53</v>
      </c>
      <c r="P799" s="49" t="s">
        <v>25</v>
      </c>
      <c r="Q799" s="199" t="s">
        <v>241</v>
      </c>
      <c r="R799" s="48" t="s">
        <v>364</v>
      </c>
      <c r="S799" s="48" t="s">
        <v>2601</v>
      </c>
      <c r="T799" s="114" t="s">
        <v>1624</v>
      </c>
      <c r="U799" s="48" t="s">
        <v>1759</v>
      </c>
      <c r="V799"/>
      <c r="W799" s="41" t="s">
        <v>1617</v>
      </c>
      <c r="X799"/>
    </row>
    <row r="800" spans="1:36" ht="14.4" x14ac:dyDescent="0.3">
      <c r="A800" s="48">
        <f t="shared" si="32"/>
        <v>11</v>
      </c>
      <c r="B800" s="195">
        <v>46093</v>
      </c>
      <c r="C800" s="48" t="str">
        <f t="shared" si="33"/>
        <v>marzo</v>
      </c>
      <c r="D800" s="48" t="s">
        <v>2135</v>
      </c>
      <c r="E800" s="42" t="s">
        <v>477</v>
      </c>
      <c r="F800" s="47" t="s">
        <v>2019</v>
      </c>
      <c r="G800" s="38">
        <v>1</v>
      </c>
      <c r="H800" s="48" t="s">
        <v>2138</v>
      </c>
      <c r="I800" s="197">
        <v>3252</v>
      </c>
      <c r="J800" s="197">
        <v>3252</v>
      </c>
      <c r="K800" s="197">
        <v>0</v>
      </c>
      <c r="L800" s="202">
        <v>3252</v>
      </c>
      <c r="M800" s="198">
        <v>0</v>
      </c>
      <c r="N800" s="48" t="s">
        <v>1617</v>
      </c>
      <c r="O800" s="49" t="s">
        <v>2981</v>
      </c>
      <c r="P800" s="48" t="s">
        <v>25</v>
      </c>
      <c r="Q800" s="48" t="s">
        <v>1766</v>
      </c>
      <c r="R800" s="48" t="s">
        <v>369</v>
      </c>
      <c r="S800" s="199"/>
      <c r="T800" s="199"/>
    </row>
    <row r="801" spans="1:23" ht="14.4" x14ac:dyDescent="0.3">
      <c r="A801" s="48">
        <f t="shared" si="32"/>
        <v>11</v>
      </c>
      <c r="B801" s="195">
        <v>46093</v>
      </c>
      <c r="C801" s="48" t="str">
        <f t="shared" si="33"/>
        <v>marzo</v>
      </c>
      <c r="D801" s="48" t="s">
        <v>2135</v>
      </c>
      <c r="E801" s="42" t="s">
        <v>477</v>
      </c>
      <c r="F801" s="47" t="s">
        <v>2019</v>
      </c>
      <c r="G801" s="38">
        <v>1</v>
      </c>
      <c r="H801" s="48" t="s">
        <v>2138</v>
      </c>
      <c r="I801" s="197">
        <v>2151</v>
      </c>
      <c r="J801" s="197">
        <v>2151</v>
      </c>
      <c r="K801" s="197">
        <v>0</v>
      </c>
      <c r="L801" s="202">
        <v>2151</v>
      </c>
      <c r="M801" s="198">
        <v>0</v>
      </c>
      <c r="N801" s="48" t="s">
        <v>1617</v>
      </c>
      <c r="O801" s="49" t="s">
        <v>2976</v>
      </c>
      <c r="P801" s="48" t="s">
        <v>25</v>
      </c>
      <c r="Q801" s="48" t="s">
        <v>1766</v>
      </c>
      <c r="R801" s="48" t="s">
        <v>369</v>
      </c>
      <c r="S801" s="199"/>
      <c r="T801" s="199"/>
    </row>
    <row r="802" spans="1:23" ht="14.4" x14ac:dyDescent="0.3">
      <c r="A802" s="48">
        <f t="shared" si="32"/>
        <v>11</v>
      </c>
      <c r="B802" s="195">
        <v>46093</v>
      </c>
      <c r="C802" s="48" t="str">
        <f t="shared" si="33"/>
        <v>marzo</v>
      </c>
      <c r="D802" s="48" t="s">
        <v>2135</v>
      </c>
      <c r="E802" s="42" t="s">
        <v>477</v>
      </c>
      <c r="F802" s="47" t="s">
        <v>2019</v>
      </c>
      <c r="G802" s="38">
        <v>1</v>
      </c>
      <c r="H802" s="48" t="s">
        <v>2138</v>
      </c>
      <c r="I802" s="197">
        <v>3231</v>
      </c>
      <c r="J802" s="197">
        <v>3231</v>
      </c>
      <c r="K802" s="197">
        <v>0</v>
      </c>
      <c r="L802" s="202">
        <v>3231</v>
      </c>
      <c r="M802" s="198">
        <v>0</v>
      </c>
      <c r="N802" s="48" t="s">
        <v>1617</v>
      </c>
      <c r="O802" s="49" t="s">
        <v>3083</v>
      </c>
      <c r="P802" s="48" t="s">
        <v>39</v>
      </c>
      <c r="Q802" s="48" t="s">
        <v>1766</v>
      </c>
      <c r="R802" s="48" t="s">
        <v>369</v>
      </c>
      <c r="S802" s="199"/>
      <c r="T802" s="199"/>
    </row>
    <row r="803" spans="1:23" ht="14.4" x14ac:dyDescent="0.3">
      <c r="A803" s="48">
        <f t="shared" si="32"/>
        <v>11</v>
      </c>
      <c r="B803" s="195">
        <v>46093</v>
      </c>
      <c r="C803" s="48" t="str">
        <f t="shared" si="33"/>
        <v>marzo</v>
      </c>
      <c r="D803" s="48" t="s">
        <v>2135</v>
      </c>
      <c r="E803" s="42" t="s">
        <v>2728</v>
      </c>
      <c r="F803" s="47" t="s">
        <v>3084</v>
      </c>
      <c r="G803" s="38">
        <v>2</v>
      </c>
      <c r="H803" s="48" t="s">
        <v>1705</v>
      </c>
      <c r="I803" s="197">
        <v>68.97</v>
      </c>
      <c r="J803" s="197">
        <v>137.94</v>
      </c>
      <c r="K803" s="197">
        <v>22.070399999999999</v>
      </c>
      <c r="L803" s="202">
        <v>160</v>
      </c>
      <c r="M803" s="198">
        <v>0</v>
      </c>
      <c r="N803" s="48" t="s">
        <v>2995</v>
      </c>
      <c r="O803" s="49" t="s">
        <v>36</v>
      </c>
      <c r="P803" s="48" t="s">
        <v>25</v>
      </c>
      <c r="Q803" s="48" t="s">
        <v>241</v>
      </c>
      <c r="R803" s="48" t="s">
        <v>364</v>
      </c>
      <c r="S803" s="199" t="s">
        <v>3085</v>
      </c>
      <c r="T803" s="199" t="s">
        <v>3086</v>
      </c>
      <c r="U803" s="48" t="s">
        <v>3087</v>
      </c>
    </row>
    <row r="804" spans="1:23" x14ac:dyDescent="0.3">
      <c r="A804" s="48">
        <f t="shared" si="32"/>
        <v>11</v>
      </c>
      <c r="B804" s="212">
        <v>46095</v>
      </c>
      <c r="C804" s="48" t="str">
        <f t="shared" si="33"/>
        <v>marzo</v>
      </c>
      <c r="D804" s="48" t="s">
        <v>2135</v>
      </c>
      <c r="E804" s="50" t="s">
        <v>356</v>
      </c>
      <c r="F804" s="196" t="s">
        <v>2950</v>
      </c>
      <c r="G804" s="216">
        <v>8.67</v>
      </c>
      <c r="H804" s="48" t="s">
        <v>2017</v>
      </c>
      <c r="I804" s="197">
        <v>22.65</v>
      </c>
      <c r="J804" s="197">
        <v>196.37549999999999</v>
      </c>
      <c r="K804" s="202">
        <v>3.6239999999999997</v>
      </c>
      <c r="L804" s="202">
        <v>199.99949999999998</v>
      </c>
      <c r="M804" s="198">
        <v>0</v>
      </c>
      <c r="N804" s="48" t="s">
        <v>2382</v>
      </c>
      <c r="O804" s="48" t="s">
        <v>2826</v>
      </c>
      <c r="P804" s="48" t="s">
        <v>25</v>
      </c>
      <c r="Q804" s="199" t="s">
        <v>1853</v>
      </c>
      <c r="R804" s="49" t="s">
        <v>2727</v>
      </c>
      <c r="S804" s="49" t="s">
        <v>647</v>
      </c>
      <c r="T804" s="49" t="s">
        <v>2025</v>
      </c>
      <c r="U804" s="49" t="s">
        <v>3088</v>
      </c>
      <c r="W804" s="50" t="s">
        <v>3089</v>
      </c>
    </row>
    <row r="805" spans="1:23" x14ac:dyDescent="0.3">
      <c r="A805" s="48">
        <f t="shared" si="32"/>
        <v>11</v>
      </c>
      <c r="B805" s="212">
        <v>46095</v>
      </c>
      <c r="C805" s="48" t="str">
        <f t="shared" si="33"/>
        <v>marzo</v>
      </c>
      <c r="D805" s="48" t="s">
        <v>2135</v>
      </c>
      <c r="E805" s="42" t="s">
        <v>2728</v>
      </c>
      <c r="F805" s="196" t="s">
        <v>3090</v>
      </c>
      <c r="G805" s="49">
        <v>1</v>
      </c>
      <c r="H805" s="48" t="s">
        <v>1705</v>
      </c>
      <c r="I805" s="197">
        <v>500</v>
      </c>
      <c r="J805" s="197">
        <v>500</v>
      </c>
      <c r="K805" s="197">
        <v>0</v>
      </c>
      <c r="L805" s="202">
        <v>500</v>
      </c>
      <c r="M805" s="198">
        <v>0</v>
      </c>
      <c r="N805" s="48" t="s">
        <v>1617</v>
      </c>
      <c r="O805" s="49" t="s">
        <v>2976</v>
      </c>
      <c r="P805" s="48" t="s">
        <v>25</v>
      </c>
      <c r="Q805" s="199" t="s">
        <v>1824</v>
      </c>
      <c r="R805" s="49" t="s">
        <v>369</v>
      </c>
      <c r="S805" s="49" t="s">
        <v>3091</v>
      </c>
      <c r="T805" s="49" t="s">
        <v>1624</v>
      </c>
      <c r="U805" s="48" t="s">
        <v>1759</v>
      </c>
      <c r="W805" s="50" t="s">
        <v>1617</v>
      </c>
    </row>
    <row r="806" spans="1:23" x14ac:dyDescent="0.3">
      <c r="A806" s="48">
        <f t="shared" si="32"/>
        <v>11</v>
      </c>
      <c r="B806" s="212">
        <v>46095</v>
      </c>
      <c r="C806" s="48" t="str">
        <f t="shared" si="33"/>
        <v>marzo</v>
      </c>
      <c r="D806" s="48" t="s">
        <v>2135</v>
      </c>
      <c r="E806" s="42" t="s">
        <v>2728</v>
      </c>
      <c r="F806" s="196" t="s">
        <v>3092</v>
      </c>
      <c r="G806" s="49">
        <v>4</v>
      </c>
      <c r="H806" s="48" t="s">
        <v>2138</v>
      </c>
      <c r="I806" s="197">
        <v>100</v>
      </c>
      <c r="J806" s="197">
        <v>400</v>
      </c>
      <c r="K806" s="197">
        <v>0</v>
      </c>
      <c r="L806" s="202">
        <v>400</v>
      </c>
      <c r="M806" s="198">
        <v>0</v>
      </c>
      <c r="N806" s="48" t="s">
        <v>2995</v>
      </c>
      <c r="O806" s="49" t="s">
        <v>36</v>
      </c>
      <c r="P806" s="48" t="s">
        <v>25</v>
      </c>
      <c r="Q806" s="48" t="s">
        <v>241</v>
      </c>
      <c r="R806" s="48" t="s">
        <v>364</v>
      </c>
      <c r="S806" s="49" t="s">
        <v>20</v>
      </c>
      <c r="T806" s="49"/>
      <c r="U806" s="48"/>
      <c r="W806" s="50" t="s">
        <v>1617</v>
      </c>
    </row>
    <row r="807" spans="1:23" x14ac:dyDescent="0.3">
      <c r="A807" s="48">
        <f t="shared" si="32"/>
        <v>12</v>
      </c>
      <c r="B807" s="195">
        <v>46097</v>
      </c>
      <c r="C807" s="48" t="str">
        <f t="shared" si="33"/>
        <v>marzo</v>
      </c>
      <c r="D807" s="48" t="s">
        <v>2135</v>
      </c>
      <c r="E807" s="42" t="s">
        <v>356</v>
      </c>
      <c r="F807" s="196" t="s">
        <v>127</v>
      </c>
      <c r="G807" s="49">
        <v>4.17</v>
      </c>
      <c r="H807" s="48" t="s">
        <v>2017</v>
      </c>
      <c r="I807" s="197">
        <v>20.76</v>
      </c>
      <c r="J807" s="197">
        <v>86.569200000000009</v>
      </c>
      <c r="K807" s="197">
        <v>13.46</v>
      </c>
      <c r="L807" s="198">
        <v>100</v>
      </c>
      <c r="M807" s="198">
        <v>0</v>
      </c>
      <c r="N807" s="48" t="s">
        <v>1617</v>
      </c>
      <c r="O807" s="49" t="s">
        <v>2020</v>
      </c>
      <c r="P807" s="49" t="s">
        <v>1321</v>
      </c>
      <c r="Q807" s="199" t="s">
        <v>1824</v>
      </c>
      <c r="R807" s="49" t="s">
        <v>364</v>
      </c>
      <c r="S807" s="49" t="s">
        <v>389</v>
      </c>
      <c r="T807" s="49" t="s">
        <v>2025</v>
      </c>
      <c r="U807" s="49"/>
      <c r="V807" s="49"/>
      <c r="W807" s="196" t="s">
        <v>3093</v>
      </c>
    </row>
    <row r="808" spans="1:23" x14ac:dyDescent="0.3">
      <c r="A808" s="48">
        <f t="shared" si="32"/>
        <v>12</v>
      </c>
      <c r="B808" s="195">
        <v>46097</v>
      </c>
      <c r="C808" s="48" t="str">
        <f t="shared" si="33"/>
        <v>marzo</v>
      </c>
      <c r="D808" s="48" t="s">
        <v>2135</v>
      </c>
      <c r="E808" s="42" t="s">
        <v>356</v>
      </c>
      <c r="F808" s="196" t="s">
        <v>127</v>
      </c>
      <c r="G808" s="49">
        <v>6.53</v>
      </c>
      <c r="H808" s="48" t="s">
        <v>2017</v>
      </c>
      <c r="I808" s="197">
        <v>19.936250000000001</v>
      </c>
      <c r="J808" s="197">
        <v>130.18371250000001</v>
      </c>
      <c r="K808" s="197">
        <v>20.18</v>
      </c>
      <c r="L808" s="198">
        <v>150</v>
      </c>
      <c r="M808" s="198">
        <v>0</v>
      </c>
      <c r="N808" s="48" t="s">
        <v>1617</v>
      </c>
      <c r="O808" s="49" t="s">
        <v>2020</v>
      </c>
      <c r="P808" s="49" t="s">
        <v>1321</v>
      </c>
      <c r="Q808" s="199" t="s">
        <v>488</v>
      </c>
      <c r="R808" s="48" t="s">
        <v>2726</v>
      </c>
      <c r="S808" s="49" t="s">
        <v>647</v>
      </c>
      <c r="T808" s="49" t="s">
        <v>2025</v>
      </c>
      <c r="U808" s="199" t="s">
        <v>3094</v>
      </c>
      <c r="V808" s="49"/>
      <c r="W808" s="196"/>
    </row>
    <row r="809" spans="1:23" x14ac:dyDescent="0.3">
      <c r="A809" s="48">
        <f t="shared" si="32"/>
        <v>12</v>
      </c>
      <c r="B809" s="195">
        <v>46097</v>
      </c>
      <c r="C809" s="48" t="str">
        <f t="shared" si="33"/>
        <v>marzo</v>
      </c>
      <c r="D809" s="48" t="s">
        <v>2135</v>
      </c>
      <c r="E809" s="42" t="s">
        <v>2728</v>
      </c>
      <c r="F809" s="196" t="s">
        <v>755</v>
      </c>
      <c r="G809" s="199">
        <v>2</v>
      </c>
      <c r="H809" s="48" t="s">
        <v>1705</v>
      </c>
      <c r="I809" s="197">
        <v>2025.86</v>
      </c>
      <c r="J809" s="197">
        <v>4051.72</v>
      </c>
      <c r="K809" s="197">
        <v>648.28</v>
      </c>
      <c r="L809" s="198">
        <v>4700</v>
      </c>
      <c r="M809" s="198">
        <v>0</v>
      </c>
      <c r="N809" s="48" t="s">
        <v>1423</v>
      </c>
      <c r="O809" s="49" t="s">
        <v>760</v>
      </c>
      <c r="P809" s="49" t="s">
        <v>25</v>
      </c>
      <c r="Q809" s="199" t="s">
        <v>1824</v>
      </c>
      <c r="R809" s="48" t="s">
        <v>2726</v>
      </c>
      <c r="S809" s="199" t="s">
        <v>414</v>
      </c>
      <c r="T809" s="199" t="s">
        <v>3095</v>
      </c>
      <c r="U809" s="199"/>
      <c r="W809" s="50" t="s">
        <v>3096</v>
      </c>
    </row>
    <row r="810" spans="1:23" x14ac:dyDescent="0.3">
      <c r="A810" s="48">
        <f t="shared" si="32"/>
        <v>12</v>
      </c>
      <c r="B810" s="195">
        <v>46097</v>
      </c>
      <c r="C810" s="48" t="str">
        <f t="shared" si="33"/>
        <v>marzo</v>
      </c>
      <c r="D810" s="48" t="s">
        <v>2135</v>
      </c>
      <c r="E810" s="42" t="s">
        <v>2732</v>
      </c>
      <c r="F810" s="196" t="s">
        <v>3097</v>
      </c>
      <c r="G810" s="199">
        <v>9</v>
      </c>
      <c r="H810" s="48" t="s">
        <v>1705</v>
      </c>
      <c r="I810" s="197">
        <v>3</v>
      </c>
      <c r="J810" s="197">
        <v>27</v>
      </c>
      <c r="K810" s="197">
        <v>0</v>
      </c>
      <c r="L810" s="198">
        <v>27</v>
      </c>
      <c r="M810" s="198">
        <v>0</v>
      </c>
      <c r="N810" s="48" t="s">
        <v>1617</v>
      </c>
      <c r="O810" s="48" t="s">
        <v>116</v>
      </c>
      <c r="P810" s="48" t="s">
        <v>25</v>
      </c>
      <c r="Q810" s="199" t="s">
        <v>1921</v>
      </c>
      <c r="R810" s="49" t="s">
        <v>2727</v>
      </c>
      <c r="S810" s="199" t="s">
        <v>3060</v>
      </c>
      <c r="T810" s="199" t="s">
        <v>3060</v>
      </c>
    </row>
    <row r="811" spans="1:23" x14ac:dyDescent="0.3">
      <c r="A811" s="48">
        <f t="shared" si="32"/>
        <v>12</v>
      </c>
      <c r="B811" s="195">
        <v>46097</v>
      </c>
      <c r="C811" s="48" t="str">
        <f t="shared" si="33"/>
        <v>marzo</v>
      </c>
      <c r="D811" s="48" t="s">
        <v>2135</v>
      </c>
      <c r="E811" s="42" t="s">
        <v>2732</v>
      </c>
      <c r="F811" s="196" t="s">
        <v>3098</v>
      </c>
      <c r="G811" s="199">
        <v>3</v>
      </c>
      <c r="H811" s="48" t="s">
        <v>2139</v>
      </c>
      <c r="I811" s="197">
        <v>120</v>
      </c>
      <c r="J811" s="197">
        <v>360</v>
      </c>
      <c r="K811" s="197">
        <v>0</v>
      </c>
      <c r="L811" s="198">
        <v>360</v>
      </c>
      <c r="M811" s="198">
        <v>0</v>
      </c>
      <c r="N811" s="48" t="s">
        <v>1617</v>
      </c>
      <c r="O811" s="48" t="s">
        <v>116</v>
      </c>
      <c r="P811" s="48" t="s">
        <v>25</v>
      </c>
      <c r="Q811" s="199" t="s">
        <v>1921</v>
      </c>
      <c r="R811" s="49" t="s">
        <v>2727</v>
      </c>
      <c r="S811" s="199" t="s">
        <v>1661</v>
      </c>
      <c r="T811" s="199" t="s">
        <v>1661</v>
      </c>
    </row>
    <row r="812" spans="1:23" x14ac:dyDescent="0.3">
      <c r="A812" s="48">
        <f t="shared" si="32"/>
        <v>12</v>
      </c>
      <c r="B812" s="195">
        <v>46097</v>
      </c>
      <c r="C812" s="48" t="str">
        <f t="shared" si="33"/>
        <v>marzo</v>
      </c>
      <c r="D812" s="48" t="s">
        <v>2135</v>
      </c>
      <c r="E812" s="42" t="s">
        <v>2732</v>
      </c>
      <c r="F812" s="196" t="s">
        <v>3099</v>
      </c>
      <c r="G812" s="199">
        <v>1</v>
      </c>
      <c r="H812" s="48" t="s">
        <v>2139</v>
      </c>
      <c r="I812" s="197">
        <v>46</v>
      </c>
      <c r="J812" s="197">
        <v>46</v>
      </c>
      <c r="K812" s="197">
        <v>0</v>
      </c>
      <c r="L812" s="198">
        <v>46</v>
      </c>
      <c r="M812" s="198">
        <v>0</v>
      </c>
      <c r="N812" s="48" t="s">
        <v>1617</v>
      </c>
      <c r="O812" s="48" t="s">
        <v>116</v>
      </c>
      <c r="P812" s="48" t="s">
        <v>25</v>
      </c>
      <c r="Q812" s="199" t="s">
        <v>1921</v>
      </c>
      <c r="R812" s="49" t="s">
        <v>2727</v>
      </c>
      <c r="S812" s="199" t="s">
        <v>1661</v>
      </c>
      <c r="T812" s="199" t="s">
        <v>1661</v>
      </c>
    </row>
    <row r="813" spans="1:23" x14ac:dyDescent="0.3">
      <c r="A813" s="48">
        <f t="shared" si="32"/>
        <v>12</v>
      </c>
      <c r="B813" s="195">
        <v>46097</v>
      </c>
      <c r="C813" s="48" t="str">
        <f t="shared" si="33"/>
        <v>marzo</v>
      </c>
      <c r="D813" s="48" t="s">
        <v>2135</v>
      </c>
      <c r="E813" s="42" t="s">
        <v>2732</v>
      </c>
      <c r="F813" s="196" t="s">
        <v>3100</v>
      </c>
      <c r="G813" s="199">
        <v>2</v>
      </c>
      <c r="H813" s="48" t="s">
        <v>2139</v>
      </c>
      <c r="I813" s="197">
        <v>20</v>
      </c>
      <c r="J813" s="197">
        <v>40</v>
      </c>
      <c r="K813" s="197">
        <v>0</v>
      </c>
      <c r="L813" s="198">
        <v>40</v>
      </c>
      <c r="M813" s="198">
        <v>0</v>
      </c>
      <c r="N813" s="48" t="s">
        <v>1617</v>
      </c>
      <c r="O813" s="48" t="s">
        <v>116</v>
      </c>
      <c r="P813" s="48" t="s">
        <v>25</v>
      </c>
      <c r="Q813" s="199" t="s">
        <v>1921</v>
      </c>
      <c r="R813" s="49" t="s">
        <v>2727</v>
      </c>
      <c r="S813" s="199" t="s">
        <v>1661</v>
      </c>
      <c r="T813" s="199" t="s">
        <v>1661</v>
      </c>
    </row>
    <row r="814" spans="1:23" x14ac:dyDescent="0.3">
      <c r="A814" s="48">
        <f t="shared" si="32"/>
        <v>12</v>
      </c>
      <c r="B814" s="195">
        <v>46097</v>
      </c>
      <c r="C814" s="48" t="str">
        <f t="shared" si="33"/>
        <v>marzo</v>
      </c>
      <c r="D814" s="48" t="s">
        <v>2135</v>
      </c>
      <c r="E814" s="50" t="s">
        <v>850</v>
      </c>
      <c r="F814" s="209" t="s">
        <v>2937</v>
      </c>
      <c r="G814" s="199">
        <v>1</v>
      </c>
      <c r="H814" s="48" t="s">
        <v>2138</v>
      </c>
      <c r="I814" s="197">
        <v>10734.931034482759</v>
      </c>
      <c r="J814" s="197">
        <v>10734.931034482759</v>
      </c>
      <c r="K814" s="197">
        <v>1717.5889655172414</v>
      </c>
      <c r="L814" s="198">
        <v>12452.52</v>
      </c>
      <c r="M814" s="198">
        <v>0</v>
      </c>
      <c r="O814" s="48" t="s">
        <v>1464</v>
      </c>
      <c r="P814" s="49" t="s">
        <v>25</v>
      </c>
      <c r="Q814" s="199" t="s">
        <v>1766</v>
      </c>
      <c r="R814" s="48" t="s">
        <v>2735</v>
      </c>
      <c r="S814" s="50" t="s">
        <v>669</v>
      </c>
    </row>
    <row r="815" spans="1:23" x14ac:dyDescent="0.3">
      <c r="A815" s="48">
        <f t="shared" si="32"/>
        <v>12</v>
      </c>
      <c r="B815" s="195">
        <v>46097</v>
      </c>
      <c r="C815" s="48" t="str">
        <f t="shared" si="33"/>
        <v>marzo</v>
      </c>
      <c r="D815" s="48" t="s">
        <v>2135</v>
      </c>
      <c r="E815" s="50" t="s">
        <v>850</v>
      </c>
      <c r="F815" s="209" t="s">
        <v>2937</v>
      </c>
      <c r="G815" s="199">
        <v>1</v>
      </c>
      <c r="H815" s="48" t="s">
        <v>2138</v>
      </c>
      <c r="I815" s="197">
        <v>10796.301724137931</v>
      </c>
      <c r="J815" s="197">
        <v>10796.301724137931</v>
      </c>
      <c r="K815" s="197">
        <v>1727.4082758620691</v>
      </c>
      <c r="L815" s="198">
        <v>12523.710000000001</v>
      </c>
      <c r="M815" s="198">
        <v>0</v>
      </c>
      <c r="O815" s="49" t="s">
        <v>1443</v>
      </c>
      <c r="P815" s="49" t="s">
        <v>25</v>
      </c>
      <c r="Q815" s="199" t="s">
        <v>1766</v>
      </c>
      <c r="R815" s="48" t="s">
        <v>2735</v>
      </c>
      <c r="S815" s="50" t="s">
        <v>669</v>
      </c>
    </row>
    <row r="816" spans="1:23" x14ac:dyDescent="0.3">
      <c r="A816" s="48">
        <f t="shared" si="32"/>
        <v>12</v>
      </c>
      <c r="B816" s="195">
        <v>46097</v>
      </c>
      <c r="C816" s="48" t="str">
        <f t="shared" si="33"/>
        <v>marzo</v>
      </c>
      <c r="D816" s="48" t="s">
        <v>2135</v>
      </c>
      <c r="E816" s="50" t="s">
        <v>850</v>
      </c>
      <c r="F816" s="209" t="s">
        <v>2937</v>
      </c>
      <c r="G816" s="199">
        <v>1</v>
      </c>
      <c r="H816" s="48" t="s">
        <v>2138</v>
      </c>
      <c r="I816" s="197">
        <v>10796.301724137931</v>
      </c>
      <c r="J816" s="197">
        <v>10796.301724137931</v>
      </c>
      <c r="K816" s="197">
        <v>1727.4082758620691</v>
      </c>
      <c r="L816" s="198">
        <v>12523.710000000001</v>
      </c>
      <c r="M816" s="198">
        <v>0</v>
      </c>
      <c r="O816" s="49" t="s">
        <v>1429</v>
      </c>
      <c r="P816" s="49" t="s">
        <v>25</v>
      </c>
      <c r="Q816" s="199" t="s">
        <v>1766</v>
      </c>
      <c r="R816" s="48" t="s">
        <v>2735</v>
      </c>
      <c r="S816" s="50" t="s">
        <v>669</v>
      </c>
    </row>
    <row r="817" spans="1:23" x14ac:dyDescent="0.3">
      <c r="A817" s="48">
        <f t="shared" si="32"/>
        <v>12</v>
      </c>
      <c r="B817" s="195">
        <v>46097</v>
      </c>
      <c r="C817" s="48" t="str">
        <f t="shared" si="33"/>
        <v>marzo</v>
      </c>
      <c r="D817" s="48" t="s">
        <v>2135</v>
      </c>
      <c r="E817" s="50" t="s">
        <v>850</v>
      </c>
      <c r="F817" s="209" t="s">
        <v>2937</v>
      </c>
      <c r="G817" s="199">
        <v>1</v>
      </c>
      <c r="H817" s="48" t="s">
        <v>2138</v>
      </c>
      <c r="I817" s="197">
        <v>10796.301724137931</v>
      </c>
      <c r="J817" s="197">
        <v>10796.301724137931</v>
      </c>
      <c r="K817" s="197">
        <v>1727.4082758620691</v>
      </c>
      <c r="L817" s="198">
        <v>12523.710000000001</v>
      </c>
      <c r="M817" s="198">
        <v>0</v>
      </c>
      <c r="O817" s="49" t="s">
        <v>2149</v>
      </c>
      <c r="P817" s="49" t="s">
        <v>25</v>
      </c>
      <c r="Q817" s="199" t="s">
        <v>1766</v>
      </c>
      <c r="R817" s="48" t="s">
        <v>2735</v>
      </c>
      <c r="S817" s="50" t="s">
        <v>669</v>
      </c>
    </row>
    <row r="818" spans="1:23" x14ac:dyDescent="0.3">
      <c r="A818" s="48">
        <f t="shared" si="32"/>
        <v>12</v>
      </c>
      <c r="B818" s="195">
        <v>46097</v>
      </c>
      <c r="C818" s="48" t="str">
        <f t="shared" si="33"/>
        <v>marzo</v>
      </c>
      <c r="D818" s="48" t="s">
        <v>2135</v>
      </c>
      <c r="E818" s="50" t="s">
        <v>850</v>
      </c>
      <c r="F818" s="209" t="s">
        <v>2937</v>
      </c>
      <c r="G818" s="199">
        <v>1</v>
      </c>
      <c r="H818" s="48" t="s">
        <v>2138</v>
      </c>
      <c r="I818" s="197">
        <v>10796.301724137931</v>
      </c>
      <c r="J818" s="197">
        <v>10796.301724137931</v>
      </c>
      <c r="K818" s="197">
        <v>1727.4082758620691</v>
      </c>
      <c r="L818" s="198">
        <v>12523.710000000001</v>
      </c>
      <c r="M818" s="198">
        <v>0</v>
      </c>
      <c r="O818" s="49" t="s">
        <v>1439</v>
      </c>
      <c r="P818" s="49" t="s">
        <v>25</v>
      </c>
      <c r="Q818" s="199" t="s">
        <v>1766</v>
      </c>
      <c r="R818" s="48" t="s">
        <v>2735</v>
      </c>
      <c r="S818" s="50" t="s">
        <v>669</v>
      </c>
    </row>
    <row r="819" spans="1:23" x14ac:dyDescent="0.3">
      <c r="A819" s="48">
        <f t="shared" ref="A819:A882" si="34">WEEKNUM(B819)</f>
        <v>12</v>
      </c>
      <c r="B819" s="195">
        <v>46098</v>
      </c>
      <c r="C819" s="48" t="str">
        <f t="shared" si="33"/>
        <v>marzo</v>
      </c>
      <c r="D819" s="48" t="s">
        <v>2135</v>
      </c>
      <c r="E819" s="42" t="s">
        <v>2728</v>
      </c>
      <c r="F819" s="196" t="s">
        <v>3101</v>
      </c>
      <c r="G819" s="199">
        <v>1</v>
      </c>
      <c r="H819" s="48" t="s">
        <v>1705</v>
      </c>
      <c r="I819" s="197">
        <v>82.12</v>
      </c>
      <c r="J819" s="197">
        <v>82.12</v>
      </c>
      <c r="K819" s="197">
        <v>13.14</v>
      </c>
      <c r="L819" s="198">
        <v>95.26</v>
      </c>
      <c r="M819" s="198">
        <v>0</v>
      </c>
      <c r="N819" s="48" t="s">
        <v>1617</v>
      </c>
      <c r="O819" s="48" t="s">
        <v>120</v>
      </c>
      <c r="P819" s="49" t="s">
        <v>25</v>
      </c>
      <c r="Q819" s="199" t="s">
        <v>241</v>
      </c>
      <c r="R819" s="48" t="s">
        <v>2735</v>
      </c>
      <c r="S819" s="48" t="s">
        <v>1665</v>
      </c>
      <c r="T819" s="199"/>
      <c r="U819" s="199" t="s">
        <v>3102</v>
      </c>
    </row>
    <row r="820" spans="1:23" x14ac:dyDescent="0.3">
      <c r="A820" s="48">
        <f t="shared" si="34"/>
        <v>12</v>
      </c>
      <c r="B820" s="195">
        <v>46098</v>
      </c>
      <c r="C820" s="48" t="str">
        <f t="shared" si="33"/>
        <v>marzo</v>
      </c>
      <c r="D820" s="48" t="s">
        <v>2175</v>
      </c>
      <c r="E820" s="42" t="s">
        <v>2728</v>
      </c>
      <c r="F820" s="196" t="s">
        <v>3103</v>
      </c>
      <c r="G820" s="199">
        <v>10</v>
      </c>
      <c r="H820" s="48" t="s">
        <v>1705</v>
      </c>
      <c r="I820" s="197">
        <v>4.12</v>
      </c>
      <c r="J820" s="197">
        <v>41.2</v>
      </c>
      <c r="K820" s="197">
        <v>6.5920000000000005</v>
      </c>
      <c r="L820" s="198">
        <v>47.792000000000002</v>
      </c>
      <c r="M820" s="198">
        <v>0</v>
      </c>
      <c r="N820" s="48" t="s">
        <v>1617</v>
      </c>
      <c r="O820" s="48" t="s">
        <v>118</v>
      </c>
      <c r="P820" s="49" t="s">
        <v>25</v>
      </c>
      <c r="Q820" s="199" t="s">
        <v>241</v>
      </c>
      <c r="R820" s="48" t="s">
        <v>2735</v>
      </c>
      <c r="S820" s="48" t="s">
        <v>1665</v>
      </c>
      <c r="T820" s="199"/>
      <c r="U820" s="199" t="s">
        <v>3102</v>
      </c>
    </row>
    <row r="821" spans="1:23" x14ac:dyDescent="0.3">
      <c r="A821" s="48">
        <f t="shared" si="34"/>
        <v>12</v>
      </c>
      <c r="B821" s="195">
        <v>46098</v>
      </c>
      <c r="C821" s="48" t="str">
        <f t="shared" si="33"/>
        <v>marzo</v>
      </c>
      <c r="D821" s="48" t="s">
        <v>2175</v>
      </c>
      <c r="E821" s="42" t="s">
        <v>2728</v>
      </c>
      <c r="F821" s="196" t="s">
        <v>3104</v>
      </c>
      <c r="G821" s="199">
        <v>1</v>
      </c>
      <c r="H821" s="48" t="s">
        <v>1705</v>
      </c>
      <c r="I821" s="197">
        <v>31.3</v>
      </c>
      <c r="J821" s="197">
        <v>31.3</v>
      </c>
      <c r="K821" s="197">
        <v>5.008</v>
      </c>
      <c r="L821" s="198">
        <v>36.308</v>
      </c>
      <c r="M821" s="198">
        <v>0</v>
      </c>
      <c r="N821" s="48" t="s">
        <v>1617</v>
      </c>
      <c r="O821" s="48" t="s">
        <v>118</v>
      </c>
      <c r="P821" s="49" t="s">
        <v>25</v>
      </c>
      <c r="Q821" s="199" t="s">
        <v>241</v>
      </c>
      <c r="R821" s="48" t="s">
        <v>2726</v>
      </c>
      <c r="S821" s="48" t="s">
        <v>1665</v>
      </c>
      <c r="T821" s="199"/>
      <c r="U821" s="199" t="s">
        <v>3102</v>
      </c>
    </row>
    <row r="822" spans="1:23" x14ac:dyDescent="0.3">
      <c r="A822" s="48">
        <f t="shared" si="34"/>
        <v>12</v>
      </c>
      <c r="B822" s="195">
        <v>46098</v>
      </c>
      <c r="C822" s="48" t="str">
        <f t="shared" si="33"/>
        <v>marzo</v>
      </c>
      <c r="D822" s="48" t="s">
        <v>2135</v>
      </c>
      <c r="E822" s="42" t="s">
        <v>2728</v>
      </c>
      <c r="F822" s="196" t="s">
        <v>3105</v>
      </c>
      <c r="G822" s="199">
        <v>1</v>
      </c>
      <c r="H822" s="48" t="s">
        <v>1705</v>
      </c>
      <c r="I822" s="197">
        <v>611.21</v>
      </c>
      <c r="J822" s="197">
        <v>611.21</v>
      </c>
      <c r="K822" s="197">
        <v>97.79</v>
      </c>
      <c r="L822" s="198">
        <v>709</v>
      </c>
      <c r="M822" s="198">
        <v>0</v>
      </c>
      <c r="N822" s="48" t="s">
        <v>1617</v>
      </c>
      <c r="O822" s="48" t="s">
        <v>120</v>
      </c>
      <c r="P822" s="49" t="s">
        <v>25</v>
      </c>
      <c r="Q822" s="199" t="s">
        <v>241</v>
      </c>
      <c r="R822" s="48" t="s">
        <v>2726</v>
      </c>
      <c r="S822" s="199" t="s">
        <v>574</v>
      </c>
      <c r="T822" s="199"/>
      <c r="W822" s="50" t="s">
        <v>3106</v>
      </c>
    </row>
    <row r="823" spans="1:23" x14ac:dyDescent="0.3">
      <c r="A823" s="48">
        <f t="shared" si="34"/>
        <v>12</v>
      </c>
      <c r="B823" s="195">
        <v>46098</v>
      </c>
      <c r="C823" s="48" t="str">
        <f t="shared" si="33"/>
        <v>marzo</v>
      </c>
      <c r="D823" s="48" t="s">
        <v>2135</v>
      </c>
      <c r="E823" s="42" t="s">
        <v>2728</v>
      </c>
      <c r="F823" s="196" t="s">
        <v>551</v>
      </c>
      <c r="G823" s="199">
        <v>1</v>
      </c>
      <c r="H823" s="48" t="s">
        <v>1705</v>
      </c>
      <c r="I823" s="197">
        <v>1381.8</v>
      </c>
      <c r="J823" s="197">
        <v>1381.8</v>
      </c>
      <c r="K823" s="197">
        <v>263.2</v>
      </c>
      <c r="L823" s="198">
        <v>1645</v>
      </c>
      <c r="M823" s="198">
        <v>0</v>
      </c>
      <c r="N823" s="48" t="s">
        <v>1617</v>
      </c>
      <c r="O823" s="48" t="s">
        <v>120</v>
      </c>
      <c r="P823" s="49" t="s">
        <v>25</v>
      </c>
      <c r="Q823" s="199" t="s">
        <v>241</v>
      </c>
      <c r="R823" s="48" t="s">
        <v>2726</v>
      </c>
      <c r="S823" s="199" t="s">
        <v>613</v>
      </c>
      <c r="T823" s="199"/>
      <c r="W823" s="50" t="s">
        <v>3107</v>
      </c>
    </row>
    <row r="824" spans="1:23" x14ac:dyDescent="0.3">
      <c r="A824" s="48">
        <f t="shared" si="34"/>
        <v>12</v>
      </c>
      <c r="B824" s="195">
        <v>46098</v>
      </c>
      <c r="C824" s="48" t="str">
        <f t="shared" si="33"/>
        <v>marzo</v>
      </c>
      <c r="D824" s="48" t="s">
        <v>2135</v>
      </c>
      <c r="E824" s="42" t="s">
        <v>356</v>
      </c>
      <c r="F824" s="196" t="s">
        <v>866</v>
      </c>
      <c r="G824" s="199">
        <v>1</v>
      </c>
      <c r="H824" s="48" t="s">
        <v>2138</v>
      </c>
      <c r="I824" s="197">
        <v>104.23</v>
      </c>
      <c r="J824" s="197">
        <v>104.23</v>
      </c>
      <c r="K824" s="197">
        <v>16.68</v>
      </c>
      <c r="L824" s="198">
        <v>120.91</v>
      </c>
      <c r="M824" s="198">
        <v>0</v>
      </c>
      <c r="N824" s="48" t="s">
        <v>1617</v>
      </c>
      <c r="O824" s="48" t="s">
        <v>118</v>
      </c>
      <c r="P824" s="49" t="s">
        <v>25</v>
      </c>
      <c r="Q824" s="199" t="s">
        <v>241</v>
      </c>
      <c r="R824" s="48" t="s">
        <v>2735</v>
      </c>
      <c r="S824" s="199" t="s">
        <v>866</v>
      </c>
      <c r="U824" s="49" t="s">
        <v>3108</v>
      </c>
      <c r="W824" s="50" t="s">
        <v>3109</v>
      </c>
    </row>
    <row r="825" spans="1:23" ht="14.4" x14ac:dyDescent="0.3">
      <c r="A825" s="48">
        <f t="shared" si="34"/>
        <v>12</v>
      </c>
      <c r="B825" s="195">
        <v>46098</v>
      </c>
      <c r="C825" s="48" t="str">
        <f t="shared" si="33"/>
        <v>marzo</v>
      </c>
      <c r="D825" s="48" t="s">
        <v>2135</v>
      </c>
      <c r="E825" s="42" t="s">
        <v>477</v>
      </c>
      <c r="F825" s="47" t="s">
        <v>2019</v>
      </c>
      <c r="G825" s="38">
        <v>1</v>
      </c>
      <c r="H825" s="48" t="s">
        <v>2138</v>
      </c>
      <c r="I825" s="197">
        <v>2157</v>
      </c>
      <c r="J825" s="197">
        <v>2157</v>
      </c>
      <c r="K825" s="197">
        <v>0</v>
      </c>
      <c r="L825" s="202">
        <v>2157</v>
      </c>
      <c r="M825" s="198">
        <v>0</v>
      </c>
      <c r="N825" s="48" t="s">
        <v>1617</v>
      </c>
      <c r="O825" s="49" t="s">
        <v>3110</v>
      </c>
      <c r="P825" s="48" t="s">
        <v>25</v>
      </c>
      <c r="Q825" s="48" t="s">
        <v>1766</v>
      </c>
      <c r="R825" s="48" t="s">
        <v>369</v>
      </c>
      <c r="S825" s="199"/>
      <c r="T825" s="199"/>
    </row>
    <row r="826" spans="1:23" x14ac:dyDescent="0.3">
      <c r="A826" s="48">
        <f t="shared" si="34"/>
        <v>12</v>
      </c>
      <c r="B826" s="195">
        <v>46099</v>
      </c>
      <c r="C826" s="48" t="str">
        <f t="shared" si="33"/>
        <v>marzo</v>
      </c>
      <c r="D826" s="48" t="s">
        <v>2135</v>
      </c>
      <c r="E826" s="42" t="s">
        <v>356</v>
      </c>
      <c r="F826" s="196" t="s">
        <v>127</v>
      </c>
      <c r="G826" s="199">
        <v>10</v>
      </c>
      <c r="H826" s="48" t="s">
        <v>2017</v>
      </c>
      <c r="I826" s="197">
        <v>20.68</v>
      </c>
      <c r="J826" s="197">
        <v>206.8</v>
      </c>
      <c r="K826" s="197">
        <v>33.088000000000001</v>
      </c>
      <c r="L826" s="198">
        <v>239.9</v>
      </c>
      <c r="M826" s="198">
        <v>0</v>
      </c>
      <c r="N826" s="48" t="s">
        <v>1617</v>
      </c>
      <c r="O826" s="48" t="s">
        <v>120</v>
      </c>
      <c r="P826" s="49" t="s">
        <v>25</v>
      </c>
      <c r="Q826" s="199" t="s">
        <v>241</v>
      </c>
      <c r="R826" s="49" t="s">
        <v>3111</v>
      </c>
      <c r="S826" s="199" t="s">
        <v>3112</v>
      </c>
      <c r="T826" s="199" t="s">
        <v>2025</v>
      </c>
      <c r="U826" s="49"/>
      <c r="W826" s="50" t="s">
        <v>3113</v>
      </c>
    </row>
    <row r="827" spans="1:23" x14ac:dyDescent="0.3">
      <c r="A827" s="48">
        <f t="shared" si="34"/>
        <v>12</v>
      </c>
      <c r="B827" s="195">
        <v>46099</v>
      </c>
      <c r="C827" s="48" t="str">
        <f t="shared" si="33"/>
        <v>marzo</v>
      </c>
      <c r="D827" s="48" t="s">
        <v>2135</v>
      </c>
      <c r="E827" s="42" t="s">
        <v>356</v>
      </c>
      <c r="F827" s="196" t="s">
        <v>127</v>
      </c>
      <c r="G827" s="199">
        <v>8.01</v>
      </c>
      <c r="H827" s="48" t="s">
        <v>2017</v>
      </c>
      <c r="I827" s="197">
        <v>19.936250000000001</v>
      </c>
      <c r="J827" s="197">
        <v>159.49</v>
      </c>
      <c r="K827" s="197">
        <v>24.76</v>
      </c>
      <c r="L827" s="198">
        <v>184.25</v>
      </c>
      <c r="M827" s="198">
        <v>0</v>
      </c>
      <c r="N827" s="48" t="s">
        <v>1617</v>
      </c>
      <c r="O827" s="48" t="s">
        <v>118</v>
      </c>
      <c r="P827" s="49" t="s">
        <v>25</v>
      </c>
      <c r="Q827" s="199" t="s">
        <v>1869</v>
      </c>
      <c r="R827" s="48" t="s">
        <v>2726</v>
      </c>
      <c r="S827" s="199"/>
      <c r="T827" s="199"/>
    </row>
    <row r="828" spans="1:23" x14ac:dyDescent="0.3">
      <c r="A828" s="48">
        <f t="shared" si="34"/>
        <v>12</v>
      </c>
      <c r="B828" s="195">
        <v>46099</v>
      </c>
      <c r="C828" s="48" t="str">
        <f t="shared" si="33"/>
        <v>marzo</v>
      </c>
      <c r="D828" s="48" t="s">
        <v>2135</v>
      </c>
      <c r="E828" s="42" t="s">
        <v>2728</v>
      </c>
      <c r="F828" s="196" t="s">
        <v>349</v>
      </c>
      <c r="G828" s="199">
        <v>1</v>
      </c>
      <c r="H828" s="48" t="s">
        <v>2138</v>
      </c>
      <c r="I828" s="197">
        <v>200</v>
      </c>
      <c r="J828" s="197">
        <v>200</v>
      </c>
      <c r="K828" s="197">
        <v>0</v>
      </c>
      <c r="L828" s="198">
        <v>200</v>
      </c>
      <c r="M828" s="198">
        <v>0</v>
      </c>
      <c r="N828" s="48" t="s">
        <v>1617</v>
      </c>
      <c r="O828" s="49" t="s">
        <v>110</v>
      </c>
      <c r="P828" s="49" t="s">
        <v>18</v>
      </c>
      <c r="Q828" s="48" t="s">
        <v>1844</v>
      </c>
      <c r="R828" s="49" t="s">
        <v>364</v>
      </c>
      <c r="S828" s="199" t="s">
        <v>454</v>
      </c>
      <c r="T828" s="199"/>
      <c r="U828" s="49" t="s">
        <v>1759</v>
      </c>
      <c r="V828" s="50"/>
    </row>
    <row r="829" spans="1:23" x14ac:dyDescent="0.3">
      <c r="A829" s="48">
        <f t="shared" si="34"/>
        <v>12</v>
      </c>
      <c r="B829" s="195">
        <v>46099</v>
      </c>
      <c r="C829" s="48" t="str">
        <f t="shared" si="33"/>
        <v>marzo</v>
      </c>
      <c r="D829" s="48" t="s">
        <v>2135</v>
      </c>
      <c r="E829" s="42" t="s">
        <v>2728</v>
      </c>
      <c r="F829" s="196" t="s">
        <v>3114</v>
      </c>
      <c r="G829" s="199">
        <v>2</v>
      </c>
      <c r="H829" s="48" t="s">
        <v>2138</v>
      </c>
      <c r="I829" s="197">
        <v>100</v>
      </c>
      <c r="J829" s="197">
        <v>200</v>
      </c>
      <c r="K829" s="197">
        <v>0</v>
      </c>
      <c r="L829" s="198">
        <v>200</v>
      </c>
      <c r="M829" s="198">
        <v>0</v>
      </c>
      <c r="N829" s="48" t="s">
        <v>1617</v>
      </c>
      <c r="O829" s="49" t="s">
        <v>110</v>
      </c>
      <c r="P829" s="49" t="s">
        <v>18</v>
      </c>
      <c r="Q829" s="48" t="s">
        <v>1844</v>
      </c>
      <c r="R829" s="49" t="s">
        <v>364</v>
      </c>
      <c r="S829" s="199" t="s">
        <v>454</v>
      </c>
      <c r="T829" s="199"/>
      <c r="U829" s="49" t="s">
        <v>1759</v>
      </c>
      <c r="V829" s="50"/>
    </row>
    <row r="830" spans="1:23" x14ac:dyDescent="0.3">
      <c r="A830" s="48">
        <f t="shared" si="34"/>
        <v>12</v>
      </c>
      <c r="B830" s="195">
        <v>46099</v>
      </c>
      <c r="C830" s="48" t="str">
        <f t="shared" si="33"/>
        <v>marzo</v>
      </c>
      <c r="D830" s="48" t="s">
        <v>2135</v>
      </c>
      <c r="E830" s="42" t="s">
        <v>356</v>
      </c>
      <c r="F830" s="196" t="s">
        <v>127</v>
      </c>
      <c r="G830" s="199">
        <v>4.1680000000000001</v>
      </c>
      <c r="H830" s="48" t="s">
        <v>2017</v>
      </c>
      <c r="I830" s="197">
        <v>19.920000000000002</v>
      </c>
      <c r="J830" s="197">
        <v>83.026560000000003</v>
      </c>
      <c r="K830" s="197">
        <v>24.76</v>
      </c>
      <c r="L830" s="198">
        <v>100</v>
      </c>
      <c r="M830" s="198">
        <v>0</v>
      </c>
      <c r="N830" s="48" t="s">
        <v>1617</v>
      </c>
      <c r="O830" s="48" t="s">
        <v>118</v>
      </c>
      <c r="P830" s="49" t="s">
        <v>25</v>
      </c>
      <c r="Q830" s="48" t="s">
        <v>1844</v>
      </c>
      <c r="R830" s="49" t="s">
        <v>2727</v>
      </c>
      <c r="S830" s="199" t="s">
        <v>3112</v>
      </c>
      <c r="T830" s="199" t="s">
        <v>2025</v>
      </c>
    </row>
    <row r="831" spans="1:23" x14ac:dyDescent="0.3">
      <c r="A831" s="48">
        <f t="shared" si="34"/>
        <v>12</v>
      </c>
      <c r="B831" s="195">
        <v>46099</v>
      </c>
      <c r="C831" s="48" t="str">
        <f t="shared" si="33"/>
        <v>marzo</v>
      </c>
      <c r="D831" s="48" t="s">
        <v>2135</v>
      </c>
      <c r="E831" s="42" t="s">
        <v>2728</v>
      </c>
      <c r="F831" s="196" t="s">
        <v>3115</v>
      </c>
      <c r="G831" s="199">
        <v>1</v>
      </c>
      <c r="H831" s="48" t="s">
        <v>2138</v>
      </c>
      <c r="I831" s="197">
        <v>150</v>
      </c>
      <c r="J831" s="197">
        <v>150</v>
      </c>
      <c r="K831" s="197">
        <v>0</v>
      </c>
      <c r="L831" s="198">
        <v>150</v>
      </c>
      <c r="M831" s="198">
        <v>0</v>
      </c>
      <c r="N831" s="48" t="s">
        <v>3116</v>
      </c>
      <c r="O831" s="49" t="s">
        <v>101</v>
      </c>
      <c r="P831" s="49" t="s">
        <v>25</v>
      </c>
      <c r="Q831" s="48" t="s">
        <v>1844</v>
      </c>
      <c r="R831" s="49" t="s">
        <v>364</v>
      </c>
      <c r="T831" s="199"/>
      <c r="U831" s="49" t="s">
        <v>1759</v>
      </c>
    </row>
    <row r="832" spans="1:23" x14ac:dyDescent="0.3">
      <c r="A832" s="48">
        <f t="shared" si="34"/>
        <v>12</v>
      </c>
      <c r="B832" s="195">
        <v>46099</v>
      </c>
      <c r="C832" s="48" t="str">
        <f t="shared" si="33"/>
        <v>marzo</v>
      </c>
      <c r="D832" s="48" t="s">
        <v>2135</v>
      </c>
      <c r="E832" s="42" t="s">
        <v>2728</v>
      </c>
      <c r="F832" s="196" t="s">
        <v>3117</v>
      </c>
      <c r="G832" s="199">
        <v>1</v>
      </c>
      <c r="H832" s="48" t="s">
        <v>1705</v>
      </c>
      <c r="I832" s="197">
        <v>604.18965517241384</v>
      </c>
      <c r="J832" s="197">
        <v>604.18965517241384</v>
      </c>
      <c r="K832" s="197">
        <v>112.14</v>
      </c>
      <c r="L832" s="217">
        <v>700.86</v>
      </c>
      <c r="M832" s="198">
        <v>0</v>
      </c>
      <c r="N832" s="48" t="s">
        <v>3116</v>
      </c>
      <c r="O832" s="49" t="s">
        <v>101</v>
      </c>
      <c r="P832" s="49" t="s">
        <v>25</v>
      </c>
      <c r="Q832" s="48" t="s">
        <v>1844</v>
      </c>
      <c r="R832" s="48" t="s">
        <v>2726</v>
      </c>
      <c r="S832" s="50" t="s">
        <v>574</v>
      </c>
      <c r="T832" s="199"/>
    </row>
    <row r="833" spans="1:23" x14ac:dyDescent="0.3">
      <c r="A833" s="48">
        <f t="shared" si="34"/>
        <v>12</v>
      </c>
      <c r="B833" s="195">
        <v>46099</v>
      </c>
      <c r="C833" s="48" t="str">
        <f t="shared" si="33"/>
        <v>marzo</v>
      </c>
      <c r="D833" s="48" t="s">
        <v>2135</v>
      </c>
      <c r="E833" s="42" t="s">
        <v>2728</v>
      </c>
      <c r="F833" s="196" t="s">
        <v>541</v>
      </c>
      <c r="G833" s="199">
        <v>1</v>
      </c>
      <c r="H833" s="48" t="s">
        <v>1705</v>
      </c>
      <c r="I833" s="197">
        <v>192.48275862068968</v>
      </c>
      <c r="J833" s="197">
        <v>192.48275862068968</v>
      </c>
      <c r="K833" s="197">
        <v>35.72</v>
      </c>
      <c r="L833" s="217">
        <v>223.28</v>
      </c>
      <c r="M833" s="198">
        <v>0</v>
      </c>
      <c r="N833" s="48" t="s">
        <v>3116</v>
      </c>
      <c r="O833" s="49" t="s">
        <v>101</v>
      </c>
      <c r="P833" s="49" t="s">
        <v>25</v>
      </c>
      <c r="Q833" s="48" t="s">
        <v>1844</v>
      </c>
      <c r="R833" s="48" t="s">
        <v>2726</v>
      </c>
      <c r="S833" s="50" t="s">
        <v>574</v>
      </c>
      <c r="T833" s="199"/>
      <c r="V833" s="196" t="s">
        <v>1044</v>
      </c>
    </row>
    <row r="834" spans="1:23" x14ac:dyDescent="0.3">
      <c r="A834" s="48">
        <f t="shared" si="34"/>
        <v>12</v>
      </c>
      <c r="B834" s="113">
        <v>46099</v>
      </c>
      <c r="C834" s="48" t="str">
        <f t="shared" si="33"/>
        <v>marzo</v>
      </c>
      <c r="D834" s="48" t="s">
        <v>2135</v>
      </c>
      <c r="E834" s="42" t="s">
        <v>477</v>
      </c>
      <c r="F834" s="47" t="s">
        <v>559</v>
      </c>
      <c r="G834" s="48">
        <v>1</v>
      </c>
      <c r="H834" s="48" t="s">
        <v>2138</v>
      </c>
      <c r="I834" s="202">
        <v>525.86</v>
      </c>
      <c r="J834" s="197">
        <v>525.86</v>
      </c>
      <c r="K834" s="202">
        <v>84.137600000000006</v>
      </c>
      <c r="L834" s="202">
        <v>609.99760000000003</v>
      </c>
      <c r="M834" s="198">
        <v>0</v>
      </c>
      <c r="N834" s="48" t="s">
        <v>1818</v>
      </c>
      <c r="O834" s="48" t="s">
        <v>3118</v>
      </c>
      <c r="P834" s="48" t="s">
        <v>25</v>
      </c>
      <c r="Q834" s="48" t="s">
        <v>1824</v>
      </c>
      <c r="R834" s="48" t="s">
        <v>2726</v>
      </c>
      <c r="S834" s="48" t="s">
        <v>1827</v>
      </c>
      <c r="T834" s="114" t="s">
        <v>1617</v>
      </c>
      <c r="W834" s="139" t="s">
        <v>3119</v>
      </c>
    </row>
    <row r="835" spans="1:23" x14ac:dyDescent="0.3">
      <c r="A835" s="48">
        <f t="shared" si="34"/>
        <v>12</v>
      </c>
      <c r="B835" s="113">
        <v>46099</v>
      </c>
      <c r="C835" s="48" t="str">
        <f t="shared" si="33"/>
        <v>marzo</v>
      </c>
      <c r="D835" s="48" t="s">
        <v>2135</v>
      </c>
      <c r="E835" s="42" t="s">
        <v>2728</v>
      </c>
      <c r="F835" s="47" t="s">
        <v>3120</v>
      </c>
      <c r="G835" s="48">
        <v>1</v>
      </c>
      <c r="H835" s="48" t="s">
        <v>2138</v>
      </c>
      <c r="I835" s="202">
        <v>230</v>
      </c>
      <c r="J835" s="197">
        <v>230</v>
      </c>
      <c r="K835" s="197">
        <v>0</v>
      </c>
      <c r="L835" s="202">
        <v>230</v>
      </c>
      <c r="M835" s="198">
        <v>0</v>
      </c>
      <c r="N835" s="48" t="s">
        <v>3121</v>
      </c>
      <c r="O835" s="48" t="s">
        <v>36</v>
      </c>
      <c r="P835" s="48" t="s">
        <v>25</v>
      </c>
      <c r="Q835" s="48" t="s">
        <v>241</v>
      </c>
      <c r="R835" s="48" t="s">
        <v>364</v>
      </c>
      <c r="S835" s="48"/>
      <c r="T835" s="114" t="s">
        <v>1617</v>
      </c>
      <c r="U835" s="50" t="s">
        <v>3122</v>
      </c>
      <c r="W835" s="139"/>
    </row>
    <row r="836" spans="1:23" x14ac:dyDescent="0.3">
      <c r="A836" s="48">
        <f t="shared" si="34"/>
        <v>12</v>
      </c>
      <c r="B836" s="195">
        <v>46100</v>
      </c>
      <c r="C836" s="48" t="str">
        <f t="shared" ref="C836:C899" si="35">TEXT(B836,"MMMM")</f>
        <v>marzo</v>
      </c>
      <c r="D836" s="48" t="s">
        <v>2135</v>
      </c>
      <c r="E836" s="42" t="s">
        <v>356</v>
      </c>
      <c r="F836" s="196" t="s">
        <v>127</v>
      </c>
      <c r="G836" s="199">
        <v>12.505000000000001</v>
      </c>
      <c r="H836" s="48" t="s">
        <v>2017</v>
      </c>
      <c r="I836" s="197">
        <v>20.681382619366047</v>
      </c>
      <c r="J836" s="197">
        <v>258.62068965517244</v>
      </c>
      <c r="K836" s="197">
        <v>41.379310344827594</v>
      </c>
      <c r="L836" s="198">
        <v>300</v>
      </c>
      <c r="M836" s="198">
        <v>0</v>
      </c>
      <c r="N836" s="48" t="s">
        <v>1617</v>
      </c>
      <c r="O836" s="49" t="s">
        <v>120</v>
      </c>
      <c r="P836" s="49" t="s">
        <v>25</v>
      </c>
      <c r="Q836" s="48" t="s">
        <v>1844</v>
      </c>
      <c r="R836" s="48" t="s">
        <v>2801</v>
      </c>
      <c r="S836" s="49" t="s">
        <v>3123</v>
      </c>
      <c r="T836" s="199"/>
    </row>
    <row r="837" spans="1:23" x14ac:dyDescent="0.3">
      <c r="A837" s="48">
        <f t="shared" si="34"/>
        <v>12</v>
      </c>
      <c r="B837" s="195">
        <v>46100</v>
      </c>
      <c r="C837" s="48" t="str">
        <f t="shared" si="35"/>
        <v>marzo</v>
      </c>
      <c r="D837" s="48" t="s">
        <v>2135</v>
      </c>
      <c r="E837" s="42" t="s">
        <v>356</v>
      </c>
      <c r="F837" s="196" t="s">
        <v>866</v>
      </c>
      <c r="G837" s="199">
        <v>1</v>
      </c>
      <c r="H837" s="48" t="s">
        <v>2138</v>
      </c>
      <c r="I837" s="197">
        <v>113.37</v>
      </c>
      <c r="J837" s="197">
        <v>113.37</v>
      </c>
      <c r="K837" s="197">
        <v>21.59</v>
      </c>
      <c r="L837" s="198">
        <v>134.96</v>
      </c>
      <c r="M837" s="198">
        <v>0</v>
      </c>
      <c r="N837" s="48" t="s">
        <v>1617</v>
      </c>
      <c r="O837" s="48" t="s">
        <v>118</v>
      </c>
      <c r="P837" s="49" t="s">
        <v>25</v>
      </c>
      <c r="Q837" s="48" t="s">
        <v>1844</v>
      </c>
      <c r="R837" s="48" t="s">
        <v>2735</v>
      </c>
      <c r="S837" s="199" t="s">
        <v>866</v>
      </c>
      <c r="T837" s="199"/>
      <c r="U837" s="49" t="s">
        <v>3108</v>
      </c>
      <c r="V837" s="196" t="s">
        <v>3124</v>
      </c>
    </row>
    <row r="838" spans="1:23" x14ac:dyDescent="0.3">
      <c r="A838" s="48">
        <f t="shared" si="34"/>
        <v>12</v>
      </c>
      <c r="B838" s="195">
        <v>46100</v>
      </c>
      <c r="C838" s="48" t="str">
        <f t="shared" si="35"/>
        <v>marzo</v>
      </c>
      <c r="D838" s="48" t="s">
        <v>2135</v>
      </c>
      <c r="E838" s="42" t="s">
        <v>356</v>
      </c>
      <c r="F838" s="196" t="s">
        <v>866</v>
      </c>
      <c r="G838" s="199">
        <v>1</v>
      </c>
      <c r="H838" s="48" t="s">
        <v>2138</v>
      </c>
      <c r="I838" s="197">
        <v>100.75800000000001</v>
      </c>
      <c r="J838" s="197">
        <v>100.75800000000001</v>
      </c>
      <c r="K838" s="197">
        <v>19.192</v>
      </c>
      <c r="L838" s="198">
        <v>119.95</v>
      </c>
      <c r="M838" s="198">
        <v>0</v>
      </c>
      <c r="N838" s="48" t="s">
        <v>1617</v>
      </c>
      <c r="O838" s="48" t="s">
        <v>118</v>
      </c>
      <c r="P838" s="49" t="s">
        <v>25</v>
      </c>
      <c r="Q838" s="48" t="s">
        <v>1844</v>
      </c>
      <c r="R838" s="48" t="s">
        <v>2735</v>
      </c>
      <c r="S838" s="199" t="s">
        <v>866</v>
      </c>
      <c r="T838" s="199"/>
      <c r="U838" s="49" t="s">
        <v>3108</v>
      </c>
      <c r="W838" s="50" t="s">
        <v>3125</v>
      </c>
    </row>
    <row r="839" spans="1:23" x14ac:dyDescent="0.3">
      <c r="A839" s="48">
        <f t="shared" si="34"/>
        <v>12</v>
      </c>
      <c r="B839" s="195">
        <v>46100</v>
      </c>
      <c r="C839" s="48" t="str">
        <f t="shared" si="35"/>
        <v>marzo</v>
      </c>
      <c r="D839" s="48" t="s">
        <v>2135</v>
      </c>
      <c r="E839" s="42" t="s">
        <v>2918</v>
      </c>
      <c r="F839" s="196" t="s">
        <v>708</v>
      </c>
      <c r="G839" s="199">
        <v>1</v>
      </c>
      <c r="H839" s="48" t="s">
        <v>2138</v>
      </c>
      <c r="I839" s="197">
        <v>5500</v>
      </c>
      <c r="J839" s="197">
        <v>5500</v>
      </c>
      <c r="K839" s="197">
        <v>0</v>
      </c>
      <c r="L839" s="198">
        <v>5500</v>
      </c>
      <c r="M839" s="198">
        <v>0</v>
      </c>
      <c r="N839" s="48" t="s">
        <v>1617</v>
      </c>
      <c r="O839" s="49" t="s">
        <v>3083</v>
      </c>
      <c r="P839" s="49" t="s">
        <v>39</v>
      </c>
      <c r="Q839" s="48" t="s">
        <v>1844</v>
      </c>
      <c r="R839" s="49" t="s">
        <v>369</v>
      </c>
      <c r="S839" s="199" t="s">
        <v>3126</v>
      </c>
      <c r="T839" s="199"/>
      <c r="U839" s="49" t="s">
        <v>1759</v>
      </c>
    </row>
    <row r="840" spans="1:23" x14ac:dyDescent="0.3">
      <c r="A840" s="48">
        <f t="shared" si="34"/>
        <v>12</v>
      </c>
      <c r="B840" s="195">
        <v>46101</v>
      </c>
      <c r="C840" s="48" t="str">
        <f t="shared" si="35"/>
        <v>marzo</v>
      </c>
      <c r="D840" s="48" t="s">
        <v>2175</v>
      </c>
      <c r="E840" s="42" t="s">
        <v>62</v>
      </c>
      <c r="F840" s="196" t="s">
        <v>3127</v>
      </c>
      <c r="G840" s="199">
        <v>1</v>
      </c>
      <c r="H840" s="48" t="s">
        <v>1705</v>
      </c>
      <c r="I840" s="197">
        <v>96.6</v>
      </c>
      <c r="J840" s="197">
        <v>96.6</v>
      </c>
      <c r="K840" s="197">
        <v>18.399999999999999</v>
      </c>
      <c r="L840" s="198">
        <v>115</v>
      </c>
      <c r="M840" s="198">
        <v>0</v>
      </c>
      <c r="N840" s="48" t="s">
        <v>1617</v>
      </c>
      <c r="O840" s="49" t="s">
        <v>62</v>
      </c>
      <c r="P840" s="49" t="s">
        <v>25</v>
      </c>
      <c r="Q840" s="199" t="s">
        <v>241</v>
      </c>
      <c r="R840" s="48" t="s">
        <v>2726</v>
      </c>
      <c r="S840" s="199" t="s">
        <v>1908</v>
      </c>
      <c r="T840" s="199"/>
      <c r="W840" s="50" t="s">
        <v>3128</v>
      </c>
    </row>
    <row r="841" spans="1:23" x14ac:dyDescent="0.3">
      <c r="A841" s="48">
        <f t="shared" si="34"/>
        <v>12</v>
      </c>
      <c r="B841" s="195">
        <v>46101</v>
      </c>
      <c r="C841" s="48" t="str">
        <f t="shared" si="35"/>
        <v>marzo</v>
      </c>
      <c r="D841" s="48" t="s">
        <v>2175</v>
      </c>
      <c r="E841" s="42" t="s">
        <v>62</v>
      </c>
      <c r="F841" s="196" t="s">
        <v>3129</v>
      </c>
      <c r="G841" s="199">
        <v>1</v>
      </c>
      <c r="H841" s="48" t="s">
        <v>1705</v>
      </c>
      <c r="I841" s="197">
        <v>91.56</v>
      </c>
      <c r="J841" s="197">
        <v>91.56</v>
      </c>
      <c r="K841" s="197">
        <v>17.440000000000001</v>
      </c>
      <c r="L841" s="198">
        <v>109</v>
      </c>
      <c r="M841" s="198">
        <v>0</v>
      </c>
      <c r="N841" s="48" t="s">
        <v>1617</v>
      </c>
      <c r="O841" s="49" t="s">
        <v>62</v>
      </c>
      <c r="P841" s="49" t="s">
        <v>25</v>
      </c>
      <c r="Q841" s="199" t="s">
        <v>241</v>
      </c>
      <c r="R841" s="48" t="s">
        <v>2726</v>
      </c>
      <c r="S841" s="199" t="s">
        <v>1908</v>
      </c>
      <c r="T841" s="199"/>
      <c r="W841" s="50" t="s">
        <v>3128</v>
      </c>
    </row>
    <row r="842" spans="1:23" x14ac:dyDescent="0.3">
      <c r="A842" s="48">
        <f t="shared" si="34"/>
        <v>12</v>
      </c>
      <c r="B842" s="195">
        <v>46101</v>
      </c>
      <c r="C842" s="48" t="str">
        <f t="shared" si="35"/>
        <v>marzo</v>
      </c>
      <c r="D842" s="48" t="s">
        <v>2175</v>
      </c>
      <c r="E842" s="42" t="s">
        <v>62</v>
      </c>
      <c r="F842" s="196" t="s">
        <v>3130</v>
      </c>
      <c r="G842" s="199">
        <v>1</v>
      </c>
      <c r="H842" s="48" t="s">
        <v>1705</v>
      </c>
      <c r="I842" s="197">
        <v>147</v>
      </c>
      <c r="J842" s="197">
        <v>147</v>
      </c>
      <c r="K842" s="197">
        <v>28</v>
      </c>
      <c r="L842" s="198">
        <v>175</v>
      </c>
      <c r="M842" s="198">
        <v>0</v>
      </c>
      <c r="N842" s="48" t="s">
        <v>1617</v>
      </c>
      <c r="O842" s="49" t="s">
        <v>62</v>
      </c>
      <c r="P842" s="49" t="s">
        <v>25</v>
      </c>
      <c r="Q842" s="199" t="s">
        <v>241</v>
      </c>
      <c r="R842" s="48" t="s">
        <v>2726</v>
      </c>
      <c r="S842" s="199" t="s">
        <v>1908</v>
      </c>
      <c r="T842" s="199"/>
      <c r="W842" s="50" t="s">
        <v>3128</v>
      </c>
    </row>
    <row r="843" spans="1:23" x14ac:dyDescent="0.3">
      <c r="A843" s="48">
        <f t="shared" si="34"/>
        <v>12</v>
      </c>
      <c r="B843" s="195">
        <v>46101</v>
      </c>
      <c r="C843" s="48" t="str">
        <f t="shared" si="35"/>
        <v>marzo</v>
      </c>
      <c r="D843" s="48" t="s">
        <v>2135</v>
      </c>
      <c r="E843" s="42" t="s">
        <v>2728</v>
      </c>
      <c r="F843" s="196" t="s">
        <v>3131</v>
      </c>
      <c r="G843" s="199">
        <v>1</v>
      </c>
      <c r="H843" s="48" t="s">
        <v>1705</v>
      </c>
      <c r="I843" s="197">
        <v>864</v>
      </c>
      <c r="J843" s="197">
        <v>864</v>
      </c>
      <c r="K843" s="197">
        <v>138.24</v>
      </c>
      <c r="L843" s="198">
        <v>1002.24</v>
      </c>
      <c r="M843" s="198">
        <v>0</v>
      </c>
      <c r="N843" s="48" t="s">
        <v>1617</v>
      </c>
      <c r="O843" s="49" t="s">
        <v>3083</v>
      </c>
      <c r="P843" s="49" t="s">
        <v>39</v>
      </c>
      <c r="Q843" s="199" t="s">
        <v>241</v>
      </c>
      <c r="R843" s="49" t="s">
        <v>2806</v>
      </c>
      <c r="S843" s="199" t="s">
        <v>3132</v>
      </c>
      <c r="T843" s="199" t="s">
        <v>1675</v>
      </c>
      <c r="W843" s="50" t="s">
        <v>325</v>
      </c>
    </row>
    <row r="844" spans="1:23" x14ac:dyDescent="0.3">
      <c r="A844" s="48">
        <f t="shared" si="34"/>
        <v>12</v>
      </c>
      <c r="B844" s="195">
        <v>46101</v>
      </c>
      <c r="C844" s="48" t="str">
        <f t="shared" si="35"/>
        <v>marzo</v>
      </c>
      <c r="D844" s="48" t="s">
        <v>2135</v>
      </c>
      <c r="E844" s="42" t="s">
        <v>2728</v>
      </c>
      <c r="F844" s="196" t="s">
        <v>3133</v>
      </c>
      <c r="G844" s="199">
        <v>1</v>
      </c>
      <c r="H844" s="48" t="s">
        <v>1705</v>
      </c>
      <c r="I844" s="197">
        <v>811.21</v>
      </c>
      <c r="J844" s="197">
        <v>811.21</v>
      </c>
      <c r="K844" s="197">
        <v>129.79</v>
      </c>
      <c r="L844" s="198">
        <v>941</v>
      </c>
      <c r="M844" s="198">
        <v>0</v>
      </c>
      <c r="N844" s="48" t="s">
        <v>1617</v>
      </c>
      <c r="O844" s="49" t="s">
        <v>3083</v>
      </c>
      <c r="P844" s="49" t="s">
        <v>39</v>
      </c>
      <c r="Q844" s="199" t="s">
        <v>241</v>
      </c>
      <c r="R844" s="49" t="s">
        <v>2806</v>
      </c>
      <c r="S844" s="199" t="s">
        <v>574</v>
      </c>
      <c r="T844" s="199" t="s">
        <v>3134</v>
      </c>
      <c r="W844" s="50" t="s">
        <v>3135</v>
      </c>
    </row>
    <row r="845" spans="1:23" x14ac:dyDescent="0.3">
      <c r="A845" s="48">
        <f t="shared" si="34"/>
        <v>12</v>
      </c>
      <c r="B845" s="195">
        <v>46101</v>
      </c>
      <c r="C845" s="48" t="str">
        <f t="shared" si="35"/>
        <v>marzo</v>
      </c>
      <c r="D845" s="48" t="s">
        <v>2135</v>
      </c>
      <c r="E845" s="42" t="s">
        <v>356</v>
      </c>
      <c r="F845" s="196" t="s">
        <v>2178</v>
      </c>
      <c r="G845" s="199">
        <v>1</v>
      </c>
      <c r="H845" s="48" t="s">
        <v>2017</v>
      </c>
      <c r="I845" s="197">
        <v>86.58</v>
      </c>
      <c r="J845" s="197">
        <v>86.58</v>
      </c>
      <c r="K845" s="197">
        <v>13.46</v>
      </c>
      <c r="L845" s="198">
        <v>100.04</v>
      </c>
      <c r="M845" s="198">
        <v>0</v>
      </c>
      <c r="N845" s="48" t="s">
        <v>1617</v>
      </c>
      <c r="O845" s="48" t="s">
        <v>118</v>
      </c>
      <c r="P845" s="49" t="s">
        <v>25</v>
      </c>
      <c r="Q845" s="48" t="s">
        <v>1844</v>
      </c>
      <c r="R845" s="49" t="s">
        <v>2727</v>
      </c>
      <c r="S845" s="199" t="s">
        <v>3136</v>
      </c>
      <c r="T845" s="199" t="s">
        <v>2025</v>
      </c>
      <c r="W845" s="50" t="s">
        <v>3113</v>
      </c>
    </row>
    <row r="846" spans="1:23" x14ac:dyDescent="0.3">
      <c r="A846" s="48">
        <f t="shared" si="34"/>
        <v>12</v>
      </c>
      <c r="B846" s="195">
        <v>46101</v>
      </c>
      <c r="C846" s="48" t="str">
        <f t="shared" si="35"/>
        <v>marzo</v>
      </c>
      <c r="D846" s="48" t="s">
        <v>2135</v>
      </c>
      <c r="E846" s="42" t="s">
        <v>356</v>
      </c>
      <c r="F846" s="196" t="s">
        <v>127</v>
      </c>
      <c r="G846" s="199">
        <v>8.34</v>
      </c>
      <c r="H846" s="48" t="s">
        <v>2017</v>
      </c>
      <c r="I846" s="197">
        <v>20.673116679070539</v>
      </c>
      <c r="J846" s="197">
        <v>172.41379310344828</v>
      </c>
      <c r="K846" s="197">
        <v>26.9</v>
      </c>
      <c r="L846" s="198">
        <v>200</v>
      </c>
      <c r="M846" s="198">
        <v>0</v>
      </c>
      <c r="N846" s="48" t="s">
        <v>1617</v>
      </c>
      <c r="O846" s="49" t="s">
        <v>1443</v>
      </c>
      <c r="P846" s="49" t="s">
        <v>25</v>
      </c>
      <c r="Q846" s="199" t="s">
        <v>488</v>
      </c>
      <c r="R846" s="49" t="s">
        <v>2727</v>
      </c>
      <c r="S846" s="199" t="s">
        <v>3137</v>
      </c>
      <c r="T846" s="199" t="s">
        <v>2025</v>
      </c>
      <c r="W846" s="50" t="s">
        <v>3138</v>
      </c>
    </row>
    <row r="847" spans="1:23" x14ac:dyDescent="0.3">
      <c r="A847" s="48">
        <f t="shared" si="34"/>
        <v>12</v>
      </c>
      <c r="B847" s="195">
        <v>46101</v>
      </c>
      <c r="C847" s="48" t="str">
        <f t="shared" si="35"/>
        <v>marzo</v>
      </c>
      <c r="D847" s="48" t="s">
        <v>2135</v>
      </c>
      <c r="E847" s="42" t="s">
        <v>356</v>
      </c>
      <c r="F847" s="196" t="s">
        <v>127</v>
      </c>
      <c r="G847" s="199">
        <v>8.69</v>
      </c>
      <c r="H847" s="48" t="s">
        <v>2017</v>
      </c>
      <c r="I847" s="197">
        <v>19.840482520534902</v>
      </c>
      <c r="J847" s="197">
        <v>172.41379310344828</v>
      </c>
      <c r="K847" s="197">
        <v>26.88</v>
      </c>
      <c r="L847" s="198">
        <v>200</v>
      </c>
      <c r="M847" s="198">
        <v>0</v>
      </c>
      <c r="N847" s="48" t="s">
        <v>1617</v>
      </c>
      <c r="O847" s="49" t="s">
        <v>1443</v>
      </c>
      <c r="P847" s="49" t="s">
        <v>25</v>
      </c>
      <c r="Q847" s="199" t="s">
        <v>488</v>
      </c>
      <c r="R847" s="49" t="s">
        <v>2727</v>
      </c>
      <c r="S847" s="199" t="s">
        <v>647</v>
      </c>
      <c r="T847" s="199" t="s">
        <v>2025</v>
      </c>
      <c r="W847" s="50" t="s">
        <v>3139</v>
      </c>
    </row>
    <row r="848" spans="1:23" ht="12.75" customHeight="1" x14ac:dyDescent="0.3">
      <c r="A848" s="48">
        <f t="shared" si="34"/>
        <v>13</v>
      </c>
      <c r="B848" s="195">
        <v>46104</v>
      </c>
      <c r="C848" s="48" t="str">
        <f t="shared" si="35"/>
        <v>marzo</v>
      </c>
      <c r="D848" s="48" t="s">
        <v>2135</v>
      </c>
      <c r="E848" s="42" t="s">
        <v>356</v>
      </c>
      <c r="F848" s="196" t="s">
        <v>127</v>
      </c>
      <c r="G848" s="199">
        <v>8.69</v>
      </c>
      <c r="H848" s="48" t="s">
        <v>2017</v>
      </c>
      <c r="I848" s="197">
        <v>19.840482520534902</v>
      </c>
      <c r="J848" s="197">
        <v>172.41379310344828</v>
      </c>
      <c r="K848" s="197">
        <v>26.88</v>
      </c>
      <c r="L848" s="198">
        <v>200</v>
      </c>
      <c r="M848" s="198">
        <v>0</v>
      </c>
      <c r="N848" s="48" t="s">
        <v>1617</v>
      </c>
      <c r="O848" s="48" t="s">
        <v>213</v>
      </c>
      <c r="P848" s="49" t="s">
        <v>39</v>
      </c>
      <c r="Q848" s="199" t="s">
        <v>488</v>
      </c>
      <c r="R848" s="49" t="s">
        <v>2727</v>
      </c>
      <c r="S848" s="199" t="s">
        <v>647</v>
      </c>
      <c r="T848" s="199" t="s">
        <v>2025</v>
      </c>
      <c r="W848" s="50" t="s">
        <v>3140</v>
      </c>
    </row>
    <row r="849" spans="1:24" x14ac:dyDescent="0.3">
      <c r="A849" s="48">
        <f t="shared" si="34"/>
        <v>13</v>
      </c>
      <c r="B849" s="195">
        <v>46104</v>
      </c>
      <c r="C849" s="48" t="str">
        <f t="shared" si="35"/>
        <v>marzo</v>
      </c>
      <c r="D849" s="48" t="s">
        <v>2135</v>
      </c>
      <c r="E849" s="42" t="s">
        <v>356</v>
      </c>
      <c r="F849" s="196" t="s">
        <v>127</v>
      </c>
      <c r="G849" s="199">
        <v>10</v>
      </c>
      <c r="H849" s="48" t="s">
        <v>2017</v>
      </c>
      <c r="I849" s="197">
        <v>20.22</v>
      </c>
      <c r="J849" s="197">
        <v>202.2</v>
      </c>
      <c r="K849" s="197">
        <v>32.351999999999997</v>
      </c>
      <c r="L849" s="198">
        <v>234.5</v>
      </c>
      <c r="M849" s="198">
        <v>0</v>
      </c>
      <c r="N849" s="48" t="s">
        <v>1617</v>
      </c>
      <c r="O849" s="48" t="s">
        <v>3110</v>
      </c>
      <c r="P849" s="49" t="s">
        <v>25</v>
      </c>
      <c r="Q849" s="199" t="s">
        <v>1824</v>
      </c>
      <c r="R849" s="48" t="s">
        <v>2726</v>
      </c>
      <c r="S849" s="199" t="s">
        <v>3141</v>
      </c>
      <c r="T849" s="199" t="s">
        <v>2025</v>
      </c>
      <c r="W849" s="50" t="s">
        <v>3142</v>
      </c>
    </row>
    <row r="850" spans="1:24" x14ac:dyDescent="0.3">
      <c r="A850" s="48">
        <f t="shared" si="34"/>
        <v>13</v>
      </c>
      <c r="B850" s="195">
        <v>46104</v>
      </c>
      <c r="C850" s="48" t="str">
        <f t="shared" si="35"/>
        <v>marzo</v>
      </c>
      <c r="D850" s="48" t="s">
        <v>2135</v>
      </c>
      <c r="E850" s="42" t="s">
        <v>356</v>
      </c>
      <c r="F850" s="196" t="s">
        <v>127</v>
      </c>
      <c r="G850" s="199">
        <v>10.86</v>
      </c>
      <c r="H850" s="48" t="s">
        <v>2017</v>
      </c>
      <c r="I850" s="197">
        <v>19.845049850765225</v>
      </c>
      <c r="J850" s="197">
        <v>215.51724137931032</v>
      </c>
      <c r="K850" s="197">
        <v>33.6</v>
      </c>
      <c r="L850" s="198">
        <v>250</v>
      </c>
      <c r="M850" s="198">
        <v>0</v>
      </c>
      <c r="N850" s="48" t="s">
        <v>1617</v>
      </c>
      <c r="O850" s="48" t="s">
        <v>3143</v>
      </c>
      <c r="P850" s="49" t="s">
        <v>25</v>
      </c>
      <c r="Q850" s="199" t="s">
        <v>1824</v>
      </c>
      <c r="R850" s="48" t="s">
        <v>2726</v>
      </c>
      <c r="S850" s="199" t="s">
        <v>647</v>
      </c>
      <c r="T850" s="199" t="s">
        <v>2025</v>
      </c>
      <c r="W850" s="50" t="s">
        <v>3144</v>
      </c>
    </row>
    <row r="851" spans="1:24" x14ac:dyDescent="0.3">
      <c r="A851" s="48">
        <f t="shared" si="34"/>
        <v>13</v>
      </c>
      <c r="B851" s="195">
        <v>46104</v>
      </c>
      <c r="C851" s="48" t="str">
        <f t="shared" si="35"/>
        <v>marzo</v>
      </c>
      <c r="D851" s="48" t="s">
        <v>2135</v>
      </c>
      <c r="E851" s="42" t="s">
        <v>2728</v>
      </c>
      <c r="F851" s="196" t="s">
        <v>111</v>
      </c>
      <c r="G851" s="199">
        <v>1</v>
      </c>
      <c r="H851" s="48" t="s">
        <v>2138</v>
      </c>
      <c r="I851" s="197">
        <v>80</v>
      </c>
      <c r="J851" s="197">
        <v>80</v>
      </c>
      <c r="K851" s="197">
        <v>0</v>
      </c>
      <c r="L851" s="198">
        <v>80</v>
      </c>
      <c r="M851" s="198">
        <v>0</v>
      </c>
      <c r="N851" s="48" t="s">
        <v>1617</v>
      </c>
      <c r="O851" s="48" t="s">
        <v>213</v>
      </c>
      <c r="P851" s="49" t="s">
        <v>39</v>
      </c>
      <c r="Q851" s="199" t="s">
        <v>488</v>
      </c>
      <c r="R851" s="49" t="s">
        <v>364</v>
      </c>
      <c r="S851" s="199" t="s">
        <v>3145</v>
      </c>
      <c r="T851" s="199"/>
      <c r="U851" s="199" t="s">
        <v>1759</v>
      </c>
      <c r="W851" s="50" t="s">
        <v>325</v>
      </c>
    </row>
    <row r="852" spans="1:24" x14ac:dyDescent="0.3">
      <c r="A852" s="48">
        <f t="shared" si="34"/>
        <v>13</v>
      </c>
      <c r="B852" s="195">
        <v>46104</v>
      </c>
      <c r="C852" s="48" t="str">
        <f t="shared" si="35"/>
        <v>marzo</v>
      </c>
      <c r="D852" s="48" t="s">
        <v>2135</v>
      </c>
      <c r="E852" s="42" t="s">
        <v>2728</v>
      </c>
      <c r="F852" s="196" t="s">
        <v>3146</v>
      </c>
      <c r="G852" s="199">
        <v>1</v>
      </c>
      <c r="H852" s="48" t="s">
        <v>1705</v>
      </c>
      <c r="I852" s="197">
        <v>240.24</v>
      </c>
      <c r="J852" s="197">
        <v>240.24</v>
      </c>
      <c r="K852" s="197">
        <v>45.76</v>
      </c>
      <c r="L852" s="198">
        <v>286</v>
      </c>
      <c r="M852" s="198">
        <v>0</v>
      </c>
      <c r="N852" s="48" t="s">
        <v>1558</v>
      </c>
      <c r="O852" s="49" t="s">
        <v>571</v>
      </c>
      <c r="P852" s="49" t="s">
        <v>25</v>
      </c>
      <c r="Q852" s="199" t="s">
        <v>241</v>
      </c>
      <c r="R852" s="48" t="s">
        <v>2801</v>
      </c>
      <c r="S852" s="199" t="s">
        <v>613</v>
      </c>
      <c r="T852" s="199"/>
      <c r="W852" s="50" t="s">
        <v>3147</v>
      </c>
    </row>
    <row r="853" spans="1:24" x14ac:dyDescent="0.3">
      <c r="A853" s="48">
        <f t="shared" si="34"/>
        <v>13</v>
      </c>
      <c r="B853" s="195">
        <v>46104</v>
      </c>
      <c r="C853" s="48" t="str">
        <f t="shared" si="35"/>
        <v>marzo</v>
      </c>
      <c r="D853" s="48" t="s">
        <v>2135</v>
      </c>
      <c r="E853" s="42" t="s">
        <v>2728</v>
      </c>
      <c r="F853" s="196" t="s">
        <v>795</v>
      </c>
      <c r="G853" s="199">
        <v>1</v>
      </c>
      <c r="H853" s="48" t="s">
        <v>1705</v>
      </c>
      <c r="I853" s="197">
        <v>909.48</v>
      </c>
      <c r="J853" s="197">
        <v>909.48</v>
      </c>
      <c r="K853" s="197">
        <v>145.52000000000001</v>
      </c>
      <c r="L853" s="198">
        <v>1055</v>
      </c>
      <c r="M853" s="198">
        <v>0</v>
      </c>
      <c r="N853" s="48" t="s">
        <v>1403</v>
      </c>
      <c r="O853" s="49" t="s">
        <v>195</v>
      </c>
      <c r="P853" s="49" t="s">
        <v>25</v>
      </c>
      <c r="Q853" s="199" t="s">
        <v>241</v>
      </c>
      <c r="R853" s="48" t="s">
        <v>2726</v>
      </c>
      <c r="S853" s="199" t="s">
        <v>574</v>
      </c>
      <c r="T853" s="199"/>
      <c r="W853" s="50" t="s">
        <v>3148</v>
      </c>
    </row>
    <row r="854" spans="1:24" ht="12.75" customHeight="1" x14ac:dyDescent="0.3">
      <c r="A854" s="48">
        <f t="shared" si="34"/>
        <v>13</v>
      </c>
      <c r="B854" s="195">
        <v>46104</v>
      </c>
      <c r="C854" s="48" t="str">
        <f t="shared" si="35"/>
        <v>marzo</v>
      </c>
      <c r="D854" s="48" t="s">
        <v>2135</v>
      </c>
      <c r="E854" s="42" t="s">
        <v>2728</v>
      </c>
      <c r="F854" s="196" t="s">
        <v>539</v>
      </c>
      <c r="G854" s="199">
        <v>1</v>
      </c>
      <c r="H854" s="48" t="s">
        <v>1705</v>
      </c>
      <c r="I854" s="197">
        <v>803.45</v>
      </c>
      <c r="J854" s="197">
        <v>803.45</v>
      </c>
      <c r="K854" s="197">
        <v>128.55000000000001</v>
      </c>
      <c r="L854" s="198">
        <v>932</v>
      </c>
      <c r="M854" s="198">
        <v>0</v>
      </c>
      <c r="N854" s="48" t="s">
        <v>1403</v>
      </c>
      <c r="O854" s="49" t="s">
        <v>195</v>
      </c>
      <c r="P854" s="49" t="s">
        <v>25</v>
      </c>
      <c r="Q854" s="199" t="s">
        <v>241</v>
      </c>
      <c r="R854" s="48" t="s">
        <v>2726</v>
      </c>
      <c r="S854" s="199" t="s">
        <v>574</v>
      </c>
      <c r="T854" s="199"/>
      <c r="W854" s="50" t="s">
        <v>3148</v>
      </c>
    </row>
    <row r="855" spans="1:24" x14ac:dyDescent="0.3">
      <c r="A855" s="48">
        <f t="shared" si="34"/>
        <v>13</v>
      </c>
      <c r="B855" s="195">
        <v>46104</v>
      </c>
      <c r="C855" s="48" t="str">
        <f t="shared" si="35"/>
        <v>marzo</v>
      </c>
      <c r="D855" s="48" t="s">
        <v>2135</v>
      </c>
      <c r="E855" s="42" t="s">
        <v>2728</v>
      </c>
      <c r="F855" s="196" t="s">
        <v>3149</v>
      </c>
      <c r="G855" s="199">
        <v>2</v>
      </c>
      <c r="H855" s="48" t="s">
        <v>1705</v>
      </c>
      <c r="I855" s="197">
        <v>12</v>
      </c>
      <c r="J855" s="197">
        <v>24</v>
      </c>
      <c r="K855" s="197">
        <v>0</v>
      </c>
      <c r="L855" s="198">
        <v>24</v>
      </c>
      <c r="M855" s="198">
        <v>0</v>
      </c>
      <c r="N855" s="48" t="s">
        <v>1403</v>
      </c>
      <c r="O855" s="49" t="s">
        <v>195</v>
      </c>
      <c r="P855" s="49" t="s">
        <v>25</v>
      </c>
      <c r="Q855" s="199" t="s">
        <v>241</v>
      </c>
      <c r="R855" s="49" t="s">
        <v>364</v>
      </c>
      <c r="S855" s="199" t="s">
        <v>574</v>
      </c>
      <c r="T855" s="199"/>
      <c r="W855" s="50" t="s">
        <v>325</v>
      </c>
    </row>
    <row r="856" spans="1:24" ht="15" customHeight="1" x14ac:dyDescent="0.3">
      <c r="A856" s="48">
        <f t="shared" si="34"/>
        <v>13</v>
      </c>
      <c r="B856" s="195">
        <v>46104</v>
      </c>
      <c r="C856" s="48" t="str">
        <f t="shared" si="35"/>
        <v>marzo</v>
      </c>
      <c r="D856" s="48" t="s">
        <v>2135</v>
      </c>
      <c r="E856" s="42" t="s">
        <v>477</v>
      </c>
      <c r="F856" s="47" t="s">
        <v>2019</v>
      </c>
      <c r="G856" s="38">
        <v>1</v>
      </c>
      <c r="H856" s="48" t="s">
        <v>2138</v>
      </c>
      <c r="I856" s="197">
        <v>3231</v>
      </c>
      <c r="J856" s="197">
        <v>3231</v>
      </c>
      <c r="K856" s="197">
        <v>0</v>
      </c>
      <c r="L856" s="202">
        <v>3231</v>
      </c>
      <c r="M856" s="198">
        <v>0</v>
      </c>
      <c r="N856" s="48" t="s">
        <v>1617</v>
      </c>
      <c r="O856" s="48" t="s">
        <v>3150</v>
      </c>
      <c r="P856" s="48" t="s">
        <v>25</v>
      </c>
      <c r="Q856" s="48" t="s">
        <v>1766</v>
      </c>
      <c r="R856" s="49" t="s">
        <v>364</v>
      </c>
      <c r="S856" s="199" t="s">
        <v>722</v>
      </c>
      <c r="T856" s="114" t="s">
        <v>1617</v>
      </c>
      <c r="U856" s="48" t="s">
        <v>2021</v>
      </c>
    </row>
    <row r="857" spans="1:24" ht="15" customHeight="1" x14ac:dyDescent="0.3">
      <c r="A857" s="48">
        <f t="shared" si="34"/>
        <v>13</v>
      </c>
      <c r="B857" s="195">
        <v>46104</v>
      </c>
      <c r="C857" s="48" t="str">
        <f t="shared" si="35"/>
        <v>marzo</v>
      </c>
      <c r="D857" s="48" t="s">
        <v>2135</v>
      </c>
      <c r="E857" s="42" t="s">
        <v>477</v>
      </c>
      <c r="F857" s="47" t="s">
        <v>2019</v>
      </c>
      <c r="G857" s="38">
        <v>1</v>
      </c>
      <c r="H857" s="48" t="s">
        <v>2138</v>
      </c>
      <c r="I857" s="197">
        <v>3231</v>
      </c>
      <c r="J857" s="197">
        <v>3231</v>
      </c>
      <c r="K857" s="197">
        <v>0</v>
      </c>
      <c r="L857" s="202">
        <v>3231</v>
      </c>
      <c r="M857" s="198">
        <v>0</v>
      </c>
      <c r="N857" s="48" t="s">
        <v>1617</v>
      </c>
      <c r="O857" s="48" t="s">
        <v>2942</v>
      </c>
      <c r="P857" s="48" t="s">
        <v>25</v>
      </c>
      <c r="Q857" s="48" t="s">
        <v>1766</v>
      </c>
      <c r="R857" s="49" t="s">
        <v>364</v>
      </c>
      <c r="S857" s="199" t="s">
        <v>722</v>
      </c>
      <c r="T857" s="114" t="s">
        <v>1617</v>
      </c>
      <c r="U857" s="48" t="s">
        <v>2021</v>
      </c>
    </row>
    <row r="858" spans="1:24" x14ac:dyDescent="0.3">
      <c r="A858" s="48">
        <f t="shared" si="34"/>
        <v>13</v>
      </c>
      <c r="B858" s="195">
        <v>46105</v>
      </c>
      <c r="C858" s="48" t="str">
        <f t="shared" si="35"/>
        <v>marzo</v>
      </c>
      <c r="D858" s="48" t="s">
        <v>2135</v>
      </c>
      <c r="E858" s="42" t="s">
        <v>356</v>
      </c>
      <c r="F858" s="196" t="s">
        <v>127</v>
      </c>
      <c r="G858" s="199">
        <v>8.3369999999999997</v>
      </c>
      <c r="H858" s="48" t="s">
        <v>2017</v>
      </c>
      <c r="I858" s="197">
        <v>23.989444644356485</v>
      </c>
      <c r="J858" s="197">
        <v>200</v>
      </c>
      <c r="K858" s="197">
        <v>0</v>
      </c>
      <c r="L858" s="198">
        <v>200</v>
      </c>
      <c r="M858" s="198">
        <v>0</v>
      </c>
      <c r="N858" s="48" t="s">
        <v>1617</v>
      </c>
      <c r="O858" s="49" t="s">
        <v>2027</v>
      </c>
      <c r="P858" s="49" t="s">
        <v>1321</v>
      </c>
      <c r="Q858" s="199" t="s">
        <v>488</v>
      </c>
      <c r="R858" s="49" t="s">
        <v>2727</v>
      </c>
      <c r="S858" s="199" t="s">
        <v>3123</v>
      </c>
      <c r="T858" s="199" t="s">
        <v>2025</v>
      </c>
      <c r="W858" s="50" t="s">
        <v>3151</v>
      </c>
    </row>
    <row r="859" spans="1:24" ht="15" customHeight="1" x14ac:dyDescent="0.3">
      <c r="A859" s="48">
        <f t="shared" si="34"/>
        <v>13</v>
      </c>
      <c r="B859" s="195">
        <v>46105</v>
      </c>
      <c r="C859" s="48" t="str">
        <f t="shared" si="35"/>
        <v>marzo</v>
      </c>
      <c r="D859" s="48" t="s">
        <v>2135</v>
      </c>
      <c r="E859" s="42" t="s">
        <v>356</v>
      </c>
      <c r="F859" s="196" t="s">
        <v>127</v>
      </c>
      <c r="G859" s="199">
        <v>4.1680000000000001</v>
      </c>
      <c r="H859" s="48" t="s">
        <v>2017</v>
      </c>
      <c r="I859" s="197">
        <v>20.68303660070157</v>
      </c>
      <c r="J859" s="197">
        <v>86.206896551724142</v>
      </c>
      <c r="K859" s="197">
        <v>13.45</v>
      </c>
      <c r="L859" s="198">
        <v>100</v>
      </c>
      <c r="M859" s="198">
        <v>0</v>
      </c>
      <c r="N859" s="48" t="s">
        <v>1617</v>
      </c>
      <c r="O859" s="48" t="s">
        <v>118</v>
      </c>
      <c r="P859" s="49" t="s">
        <v>25</v>
      </c>
      <c r="Q859" s="199" t="s">
        <v>1871</v>
      </c>
      <c r="R859" s="48" t="s">
        <v>2801</v>
      </c>
      <c r="S859" s="199" t="s">
        <v>593</v>
      </c>
      <c r="T859" s="199" t="s">
        <v>2025</v>
      </c>
      <c r="W859" s="50" t="s">
        <v>3152</v>
      </c>
    </row>
    <row r="860" spans="1:24" ht="15" customHeight="1" x14ac:dyDescent="0.3">
      <c r="A860" s="48">
        <f t="shared" si="34"/>
        <v>13</v>
      </c>
      <c r="B860" s="195">
        <v>46105</v>
      </c>
      <c r="C860" s="48" t="str">
        <f t="shared" si="35"/>
        <v>marzo</v>
      </c>
      <c r="D860" s="48" t="s">
        <v>2135</v>
      </c>
      <c r="E860" s="42" t="s">
        <v>356</v>
      </c>
      <c r="F860" s="196" t="s">
        <v>127</v>
      </c>
      <c r="G860" s="199">
        <v>8.3369999999999997</v>
      </c>
      <c r="H860" s="48" t="s">
        <v>2017</v>
      </c>
      <c r="I860" s="197">
        <v>23.989444644356485</v>
      </c>
      <c r="J860" s="197">
        <v>200</v>
      </c>
      <c r="K860" s="197">
        <v>0</v>
      </c>
      <c r="L860" s="198">
        <v>200</v>
      </c>
      <c r="M860" s="198">
        <v>0</v>
      </c>
      <c r="N860" s="48" t="s">
        <v>1617</v>
      </c>
      <c r="O860" s="48" t="s">
        <v>118</v>
      </c>
      <c r="P860" s="49" t="s">
        <v>25</v>
      </c>
      <c r="Q860" s="199" t="s">
        <v>488</v>
      </c>
      <c r="R860" s="48" t="s">
        <v>2801</v>
      </c>
      <c r="S860" s="199" t="s">
        <v>3123</v>
      </c>
      <c r="T860" s="199" t="s">
        <v>2025</v>
      </c>
      <c r="W860" s="50" t="s">
        <v>3153</v>
      </c>
    </row>
    <row r="861" spans="1:24" ht="15" customHeight="1" x14ac:dyDescent="0.3">
      <c r="A861" s="48">
        <f t="shared" si="34"/>
        <v>13</v>
      </c>
      <c r="B861" s="195">
        <v>46105</v>
      </c>
      <c r="C861" s="48" t="str">
        <f t="shared" si="35"/>
        <v>marzo</v>
      </c>
      <c r="D861" s="48" t="s">
        <v>2135</v>
      </c>
      <c r="E861" s="42" t="s">
        <v>2732</v>
      </c>
      <c r="F861" s="196" t="s">
        <v>3154</v>
      </c>
      <c r="G861" s="199">
        <v>1</v>
      </c>
      <c r="H861" s="48" t="s">
        <v>1705</v>
      </c>
      <c r="I861" s="197">
        <v>313.89</v>
      </c>
      <c r="J861" s="197">
        <v>313.89</v>
      </c>
      <c r="K861" s="197">
        <v>25.11</v>
      </c>
      <c r="L861" s="198">
        <v>339</v>
      </c>
      <c r="M861" s="198">
        <v>0</v>
      </c>
      <c r="N861" s="48" t="s">
        <v>1617</v>
      </c>
      <c r="O861" s="48" t="s">
        <v>116</v>
      </c>
      <c r="P861" s="49" t="s">
        <v>25</v>
      </c>
      <c r="Q861" s="199" t="s">
        <v>1841</v>
      </c>
      <c r="R861" s="49" t="s">
        <v>2727</v>
      </c>
      <c r="S861" s="199" t="s">
        <v>722</v>
      </c>
      <c r="T861" s="199"/>
      <c r="U861" s="199" t="s">
        <v>3155</v>
      </c>
      <c r="W861" s="50" t="s">
        <v>3156</v>
      </c>
    </row>
    <row r="862" spans="1:24" s="113" customFormat="1" ht="12.75" customHeight="1" x14ac:dyDescent="0.3">
      <c r="A862" s="48">
        <f t="shared" si="34"/>
        <v>13</v>
      </c>
      <c r="B862" s="195">
        <v>46105</v>
      </c>
      <c r="C862" s="48" t="str">
        <f t="shared" si="35"/>
        <v>marzo</v>
      </c>
      <c r="D862" s="48" t="s">
        <v>2135</v>
      </c>
      <c r="E862" s="42" t="s">
        <v>2732</v>
      </c>
      <c r="F862" s="196" t="s">
        <v>3157</v>
      </c>
      <c r="G862" s="199">
        <v>1</v>
      </c>
      <c r="H862" s="48" t="s">
        <v>1705</v>
      </c>
      <c r="I862" s="197">
        <v>24.14</v>
      </c>
      <c r="J862" s="197">
        <v>24.14</v>
      </c>
      <c r="K862" s="197">
        <v>3.86</v>
      </c>
      <c r="L862" s="198">
        <v>28</v>
      </c>
      <c r="M862" s="198">
        <v>0</v>
      </c>
      <c r="N862" s="48" t="s">
        <v>1617</v>
      </c>
      <c r="O862" s="48" t="s">
        <v>116</v>
      </c>
      <c r="P862" s="49" t="s">
        <v>25</v>
      </c>
      <c r="Q862" s="199" t="s">
        <v>1841</v>
      </c>
      <c r="R862" s="48" t="s">
        <v>2801</v>
      </c>
      <c r="S862" s="199" t="s">
        <v>424</v>
      </c>
      <c r="T862" s="199" t="s">
        <v>3158</v>
      </c>
      <c r="U862" s="199"/>
      <c r="V862" s="196"/>
      <c r="W862" s="50"/>
      <c r="X862" s="50"/>
    </row>
    <row r="863" spans="1:24" ht="15" customHeight="1" x14ac:dyDescent="0.3">
      <c r="A863" s="48">
        <f t="shared" si="34"/>
        <v>13</v>
      </c>
      <c r="B863" s="195">
        <v>46105</v>
      </c>
      <c r="C863" s="48" t="str">
        <f t="shared" si="35"/>
        <v>marzo</v>
      </c>
      <c r="D863" s="48" t="s">
        <v>2135</v>
      </c>
      <c r="E863" s="42" t="s">
        <v>2728</v>
      </c>
      <c r="F863" s="196" t="s">
        <v>3159</v>
      </c>
      <c r="G863" s="199">
        <v>1</v>
      </c>
      <c r="H863" s="48" t="s">
        <v>1705</v>
      </c>
      <c r="I863" s="197">
        <v>170</v>
      </c>
      <c r="J863" s="197">
        <v>170</v>
      </c>
      <c r="K863" s="197">
        <v>0</v>
      </c>
      <c r="L863" s="198">
        <v>170</v>
      </c>
      <c r="M863" s="198">
        <v>0</v>
      </c>
      <c r="N863" s="48" t="s">
        <v>1088</v>
      </c>
      <c r="O863" s="48" t="s">
        <v>1860</v>
      </c>
      <c r="P863" s="49" t="s">
        <v>25</v>
      </c>
      <c r="Q863" s="199" t="s">
        <v>241</v>
      </c>
      <c r="R863" s="48" t="s">
        <v>2801</v>
      </c>
      <c r="S863" s="199" t="s">
        <v>3160</v>
      </c>
      <c r="T863" s="199"/>
      <c r="U863" s="199" t="s">
        <v>1759</v>
      </c>
    </row>
    <row r="864" spans="1:24" x14ac:dyDescent="0.3">
      <c r="A864" s="48">
        <f t="shared" si="34"/>
        <v>13</v>
      </c>
      <c r="B864" s="195">
        <v>46105</v>
      </c>
      <c r="C864" s="48" t="str">
        <f t="shared" si="35"/>
        <v>marzo</v>
      </c>
      <c r="D864" s="48" t="s">
        <v>2135</v>
      </c>
      <c r="E864" s="42" t="s">
        <v>2728</v>
      </c>
      <c r="F864" s="196" t="s">
        <v>168</v>
      </c>
      <c r="G864" s="199">
        <v>1</v>
      </c>
      <c r="H864" s="48" t="s">
        <v>1705</v>
      </c>
      <c r="I864" s="197">
        <v>2751.37</v>
      </c>
      <c r="J864" s="197">
        <v>2751.37</v>
      </c>
      <c r="K864" s="197">
        <v>440.22</v>
      </c>
      <c r="L864" s="198">
        <v>3191.59</v>
      </c>
      <c r="M864" s="198">
        <v>0</v>
      </c>
      <c r="N864" s="48" t="s">
        <v>1617</v>
      </c>
      <c r="O864" s="48" t="s">
        <v>3150</v>
      </c>
      <c r="P864" s="49" t="s">
        <v>25</v>
      </c>
      <c r="Q864" s="199" t="s">
        <v>241</v>
      </c>
      <c r="R864" s="48" t="s">
        <v>2801</v>
      </c>
      <c r="S864" s="199" t="s">
        <v>794</v>
      </c>
      <c r="T864" s="199" t="s">
        <v>1666</v>
      </c>
      <c r="W864" s="50" t="s">
        <v>3161</v>
      </c>
    </row>
    <row r="865" spans="1:24" ht="15" customHeight="1" x14ac:dyDescent="0.3">
      <c r="A865" s="48">
        <f t="shared" si="34"/>
        <v>13</v>
      </c>
      <c r="B865" s="195">
        <v>46105</v>
      </c>
      <c r="C865" s="48" t="str">
        <f t="shared" si="35"/>
        <v>marzo</v>
      </c>
      <c r="D865" s="48" t="s">
        <v>2135</v>
      </c>
      <c r="E865" s="42" t="s">
        <v>2728</v>
      </c>
      <c r="F865" s="196" t="s">
        <v>266</v>
      </c>
      <c r="G865" s="199">
        <v>1</v>
      </c>
      <c r="H865" s="48" t="s">
        <v>1705</v>
      </c>
      <c r="I865" s="197">
        <v>50</v>
      </c>
      <c r="J865" s="197">
        <v>50</v>
      </c>
      <c r="K865" s="197">
        <v>0</v>
      </c>
      <c r="L865" s="198">
        <v>50</v>
      </c>
      <c r="M865" s="198">
        <v>0</v>
      </c>
      <c r="N865" s="48" t="s">
        <v>1617</v>
      </c>
      <c r="O865" s="48" t="s">
        <v>3150</v>
      </c>
      <c r="P865" s="49" t="s">
        <v>25</v>
      </c>
      <c r="Q865" s="199" t="s">
        <v>241</v>
      </c>
      <c r="R865" s="48" t="s">
        <v>2801</v>
      </c>
      <c r="S865" s="199" t="s">
        <v>1678</v>
      </c>
      <c r="T865" s="199" t="s">
        <v>1637</v>
      </c>
      <c r="U865" s="199" t="s">
        <v>1759</v>
      </c>
    </row>
    <row r="866" spans="1:24" ht="15" customHeight="1" x14ac:dyDescent="0.3">
      <c r="A866" s="48">
        <f t="shared" si="34"/>
        <v>13</v>
      </c>
      <c r="B866" s="195">
        <v>46105</v>
      </c>
      <c r="C866" s="48" t="str">
        <f t="shared" si="35"/>
        <v>marzo</v>
      </c>
      <c r="D866" s="48" t="s">
        <v>2135</v>
      </c>
      <c r="E866" s="42" t="s">
        <v>2728</v>
      </c>
      <c r="F866" s="196" t="s">
        <v>3162</v>
      </c>
      <c r="G866" s="199">
        <v>1</v>
      </c>
      <c r="H866" s="48" t="s">
        <v>1705</v>
      </c>
      <c r="I866" s="197">
        <v>1255</v>
      </c>
      <c r="J866" s="197">
        <v>1255</v>
      </c>
      <c r="K866" s="197">
        <v>0</v>
      </c>
      <c r="L866" s="218">
        <v>1255</v>
      </c>
      <c r="M866" s="198">
        <v>0</v>
      </c>
      <c r="N866" s="48" t="s">
        <v>1449</v>
      </c>
      <c r="O866" s="48" t="s">
        <v>1611</v>
      </c>
      <c r="P866" s="49" t="s">
        <v>25</v>
      </c>
      <c r="Q866" s="199" t="s">
        <v>241</v>
      </c>
      <c r="R866" s="48" t="s">
        <v>2801</v>
      </c>
      <c r="S866" s="199" t="s">
        <v>613</v>
      </c>
      <c r="T866" s="199" t="s">
        <v>3163</v>
      </c>
      <c r="W866" s="50" t="s">
        <v>3147</v>
      </c>
    </row>
    <row r="867" spans="1:24" ht="15" customHeight="1" x14ac:dyDescent="0.3">
      <c r="A867" s="48">
        <f t="shared" si="34"/>
        <v>13</v>
      </c>
      <c r="B867" s="195">
        <v>46105</v>
      </c>
      <c r="C867" s="48" t="str">
        <f t="shared" si="35"/>
        <v>marzo</v>
      </c>
      <c r="D867" s="48" t="s">
        <v>2135</v>
      </c>
      <c r="E867" s="42" t="s">
        <v>2728</v>
      </c>
      <c r="F867" s="196" t="s">
        <v>199</v>
      </c>
      <c r="G867" s="199">
        <v>2</v>
      </c>
      <c r="H867" s="48" t="s">
        <v>2138</v>
      </c>
      <c r="I867" s="197">
        <v>100</v>
      </c>
      <c r="J867" s="197">
        <v>200</v>
      </c>
      <c r="K867" s="197">
        <v>0</v>
      </c>
      <c r="L867" s="198">
        <v>200</v>
      </c>
      <c r="M867" s="198">
        <v>0</v>
      </c>
      <c r="N867" s="48" t="s">
        <v>1449</v>
      </c>
      <c r="O867" s="48" t="s">
        <v>1611</v>
      </c>
      <c r="P867" s="49" t="s">
        <v>25</v>
      </c>
      <c r="Q867" s="199" t="s">
        <v>241</v>
      </c>
      <c r="R867" s="48" t="s">
        <v>2801</v>
      </c>
      <c r="S867" s="199" t="s">
        <v>2083</v>
      </c>
      <c r="T867" s="199"/>
      <c r="U867" s="199" t="s">
        <v>1759</v>
      </c>
    </row>
    <row r="868" spans="1:24" ht="14.4" x14ac:dyDescent="0.3">
      <c r="A868" s="48">
        <f t="shared" si="34"/>
        <v>13</v>
      </c>
      <c r="B868" s="113">
        <v>46105</v>
      </c>
      <c r="C868" s="48" t="str">
        <f t="shared" si="35"/>
        <v>marzo</v>
      </c>
      <c r="D868" s="48" t="s">
        <v>2135</v>
      </c>
      <c r="E868" s="42" t="s">
        <v>477</v>
      </c>
      <c r="F868" s="47" t="s">
        <v>559</v>
      </c>
      <c r="G868" s="48">
        <v>1</v>
      </c>
      <c r="H868" s="48" t="s">
        <v>2138</v>
      </c>
      <c r="I868" s="202">
        <v>525.86</v>
      </c>
      <c r="J868" s="197">
        <v>525.86</v>
      </c>
      <c r="K868" s="202">
        <v>84.137600000000006</v>
      </c>
      <c r="L868" s="202">
        <v>609.99760000000003</v>
      </c>
      <c r="M868" s="198">
        <v>0</v>
      </c>
      <c r="N868" s="48" t="s">
        <v>1818</v>
      </c>
      <c r="O868" s="49" t="s">
        <v>3083</v>
      </c>
      <c r="P868" s="48" t="s">
        <v>39</v>
      </c>
      <c r="Q868" s="48" t="s">
        <v>1824</v>
      </c>
      <c r="R868" s="48" t="s">
        <v>2727</v>
      </c>
      <c r="S868" s="48" t="s">
        <v>1827</v>
      </c>
      <c r="T868" s="114" t="s">
        <v>1617</v>
      </c>
      <c r="U868" s="38"/>
      <c r="V868"/>
      <c r="W868" s="139" t="s">
        <v>3164</v>
      </c>
      <c r="X868"/>
    </row>
    <row r="869" spans="1:24" ht="14.4" x14ac:dyDescent="0.3">
      <c r="A869" s="48">
        <f t="shared" si="34"/>
        <v>13</v>
      </c>
      <c r="B869" s="195">
        <v>46106</v>
      </c>
      <c r="C869" s="48" t="str">
        <f t="shared" si="35"/>
        <v>marzo</v>
      </c>
      <c r="D869" s="48" t="s">
        <v>2135</v>
      </c>
      <c r="E869" s="50" t="s">
        <v>116</v>
      </c>
      <c r="F869" s="47" t="s">
        <v>27</v>
      </c>
      <c r="G869" s="48">
        <v>1</v>
      </c>
      <c r="H869" s="48" t="s">
        <v>2138</v>
      </c>
      <c r="I869" s="202">
        <v>40</v>
      </c>
      <c r="J869" s="197">
        <v>40</v>
      </c>
      <c r="K869" s="197">
        <v>0</v>
      </c>
      <c r="L869" s="202">
        <v>40</v>
      </c>
      <c r="M869" s="198">
        <v>0</v>
      </c>
      <c r="N869" s="48" t="s">
        <v>1617</v>
      </c>
      <c r="O869" s="48" t="s">
        <v>116</v>
      </c>
      <c r="P869" s="49" t="s">
        <v>25</v>
      </c>
      <c r="Q869" s="48" t="s">
        <v>1766</v>
      </c>
      <c r="R869" s="48" t="s">
        <v>364</v>
      </c>
      <c r="S869" s="48" t="s">
        <v>20</v>
      </c>
      <c r="T869" s="114"/>
      <c r="U869" s="38"/>
      <c r="V869"/>
      <c r="W869" s="139"/>
      <c r="X869"/>
    </row>
    <row r="870" spans="1:24" ht="15" customHeight="1" x14ac:dyDescent="0.3">
      <c r="A870" s="48">
        <f t="shared" si="34"/>
        <v>13</v>
      </c>
      <c r="B870" s="195">
        <v>46106</v>
      </c>
      <c r="C870" s="48" t="str">
        <f t="shared" si="35"/>
        <v>marzo</v>
      </c>
      <c r="D870" s="48" t="s">
        <v>2135</v>
      </c>
      <c r="E870" s="42" t="s">
        <v>2732</v>
      </c>
      <c r="F870" s="196" t="s">
        <v>3165</v>
      </c>
      <c r="G870" s="199">
        <v>1</v>
      </c>
      <c r="H870" s="48" t="s">
        <v>1705</v>
      </c>
      <c r="I870" s="197">
        <v>37</v>
      </c>
      <c r="J870" s="197">
        <v>37</v>
      </c>
      <c r="K870" s="197">
        <v>0</v>
      </c>
      <c r="L870" s="198">
        <v>37</v>
      </c>
      <c r="M870" s="198">
        <v>0</v>
      </c>
      <c r="N870" s="48" t="s">
        <v>1617</v>
      </c>
      <c r="O870" s="48" t="s">
        <v>116</v>
      </c>
      <c r="P870" s="49" t="s">
        <v>25</v>
      </c>
      <c r="Q870" s="199" t="s">
        <v>1921</v>
      </c>
      <c r="R870" s="49" t="s">
        <v>2727</v>
      </c>
      <c r="S870" s="199" t="s">
        <v>3166</v>
      </c>
      <c r="T870" s="199"/>
    </row>
    <row r="871" spans="1:24" ht="15" customHeight="1" x14ac:dyDescent="0.3">
      <c r="A871" s="48">
        <f t="shared" si="34"/>
        <v>13</v>
      </c>
      <c r="B871" s="195">
        <v>46106</v>
      </c>
      <c r="C871" s="48" t="str">
        <f t="shared" si="35"/>
        <v>marzo</v>
      </c>
      <c r="D871" s="48" t="s">
        <v>2135</v>
      </c>
      <c r="E871" s="42" t="s">
        <v>2732</v>
      </c>
      <c r="F871" s="196" t="s">
        <v>3167</v>
      </c>
      <c r="G871" s="199">
        <v>3</v>
      </c>
      <c r="H871" s="48" t="s">
        <v>1705</v>
      </c>
      <c r="I871" s="197">
        <v>11</v>
      </c>
      <c r="J871" s="197">
        <v>33</v>
      </c>
      <c r="K871" s="197">
        <v>0</v>
      </c>
      <c r="L871" s="198">
        <v>33</v>
      </c>
      <c r="M871" s="198">
        <v>0</v>
      </c>
      <c r="N871" s="48" t="s">
        <v>1617</v>
      </c>
      <c r="O871" s="48" t="s">
        <v>116</v>
      </c>
      <c r="P871" s="49" t="s">
        <v>25</v>
      </c>
      <c r="Q871" s="199" t="s">
        <v>1921</v>
      </c>
      <c r="R871" s="49" t="s">
        <v>2727</v>
      </c>
      <c r="S871" s="199" t="s">
        <v>3166</v>
      </c>
      <c r="T871" s="199"/>
    </row>
    <row r="872" spans="1:24" ht="15" customHeight="1" x14ac:dyDescent="0.3">
      <c r="A872" s="48">
        <f t="shared" si="34"/>
        <v>13</v>
      </c>
      <c r="B872" s="195">
        <v>46106</v>
      </c>
      <c r="C872" s="48" t="str">
        <f t="shared" si="35"/>
        <v>marzo</v>
      </c>
      <c r="D872" s="48" t="s">
        <v>2135</v>
      </c>
      <c r="E872" s="42" t="s">
        <v>2732</v>
      </c>
      <c r="F872" s="196" t="s">
        <v>3168</v>
      </c>
      <c r="G872" s="199">
        <v>1</v>
      </c>
      <c r="H872" s="48" t="s">
        <v>2139</v>
      </c>
      <c r="I872" s="197">
        <v>26.5</v>
      </c>
      <c r="J872" s="197">
        <v>26.5</v>
      </c>
      <c r="K872" s="197">
        <v>0</v>
      </c>
      <c r="L872" s="198">
        <v>26.5</v>
      </c>
      <c r="M872" s="198">
        <v>0</v>
      </c>
      <c r="N872" s="48" t="s">
        <v>1617</v>
      </c>
      <c r="O872" s="48" t="s">
        <v>116</v>
      </c>
      <c r="P872" s="49" t="s">
        <v>25</v>
      </c>
      <c r="Q872" s="199" t="s">
        <v>1921</v>
      </c>
      <c r="R872" s="49" t="s">
        <v>2727</v>
      </c>
      <c r="S872" s="199" t="s">
        <v>424</v>
      </c>
      <c r="T872" s="199"/>
    </row>
    <row r="873" spans="1:24" ht="15" customHeight="1" x14ac:dyDescent="0.3">
      <c r="A873" s="48">
        <f t="shared" si="34"/>
        <v>13</v>
      </c>
      <c r="B873" s="195">
        <v>46106</v>
      </c>
      <c r="C873" s="48" t="str">
        <f t="shared" si="35"/>
        <v>marzo</v>
      </c>
      <c r="D873" s="48" t="s">
        <v>2135</v>
      </c>
      <c r="E873" s="42" t="s">
        <v>2732</v>
      </c>
      <c r="F873" s="196" t="s">
        <v>3169</v>
      </c>
      <c r="G873" s="199">
        <v>1</v>
      </c>
      <c r="H873" s="48" t="s">
        <v>2139</v>
      </c>
      <c r="I873" s="197">
        <v>47.9</v>
      </c>
      <c r="J873" s="197">
        <v>47.9</v>
      </c>
      <c r="K873" s="197">
        <v>0</v>
      </c>
      <c r="L873" s="198">
        <v>47.9</v>
      </c>
      <c r="M873" s="198">
        <v>0</v>
      </c>
      <c r="N873" s="48" t="s">
        <v>1617</v>
      </c>
      <c r="O873" s="48" t="s">
        <v>116</v>
      </c>
      <c r="P873" s="49" t="s">
        <v>25</v>
      </c>
      <c r="Q873" s="199" t="s">
        <v>1921</v>
      </c>
      <c r="R873" s="49" t="s">
        <v>2727</v>
      </c>
      <c r="S873" s="199" t="s">
        <v>424</v>
      </c>
      <c r="T873" s="199"/>
    </row>
    <row r="874" spans="1:24" x14ac:dyDescent="0.3">
      <c r="A874" s="48">
        <f t="shared" si="34"/>
        <v>13</v>
      </c>
      <c r="B874" s="195">
        <v>46106</v>
      </c>
      <c r="C874" s="48" t="str">
        <f t="shared" si="35"/>
        <v>marzo</v>
      </c>
      <c r="D874" s="48" t="s">
        <v>2135</v>
      </c>
      <c r="E874" s="42" t="s">
        <v>2732</v>
      </c>
      <c r="F874" s="196" t="s">
        <v>3170</v>
      </c>
      <c r="G874" s="199">
        <v>1</v>
      </c>
      <c r="H874" s="48" t="s">
        <v>2139</v>
      </c>
      <c r="I874" s="197">
        <v>32</v>
      </c>
      <c r="J874" s="197">
        <v>32</v>
      </c>
      <c r="K874" s="197">
        <v>0</v>
      </c>
      <c r="L874" s="198">
        <v>32</v>
      </c>
      <c r="M874" s="198">
        <v>0</v>
      </c>
      <c r="N874" s="48" t="s">
        <v>1617</v>
      </c>
      <c r="O874" s="48" t="s">
        <v>116</v>
      </c>
      <c r="P874" s="49" t="s">
        <v>25</v>
      </c>
      <c r="Q874" s="199" t="s">
        <v>1921</v>
      </c>
      <c r="R874" s="49" t="s">
        <v>2727</v>
      </c>
      <c r="S874" s="199" t="s">
        <v>424</v>
      </c>
      <c r="T874" s="199"/>
    </row>
    <row r="875" spans="1:24" x14ac:dyDescent="0.3">
      <c r="A875" s="48">
        <f t="shared" si="34"/>
        <v>13</v>
      </c>
      <c r="B875" s="195">
        <v>46106</v>
      </c>
      <c r="C875" s="48" t="str">
        <f t="shared" si="35"/>
        <v>marzo</v>
      </c>
      <c r="D875" s="48" t="s">
        <v>2135</v>
      </c>
      <c r="E875" s="42" t="s">
        <v>2732</v>
      </c>
      <c r="F875" s="196" t="s">
        <v>3171</v>
      </c>
      <c r="G875" s="199">
        <v>1</v>
      </c>
      <c r="H875" s="48" t="s">
        <v>2139</v>
      </c>
      <c r="I875" s="197">
        <v>38.5</v>
      </c>
      <c r="J875" s="197">
        <v>38.5</v>
      </c>
      <c r="K875" s="197">
        <v>0</v>
      </c>
      <c r="L875" s="198">
        <v>38.5</v>
      </c>
      <c r="M875" s="198">
        <v>0</v>
      </c>
      <c r="N875" s="48" t="s">
        <v>1617</v>
      </c>
      <c r="O875" s="48" t="s">
        <v>116</v>
      </c>
      <c r="P875" s="49" t="s">
        <v>25</v>
      </c>
      <c r="Q875" s="199" t="s">
        <v>1921</v>
      </c>
      <c r="R875" s="49" t="s">
        <v>2727</v>
      </c>
      <c r="S875" s="199" t="s">
        <v>424</v>
      </c>
      <c r="T875" s="199"/>
    </row>
    <row r="876" spans="1:24" x14ac:dyDescent="0.3">
      <c r="A876" s="48">
        <f t="shared" si="34"/>
        <v>13</v>
      </c>
      <c r="B876" s="195">
        <v>46106</v>
      </c>
      <c r="C876" s="48" t="str">
        <f t="shared" si="35"/>
        <v>marzo</v>
      </c>
      <c r="D876" s="48" t="s">
        <v>2135</v>
      </c>
      <c r="E876" s="42" t="s">
        <v>2728</v>
      </c>
      <c r="F876" s="196" t="s">
        <v>98</v>
      </c>
      <c r="G876" s="199">
        <v>1</v>
      </c>
      <c r="H876" s="48" t="s">
        <v>2016</v>
      </c>
      <c r="I876" s="197">
        <v>375</v>
      </c>
      <c r="J876" s="197">
        <v>375</v>
      </c>
      <c r="K876" s="197">
        <v>60</v>
      </c>
      <c r="L876" s="198">
        <v>435</v>
      </c>
      <c r="M876" s="198">
        <v>0</v>
      </c>
      <c r="N876" s="50" t="s">
        <v>1956</v>
      </c>
      <c r="O876" s="49" t="s">
        <v>257</v>
      </c>
      <c r="P876" s="49" t="s">
        <v>25</v>
      </c>
      <c r="Q876" s="199" t="s">
        <v>241</v>
      </c>
      <c r="R876" s="49" t="s">
        <v>2727</v>
      </c>
      <c r="S876" s="199" t="s">
        <v>3172</v>
      </c>
      <c r="T876" s="199"/>
      <c r="W876" s="50" t="s">
        <v>3173</v>
      </c>
    </row>
    <row r="877" spans="1:24" x14ac:dyDescent="0.3">
      <c r="A877" s="48">
        <f t="shared" si="34"/>
        <v>13</v>
      </c>
      <c r="B877" s="195">
        <v>46106</v>
      </c>
      <c r="C877" s="48" t="str">
        <f t="shared" si="35"/>
        <v>marzo</v>
      </c>
      <c r="D877" s="48" t="s">
        <v>2135</v>
      </c>
      <c r="E877" s="42" t="s">
        <v>2728</v>
      </c>
      <c r="F877" s="196" t="s">
        <v>491</v>
      </c>
      <c r="G877" s="199">
        <v>1</v>
      </c>
      <c r="H877" s="48" t="s">
        <v>1705</v>
      </c>
      <c r="I877" s="197">
        <v>1081.9000000000001</v>
      </c>
      <c r="J877" s="197">
        <v>1081.9000000000001</v>
      </c>
      <c r="K877" s="197">
        <v>173.1</v>
      </c>
      <c r="L877" s="198">
        <v>1255</v>
      </c>
      <c r="M877" s="198">
        <v>0</v>
      </c>
      <c r="N877" s="50" t="s">
        <v>1956</v>
      </c>
      <c r="O877" s="49" t="s">
        <v>257</v>
      </c>
      <c r="P877" s="49" t="s">
        <v>25</v>
      </c>
      <c r="Q877" s="199" t="s">
        <v>241</v>
      </c>
      <c r="R877" s="48" t="s">
        <v>2801</v>
      </c>
      <c r="S877" s="199" t="s">
        <v>3172</v>
      </c>
      <c r="T877" s="199"/>
      <c r="W877" s="50" t="s">
        <v>3147</v>
      </c>
    </row>
    <row r="878" spans="1:24" x14ac:dyDescent="0.3">
      <c r="A878" s="48">
        <f t="shared" si="34"/>
        <v>13</v>
      </c>
      <c r="B878" s="195">
        <v>46106</v>
      </c>
      <c r="C878" s="48" t="str">
        <f t="shared" si="35"/>
        <v>marzo</v>
      </c>
      <c r="D878" s="48" t="s">
        <v>2135</v>
      </c>
      <c r="E878" s="42" t="s">
        <v>356</v>
      </c>
      <c r="F878" s="196" t="s">
        <v>2592</v>
      </c>
      <c r="G878" s="199">
        <v>1</v>
      </c>
      <c r="H878" s="48" t="s">
        <v>2138</v>
      </c>
      <c r="I878" s="197">
        <v>86.21</v>
      </c>
      <c r="J878" s="197">
        <v>86.21</v>
      </c>
      <c r="K878" s="197">
        <v>13.79</v>
      </c>
      <c r="L878" s="198">
        <v>100</v>
      </c>
      <c r="M878" s="198">
        <v>0</v>
      </c>
      <c r="N878" s="48" t="s">
        <v>1617</v>
      </c>
      <c r="O878" s="48" t="s">
        <v>118</v>
      </c>
      <c r="P878" s="49" t="s">
        <v>25</v>
      </c>
      <c r="Q878" s="199" t="s">
        <v>1824</v>
      </c>
      <c r="R878" s="48" t="s">
        <v>2726</v>
      </c>
      <c r="S878" s="199" t="s">
        <v>3166</v>
      </c>
      <c r="T878" s="199" t="s">
        <v>3174</v>
      </c>
    </row>
    <row r="879" spans="1:24" x14ac:dyDescent="0.3">
      <c r="A879" s="48">
        <f t="shared" si="34"/>
        <v>13</v>
      </c>
      <c r="B879" s="195">
        <v>46106</v>
      </c>
      <c r="C879" s="48" t="str">
        <f t="shared" si="35"/>
        <v>marzo</v>
      </c>
      <c r="D879" s="48" t="s">
        <v>2135</v>
      </c>
      <c r="E879" s="42" t="s">
        <v>356</v>
      </c>
      <c r="F879" s="196" t="s">
        <v>127</v>
      </c>
      <c r="G879" s="199">
        <v>10</v>
      </c>
      <c r="H879" s="48" t="s">
        <v>2017</v>
      </c>
      <c r="I879" s="197">
        <v>20.151</v>
      </c>
      <c r="J879" s="197">
        <v>201.51</v>
      </c>
      <c r="K879" s="197">
        <v>38.39</v>
      </c>
      <c r="L879" s="198">
        <v>239.9</v>
      </c>
      <c r="M879" s="198">
        <v>0</v>
      </c>
      <c r="N879" s="48" t="s">
        <v>1617</v>
      </c>
      <c r="O879" s="48" t="s">
        <v>118</v>
      </c>
      <c r="P879" s="49" t="s">
        <v>25</v>
      </c>
      <c r="Q879" s="199" t="s">
        <v>488</v>
      </c>
      <c r="R879" s="49" t="s">
        <v>2727</v>
      </c>
      <c r="S879" s="199" t="s">
        <v>526</v>
      </c>
      <c r="T879" s="199" t="s">
        <v>2025</v>
      </c>
      <c r="W879" s="50" t="s">
        <v>3153</v>
      </c>
    </row>
    <row r="880" spans="1:24" ht="14.4" x14ac:dyDescent="0.3">
      <c r="A880" s="48">
        <f t="shared" si="34"/>
        <v>13</v>
      </c>
      <c r="B880" s="113">
        <v>46106</v>
      </c>
      <c r="C880" s="48" t="str">
        <f t="shared" si="35"/>
        <v>marzo</v>
      </c>
      <c r="D880" s="48" t="s">
        <v>2135</v>
      </c>
      <c r="E880" s="42" t="s">
        <v>477</v>
      </c>
      <c r="F880" s="47" t="s">
        <v>559</v>
      </c>
      <c r="G880" s="48">
        <v>1</v>
      </c>
      <c r="H880" s="48" t="s">
        <v>2138</v>
      </c>
      <c r="I880" s="202">
        <v>525.86</v>
      </c>
      <c r="J880" s="197">
        <v>525.86</v>
      </c>
      <c r="K880" s="202">
        <v>84.137600000000006</v>
      </c>
      <c r="L880" s="202">
        <v>609.99760000000003</v>
      </c>
      <c r="M880" s="198">
        <v>0</v>
      </c>
      <c r="N880" s="48" t="s">
        <v>1818</v>
      </c>
      <c r="O880" s="48" t="s">
        <v>3110</v>
      </c>
      <c r="P880" s="48" t="s">
        <v>25</v>
      </c>
      <c r="Q880" s="48" t="s">
        <v>1824</v>
      </c>
      <c r="R880" s="48" t="s">
        <v>2801</v>
      </c>
      <c r="S880" s="48" t="s">
        <v>1827</v>
      </c>
      <c r="T880" s="114" t="s">
        <v>2025</v>
      </c>
      <c r="V880" s="130" t="s">
        <v>2969</v>
      </c>
      <c r="W880" s="139" t="s">
        <v>325</v>
      </c>
    </row>
    <row r="881" spans="1:25" ht="14.4" x14ac:dyDescent="0.3">
      <c r="A881" s="48">
        <f t="shared" si="34"/>
        <v>13</v>
      </c>
      <c r="B881" s="113">
        <v>46107</v>
      </c>
      <c r="C881" s="48" t="str">
        <f t="shared" si="35"/>
        <v>marzo</v>
      </c>
      <c r="D881" s="48" t="s">
        <v>2135</v>
      </c>
      <c r="E881" s="42" t="s">
        <v>356</v>
      </c>
      <c r="F881" s="196" t="s">
        <v>127</v>
      </c>
      <c r="G881" s="48">
        <v>10</v>
      </c>
      <c r="H881" s="48" t="s">
        <v>2017</v>
      </c>
      <c r="I881" s="202">
        <v>19.829999999999998</v>
      </c>
      <c r="J881" s="197">
        <v>198.29999999999998</v>
      </c>
      <c r="K881" s="197">
        <v>31.727999999999998</v>
      </c>
      <c r="L881" s="202">
        <v>230</v>
      </c>
      <c r="M881" s="198">
        <v>0</v>
      </c>
      <c r="N881" s="48" t="s">
        <v>1617</v>
      </c>
      <c r="O881" s="48" t="s">
        <v>118</v>
      </c>
      <c r="P881" s="48" t="s">
        <v>25</v>
      </c>
      <c r="Q881" s="48" t="s">
        <v>1869</v>
      </c>
      <c r="R881" s="48" t="s">
        <v>2801</v>
      </c>
      <c r="S881" s="48" t="s">
        <v>647</v>
      </c>
      <c r="T881" s="114" t="s">
        <v>2025</v>
      </c>
      <c r="V881" s="130"/>
      <c r="W881" s="139" t="s">
        <v>3175</v>
      </c>
    </row>
    <row r="882" spans="1:25" ht="14.4" x14ac:dyDescent="0.3">
      <c r="A882" s="48">
        <f t="shared" si="34"/>
        <v>13</v>
      </c>
      <c r="B882" s="113">
        <v>46107</v>
      </c>
      <c r="C882" s="48" t="str">
        <f t="shared" si="35"/>
        <v>marzo</v>
      </c>
      <c r="D882" s="48" t="s">
        <v>2135</v>
      </c>
      <c r="E882" s="42" t="s">
        <v>356</v>
      </c>
      <c r="F882" s="196" t="s">
        <v>127</v>
      </c>
      <c r="G882" s="48">
        <v>4.1950000000000003</v>
      </c>
      <c r="H882" s="48" t="s">
        <v>2017</v>
      </c>
      <c r="I882" s="202">
        <v>20.549915745345444</v>
      </c>
      <c r="J882" s="197">
        <v>86.206896551724142</v>
      </c>
      <c r="K882" s="202">
        <v>13.54</v>
      </c>
      <c r="L882" s="202">
        <v>100</v>
      </c>
      <c r="M882" s="198">
        <v>0</v>
      </c>
      <c r="N882" s="48" t="s">
        <v>1617</v>
      </c>
      <c r="O882" s="48" t="s">
        <v>118</v>
      </c>
      <c r="P882" s="48" t="s">
        <v>25</v>
      </c>
      <c r="Q882" s="48" t="s">
        <v>1871</v>
      </c>
      <c r="R882" s="49" t="s">
        <v>2727</v>
      </c>
      <c r="S882" s="48" t="s">
        <v>593</v>
      </c>
      <c r="T882" s="114" t="s">
        <v>2025</v>
      </c>
      <c r="V882" s="130"/>
      <c r="W882" s="139" t="s">
        <v>3152</v>
      </c>
    </row>
    <row r="883" spans="1:25" x14ac:dyDescent="0.3">
      <c r="A883" s="48">
        <f t="shared" ref="A883:A936" si="36">WEEKNUM(B883)</f>
        <v>13</v>
      </c>
      <c r="B883" s="113">
        <v>46107</v>
      </c>
      <c r="C883" s="48" t="str">
        <f t="shared" si="35"/>
        <v>marzo</v>
      </c>
      <c r="D883" s="48" t="s">
        <v>2135</v>
      </c>
      <c r="E883" s="50" t="s">
        <v>127</v>
      </c>
      <c r="F883" s="196" t="s">
        <v>1631</v>
      </c>
      <c r="G883" s="48">
        <v>1</v>
      </c>
      <c r="H883" s="48" t="s">
        <v>2138</v>
      </c>
      <c r="I883" s="202">
        <v>1000</v>
      </c>
      <c r="J883" s="202">
        <v>1000</v>
      </c>
      <c r="K883" s="197">
        <v>0</v>
      </c>
      <c r="L883" s="202">
        <v>1000</v>
      </c>
      <c r="M883" s="198">
        <v>0</v>
      </c>
      <c r="N883" s="48" t="s">
        <v>1617</v>
      </c>
      <c r="O883" s="48" t="s">
        <v>116</v>
      </c>
      <c r="P883" s="48" t="s">
        <v>25</v>
      </c>
      <c r="Q883" s="113" t="s">
        <v>1841</v>
      </c>
      <c r="R883" s="113" t="s">
        <v>369</v>
      </c>
      <c r="S883" s="113" t="s">
        <v>3176</v>
      </c>
      <c r="T883" s="113"/>
      <c r="U883" s="113"/>
      <c r="V883" s="113"/>
      <c r="W883" s="113"/>
      <c r="X883" s="113"/>
    </row>
    <row r="884" spans="1:25" ht="14.4" x14ac:dyDescent="0.3">
      <c r="A884" s="48">
        <f t="shared" si="36"/>
        <v>13</v>
      </c>
      <c r="B884" s="113">
        <v>46107</v>
      </c>
      <c r="C884" s="48" t="str">
        <f t="shared" si="35"/>
        <v>marzo</v>
      </c>
      <c r="D884" s="48" t="s">
        <v>2135</v>
      </c>
      <c r="E884" s="42" t="s">
        <v>2728</v>
      </c>
      <c r="F884" s="47" t="s">
        <v>3177</v>
      </c>
      <c r="G884" s="48">
        <v>1</v>
      </c>
      <c r="H884" s="48" t="s">
        <v>1705</v>
      </c>
      <c r="I884" s="202">
        <v>173.28</v>
      </c>
      <c r="J884" s="197">
        <v>173.28</v>
      </c>
      <c r="K884" s="202">
        <v>27.72</v>
      </c>
      <c r="L884" s="202">
        <v>201</v>
      </c>
      <c r="M884" s="198">
        <v>0</v>
      </c>
      <c r="N884" s="48" t="s">
        <v>1617</v>
      </c>
      <c r="O884" s="48" t="s">
        <v>2981</v>
      </c>
      <c r="P884" s="49" t="s">
        <v>25</v>
      </c>
      <c r="Q884" s="48" t="s">
        <v>241</v>
      </c>
      <c r="R884" s="49" t="s">
        <v>2727</v>
      </c>
      <c r="S884" s="48" t="s">
        <v>574</v>
      </c>
      <c r="T884" s="114"/>
      <c r="V884" s="130"/>
      <c r="W884" s="139" t="s">
        <v>3178</v>
      </c>
    </row>
    <row r="885" spans="1:25" ht="14.4" x14ac:dyDescent="0.3">
      <c r="A885" s="48">
        <f t="shared" si="36"/>
        <v>13</v>
      </c>
      <c r="B885" s="113">
        <v>46107</v>
      </c>
      <c r="C885" s="48" t="str">
        <f t="shared" si="35"/>
        <v>marzo</v>
      </c>
      <c r="D885" s="48" t="s">
        <v>2135</v>
      </c>
      <c r="E885" s="42" t="s">
        <v>2728</v>
      </c>
      <c r="F885" s="47" t="s">
        <v>3179</v>
      </c>
      <c r="G885" s="48">
        <v>1</v>
      </c>
      <c r="H885" s="48" t="s">
        <v>1705</v>
      </c>
      <c r="I885" s="202">
        <v>949.14</v>
      </c>
      <c r="J885" s="197">
        <v>949.14</v>
      </c>
      <c r="K885" s="202">
        <v>151.86000000000001</v>
      </c>
      <c r="L885" s="202">
        <v>1101</v>
      </c>
      <c r="M885" s="198">
        <v>0</v>
      </c>
      <c r="N885" s="48" t="s">
        <v>3180</v>
      </c>
      <c r="O885" s="48" t="s">
        <v>2027</v>
      </c>
      <c r="P885" s="48" t="s">
        <v>25</v>
      </c>
      <c r="Q885" s="48" t="s">
        <v>241</v>
      </c>
      <c r="R885" s="49" t="s">
        <v>2727</v>
      </c>
      <c r="S885" s="48" t="s">
        <v>574</v>
      </c>
      <c r="T885" s="114"/>
      <c r="V885" s="130"/>
      <c r="W885" s="139" t="s">
        <v>3178</v>
      </c>
    </row>
    <row r="886" spans="1:25" ht="14.4" x14ac:dyDescent="0.3">
      <c r="A886" s="48">
        <f t="shared" si="36"/>
        <v>13</v>
      </c>
      <c r="B886" s="113">
        <v>46107</v>
      </c>
      <c r="C886" s="48" t="str">
        <f t="shared" si="35"/>
        <v>marzo</v>
      </c>
      <c r="D886" s="48" t="s">
        <v>2135</v>
      </c>
      <c r="E886" s="42" t="s">
        <v>2728</v>
      </c>
      <c r="F886" s="47" t="s">
        <v>755</v>
      </c>
      <c r="G886" s="48">
        <v>2</v>
      </c>
      <c r="H886" s="48" t="s">
        <v>1705</v>
      </c>
      <c r="I886" s="202">
        <v>862.07</v>
      </c>
      <c r="J886" s="197">
        <v>1724.14</v>
      </c>
      <c r="K886" s="197">
        <v>275.86240000000004</v>
      </c>
      <c r="L886" s="202">
        <v>2000</v>
      </c>
      <c r="M886" s="198">
        <v>0</v>
      </c>
      <c r="N886" s="48" t="s">
        <v>1617</v>
      </c>
      <c r="O886" s="48" t="s">
        <v>3150</v>
      </c>
      <c r="P886" s="48" t="s">
        <v>25</v>
      </c>
      <c r="Q886" s="48" t="s">
        <v>241</v>
      </c>
      <c r="R886" s="48" t="s">
        <v>2726</v>
      </c>
      <c r="S886" s="48" t="s">
        <v>414</v>
      </c>
      <c r="T886" s="114" t="s">
        <v>3181</v>
      </c>
      <c r="V886" s="130"/>
      <c r="W886" s="139"/>
    </row>
    <row r="887" spans="1:25" ht="14.4" x14ac:dyDescent="0.3">
      <c r="A887" s="48">
        <f t="shared" si="36"/>
        <v>13</v>
      </c>
      <c r="B887" s="113">
        <v>46107</v>
      </c>
      <c r="C887" s="48" t="str">
        <f t="shared" si="35"/>
        <v>marzo</v>
      </c>
      <c r="D887" s="48" t="s">
        <v>2135</v>
      </c>
      <c r="E887" s="42" t="s">
        <v>2918</v>
      </c>
      <c r="F887" s="196" t="s">
        <v>708</v>
      </c>
      <c r="G887" s="199">
        <v>1</v>
      </c>
      <c r="H887" s="48" t="s">
        <v>2138</v>
      </c>
      <c r="I887" s="197">
        <v>9000</v>
      </c>
      <c r="J887" s="197">
        <v>9000</v>
      </c>
      <c r="K887" s="197">
        <v>0</v>
      </c>
      <c r="L887" s="202">
        <v>9000</v>
      </c>
      <c r="M887" s="198">
        <v>0</v>
      </c>
      <c r="N887" s="48" t="s">
        <v>1617</v>
      </c>
      <c r="O887" s="48" t="s">
        <v>3150</v>
      </c>
      <c r="P887" s="48" t="s">
        <v>25</v>
      </c>
      <c r="Q887" s="48" t="s">
        <v>1844</v>
      </c>
      <c r="R887" s="49" t="s">
        <v>369</v>
      </c>
      <c r="S887" s="48" t="s">
        <v>3126</v>
      </c>
      <c r="T887" s="114"/>
      <c r="U887" s="51" t="s">
        <v>3182</v>
      </c>
      <c r="V887" s="130"/>
      <c r="W887" s="139"/>
    </row>
    <row r="888" spans="1:25" x14ac:dyDescent="0.3">
      <c r="A888" s="48">
        <f t="shared" si="36"/>
        <v>13</v>
      </c>
      <c r="B888" s="113">
        <v>46107</v>
      </c>
      <c r="C888" s="48" t="str">
        <f t="shared" si="35"/>
        <v>marzo</v>
      </c>
      <c r="D888" s="48" t="s">
        <v>2135</v>
      </c>
      <c r="E888" s="42" t="s">
        <v>2918</v>
      </c>
      <c r="F888" s="196" t="s">
        <v>708</v>
      </c>
      <c r="G888" s="199">
        <v>1</v>
      </c>
      <c r="H888" s="48" t="s">
        <v>2138</v>
      </c>
      <c r="I888" s="197">
        <v>5500</v>
      </c>
      <c r="J888" s="197">
        <v>5500</v>
      </c>
      <c r="K888" s="197">
        <v>0</v>
      </c>
      <c r="L888" s="202">
        <v>5500</v>
      </c>
      <c r="M888" s="198">
        <v>0</v>
      </c>
      <c r="N888" s="48" t="s">
        <v>1617</v>
      </c>
      <c r="O888" s="48" t="s">
        <v>2942</v>
      </c>
      <c r="P888" s="48" t="s">
        <v>25</v>
      </c>
      <c r="Q888" s="48" t="s">
        <v>1844</v>
      </c>
      <c r="R888" s="49" t="s">
        <v>369</v>
      </c>
      <c r="S888" s="48" t="s">
        <v>3126</v>
      </c>
      <c r="T888" s="199"/>
      <c r="U888" s="51" t="s">
        <v>3183</v>
      </c>
    </row>
    <row r="889" spans="1:25" x14ac:dyDescent="0.3">
      <c r="A889" s="48">
        <f t="shared" si="36"/>
        <v>13</v>
      </c>
      <c r="B889" s="195">
        <v>46108</v>
      </c>
      <c r="C889" s="48" t="str">
        <f t="shared" si="35"/>
        <v>marzo</v>
      </c>
      <c r="D889" s="48" t="s">
        <v>2135</v>
      </c>
      <c r="E889" s="42" t="s">
        <v>2728</v>
      </c>
      <c r="F889" s="196" t="s">
        <v>168</v>
      </c>
      <c r="G889" s="199">
        <v>1</v>
      </c>
      <c r="H889" s="48" t="s">
        <v>1705</v>
      </c>
      <c r="I889" s="197">
        <v>2248.27</v>
      </c>
      <c r="J889" s="197">
        <v>2248.27</v>
      </c>
      <c r="K889" s="197">
        <v>359.72320000000002</v>
      </c>
      <c r="L889" s="198">
        <v>2607.9899999999998</v>
      </c>
      <c r="M889" s="198">
        <v>0</v>
      </c>
      <c r="N889" s="48" t="s">
        <v>1617</v>
      </c>
      <c r="O889" s="48" t="s">
        <v>2942</v>
      </c>
      <c r="P889" s="48" t="s">
        <v>25</v>
      </c>
      <c r="Q889" s="48" t="s">
        <v>241</v>
      </c>
      <c r="R889" s="49" t="s">
        <v>2727</v>
      </c>
      <c r="S889" s="48" t="s">
        <v>794</v>
      </c>
      <c r="T889" s="199"/>
      <c r="W889" s="50" t="s">
        <v>3184</v>
      </c>
    </row>
    <row r="890" spans="1:25" x14ac:dyDescent="0.3">
      <c r="A890" s="48">
        <f t="shared" si="36"/>
        <v>13</v>
      </c>
      <c r="B890" s="195">
        <v>46108</v>
      </c>
      <c r="C890" s="48" t="str">
        <f t="shared" si="35"/>
        <v>marzo</v>
      </c>
      <c r="D890" s="48" t="s">
        <v>2135</v>
      </c>
      <c r="E890" s="42" t="s">
        <v>2728</v>
      </c>
      <c r="F890" s="196" t="s">
        <v>3185</v>
      </c>
      <c r="G890" s="199">
        <v>2</v>
      </c>
      <c r="H890" s="48" t="s">
        <v>1705</v>
      </c>
      <c r="I890" s="197">
        <v>1.65</v>
      </c>
      <c r="J890" s="197">
        <v>3.3</v>
      </c>
      <c r="K890" s="197">
        <v>0.52800000000000002</v>
      </c>
      <c r="L890" s="198">
        <v>3.83</v>
      </c>
      <c r="M890" s="198">
        <v>0</v>
      </c>
      <c r="N890" s="48" t="s">
        <v>1617</v>
      </c>
      <c r="O890" s="48" t="s">
        <v>2942</v>
      </c>
      <c r="P890" s="48" t="s">
        <v>25</v>
      </c>
      <c r="Q890" s="48" t="s">
        <v>241</v>
      </c>
      <c r="R890" s="49" t="s">
        <v>2727</v>
      </c>
      <c r="S890" s="48" t="s">
        <v>794</v>
      </c>
    </row>
    <row r="891" spans="1:25" x14ac:dyDescent="0.3">
      <c r="A891" s="48">
        <f t="shared" si="36"/>
        <v>13</v>
      </c>
      <c r="B891" s="195">
        <v>46108</v>
      </c>
      <c r="C891" s="48" t="str">
        <f t="shared" si="35"/>
        <v>marzo</v>
      </c>
      <c r="D891" s="48" t="s">
        <v>2135</v>
      </c>
      <c r="E891" s="42" t="s">
        <v>2728</v>
      </c>
      <c r="F891" s="196" t="s">
        <v>2323</v>
      </c>
      <c r="G891" s="199">
        <v>1</v>
      </c>
      <c r="H891" s="48" t="s">
        <v>1705</v>
      </c>
      <c r="I891" s="197">
        <v>499.8</v>
      </c>
      <c r="J891" s="197">
        <v>499.8</v>
      </c>
      <c r="K891" s="197">
        <v>79.968000000000004</v>
      </c>
      <c r="L891" s="198">
        <v>579.77</v>
      </c>
      <c r="M891" s="198">
        <v>0</v>
      </c>
      <c r="N891" s="48" t="s">
        <v>1617</v>
      </c>
      <c r="O891" s="48" t="s">
        <v>2942</v>
      </c>
      <c r="P891" s="48" t="s">
        <v>25</v>
      </c>
      <c r="Q891" s="48" t="s">
        <v>241</v>
      </c>
      <c r="R891" s="49" t="s">
        <v>2727</v>
      </c>
      <c r="S891" s="48" t="s">
        <v>794</v>
      </c>
    </row>
    <row r="892" spans="1:25" x14ac:dyDescent="0.3">
      <c r="A892" s="48">
        <f t="shared" si="36"/>
        <v>13</v>
      </c>
      <c r="B892" s="195">
        <v>46108</v>
      </c>
      <c r="C892" s="48" t="str">
        <f t="shared" si="35"/>
        <v>marzo</v>
      </c>
      <c r="D892" s="48" t="s">
        <v>2135</v>
      </c>
      <c r="E892" s="42" t="s">
        <v>477</v>
      </c>
      <c r="F892" s="196" t="s">
        <v>3186</v>
      </c>
      <c r="G892" s="199">
        <v>1</v>
      </c>
      <c r="H892" s="48" t="s">
        <v>2138</v>
      </c>
      <c r="I892" s="197">
        <v>310</v>
      </c>
      <c r="J892" s="197">
        <v>310</v>
      </c>
      <c r="K892" s="197">
        <v>0</v>
      </c>
      <c r="L892" s="198">
        <v>310</v>
      </c>
      <c r="M892" s="198">
        <v>0</v>
      </c>
      <c r="N892" s="48" t="s">
        <v>2009</v>
      </c>
      <c r="O892" s="49" t="s">
        <v>1071</v>
      </c>
      <c r="P892" s="48" t="s">
        <v>18</v>
      </c>
      <c r="Q892" s="48" t="s">
        <v>1766</v>
      </c>
      <c r="R892" s="49" t="s">
        <v>364</v>
      </c>
      <c r="S892" s="48" t="s">
        <v>3187</v>
      </c>
    </row>
    <row r="893" spans="1:25" x14ac:dyDescent="0.3">
      <c r="A893" s="48">
        <f t="shared" si="36"/>
        <v>13</v>
      </c>
      <c r="B893" s="195">
        <v>46108</v>
      </c>
      <c r="C893" s="48" t="str">
        <f t="shared" si="35"/>
        <v>marzo</v>
      </c>
      <c r="D893" s="48" t="s">
        <v>2135</v>
      </c>
      <c r="E893" s="42" t="s">
        <v>2728</v>
      </c>
      <c r="F893" s="196" t="s">
        <v>3084</v>
      </c>
      <c r="G893" s="199">
        <v>1</v>
      </c>
      <c r="H893" s="48" t="s">
        <v>1705</v>
      </c>
      <c r="I893" s="197">
        <v>90</v>
      </c>
      <c r="J893" s="197">
        <v>90</v>
      </c>
      <c r="K893" s="197">
        <v>0</v>
      </c>
      <c r="L893" s="198">
        <v>90</v>
      </c>
      <c r="M893" s="198">
        <v>0</v>
      </c>
      <c r="N893" s="199" t="s">
        <v>1558</v>
      </c>
      <c r="O893" s="49" t="s">
        <v>53</v>
      </c>
      <c r="P893" s="48" t="s">
        <v>25</v>
      </c>
      <c r="Q893" s="48" t="s">
        <v>241</v>
      </c>
      <c r="R893" s="49" t="s">
        <v>364</v>
      </c>
      <c r="S893" s="48" t="s">
        <v>20</v>
      </c>
      <c r="U893" s="50" t="s">
        <v>3188</v>
      </c>
    </row>
    <row r="894" spans="1:25" x14ac:dyDescent="0.3">
      <c r="A894" s="48">
        <f t="shared" si="36"/>
        <v>13</v>
      </c>
      <c r="B894" s="195">
        <v>46108</v>
      </c>
      <c r="C894" s="48" t="str">
        <f t="shared" si="35"/>
        <v>marzo</v>
      </c>
      <c r="D894" s="48" t="s">
        <v>2135</v>
      </c>
      <c r="E894" s="42" t="s">
        <v>2728</v>
      </c>
      <c r="F894" s="196" t="s">
        <v>3189</v>
      </c>
      <c r="G894" s="199">
        <v>1</v>
      </c>
      <c r="H894" s="48" t="s">
        <v>2138</v>
      </c>
      <c r="I894" s="197">
        <v>2775.02</v>
      </c>
      <c r="J894" s="197">
        <v>2775.02</v>
      </c>
      <c r="K894" s="197">
        <v>443.99</v>
      </c>
      <c r="L894" s="198">
        <v>3219.02</v>
      </c>
      <c r="M894" s="198">
        <v>0</v>
      </c>
      <c r="N894" s="199" t="s">
        <v>1120</v>
      </c>
      <c r="O894" s="49" t="s">
        <v>1273</v>
      </c>
      <c r="P894" s="48" t="s">
        <v>25</v>
      </c>
      <c r="Q894" s="48" t="s">
        <v>241</v>
      </c>
      <c r="R894" s="49" t="s">
        <v>369</v>
      </c>
      <c r="S894" s="48" t="s">
        <v>3190</v>
      </c>
      <c r="T894" s="199"/>
      <c r="W894" s="50" t="s">
        <v>3191</v>
      </c>
    </row>
    <row r="895" spans="1:25" x14ac:dyDescent="0.3">
      <c r="A895" s="48">
        <f t="shared" si="36"/>
        <v>13</v>
      </c>
      <c r="B895" s="195">
        <v>46108</v>
      </c>
      <c r="C895" s="48" t="str">
        <f t="shared" si="35"/>
        <v>marzo</v>
      </c>
      <c r="D895" s="48" t="s">
        <v>2135</v>
      </c>
      <c r="E895" s="42" t="s">
        <v>2728</v>
      </c>
      <c r="F895" s="196" t="s">
        <v>92</v>
      </c>
      <c r="G895" s="199">
        <v>1</v>
      </c>
      <c r="H895" s="48" t="s">
        <v>1705</v>
      </c>
      <c r="I895" s="197">
        <v>60.97</v>
      </c>
      <c r="J895" s="197">
        <v>60.97</v>
      </c>
      <c r="K895" s="197">
        <v>9.76</v>
      </c>
      <c r="L895" s="198">
        <v>70.73</v>
      </c>
      <c r="M895" s="198">
        <v>0</v>
      </c>
      <c r="N895" s="48" t="s">
        <v>1617</v>
      </c>
      <c r="O895" s="48" t="s">
        <v>2942</v>
      </c>
      <c r="P895" s="48" t="s">
        <v>25</v>
      </c>
      <c r="Q895" s="48" t="s">
        <v>241</v>
      </c>
      <c r="R895" s="49" t="s">
        <v>2727</v>
      </c>
      <c r="S895" s="48"/>
      <c r="T895" s="199"/>
    </row>
    <row r="896" spans="1:25" s="48" customFormat="1" x14ac:dyDescent="0.3">
      <c r="A896" s="48">
        <f t="shared" si="36"/>
        <v>13</v>
      </c>
      <c r="B896" s="195">
        <v>46108</v>
      </c>
      <c r="C896" s="48" t="str">
        <f t="shared" si="35"/>
        <v>marzo</v>
      </c>
      <c r="D896" s="48" t="s">
        <v>2135</v>
      </c>
      <c r="E896" s="42" t="s">
        <v>2728</v>
      </c>
      <c r="F896" s="196" t="s">
        <v>3192</v>
      </c>
      <c r="G896" s="199">
        <v>2</v>
      </c>
      <c r="H896" s="48" t="s">
        <v>1705</v>
      </c>
      <c r="I896" s="197">
        <v>3.24</v>
      </c>
      <c r="J896" s="197">
        <v>6.48</v>
      </c>
      <c r="K896" s="197">
        <v>1.0368000000000002</v>
      </c>
      <c r="L896" s="198">
        <v>7.51</v>
      </c>
      <c r="M896" s="198">
        <v>0</v>
      </c>
      <c r="N896" s="48" t="s">
        <v>1307</v>
      </c>
      <c r="O896" s="48" t="s">
        <v>150</v>
      </c>
      <c r="P896" s="48" t="s">
        <v>25</v>
      </c>
      <c r="Q896" s="48" t="s">
        <v>241</v>
      </c>
      <c r="R896" s="49" t="s">
        <v>2727</v>
      </c>
      <c r="Y896" s="50"/>
    </row>
    <row r="897" spans="1:23" x14ac:dyDescent="0.3">
      <c r="A897" s="48">
        <f t="shared" si="36"/>
        <v>13</v>
      </c>
      <c r="B897" s="195">
        <v>46108</v>
      </c>
      <c r="C897" s="48" t="str">
        <f t="shared" si="35"/>
        <v>marzo</v>
      </c>
      <c r="D897" s="48" t="s">
        <v>2135</v>
      </c>
      <c r="E897" s="42" t="s">
        <v>2728</v>
      </c>
      <c r="F897" s="196" t="s">
        <v>2428</v>
      </c>
      <c r="G897" s="199">
        <v>2</v>
      </c>
      <c r="H897" s="48" t="s">
        <v>1705</v>
      </c>
      <c r="I897" s="197">
        <v>19</v>
      </c>
      <c r="J897" s="197">
        <v>38</v>
      </c>
      <c r="K897" s="197">
        <v>0</v>
      </c>
      <c r="L897" s="198">
        <v>38</v>
      </c>
      <c r="M897" s="198">
        <v>0</v>
      </c>
      <c r="N897" s="48" t="s">
        <v>1617</v>
      </c>
      <c r="O897" s="48" t="s">
        <v>2942</v>
      </c>
      <c r="P897" s="48" t="s">
        <v>25</v>
      </c>
      <c r="Q897" s="48" t="s">
        <v>1871</v>
      </c>
      <c r="R897" s="49" t="s">
        <v>2727</v>
      </c>
      <c r="S897" s="48" t="s">
        <v>3193</v>
      </c>
      <c r="T897" s="199"/>
    </row>
    <row r="898" spans="1:23" x14ac:dyDescent="0.3">
      <c r="A898" s="48">
        <f t="shared" si="36"/>
        <v>13</v>
      </c>
      <c r="B898" s="195">
        <v>46108</v>
      </c>
      <c r="C898" s="48" t="str">
        <f t="shared" si="35"/>
        <v>marzo</v>
      </c>
      <c r="D898" s="48" t="s">
        <v>2135</v>
      </c>
      <c r="E898" s="42" t="s">
        <v>356</v>
      </c>
      <c r="F898" s="196" t="s">
        <v>127</v>
      </c>
      <c r="G898" s="199">
        <v>8.34</v>
      </c>
      <c r="H898" s="48" t="s">
        <v>2017</v>
      </c>
      <c r="I898" s="197">
        <v>20.76</v>
      </c>
      <c r="J898" s="197">
        <v>173.13840000000002</v>
      </c>
      <c r="K898" s="197">
        <v>26.9</v>
      </c>
      <c r="L898" s="198">
        <v>200</v>
      </c>
      <c r="M898" s="198">
        <v>0</v>
      </c>
      <c r="N898" s="48" t="s">
        <v>1617</v>
      </c>
      <c r="O898" s="48" t="s">
        <v>118</v>
      </c>
      <c r="P898" s="48" t="s">
        <v>25</v>
      </c>
      <c r="Q898" s="48" t="s">
        <v>488</v>
      </c>
      <c r="R898" s="48" t="s">
        <v>2735</v>
      </c>
      <c r="S898" s="48" t="s">
        <v>3194</v>
      </c>
      <c r="T898" s="199" t="s">
        <v>2025</v>
      </c>
      <c r="U898" s="50" t="s">
        <v>3195</v>
      </c>
    </row>
    <row r="899" spans="1:23" x14ac:dyDescent="0.3">
      <c r="A899" s="48">
        <f t="shared" si="36"/>
        <v>13</v>
      </c>
      <c r="B899" s="195">
        <v>46108</v>
      </c>
      <c r="C899" s="48" t="str">
        <f t="shared" si="35"/>
        <v>marzo</v>
      </c>
      <c r="D899" s="48" t="s">
        <v>2135</v>
      </c>
      <c r="E899" s="42" t="s">
        <v>356</v>
      </c>
      <c r="F899" s="196" t="s">
        <v>127</v>
      </c>
      <c r="G899" s="199">
        <v>10.42</v>
      </c>
      <c r="H899" s="48" t="s">
        <v>2017</v>
      </c>
      <c r="I899" s="197">
        <v>22.337679528757693</v>
      </c>
      <c r="J899" s="197">
        <v>232.75862068965517</v>
      </c>
      <c r="K899" s="197">
        <v>37.241379310344826</v>
      </c>
      <c r="L899" s="198">
        <v>270</v>
      </c>
      <c r="M899" s="198">
        <v>0</v>
      </c>
      <c r="N899" s="48" t="s">
        <v>1617</v>
      </c>
      <c r="O899" s="48" t="s">
        <v>64</v>
      </c>
      <c r="P899" s="48" t="s">
        <v>25</v>
      </c>
      <c r="Q899" s="48" t="s">
        <v>488</v>
      </c>
      <c r="R899" s="48" t="s">
        <v>2735</v>
      </c>
      <c r="S899" s="48" t="s">
        <v>3196</v>
      </c>
      <c r="T899" s="199" t="s">
        <v>2025</v>
      </c>
      <c r="U899" s="50" t="s">
        <v>3195</v>
      </c>
    </row>
    <row r="900" spans="1:23" x14ac:dyDescent="0.3">
      <c r="A900" s="48">
        <f t="shared" si="36"/>
        <v>13</v>
      </c>
      <c r="B900" s="195">
        <v>46109</v>
      </c>
      <c r="C900" s="48" t="str">
        <f t="shared" ref="C900:C980" si="37">TEXT(B900,"MMMM")</f>
        <v>marzo</v>
      </c>
      <c r="D900" s="48" t="s">
        <v>2135</v>
      </c>
      <c r="E900" s="42" t="s">
        <v>356</v>
      </c>
      <c r="F900" s="196" t="s">
        <v>127</v>
      </c>
      <c r="G900" s="199">
        <v>4.1680000000000001</v>
      </c>
      <c r="H900" s="48" t="s">
        <v>2017</v>
      </c>
      <c r="I900" s="197">
        <v>20.68303660070157</v>
      </c>
      <c r="J900" s="197">
        <v>86.206896551724142</v>
      </c>
      <c r="K900" s="197">
        <v>13.793103448275863</v>
      </c>
      <c r="L900" s="198">
        <v>100</v>
      </c>
      <c r="M900" s="198">
        <v>0</v>
      </c>
      <c r="N900" s="48" t="s">
        <v>1617</v>
      </c>
      <c r="O900" s="48" t="s">
        <v>118</v>
      </c>
      <c r="P900" s="48" t="s">
        <v>25</v>
      </c>
      <c r="Q900" s="48" t="s">
        <v>1871</v>
      </c>
      <c r="R900" s="49" t="s">
        <v>2727</v>
      </c>
      <c r="S900" s="48" t="s">
        <v>3197</v>
      </c>
      <c r="T900" s="199"/>
      <c r="W900" s="50" t="s">
        <v>3198</v>
      </c>
    </row>
    <row r="901" spans="1:23" x14ac:dyDescent="0.3">
      <c r="A901" s="48">
        <f t="shared" si="36"/>
        <v>13</v>
      </c>
      <c r="B901" s="195">
        <v>46109</v>
      </c>
      <c r="C901" s="48" t="str">
        <f t="shared" si="37"/>
        <v>marzo</v>
      </c>
      <c r="D901" s="48" t="s">
        <v>2135</v>
      </c>
      <c r="E901" s="42" t="s">
        <v>356</v>
      </c>
      <c r="F901" s="196" t="s">
        <v>127</v>
      </c>
      <c r="G901" s="199">
        <v>20</v>
      </c>
      <c r="H901" s="48" t="s">
        <v>2017</v>
      </c>
      <c r="I901" s="197">
        <v>19.829999999999998</v>
      </c>
      <c r="J901" s="197">
        <v>396.59999999999997</v>
      </c>
      <c r="K901" s="197">
        <v>63.455999999999996</v>
      </c>
      <c r="L901" s="198">
        <v>460</v>
      </c>
      <c r="M901" s="198">
        <v>0</v>
      </c>
      <c r="N901" s="48" t="s">
        <v>1088</v>
      </c>
      <c r="O901" s="49" t="s">
        <v>2981</v>
      </c>
      <c r="P901" s="48" t="s">
        <v>25</v>
      </c>
      <c r="Q901" s="48" t="s">
        <v>241</v>
      </c>
      <c r="R901" s="49" t="s">
        <v>2727</v>
      </c>
      <c r="S901" s="48" t="s">
        <v>647</v>
      </c>
      <c r="T901" s="199"/>
      <c r="W901" s="50" t="s">
        <v>3199</v>
      </c>
    </row>
    <row r="902" spans="1:23" x14ac:dyDescent="0.3">
      <c r="A902" s="48">
        <f t="shared" si="36"/>
        <v>13</v>
      </c>
      <c r="B902" s="195">
        <v>46109</v>
      </c>
      <c r="C902" s="48" t="str">
        <f t="shared" si="37"/>
        <v>marzo</v>
      </c>
      <c r="D902" s="48" t="s">
        <v>2135</v>
      </c>
      <c r="E902" s="42" t="s">
        <v>2728</v>
      </c>
      <c r="F902" s="196" t="s">
        <v>3192</v>
      </c>
      <c r="G902" s="199">
        <v>2</v>
      </c>
      <c r="H902" s="48" t="s">
        <v>1705</v>
      </c>
      <c r="I902" s="197">
        <v>30</v>
      </c>
      <c r="J902" s="197">
        <v>60</v>
      </c>
      <c r="K902" s="197">
        <v>0</v>
      </c>
      <c r="L902" s="198">
        <v>60</v>
      </c>
      <c r="M902" s="198">
        <v>0</v>
      </c>
      <c r="N902" s="48" t="s">
        <v>1307</v>
      </c>
      <c r="O902" s="48" t="s">
        <v>150</v>
      </c>
      <c r="P902" s="48" t="s">
        <v>25</v>
      </c>
      <c r="Q902" s="48" t="s">
        <v>241</v>
      </c>
      <c r="R902" s="49" t="s">
        <v>2727</v>
      </c>
      <c r="S902" s="48" t="s">
        <v>3200</v>
      </c>
      <c r="T902" s="199"/>
      <c r="W902" s="50" t="s">
        <v>1759</v>
      </c>
    </row>
    <row r="903" spans="1:23" x14ac:dyDescent="0.3">
      <c r="A903" s="48">
        <f t="shared" si="36"/>
        <v>13</v>
      </c>
      <c r="B903" s="195">
        <v>46109</v>
      </c>
      <c r="C903" s="48" t="str">
        <f t="shared" si="37"/>
        <v>marzo</v>
      </c>
      <c r="D903" s="48" t="s">
        <v>2135</v>
      </c>
      <c r="E903" s="42" t="s">
        <v>193</v>
      </c>
      <c r="F903" s="196" t="s">
        <v>3201</v>
      </c>
      <c r="G903" s="199">
        <v>1</v>
      </c>
      <c r="H903" s="48" t="s">
        <v>2138</v>
      </c>
      <c r="I903" s="197">
        <v>9000</v>
      </c>
      <c r="J903" s="197">
        <v>9000</v>
      </c>
      <c r="K903" s="197">
        <v>1440</v>
      </c>
      <c r="L903" s="198">
        <v>10440</v>
      </c>
      <c r="M903" s="198">
        <v>0</v>
      </c>
      <c r="N903" s="199" t="s">
        <v>1558</v>
      </c>
      <c r="O903" s="48" t="s">
        <v>571</v>
      </c>
      <c r="P903" s="48" t="s">
        <v>25</v>
      </c>
      <c r="Q903" s="48" t="s">
        <v>241</v>
      </c>
      <c r="R903" s="49" t="s">
        <v>369</v>
      </c>
      <c r="S903" s="48" t="s">
        <v>2601</v>
      </c>
      <c r="T903" s="199"/>
      <c r="W903" s="50" t="s">
        <v>325</v>
      </c>
    </row>
    <row r="904" spans="1:23" x14ac:dyDescent="0.3">
      <c r="A904" s="48">
        <f t="shared" si="36"/>
        <v>13</v>
      </c>
      <c r="B904" s="195">
        <v>46109</v>
      </c>
      <c r="C904" s="48" t="str">
        <f t="shared" si="37"/>
        <v>marzo</v>
      </c>
      <c r="D904" s="48" t="s">
        <v>2135</v>
      </c>
      <c r="E904" s="42" t="s">
        <v>2728</v>
      </c>
      <c r="F904" s="196" t="s">
        <v>496</v>
      </c>
      <c r="G904" s="199">
        <v>1</v>
      </c>
      <c r="H904" s="48" t="s">
        <v>2138</v>
      </c>
      <c r="I904" s="197">
        <v>1690</v>
      </c>
      <c r="J904" s="197">
        <v>1690</v>
      </c>
      <c r="K904" s="197">
        <v>270.39999999999998</v>
      </c>
      <c r="L904" s="198">
        <v>1960.4</v>
      </c>
      <c r="M904" s="198">
        <v>0</v>
      </c>
      <c r="N904" s="199" t="s">
        <v>1558</v>
      </c>
      <c r="O904" s="48" t="s">
        <v>53</v>
      </c>
      <c r="P904" s="48" t="s">
        <v>25</v>
      </c>
      <c r="Q904" s="48" t="s">
        <v>241</v>
      </c>
      <c r="R904" s="49" t="s">
        <v>369</v>
      </c>
      <c r="S904" s="48" t="s">
        <v>2601</v>
      </c>
      <c r="T904" s="199"/>
      <c r="W904" s="50" t="s">
        <v>325</v>
      </c>
    </row>
    <row r="905" spans="1:23" x14ac:dyDescent="0.3">
      <c r="A905" s="48">
        <f t="shared" si="36"/>
        <v>14</v>
      </c>
      <c r="B905" s="195">
        <v>46111</v>
      </c>
      <c r="C905" s="48" t="str">
        <f t="shared" si="37"/>
        <v>marzo</v>
      </c>
      <c r="D905" s="48" t="s">
        <v>2135</v>
      </c>
      <c r="E905" s="42" t="s">
        <v>356</v>
      </c>
      <c r="F905" s="196" t="s">
        <v>127</v>
      </c>
      <c r="G905" s="199">
        <v>10</v>
      </c>
      <c r="H905" s="48" t="s">
        <v>2017</v>
      </c>
      <c r="I905" s="197">
        <v>19.829999999999998</v>
      </c>
      <c r="J905" s="197">
        <v>198.29999999999998</v>
      </c>
      <c r="K905" s="197">
        <v>31.727999999999998</v>
      </c>
      <c r="L905" s="198">
        <v>230</v>
      </c>
      <c r="M905" s="198">
        <v>0</v>
      </c>
      <c r="N905" s="199" t="s">
        <v>1617</v>
      </c>
      <c r="O905" s="48" t="s">
        <v>64</v>
      </c>
      <c r="P905" s="48" t="s">
        <v>25</v>
      </c>
      <c r="Q905" s="48" t="s">
        <v>488</v>
      </c>
      <c r="R905" s="48" t="s">
        <v>2726</v>
      </c>
      <c r="S905" s="48" t="s">
        <v>647</v>
      </c>
      <c r="T905" s="199" t="s">
        <v>2025</v>
      </c>
    </row>
    <row r="906" spans="1:23" x14ac:dyDescent="0.3">
      <c r="A906" s="48">
        <f t="shared" si="36"/>
        <v>14</v>
      </c>
      <c r="B906" s="195">
        <v>46111</v>
      </c>
      <c r="C906" s="48" t="str">
        <f t="shared" si="37"/>
        <v>marzo</v>
      </c>
      <c r="D906" s="48" t="s">
        <v>2135</v>
      </c>
      <c r="E906" s="42" t="s">
        <v>356</v>
      </c>
      <c r="F906" s="196" t="s">
        <v>127</v>
      </c>
      <c r="G906" s="199">
        <v>10</v>
      </c>
      <c r="H906" s="48" t="s">
        <v>2017</v>
      </c>
      <c r="I906" s="197">
        <v>19.829999999999998</v>
      </c>
      <c r="J906" s="197">
        <v>198.29999999999998</v>
      </c>
      <c r="K906" s="197">
        <v>31.727999999999998</v>
      </c>
      <c r="L906" s="198">
        <v>230</v>
      </c>
      <c r="M906" s="198">
        <v>0</v>
      </c>
      <c r="N906" s="199" t="s">
        <v>1617</v>
      </c>
      <c r="O906" s="48" t="s">
        <v>118</v>
      </c>
      <c r="P906" s="48" t="s">
        <v>25</v>
      </c>
      <c r="Q906" s="48" t="s">
        <v>1869</v>
      </c>
      <c r="R906" s="48" t="s">
        <v>2801</v>
      </c>
      <c r="S906" s="48" t="s">
        <v>647</v>
      </c>
      <c r="T906" s="199" t="s">
        <v>2025</v>
      </c>
    </row>
    <row r="907" spans="1:23" x14ac:dyDescent="0.3">
      <c r="A907" s="48">
        <f t="shared" si="36"/>
        <v>14</v>
      </c>
      <c r="B907" s="195">
        <v>46111</v>
      </c>
      <c r="C907" s="48" t="str">
        <f t="shared" si="37"/>
        <v>marzo</v>
      </c>
      <c r="D907" s="48" t="s">
        <v>2135</v>
      </c>
      <c r="E907" s="42" t="s">
        <v>356</v>
      </c>
      <c r="F907" s="196" t="s">
        <v>737</v>
      </c>
      <c r="G907" s="199">
        <v>1</v>
      </c>
      <c r="H907" s="48" t="s">
        <v>2138</v>
      </c>
      <c r="I907" s="197">
        <v>101</v>
      </c>
      <c r="J907" s="197">
        <v>101</v>
      </c>
      <c r="K907" s="197">
        <v>0</v>
      </c>
      <c r="L907" s="198">
        <v>101</v>
      </c>
      <c r="M907" s="198">
        <v>0</v>
      </c>
      <c r="N907" s="199" t="s">
        <v>1617</v>
      </c>
      <c r="O907" s="48" t="s">
        <v>118</v>
      </c>
      <c r="P907" s="48" t="s">
        <v>25</v>
      </c>
      <c r="Q907" s="48" t="s">
        <v>1844</v>
      </c>
      <c r="R907" s="48" t="s">
        <v>2735</v>
      </c>
      <c r="S907" s="48" t="s">
        <v>737</v>
      </c>
      <c r="T907" s="199"/>
      <c r="U907" s="49" t="s">
        <v>3108</v>
      </c>
    </row>
    <row r="908" spans="1:23" x14ac:dyDescent="0.3">
      <c r="A908" s="48">
        <f t="shared" si="36"/>
        <v>14</v>
      </c>
      <c r="B908" s="195">
        <v>46111</v>
      </c>
      <c r="C908" s="48" t="str">
        <f t="shared" si="37"/>
        <v>marzo</v>
      </c>
      <c r="D908" s="48" t="s">
        <v>2135</v>
      </c>
      <c r="E908" s="42" t="s">
        <v>2728</v>
      </c>
      <c r="F908" s="196" t="s">
        <v>3202</v>
      </c>
      <c r="G908" s="199">
        <v>1</v>
      </c>
      <c r="H908" s="48" t="s">
        <v>1705</v>
      </c>
      <c r="I908" s="197">
        <v>900</v>
      </c>
      <c r="J908" s="197">
        <v>900</v>
      </c>
      <c r="K908" s="197">
        <v>0</v>
      </c>
      <c r="L908" s="198">
        <v>900</v>
      </c>
      <c r="M908" s="198">
        <v>0</v>
      </c>
      <c r="N908" s="199" t="s">
        <v>1958</v>
      </c>
      <c r="O908" s="49" t="s">
        <v>51</v>
      </c>
      <c r="P908" s="48" t="s">
        <v>25</v>
      </c>
      <c r="Q908" s="48" t="s">
        <v>1824</v>
      </c>
      <c r="R908" s="48" t="s">
        <v>2726</v>
      </c>
      <c r="T908" s="199"/>
    </row>
    <row r="909" spans="1:23" x14ac:dyDescent="0.3">
      <c r="A909" s="48">
        <f t="shared" si="36"/>
        <v>14</v>
      </c>
      <c r="B909" s="195">
        <v>46111</v>
      </c>
      <c r="C909" s="48" t="str">
        <f t="shared" si="37"/>
        <v>marzo</v>
      </c>
      <c r="D909" s="48" t="s">
        <v>2175</v>
      </c>
      <c r="E909" s="42" t="s">
        <v>2728</v>
      </c>
      <c r="F909" s="196" t="s">
        <v>3202</v>
      </c>
      <c r="G909" s="199">
        <v>1</v>
      </c>
      <c r="H909" s="48" t="s">
        <v>1705</v>
      </c>
      <c r="I909" s="197">
        <v>900</v>
      </c>
      <c r="J909" s="197">
        <v>900</v>
      </c>
      <c r="K909" s="197">
        <v>0</v>
      </c>
      <c r="L909" s="198">
        <v>900</v>
      </c>
      <c r="M909" s="198">
        <v>0</v>
      </c>
      <c r="N909" s="199" t="s">
        <v>1617</v>
      </c>
      <c r="O909" s="48" t="s">
        <v>2942</v>
      </c>
      <c r="P909" s="48" t="s">
        <v>25</v>
      </c>
      <c r="Q909" s="48" t="s">
        <v>1824</v>
      </c>
      <c r="R909" s="48" t="s">
        <v>2726</v>
      </c>
      <c r="S909" s="199"/>
      <c r="T909" s="199"/>
    </row>
    <row r="910" spans="1:23" x14ac:dyDescent="0.3">
      <c r="A910" s="48">
        <f t="shared" si="36"/>
        <v>14</v>
      </c>
      <c r="B910" s="195">
        <v>46111</v>
      </c>
      <c r="C910" s="48" t="str">
        <f t="shared" si="37"/>
        <v>marzo</v>
      </c>
      <c r="D910" s="48" t="s">
        <v>2175</v>
      </c>
      <c r="E910" s="42" t="s">
        <v>2728</v>
      </c>
      <c r="F910" s="196" t="s">
        <v>3202</v>
      </c>
      <c r="G910" s="199">
        <v>1</v>
      </c>
      <c r="H910" s="48" t="s">
        <v>1705</v>
      </c>
      <c r="I910" s="197">
        <v>900</v>
      </c>
      <c r="J910" s="197">
        <v>900</v>
      </c>
      <c r="K910" s="197">
        <v>0</v>
      </c>
      <c r="L910" s="198">
        <v>900</v>
      </c>
      <c r="M910" s="198">
        <v>0</v>
      </c>
      <c r="N910" s="48" t="s">
        <v>1617</v>
      </c>
      <c r="O910" s="48" t="s">
        <v>118</v>
      </c>
      <c r="P910" s="48" t="s">
        <v>25</v>
      </c>
      <c r="Q910" s="48" t="s">
        <v>1824</v>
      </c>
      <c r="R910" s="48" t="s">
        <v>2726</v>
      </c>
      <c r="S910" s="199"/>
      <c r="T910" s="199"/>
    </row>
    <row r="911" spans="1:23" x14ac:dyDescent="0.3">
      <c r="A911" s="48">
        <f t="shared" si="36"/>
        <v>14</v>
      </c>
      <c r="B911" s="195">
        <v>46111</v>
      </c>
      <c r="C911" s="48" t="str">
        <f t="shared" si="37"/>
        <v>marzo</v>
      </c>
      <c r="D911" s="48" t="s">
        <v>2175</v>
      </c>
      <c r="E911" s="42" t="s">
        <v>1830</v>
      </c>
      <c r="F911" s="196" t="s">
        <v>3203</v>
      </c>
      <c r="G911" s="199">
        <v>2</v>
      </c>
      <c r="H911" s="48" t="s">
        <v>1705</v>
      </c>
      <c r="I911" s="197">
        <v>47.41</v>
      </c>
      <c r="J911" s="197">
        <v>94.82</v>
      </c>
      <c r="K911" s="197">
        <v>15.171199999999999</v>
      </c>
      <c r="L911" s="198">
        <v>109.99119999999999</v>
      </c>
      <c r="M911" s="198">
        <v>0</v>
      </c>
      <c r="N911" s="48" t="s">
        <v>1617</v>
      </c>
      <c r="O911" s="48" t="s">
        <v>118</v>
      </c>
      <c r="P911" s="48" t="s">
        <v>25</v>
      </c>
      <c r="Q911" s="48" t="s">
        <v>1824</v>
      </c>
      <c r="R911" s="48" t="s">
        <v>2726</v>
      </c>
      <c r="S911" s="199" t="s">
        <v>3204</v>
      </c>
      <c r="T911" s="199"/>
      <c r="W911" s="50" t="s">
        <v>3205</v>
      </c>
    </row>
    <row r="912" spans="1:23" x14ac:dyDescent="0.3">
      <c r="A912" s="48">
        <f t="shared" si="36"/>
        <v>14</v>
      </c>
      <c r="B912" s="195">
        <v>46111</v>
      </c>
      <c r="C912" s="48" t="str">
        <f t="shared" si="37"/>
        <v>marzo</v>
      </c>
      <c r="D912" s="48" t="s">
        <v>2175</v>
      </c>
      <c r="E912" s="42" t="s">
        <v>1830</v>
      </c>
      <c r="F912" s="47" t="s">
        <v>3206</v>
      </c>
      <c r="G912" s="199">
        <v>5</v>
      </c>
      <c r="H912" s="48" t="s">
        <v>2016</v>
      </c>
      <c r="I912" s="197">
        <v>142.5</v>
      </c>
      <c r="J912" s="197">
        <v>712.5</v>
      </c>
      <c r="K912" s="197">
        <v>114</v>
      </c>
      <c r="L912" s="198">
        <v>826.5</v>
      </c>
      <c r="M912" s="198">
        <v>0</v>
      </c>
      <c r="N912" s="48" t="s">
        <v>1617</v>
      </c>
      <c r="O912" s="48" t="s">
        <v>118</v>
      </c>
      <c r="P912" s="48" t="s">
        <v>25</v>
      </c>
      <c r="Q912" s="48" t="s">
        <v>1824</v>
      </c>
      <c r="R912" s="48" t="s">
        <v>2726</v>
      </c>
      <c r="S912" s="199" t="s">
        <v>3204</v>
      </c>
      <c r="T912" s="199"/>
      <c r="W912" s="50" t="s">
        <v>3205</v>
      </c>
    </row>
    <row r="913" spans="1:23" x14ac:dyDescent="0.3">
      <c r="A913" s="48">
        <f t="shared" si="36"/>
        <v>14</v>
      </c>
      <c r="B913" s="195">
        <v>46111</v>
      </c>
      <c r="C913" s="48" t="str">
        <f t="shared" si="37"/>
        <v>marzo</v>
      </c>
      <c r="D913" s="48" t="s">
        <v>2175</v>
      </c>
      <c r="E913" s="42" t="s">
        <v>1830</v>
      </c>
      <c r="F913" s="47" t="s">
        <v>2464</v>
      </c>
      <c r="G913" s="199">
        <v>10</v>
      </c>
      <c r="H913" s="48" t="s">
        <v>2016</v>
      </c>
      <c r="I913" s="197">
        <v>82</v>
      </c>
      <c r="J913" s="197">
        <v>820</v>
      </c>
      <c r="K913" s="197">
        <v>131.19999999999999</v>
      </c>
      <c r="L913" s="198">
        <v>951.2</v>
      </c>
      <c r="M913" s="198">
        <v>0</v>
      </c>
      <c r="N913" s="48" t="s">
        <v>1617</v>
      </c>
      <c r="O913" s="48" t="s">
        <v>118</v>
      </c>
      <c r="P913" s="48" t="s">
        <v>25</v>
      </c>
      <c r="Q913" s="48" t="s">
        <v>1824</v>
      </c>
      <c r="R913" s="48" t="s">
        <v>2726</v>
      </c>
      <c r="S913" s="199" t="s">
        <v>3204</v>
      </c>
      <c r="T913" s="199"/>
      <c r="W913" s="50" t="s">
        <v>3205</v>
      </c>
    </row>
    <row r="914" spans="1:23" x14ac:dyDescent="0.3">
      <c r="A914" s="48">
        <f t="shared" si="36"/>
        <v>14</v>
      </c>
      <c r="B914" s="195">
        <v>46111</v>
      </c>
      <c r="C914" s="48" t="str">
        <f t="shared" si="37"/>
        <v>marzo</v>
      </c>
      <c r="D914" s="48" t="s">
        <v>2175</v>
      </c>
      <c r="E914" s="42" t="s">
        <v>1830</v>
      </c>
      <c r="F914" s="196" t="s">
        <v>3207</v>
      </c>
      <c r="G914" s="199">
        <v>15</v>
      </c>
      <c r="H914" s="48" t="s">
        <v>2016</v>
      </c>
      <c r="I914" s="197">
        <v>145.80000000000001</v>
      </c>
      <c r="J914" s="197">
        <v>2187</v>
      </c>
      <c r="K914" s="197">
        <v>349.92</v>
      </c>
      <c r="L914" s="198">
        <v>2536.92</v>
      </c>
      <c r="M914" s="198">
        <v>0</v>
      </c>
      <c r="N914" s="48" t="s">
        <v>1617</v>
      </c>
      <c r="O914" s="48" t="s">
        <v>118</v>
      </c>
      <c r="P914" s="48" t="s">
        <v>25</v>
      </c>
      <c r="Q914" s="48" t="s">
        <v>1824</v>
      </c>
      <c r="R914" s="48" t="s">
        <v>2726</v>
      </c>
      <c r="S914" s="199" t="s">
        <v>3204</v>
      </c>
      <c r="T914" s="199"/>
      <c r="W914" s="50" t="s">
        <v>3205</v>
      </c>
    </row>
    <row r="915" spans="1:23" x14ac:dyDescent="0.3">
      <c r="A915" s="48">
        <f t="shared" si="36"/>
        <v>14</v>
      </c>
      <c r="B915" s="195">
        <v>46111</v>
      </c>
      <c r="C915" s="48" t="str">
        <f t="shared" si="37"/>
        <v>marzo</v>
      </c>
      <c r="D915" s="48" t="s">
        <v>2135</v>
      </c>
      <c r="E915" s="42" t="s">
        <v>2728</v>
      </c>
      <c r="F915" s="196" t="s">
        <v>3208</v>
      </c>
      <c r="G915" s="199">
        <v>1</v>
      </c>
      <c r="H915" s="48" t="s">
        <v>1705</v>
      </c>
      <c r="I915" s="197">
        <v>2384.48</v>
      </c>
      <c r="J915" s="197">
        <v>2384.48</v>
      </c>
      <c r="K915" s="197">
        <v>381.52</v>
      </c>
      <c r="L915" s="198">
        <v>2766</v>
      </c>
      <c r="M915" s="198">
        <v>0</v>
      </c>
      <c r="N915" s="48" t="s">
        <v>1617</v>
      </c>
      <c r="O915" s="48" t="s">
        <v>53</v>
      </c>
      <c r="P915" s="48" t="s">
        <v>25</v>
      </c>
      <c r="Q915" s="48" t="s">
        <v>241</v>
      </c>
      <c r="R915" s="48" t="s">
        <v>2801</v>
      </c>
      <c r="S915" s="199" t="s">
        <v>574</v>
      </c>
      <c r="W915" s="50" t="s">
        <v>3209</v>
      </c>
    </row>
    <row r="916" spans="1:23" x14ac:dyDescent="0.3">
      <c r="A916" s="48">
        <f t="shared" si="36"/>
        <v>14</v>
      </c>
      <c r="B916" s="195">
        <v>46111</v>
      </c>
      <c r="C916" s="48" t="str">
        <f t="shared" si="37"/>
        <v>marzo</v>
      </c>
      <c r="D916" s="48" t="s">
        <v>2135</v>
      </c>
      <c r="E916" s="42" t="s">
        <v>2728</v>
      </c>
      <c r="F916" s="196" t="s">
        <v>3210</v>
      </c>
      <c r="G916" s="199">
        <v>3</v>
      </c>
      <c r="H916" s="48" t="s">
        <v>1705</v>
      </c>
      <c r="I916" s="197">
        <v>74.14</v>
      </c>
      <c r="J916" s="197">
        <v>222.42000000000002</v>
      </c>
      <c r="K916" s="197">
        <v>35.58</v>
      </c>
      <c r="L916" s="198">
        <v>258</v>
      </c>
      <c r="M916" s="198">
        <v>0</v>
      </c>
      <c r="N916" s="48" t="s">
        <v>1617</v>
      </c>
      <c r="O916" s="48" t="s">
        <v>53</v>
      </c>
      <c r="P916" s="48" t="s">
        <v>25</v>
      </c>
      <c r="Q916" s="48" t="s">
        <v>241</v>
      </c>
      <c r="R916" s="48" t="s">
        <v>2801</v>
      </c>
      <c r="S916" s="199" t="s">
        <v>574</v>
      </c>
      <c r="W916" s="50" t="s">
        <v>3209</v>
      </c>
    </row>
    <row r="917" spans="1:23" x14ac:dyDescent="0.3">
      <c r="A917" s="48">
        <f t="shared" si="36"/>
        <v>14</v>
      </c>
      <c r="B917" s="195">
        <v>46111</v>
      </c>
      <c r="C917" s="48" t="str">
        <f t="shared" si="37"/>
        <v>marzo</v>
      </c>
      <c r="D917" s="48" t="s">
        <v>2135</v>
      </c>
      <c r="E917" s="42" t="s">
        <v>2728</v>
      </c>
      <c r="F917" s="196" t="s">
        <v>492</v>
      </c>
      <c r="G917" s="199">
        <v>1</v>
      </c>
      <c r="H917" s="48" t="s">
        <v>1705</v>
      </c>
      <c r="I917" s="197">
        <v>706.9</v>
      </c>
      <c r="J917" s="197">
        <v>706.9</v>
      </c>
      <c r="K917" s="197">
        <v>113.1</v>
      </c>
      <c r="L917" s="198">
        <v>820</v>
      </c>
      <c r="M917" s="198">
        <v>0</v>
      </c>
      <c r="N917" s="48" t="s">
        <v>1617</v>
      </c>
      <c r="O917" s="48" t="s">
        <v>53</v>
      </c>
      <c r="P917" s="48" t="s">
        <v>25</v>
      </c>
      <c r="Q917" s="48" t="s">
        <v>241</v>
      </c>
      <c r="R917" s="48" t="s">
        <v>2801</v>
      </c>
      <c r="S917" s="199" t="s">
        <v>574</v>
      </c>
      <c r="W917" s="50" t="s">
        <v>3211</v>
      </c>
    </row>
    <row r="918" spans="1:23" x14ac:dyDescent="0.3">
      <c r="A918" s="48">
        <f t="shared" si="36"/>
        <v>14</v>
      </c>
      <c r="B918" s="195">
        <v>46112</v>
      </c>
      <c r="C918" s="48" t="str">
        <f t="shared" si="37"/>
        <v>marzo</v>
      </c>
      <c r="D918" s="48" t="s">
        <v>2135</v>
      </c>
      <c r="E918" s="42" t="s">
        <v>2728</v>
      </c>
      <c r="F918" s="196" t="s">
        <v>199</v>
      </c>
      <c r="G918" s="199">
        <v>2</v>
      </c>
      <c r="H918" s="48" t="s">
        <v>2138</v>
      </c>
      <c r="I918" s="197">
        <v>100</v>
      </c>
      <c r="J918" s="197">
        <v>200</v>
      </c>
      <c r="K918" s="197">
        <v>0</v>
      </c>
      <c r="L918" s="198">
        <v>200</v>
      </c>
      <c r="M918" s="198">
        <v>0</v>
      </c>
      <c r="N918" s="48" t="s">
        <v>1120</v>
      </c>
      <c r="O918" s="48" t="s">
        <v>1273</v>
      </c>
      <c r="P918" s="48" t="s">
        <v>25</v>
      </c>
      <c r="Q918" s="48" t="s">
        <v>241</v>
      </c>
      <c r="R918" s="49" t="s">
        <v>364</v>
      </c>
      <c r="S918" s="199" t="s">
        <v>2083</v>
      </c>
    </row>
    <row r="919" spans="1:23" x14ac:dyDescent="0.3">
      <c r="A919" s="48">
        <f t="shared" si="36"/>
        <v>14</v>
      </c>
      <c r="B919" s="195">
        <v>46112</v>
      </c>
      <c r="C919" s="48" t="str">
        <f t="shared" si="37"/>
        <v>marzo</v>
      </c>
      <c r="D919" s="48" t="s">
        <v>2135</v>
      </c>
      <c r="E919" s="42" t="s">
        <v>2728</v>
      </c>
      <c r="F919" s="196" t="s">
        <v>3212</v>
      </c>
      <c r="G919" s="199">
        <v>1</v>
      </c>
      <c r="H919" s="48" t="s">
        <v>2138</v>
      </c>
      <c r="I919" s="197">
        <v>16800</v>
      </c>
      <c r="J919" s="197">
        <v>16800</v>
      </c>
      <c r="K919" s="197">
        <v>2688</v>
      </c>
      <c r="L919" s="198">
        <v>19488</v>
      </c>
      <c r="M919" s="198">
        <v>0</v>
      </c>
      <c r="N919" s="48" t="s">
        <v>1617</v>
      </c>
      <c r="O919" s="48" t="s">
        <v>152</v>
      </c>
      <c r="P919" s="48" t="s">
        <v>25</v>
      </c>
      <c r="Q919" s="48" t="s">
        <v>241</v>
      </c>
      <c r="R919" s="49" t="s">
        <v>369</v>
      </c>
      <c r="S919" s="199" t="s">
        <v>2601</v>
      </c>
    </row>
    <row r="920" spans="1:23" x14ac:dyDescent="0.3">
      <c r="A920" s="48">
        <f t="shared" si="36"/>
        <v>14</v>
      </c>
      <c r="B920" s="195">
        <v>46112</v>
      </c>
      <c r="C920" s="48" t="str">
        <f t="shared" si="37"/>
        <v>marzo</v>
      </c>
      <c r="D920" s="48" t="s">
        <v>2135</v>
      </c>
      <c r="E920" s="42" t="s">
        <v>2728</v>
      </c>
      <c r="F920" s="196" t="s">
        <v>3213</v>
      </c>
      <c r="G920" s="199">
        <v>1</v>
      </c>
      <c r="H920" s="48" t="s">
        <v>2138</v>
      </c>
      <c r="I920" s="197">
        <v>8500</v>
      </c>
      <c r="J920" s="197">
        <v>8500</v>
      </c>
      <c r="K920" s="197">
        <v>1360</v>
      </c>
      <c r="L920" s="198">
        <v>9860</v>
      </c>
      <c r="M920" s="198">
        <v>0</v>
      </c>
      <c r="N920" s="48" t="s">
        <v>1617</v>
      </c>
      <c r="O920" s="48" t="s">
        <v>195</v>
      </c>
      <c r="P920" s="48" t="s">
        <v>25</v>
      </c>
      <c r="Q920" s="48" t="s">
        <v>241</v>
      </c>
      <c r="R920" s="49" t="s">
        <v>369</v>
      </c>
      <c r="S920" s="199" t="s">
        <v>2601</v>
      </c>
      <c r="W920" s="50" t="s">
        <v>3214</v>
      </c>
    </row>
    <row r="921" spans="1:23" x14ac:dyDescent="0.3">
      <c r="A921" s="48">
        <f t="shared" si="36"/>
        <v>14</v>
      </c>
      <c r="B921" s="195">
        <v>46112</v>
      </c>
      <c r="C921" s="48" t="str">
        <f t="shared" si="37"/>
        <v>marzo</v>
      </c>
      <c r="D921" s="48" t="s">
        <v>2135</v>
      </c>
      <c r="E921" s="42" t="s">
        <v>2728</v>
      </c>
      <c r="F921" s="196" t="s">
        <v>3215</v>
      </c>
      <c r="G921" s="199">
        <v>1</v>
      </c>
      <c r="H921" s="48" t="s">
        <v>2138</v>
      </c>
      <c r="I921" s="197">
        <v>2050</v>
      </c>
      <c r="J921" s="197">
        <v>2050</v>
      </c>
      <c r="K921" s="197">
        <v>328</v>
      </c>
      <c r="L921" s="198">
        <v>2378</v>
      </c>
      <c r="M921" s="198">
        <v>0</v>
      </c>
      <c r="N921" s="48" t="s">
        <v>1617</v>
      </c>
      <c r="O921" s="48" t="s">
        <v>150</v>
      </c>
      <c r="P921" s="48" t="s">
        <v>25</v>
      </c>
      <c r="Q921" s="48" t="s">
        <v>241</v>
      </c>
      <c r="R921" s="49" t="s">
        <v>369</v>
      </c>
      <c r="S921" s="199" t="s">
        <v>2601</v>
      </c>
      <c r="W921" s="50" t="s">
        <v>3216</v>
      </c>
    </row>
    <row r="922" spans="1:23" x14ac:dyDescent="0.3">
      <c r="A922" s="48">
        <f t="shared" si="36"/>
        <v>14</v>
      </c>
      <c r="B922" s="195">
        <v>46112</v>
      </c>
      <c r="C922" s="48" t="str">
        <f t="shared" si="37"/>
        <v>marzo</v>
      </c>
      <c r="D922" s="48" t="s">
        <v>2135</v>
      </c>
      <c r="E922" s="42" t="s">
        <v>2728</v>
      </c>
      <c r="F922" s="196" t="s">
        <v>3217</v>
      </c>
      <c r="G922" s="199">
        <v>1</v>
      </c>
      <c r="H922" s="48" t="s">
        <v>2138</v>
      </c>
      <c r="I922" s="197">
        <v>500</v>
      </c>
      <c r="J922" s="197">
        <v>500</v>
      </c>
      <c r="K922" s="197">
        <v>80</v>
      </c>
      <c r="L922" s="198">
        <v>580</v>
      </c>
      <c r="M922" s="198">
        <v>0</v>
      </c>
      <c r="N922" s="48" t="s">
        <v>1617</v>
      </c>
      <c r="O922" s="48" t="s">
        <v>1860</v>
      </c>
      <c r="P922" s="48" t="s">
        <v>25</v>
      </c>
      <c r="Q922" s="48" t="s">
        <v>241</v>
      </c>
      <c r="R922" s="49" t="s">
        <v>369</v>
      </c>
      <c r="S922" s="199" t="s">
        <v>2601</v>
      </c>
    </row>
    <row r="923" spans="1:23" x14ac:dyDescent="0.3">
      <c r="A923" s="48">
        <f t="shared" si="36"/>
        <v>14</v>
      </c>
      <c r="B923" s="195">
        <v>46112</v>
      </c>
      <c r="C923" s="48" t="str">
        <f t="shared" si="37"/>
        <v>marzo</v>
      </c>
      <c r="D923" s="48" t="s">
        <v>2135</v>
      </c>
      <c r="E923" s="42" t="s">
        <v>356</v>
      </c>
      <c r="F923" s="196" t="s">
        <v>127</v>
      </c>
      <c r="G923" s="199">
        <v>10</v>
      </c>
      <c r="H923" s="48" t="s">
        <v>2017</v>
      </c>
      <c r="I923" s="197">
        <v>20.68</v>
      </c>
      <c r="J923" s="197">
        <v>206.8</v>
      </c>
      <c r="K923" s="197">
        <v>33.088000000000001</v>
      </c>
      <c r="L923" s="198">
        <v>239.9</v>
      </c>
      <c r="M923" s="198">
        <v>0</v>
      </c>
      <c r="N923" s="48" t="s">
        <v>1617</v>
      </c>
      <c r="O923" s="48" t="s">
        <v>150</v>
      </c>
      <c r="P923" s="48" t="s">
        <v>25</v>
      </c>
      <c r="Q923" s="48" t="s">
        <v>819</v>
      </c>
      <c r="R923" s="48" t="s">
        <v>2726</v>
      </c>
      <c r="S923" s="48" t="s">
        <v>593</v>
      </c>
      <c r="T923" s="199"/>
      <c r="W923" s="50" t="s">
        <v>3218</v>
      </c>
    </row>
    <row r="924" spans="1:23" x14ac:dyDescent="0.3">
      <c r="A924" s="48">
        <f t="shared" si="36"/>
        <v>14</v>
      </c>
      <c r="B924" s="195">
        <v>46113</v>
      </c>
      <c r="C924" s="48" t="str">
        <f t="shared" si="37"/>
        <v>abril</v>
      </c>
      <c r="D924" s="48" t="s">
        <v>2135</v>
      </c>
      <c r="E924" s="42" t="s">
        <v>2728</v>
      </c>
      <c r="F924" s="196" t="s">
        <v>3210</v>
      </c>
      <c r="G924" s="199">
        <v>3</v>
      </c>
      <c r="H924" s="48" t="s">
        <v>1705</v>
      </c>
      <c r="I924" s="197">
        <v>60.34</v>
      </c>
      <c r="J924" s="197">
        <v>181.03</v>
      </c>
      <c r="K924" s="197">
        <v>28.97</v>
      </c>
      <c r="L924" s="198">
        <v>210</v>
      </c>
      <c r="M924" s="198">
        <v>0</v>
      </c>
      <c r="N924" s="48" t="s">
        <v>1956</v>
      </c>
      <c r="O924" s="48" t="s">
        <v>257</v>
      </c>
      <c r="P924" s="48" t="s">
        <v>25</v>
      </c>
      <c r="Q924" s="48" t="s">
        <v>241</v>
      </c>
      <c r="R924" s="48" t="s">
        <v>2726</v>
      </c>
      <c r="S924" s="199" t="s">
        <v>574</v>
      </c>
      <c r="T924" s="199"/>
      <c r="W924" s="50" t="s">
        <v>3219</v>
      </c>
    </row>
    <row r="925" spans="1:23" x14ac:dyDescent="0.3">
      <c r="A925" s="48">
        <f t="shared" si="36"/>
        <v>14</v>
      </c>
      <c r="B925" s="195">
        <v>46113</v>
      </c>
      <c r="C925" s="48" t="str">
        <f t="shared" si="37"/>
        <v>abril</v>
      </c>
      <c r="D925" s="48" t="s">
        <v>2135</v>
      </c>
      <c r="E925" s="42" t="s">
        <v>2728</v>
      </c>
      <c r="F925" s="196" t="s">
        <v>1840</v>
      </c>
      <c r="G925" s="199">
        <v>2</v>
      </c>
      <c r="H925" s="48" t="s">
        <v>1705</v>
      </c>
      <c r="I925" s="197">
        <v>281</v>
      </c>
      <c r="J925" s="197">
        <v>562</v>
      </c>
      <c r="K925" s="197">
        <v>89.92</v>
      </c>
      <c r="L925" s="198">
        <v>691.91200000000003</v>
      </c>
      <c r="M925" s="198">
        <v>0</v>
      </c>
      <c r="N925" s="48" t="s">
        <v>1956</v>
      </c>
      <c r="O925" s="48" t="s">
        <v>257</v>
      </c>
      <c r="P925" s="48" t="s">
        <v>25</v>
      </c>
      <c r="Q925" s="48" t="s">
        <v>241</v>
      </c>
      <c r="R925" s="48" t="s">
        <v>2726</v>
      </c>
      <c r="S925" s="199" t="s">
        <v>574</v>
      </c>
      <c r="T925" s="199"/>
    </row>
    <row r="926" spans="1:23" x14ac:dyDescent="0.3">
      <c r="A926" s="48">
        <f t="shared" si="36"/>
        <v>14</v>
      </c>
      <c r="B926" s="195">
        <v>46113</v>
      </c>
      <c r="C926" s="48" t="str">
        <f t="shared" si="37"/>
        <v>abril</v>
      </c>
      <c r="D926" s="48" t="s">
        <v>2135</v>
      </c>
      <c r="E926" s="42" t="s">
        <v>356</v>
      </c>
      <c r="F926" s="196" t="s">
        <v>127</v>
      </c>
      <c r="G926" s="199">
        <v>10</v>
      </c>
      <c r="H926" s="48" t="s">
        <v>2017</v>
      </c>
      <c r="I926" s="197">
        <v>19.908999999999999</v>
      </c>
      <c r="J926" s="197">
        <v>199.09</v>
      </c>
      <c r="K926" s="197">
        <v>30.91</v>
      </c>
      <c r="L926" s="198">
        <v>230</v>
      </c>
      <c r="M926" s="198">
        <v>0</v>
      </c>
      <c r="N926" s="48" t="s">
        <v>901</v>
      </c>
      <c r="O926" s="48" t="s">
        <v>101</v>
      </c>
      <c r="P926" s="48" t="s">
        <v>25</v>
      </c>
      <c r="Q926" s="48" t="s">
        <v>1844</v>
      </c>
      <c r="R926" s="48" t="s">
        <v>2801</v>
      </c>
      <c r="S926" s="48" t="s">
        <v>647</v>
      </c>
      <c r="T926" s="199"/>
      <c r="W926" s="50" t="s">
        <v>3220</v>
      </c>
    </row>
    <row r="927" spans="1:23" x14ac:dyDescent="0.3">
      <c r="A927" s="48">
        <f t="shared" si="36"/>
        <v>14</v>
      </c>
      <c r="B927" s="195">
        <v>46113</v>
      </c>
      <c r="C927" s="48" t="str">
        <f t="shared" si="37"/>
        <v>abril</v>
      </c>
      <c r="D927" s="48" t="s">
        <v>2135</v>
      </c>
      <c r="E927" s="42" t="s">
        <v>2728</v>
      </c>
      <c r="F927" s="196" t="s">
        <v>88</v>
      </c>
      <c r="G927" s="199">
        <v>1</v>
      </c>
      <c r="H927" s="48" t="s">
        <v>1705</v>
      </c>
      <c r="I927" s="197">
        <v>582.76</v>
      </c>
      <c r="J927" s="197">
        <v>582.76</v>
      </c>
      <c r="K927" s="197">
        <v>93.24</v>
      </c>
      <c r="L927" s="198">
        <v>676</v>
      </c>
      <c r="M927" s="198">
        <v>0</v>
      </c>
      <c r="N927" s="48" t="s">
        <v>1003</v>
      </c>
      <c r="O927" s="48" t="s">
        <v>1409</v>
      </c>
      <c r="P927" s="48" t="s">
        <v>25</v>
      </c>
      <c r="Q927" s="48" t="s">
        <v>241</v>
      </c>
      <c r="R927" s="48" t="s">
        <v>2726</v>
      </c>
      <c r="S927" s="48" t="s">
        <v>574</v>
      </c>
      <c r="T927" s="199"/>
      <c r="W927" s="50" t="s">
        <v>3221</v>
      </c>
    </row>
    <row r="928" spans="1:23" x14ac:dyDescent="0.3">
      <c r="A928" s="48">
        <f t="shared" si="36"/>
        <v>14</v>
      </c>
      <c r="B928" s="195">
        <v>46113</v>
      </c>
      <c r="C928" s="48" t="str">
        <f t="shared" si="37"/>
        <v>abril</v>
      </c>
      <c r="D928" s="48" t="s">
        <v>2135</v>
      </c>
      <c r="E928" s="42" t="s">
        <v>2728</v>
      </c>
      <c r="F928" s="196" t="s">
        <v>92</v>
      </c>
      <c r="G928" s="199">
        <v>1</v>
      </c>
      <c r="H928" s="48" t="s">
        <v>1705</v>
      </c>
      <c r="I928" s="197">
        <v>215.52</v>
      </c>
      <c r="J928" s="197">
        <v>215.52</v>
      </c>
      <c r="K928" s="197">
        <v>34.479999999999997</v>
      </c>
      <c r="L928" s="198">
        <v>250</v>
      </c>
      <c r="M928" s="198">
        <v>0</v>
      </c>
      <c r="N928" s="48" t="s">
        <v>1003</v>
      </c>
      <c r="O928" s="48" t="s">
        <v>1409</v>
      </c>
      <c r="P928" s="48" t="s">
        <v>25</v>
      </c>
      <c r="Q928" s="48" t="s">
        <v>241</v>
      </c>
      <c r="R928" s="48" t="s">
        <v>2726</v>
      </c>
      <c r="S928" s="48" t="s">
        <v>574</v>
      </c>
      <c r="T928" s="199"/>
      <c r="W928" s="50" t="s">
        <v>3221</v>
      </c>
    </row>
    <row r="929" spans="1:23" x14ac:dyDescent="0.3">
      <c r="A929" s="48">
        <f t="shared" si="36"/>
        <v>14</v>
      </c>
      <c r="B929" s="195">
        <v>46113</v>
      </c>
      <c r="C929" s="48" t="str">
        <f t="shared" si="37"/>
        <v>abril</v>
      </c>
      <c r="D929" s="48" t="s">
        <v>2135</v>
      </c>
      <c r="E929" s="42" t="s">
        <v>2728</v>
      </c>
      <c r="F929" s="196" t="s">
        <v>95</v>
      </c>
      <c r="G929" s="199">
        <v>1</v>
      </c>
      <c r="H929" s="48" t="s">
        <v>1705</v>
      </c>
      <c r="I929" s="197">
        <v>137.07</v>
      </c>
      <c r="J929" s="197">
        <v>137.07</v>
      </c>
      <c r="K929" s="197">
        <v>21.93</v>
      </c>
      <c r="L929" s="198">
        <v>159</v>
      </c>
      <c r="M929" s="198">
        <v>0</v>
      </c>
      <c r="N929" s="48" t="s">
        <v>1003</v>
      </c>
      <c r="O929" s="48" t="s">
        <v>1409</v>
      </c>
      <c r="P929" s="48" t="s">
        <v>25</v>
      </c>
      <c r="Q929" s="48" t="s">
        <v>241</v>
      </c>
      <c r="R929" s="48" t="s">
        <v>2726</v>
      </c>
      <c r="S929" s="48" t="s">
        <v>574</v>
      </c>
      <c r="T929" s="199"/>
      <c r="W929" s="50" t="s">
        <v>3221</v>
      </c>
    </row>
    <row r="930" spans="1:23" x14ac:dyDescent="0.3">
      <c r="A930" s="48">
        <f t="shared" si="36"/>
        <v>14</v>
      </c>
      <c r="B930" s="195">
        <v>46113</v>
      </c>
      <c r="C930" s="48" t="str">
        <f t="shared" si="37"/>
        <v>abril</v>
      </c>
      <c r="D930" s="48" t="s">
        <v>2135</v>
      </c>
      <c r="E930" s="42" t="s">
        <v>2728</v>
      </c>
      <c r="F930" s="196" t="s">
        <v>199</v>
      </c>
      <c r="G930" s="199">
        <v>2</v>
      </c>
      <c r="H930" s="48" t="s">
        <v>2138</v>
      </c>
      <c r="I930" s="197">
        <v>200</v>
      </c>
      <c r="J930" s="197">
        <v>200</v>
      </c>
      <c r="K930" s="197">
        <v>0</v>
      </c>
      <c r="L930" s="198">
        <v>200</v>
      </c>
      <c r="M930" s="198">
        <v>0</v>
      </c>
      <c r="N930" s="48" t="s">
        <v>1003</v>
      </c>
      <c r="O930" s="48" t="s">
        <v>1409</v>
      </c>
      <c r="P930" s="48" t="s">
        <v>25</v>
      </c>
      <c r="Q930" s="48" t="s">
        <v>241</v>
      </c>
      <c r="R930" s="49" t="s">
        <v>364</v>
      </c>
      <c r="S930" s="48" t="s">
        <v>2083</v>
      </c>
      <c r="T930" s="199"/>
      <c r="U930" s="199" t="s">
        <v>1759</v>
      </c>
    </row>
    <row r="931" spans="1:23" x14ac:dyDescent="0.3">
      <c r="A931" s="48">
        <f t="shared" si="36"/>
        <v>14</v>
      </c>
      <c r="B931" s="195">
        <v>46113</v>
      </c>
      <c r="C931" s="48" t="str">
        <f t="shared" si="37"/>
        <v>abril</v>
      </c>
      <c r="D931" s="48" t="s">
        <v>2135</v>
      </c>
      <c r="E931" s="42" t="s">
        <v>356</v>
      </c>
      <c r="F931" s="196" t="s">
        <v>127</v>
      </c>
      <c r="G931" s="199">
        <v>10</v>
      </c>
      <c r="H931" s="48" t="s">
        <v>2017</v>
      </c>
      <c r="I931" s="197">
        <v>20.38</v>
      </c>
      <c r="J931" s="197">
        <v>203.83</v>
      </c>
      <c r="K931" s="197">
        <v>31.67</v>
      </c>
      <c r="L931" s="198">
        <v>235.5</v>
      </c>
      <c r="M931" s="198">
        <v>0</v>
      </c>
      <c r="N931" s="48" t="s">
        <v>901</v>
      </c>
      <c r="O931" s="48" t="s">
        <v>152</v>
      </c>
      <c r="P931" s="48" t="s">
        <v>25</v>
      </c>
      <c r="Q931" s="48" t="s">
        <v>1824</v>
      </c>
      <c r="R931" s="49" t="s">
        <v>364</v>
      </c>
      <c r="S931" s="48" t="s">
        <v>3141</v>
      </c>
      <c r="T931" s="199" t="s">
        <v>2025</v>
      </c>
      <c r="U931" s="199" t="s">
        <v>3222</v>
      </c>
      <c r="W931" s="50" t="s">
        <v>3223</v>
      </c>
    </row>
    <row r="932" spans="1:23" x14ac:dyDescent="0.3">
      <c r="A932" s="48">
        <f t="shared" si="36"/>
        <v>14</v>
      </c>
      <c r="B932" s="195">
        <v>46114</v>
      </c>
      <c r="C932" s="48" t="str">
        <f t="shared" si="37"/>
        <v>abril</v>
      </c>
      <c r="D932" s="48" t="s">
        <v>2135</v>
      </c>
      <c r="E932" s="42" t="s">
        <v>2728</v>
      </c>
      <c r="F932" s="196" t="s">
        <v>97</v>
      </c>
      <c r="G932" s="199">
        <v>1</v>
      </c>
      <c r="H932" s="48" t="s">
        <v>2016</v>
      </c>
      <c r="I932" s="197">
        <v>411.62</v>
      </c>
      <c r="J932" s="197">
        <v>411.21</v>
      </c>
      <c r="K932" s="197">
        <v>65.790000000000006</v>
      </c>
      <c r="L932" s="198">
        <v>477</v>
      </c>
      <c r="M932" s="198">
        <v>0</v>
      </c>
      <c r="N932" s="48" t="s">
        <v>922</v>
      </c>
      <c r="O932" s="48" t="s">
        <v>670</v>
      </c>
      <c r="P932" s="48" t="s">
        <v>25</v>
      </c>
      <c r="Q932" s="48" t="s">
        <v>241</v>
      </c>
      <c r="R932" s="48" t="s">
        <v>2726</v>
      </c>
      <c r="S932" s="199" t="s">
        <v>574</v>
      </c>
      <c r="T932" s="199" t="s">
        <v>2488</v>
      </c>
      <c r="W932" s="50" t="s">
        <v>3224</v>
      </c>
    </row>
    <row r="933" spans="1:23" x14ac:dyDescent="0.3">
      <c r="A933" s="48">
        <f t="shared" si="36"/>
        <v>14</v>
      </c>
      <c r="B933" s="195">
        <v>46114</v>
      </c>
      <c r="C933" s="48" t="str">
        <f t="shared" si="37"/>
        <v>abril</v>
      </c>
      <c r="D933" s="48" t="s">
        <v>2135</v>
      </c>
      <c r="E933" s="42" t="s">
        <v>356</v>
      </c>
      <c r="F933" s="196" t="s">
        <v>127</v>
      </c>
      <c r="G933" s="199">
        <v>10</v>
      </c>
      <c r="H933" s="48" t="s">
        <v>2138</v>
      </c>
      <c r="I933" s="197">
        <v>20.149999999999999</v>
      </c>
      <c r="J933" s="197">
        <v>201.52</v>
      </c>
      <c r="K933" s="197">
        <v>38.380000000000003</v>
      </c>
      <c r="L933" s="198">
        <v>239.9</v>
      </c>
      <c r="M933" s="198">
        <v>0</v>
      </c>
      <c r="N933" s="48" t="s">
        <v>901</v>
      </c>
      <c r="O933" s="48" t="s">
        <v>409</v>
      </c>
      <c r="P933" s="48" t="s">
        <v>25</v>
      </c>
      <c r="Q933" s="48" t="s">
        <v>241</v>
      </c>
      <c r="R933" s="48" t="s">
        <v>2735</v>
      </c>
      <c r="S933" s="199" t="s">
        <v>593</v>
      </c>
      <c r="T933" s="199" t="s">
        <v>2025</v>
      </c>
      <c r="U933" s="50" t="s">
        <v>3225</v>
      </c>
    </row>
    <row r="934" spans="1:23" x14ac:dyDescent="0.3">
      <c r="A934" s="48">
        <f t="shared" si="36"/>
        <v>14</v>
      </c>
      <c r="B934" s="195">
        <v>46114</v>
      </c>
      <c r="C934" s="48" t="str">
        <f t="shared" si="37"/>
        <v>abril</v>
      </c>
      <c r="D934" s="48" t="s">
        <v>2135</v>
      </c>
      <c r="E934" s="42" t="s">
        <v>116</v>
      </c>
      <c r="F934" s="196" t="s">
        <v>3226</v>
      </c>
      <c r="G934" s="199">
        <v>1</v>
      </c>
      <c r="H934" s="48" t="s">
        <v>1705</v>
      </c>
      <c r="I934" s="197">
        <v>100</v>
      </c>
      <c r="J934" s="197">
        <v>100</v>
      </c>
      <c r="K934" s="197">
        <v>0</v>
      </c>
      <c r="L934" s="198">
        <v>100</v>
      </c>
      <c r="M934" s="198">
        <v>0</v>
      </c>
      <c r="N934" s="48" t="s">
        <v>901</v>
      </c>
      <c r="O934" s="48" t="s">
        <v>2942</v>
      </c>
      <c r="P934" s="48" t="s">
        <v>25</v>
      </c>
      <c r="Q934" s="48" t="s">
        <v>241</v>
      </c>
      <c r="R934" s="49" t="s">
        <v>364</v>
      </c>
      <c r="S934" s="199" t="s">
        <v>20</v>
      </c>
      <c r="T934" s="199"/>
      <c r="U934" s="199" t="s">
        <v>1759</v>
      </c>
    </row>
    <row r="935" spans="1:23" x14ac:dyDescent="0.3">
      <c r="A935" s="48">
        <f t="shared" si="36"/>
        <v>14</v>
      </c>
      <c r="B935" s="195">
        <v>46114</v>
      </c>
      <c r="C935" s="48" t="str">
        <f t="shared" si="37"/>
        <v>abril</v>
      </c>
      <c r="D935" s="48" t="s">
        <v>2135</v>
      </c>
      <c r="E935" s="42" t="s">
        <v>116</v>
      </c>
      <c r="F935" s="196" t="s">
        <v>1754</v>
      </c>
      <c r="G935" s="199">
        <v>3</v>
      </c>
      <c r="H935" s="48" t="s">
        <v>1705</v>
      </c>
      <c r="I935" s="197">
        <v>20</v>
      </c>
      <c r="J935" s="197">
        <v>60</v>
      </c>
      <c r="K935" s="197">
        <v>0</v>
      </c>
      <c r="L935" s="198">
        <v>60</v>
      </c>
      <c r="M935" s="198">
        <v>0</v>
      </c>
      <c r="N935" s="48" t="s">
        <v>901</v>
      </c>
      <c r="O935" s="48" t="s">
        <v>116</v>
      </c>
      <c r="P935" s="48" t="s">
        <v>25</v>
      </c>
      <c r="Q935" s="48" t="s">
        <v>1841</v>
      </c>
      <c r="R935" s="49" t="s">
        <v>364</v>
      </c>
      <c r="S935" s="199" t="s">
        <v>20</v>
      </c>
      <c r="T935" s="199"/>
      <c r="U935" s="199" t="s">
        <v>1759</v>
      </c>
    </row>
    <row r="936" spans="1:23" s="48" customFormat="1" x14ac:dyDescent="0.3">
      <c r="A936" s="48">
        <f t="shared" si="36"/>
        <v>14</v>
      </c>
      <c r="B936" s="195">
        <v>46114</v>
      </c>
      <c r="C936" s="48" t="str">
        <f t="shared" si="37"/>
        <v>abril</v>
      </c>
      <c r="D936" s="48" t="s">
        <v>2135</v>
      </c>
      <c r="E936" s="42" t="s">
        <v>116</v>
      </c>
      <c r="F936" s="196" t="s">
        <v>1754</v>
      </c>
      <c r="G936" s="48">
        <v>2</v>
      </c>
      <c r="H936" s="48" t="s">
        <v>1705</v>
      </c>
      <c r="I936" s="197">
        <v>50</v>
      </c>
      <c r="J936" s="197">
        <v>100</v>
      </c>
      <c r="K936" s="197">
        <v>0</v>
      </c>
      <c r="L936" s="198">
        <v>100</v>
      </c>
      <c r="M936" s="198">
        <v>0</v>
      </c>
      <c r="N936" s="48" t="s">
        <v>901</v>
      </c>
      <c r="O936" s="48" t="s">
        <v>116</v>
      </c>
      <c r="P936" s="48" t="s">
        <v>25</v>
      </c>
      <c r="Q936" s="48" t="s">
        <v>1841</v>
      </c>
      <c r="R936" s="49" t="s">
        <v>364</v>
      </c>
      <c r="S936" s="199" t="s">
        <v>20</v>
      </c>
      <c r="U936" s="199" t="s">
        <v>1759</v>
      </c>
    </row>
    <row r="937" spans="1:23" s="48" customFormat="1" x14ac:dyDescent="0.3">
      <c r="A937" s="48">
        <f>WEEKNUM(B937)</f>
        <v>14</v>
      </c>
      <c r="B937" s="195">
        <v>46114</v>
      </c>
      <c r="C937" s="48" t="str">
        <f t="shared" si="37"/>
        <v>abril</v>
      </c>
      <c r="D937" s="48" t="s">
        <v>2135</v>
      </c>
      <c r="E937" s="42" t="s">
        <v>2728</v>
      </c>
      <c r="F937" s="196" t="s">
        <v>168</v>
      </c>
      <c r="G937" s="48">
        <v>1</v>
      </c>
      <c r="H937" s="48" t="s">
        <v>1705</v>
      </c>
      <c r="I937" s="197">
        <v>2145.69</v>
      </c>
      <c r="J937" s="197">
        <v>2145.69</v>
      </c>
      <c r="K937" s="197">
        <v>343.31</v>
      </c>
      <c r="L937" s="198">
        <v>2489</v>
      </c>
      <c r="M937" s="198">
        <v>0</v>
      </c>
      <c r="N937" s="48" t="s">
        <v>3121</v>
      </c>
      <c r="O937" s="48" t="s">
        <v>36</v>
      </c>
      <c r="P937" s="48" t="s">
        <v>25</v>
      </c>
      <c r="Q937" s="48" t="s">
        <v>241</v>
      </c>
      <c r="R937" s="48" t="s">
        <v>2801</v>
      </c>
      <c r="S937" s="199" t="s">
        <v>574</v>
      </c>
      <c r="T937" s="48" t="s">
        <v>1701</v>
      </c>
      <c r="W937" s="48" t="s">
        <v>3227</v>
      </c>
    </row>
    <row r="938" spans="1:23" s="48" customFormat="1" x14ac:dyDescent="0.3">
      <c r="A938" s="48">
        <f>WEEKNUM(B938)</f>
        <v>15</v>
      </c>
      <c r="B938" s="195">
        <v>46118</v>
      </c>
      <c r="C938" s="48" t="str">
        <f t="shared" si="37"/>
        <v>abril</v>
      </c>
      <c r="D938" s="48" t="s">
        <v>2135</v>
      </c>
      <c r="E938" s="42" t="s">
        <v>2728</v>
      </c>
      <c r="F938" s="196" t="s">
        <v>479</v>
      </c>
      <c r="G938" s="48">
        <v>1</v>
      </c>
      <c r="H938" s="48" t="s">
        <v>1705</v>
      </c>
      <c r="I938" s="197">
        <v>400</v>
      </c>
      <c r="J938" s="197">
        <v>400</v>
      </c>
      <c r="K938" s="197">
        <v>64</v>
      </c>
      <c r="L938" s="198">
        <v>464</v>
      </c>
      <c r="M938" s="198">
        <v>0</v>
      </c>
      <c r="N938" s="48" t="s">
        <v>3228</v>
      </c>
      <c r="O938" s="48" t="s">
        <v>409</v>
      </c>
      <c r="P938" s="48" t="s">
        <v>25</v>
      </c>
      <c r="Q938" s="48" t="s">
        <v>241</v>
      </c>
      <c r="R938" s="48" t="s">
        <v>2726</v>
      </c>
      <c r="S938" s="199" t="s">
        <v>574</v>
      </c>
      <c r="W938" s="48" t="s">
        <v>3229</v>
      </c>
    </row>
    <row r="939" spans="1:23" s="48" customFormat="1" x14ac:dyDescent="0.3">
      <c r="A939" s="48">
        <f t="shared" ref="A939:A963" si="38">WEEKNUM(B939)</f>
        <v>15</v>
      </c>
      <c r="B939" s="195">
        <v>46118</v>
      </c>
      <c r="C939" s="48" t="str">
        <f t="shared" si="37"/>
        <v>abril</v>
      </c>
      <c r="D939" s="48" t="s">
        <v>2135</v>
      </c>
      <c r="E939" s="42" t="s">
        <v>2728</v>
      </c>
      <c r="F939" s="196" t="s">
        <v>95</v>
      </c>
      <c r="G939" s="48">
        <v>1</v>
      </c>
      <c r="H939" s="48" t="s">
        <v>1705</v>
      </c>
      <c r="I939" s="197">
        <v>69.83</v>
      </c>
      <c r="J939" s="197">
        <v>69.83</v>
      </c>
      <c r="K939" s="197">
        <v>11.17</v>
      </c>
      <c r="L939" s="198">
        <v>81</v>
      </c>
      <c r="M939" s="198">
        <v>0</v>
      </c>
      <c r="N939" s="48" t="s">
        <v>3228</v>
      </c>
      <c r="O939" s="48" t="s">
        <v>409</v>
      </c>
      <c r="P939" s="48" t="s">
        <v>25</v>
      </c>
      <c r="Q939" s="48" t="s">
        <v>241</v>
      </c>
      <c r="R939" s="48" t="s">
        <v>2726</v>
      </c>
      <c r="S939" s="199" t="s">
        <v>574</v>
      </c>
      <c r="W939" s="48" t="s">
        <v>3229</v>
      </c>
    </row>
    <row r="940" spans="1:23" s="48" customFormat="1" x14ac:dyDescent="0.3">
      <c r="A940" s="48">
        <f t="shared" si="38"/>
        <v>15</v>
      </c>
      <c r="B940" s="195">
        <v>46118</v>
      </c>
      <c r="C940" s="48" t="str">
        <f t="shared" si="37"/>
        <v>abril</v>
      </c>
      <c r="D940" s="48" t="s">
        <v>2135</v>
      </c>
      <c r="E940" s="42" t="s">
        <v>2728</v>
      </c>
      <c r="F940" s="196" t="s">
        <v>219</v>
      </c>
      <c r="G940" s="48">
        <v>1</v>
      </c>
      <c r="H940" s="48" t="s">
        <v>1705</v>
      </c>
      <c r="I940" s="197">
        <v>232.76</v>
      </c>
      <c r="J940" s="197">
        <v>232.76</v>
      </c>
      <c r="K940" s="197">
        <v>37.24</v>
      </c>
      <c r="L940" s="198">
        <v>270</v>
      </c>
      <c r="M940" s="198">
        <v>0</v>
      </c>
      <c r="N940" s="48" t="s">
        <v>3228</v>
      </c>
      <c r="O940" s="48" t="s">
        <v>409</v>
      </c>
      <c r="P940" s="48" t="s">
        <v>25</v>
      </c>
      <c r="Q940" s="48" t="s">
        <v>241</v>
      </c>
      <c r="R940" s="48" t="s">
        <v>2726</v>
      </c>
      <c r="S940" s="199" t="s">
        <v>574</v>
      </c>
      <c r="W940" s="48" t="s">
        <v>3229</v>
      </c>
    </row>
    <row r="941" spans="1:23" s="48" customFormat="1" x14ac:dyDescent="0.3">
      <c r="A941" s="48">
        <f t="shared" si="38"/>
        <v>15</v>
      </c>
      <c r="B941" s="195">
        <v>46118</v>
      </c>
      <c r="C941" s="48" t="str">
        <f t="shared" si="37"/>
        <v>abril</v>
      </c>
      <c r="D941" s="48" t="s">
        <v>2135</v>
      </c>
      <c r="E941" s="42" t="s">
        <v>2728</v>
      </c>
      <c r="F941" s="196" t="s">
        <v>92</v>
      </c>
      <c r="G941" s="48">
        <v>1</v>
      </c>
      <c r="H941" s="48" t="s">
        <v>1705</v>
      </c>
      <c r="I941" s="197">
        <v>82.76</v>
      </c>
      <c r="J941" s="197">
        <v>82.76</v>
      </c>
      <c r="K941" s="197">
        <v>13.24</v>
      </c>
      <c r="L941" s="198">
        <v>96</v>
      </c>
      <c r="M941" s="198">
        <v>0</v>
      </c>
      <c r="N941" s="48" t="s">
        <v>3228</v>
      </c>
      <c r="O941" s="48" t="s">
        <v>409</v>
      </c>
      <c r="P941" s="48" t="s">
        <v>25</v>
      </c>
      <c r="Q941" s="48" t="s">
        <v>241</v>
      </c>
      <c r="R941" s="48" t="s">
        <v>2726</v>
      </c>
      <c r="S941" s="199" t="s">
        <v>574</v>
      </c>
      <c r="W941" s="48" t="s">
        <v>3229</v>
      </c>
    </row>
    <row r="942" spans="1:23" s="48" customFormat="1" x14ac:dyDescent="0.3">
      <c r="A942" s="48">
        <f t="shared" si="38"/>
        <v>15</v>
      </c>
      <c r="B942" s="195">
        <v>46118</v>
      </c>
      <c r="C942" s="48" t="str">
        <f t="shared" si="37"/>
        <v>abril</v>
      </c>
      <c r="D942" s="48" t="s">
        <v>2135</v>
      </c>
      <c r="E942" s="42" t="s">
        <v>2728</v>
      </c>
      <c r="F942" s="196" t="s">
        <v>111</v>
      </c>
      <c r="G942" s="48">
        <v>1</v>
      </c>
      <c r="H942" s="48" t="s">
        <v>2138</v>
      </c>
      <c r="I942" s="197">
        <v>130</v>
      </c>
      <c r="J942" s="197">
        <v>130</v>
      </c>
      <c r="K942" s="197">
        <v>0</v>
      </c>
      <c r="L942" s="198">
        <v>130</v>
      </c>
      <c r="M942" s="198">
        <v>0</v>
      </c>
      <c r="N942" s="48" t="s">
        <v>3228</v>
      </c>
      <c r="O942" s="48" t="s">
        <v>409</v>
      </c>
      <c r="P942" s="48" t="s">
        <v>25</v>
      </c>
      <c r="Q942" s="48" t="s">
        <v>241</v>
      </c>
      <c r="R942" s="48" t="s">
        <v>364</v>
      </c>
      <c r="U942" s="48" t="s">
        <v>1759</v>
      </c>
    </row>
    <row r="943" spans="1:23" s="48" customFormat="1" x14ac:dyDescent="0.3">
      <c r="A943" s="48">
        <f t="shared" si="38"/>
        <v>15</v>
      </c>
      <c r="B943" s="195">
        <v>46118</v>
      </c>
      <c r="C943" s="48" t="str">
        <f t="shared" si="37"/>
        <v>abril</v>
      </c>
      <c r="D943" s="48" t="s">
        <v>2135</v>
      </c>
      <c r="E943" s="42" t="s">
        <v>2728</v>
      </c>
      <c r="F943" s="196" t="s">
        <v>111</v>
      </c>
      <c r="G943" s="48">
        <v>2</v>
      </c>
      <c r="H943" s="48" t="s">
        <v>2138</v>
      </c>
      <c r="I943" s="197">
        <v>130</v>
      </c>
      <c r="J943" s="197">
        <v>260</v>
      </c>
      <c r="K943" s="197">
        <v>0</v>
      </c>
      <c r="L943" s="198">
        <v>260</v>
      </c>
      <c r="M943" s="198">
        <v>0</v>
      </c>
      <c r="N943" s="48" t="s">
        <v>3230</v>
      </c>
      <c r="O943" s="48" t="s">
        <v>120</v>
      </c>
      <c r="P943" s="48" t="s">
        <v>25</v>
      </c>
      <c r="Q943" s="48" t="s">
        <v>241</v>
      </c>
      <c r="R943" s="48" t="s">
        <v>364</v>
      </c>
      <c r="U943" s="48" t="s">
        <v>1759</v>
      </c>
    </row>
    <row r="944" spans="1:23" s="48" customFormat="1" x14ac:dyDescent="0.3">
      <c r="A944" s="48">
        <f t="shared" si="38"/>
        <v>15</v>
      </c>
      <c r="B944" s="195">
        <v>46118</v>
      </c>
      <c r="C944" s="48" t="str">
        <f t="shared" si="37"/>
        <v>abril</v>
      </c>
      <c r="D944" s="48" t="s">
        <v>2135</v>
      </c>
      <c r="E944" s="42" t="s">
        <v>2728</v>
      </c>
      <c r="F944" s="219" t="s">
        <v>1716</v>
      </c>
      <c r="G944" s="48">
        <v>1</v>
      </c>
      <c r="H944" s="48" t="s">
        <v>2138</v>
      </c>
      <c r="I944" s="197">
        <v>500</v>
      </c>
      <c r="J944" s="197">
        <v>500</v>
      </c>
      <c r="K944" s="197">
        <v>0</v>
      </c>
      <c r="L944" s="198">
        <v>500</v>
      </c>
      <c r="M944" s="198">
        <v>0</v>
      </c>
      <c r="N944" s="48" t="s">
        <v>3230</v>
      </c>
      <c r="O944" s="48" t="s">
        <v>120</v>
      </c>
      <c r="P944" s="48" t="s">
        <v>25</v>
      </c>
      <c r="Q944" s="48" t="s">
        <v>241</v>
      </c>
      <c r="R944" s="48" t="s">
        <v>369</v>
      </c>
      <c r="S944" s="48" t="s">
        <v>454</v>
      </c>
      <c r="U944" s="48" t="s">
        <v>1759</v>
      </c>
    </row>
    <row r="945" spans="1:25" s="48" customFormat="1" x14ac:dyDescent="0.3">
      <c r="A945" s="48">
        <f t="shared" si="38"/>
        <v>15</v>
      </c>
      <c r="B945" s="195">
        <v>46118</v>
      </c>
      <c r="C945" s="48" t="str">
        <f t="shared" si="37"/>
        <v>abril</v>
      </c>
      <c r="D945" s="48" t="s">
        <v>2135</v>
      </c>
      <c r="E945" s="42" t="s">
        <v>2728</v>
      </c>
      <c r="F945" s="196" t="s">
        <v>3231</v>
      </c>
      <c r="G945" s="48">
        <v>1</v>
      </c>
      <c r="H945" s="48" t="s">
        <v>1705</v>
      </c>
      <c r="I945" s="197">
        <v>200</v>
      </c>
      <c r="J945" s="197">
        <v>200</v>
      </c>
      <c r="K945" s="197">
        <v>0</v>
      </c>
      <c r="L945" s="198">
        <v>200</v>
      </c>
      <c r="M945" s="198">
        <v>0</v>
      </c>
      <c r="N945" s="48" t="s">
        <v>901</v>
      </c>
      <c r="O945" s="48" t="s">
        <v>104</v>
      </c>
      <c r="P945" s="48" t="s">
        <v>25</v>
      </c>
      <c r="Q945" s="48" t="s">
        <v>241</v>
      </c>
      <c r="R945" s="48" t="s">
        <v>2726</v>
      </c>
      <c r="S945" s="48" t="s">
        <v>682</v>
      </c>
      <c r="U945" s="48" t="s">
        <v>1759</v>
      </c>
    </row>
    <row r="946" spans="1:25" s="48" customFormat="1" x14ac:dyDescent="0.3">
      <c r="A946" s="48">
        <f t="shared" si="38"/>
        <v>15</v>
      </c>
      <c r="B946" s="195">
        <v>46118</v>
      </c>
      <c r="C946" s="48" t="str">
        <f t="shared" si="37"/>
        <v>abril</v>
      </c>
      <c r="D946" s="48" t="s">
        <v>2135</v>
      </c>
      <c r="E946" s="42" t="s">
        <v>356</v>
      </c>
      <c r="F946" s="196" t="s">
        <v>127</v>
      </c>
      <c r="G946" s="48">
        <v>10</v>
      </c>
      <c r="H946" s="48" t="s">
        <v>2017</v>
      </c>
      <c r="I946" s="197">
        <v>19.91</v>
      </c>
      <c r="J946" s="197">
        <v>199.09</v>
      </c>
      <c r="K946" s="197">
        <v>30.91</v>
      </c>
      <c r="L946" s="198">
        <v>230</v>
      </c>
      <c r="M946" s="198">
        <v>0</v>
      </c>
      <c r="N946" s="48" t="s">
        <v>901</v>
      </c>
      <c r="O946" s="48" t="s">
        <v>195</v>
      </c>
      <c r="P946" s="48" t="s">
        <v>25</v>
      </c>
      <c r="Q946" s="48" t="s">
        <v>241</v>
      </c>
      <c r="R946" s="48" t="s">
        <v>2806</v>
      </c>
      <c r="S946" s="48" t="s">
        <v>647</v>
      </c>
      <c r="T946" s="48" t="s">
        <v>2025</v>
      </c>
    </row>
    <row r="947" spans="1:25" s="48" customFormat="1" x14ac:dyDescent="0.3">
      <c r="A947" s="48">
        <f t="shared" si="38"/>
        <v>15</v>
      </c>
      <c r="B947" s="195">
        <v>46119</v>
      </c>
      <c r="C947" s="48" t="str">
        <f t="shared" si="37"/>
        <v>abril</v>
      </c>
      <c r="D947" s="48" t="s">
        <v>2135</v>
      </c>
      <c r="E947" s="42" t="s">
        <v>356</v>
      </c>
      <c r="F947" s="196" t="s">
        <v>3232</v>
      </c>
      <c r="G947" s="48">
        <v>17.489999999999998</v>
      </c>
      <c r="H947" s="48" t="s">
        <v>2017</v>
      </c>
      <c r="I947" s="197">
        <v>24.71</v>
      </c>
      <c r="J947" s="197">
        <v>432.23</v>
      </c>
      <c r="K947" s="197">
        <v>67.77</v>
      </c>
      <c r="L947" s="198">
        <v>500</v>
      </c>
      <c r="M947" s="198">
        <v>0</v>
      </c>
      <c r="N947" s="48" t="s">
        <v>901</v>
      </c>
      <c r="O947" s="48" t="s">
        <v>2826</v>
      </c>
      <c r="P947" s="48" t="s">
        <v>25</v>
      </c>
      <c r="Q947" s="48" t="s">
        <v>1766</v>
      </c>
      <c r="R947" s="48" t="s">
        <v>2726</v>
      </c>
      <c r="S947" s="48" t="s">
        <v>389</v>
      </c>
      <c r="T947" s="48" t="s">
        <v>3233</v>
      </c>
      <c r="W947" s="48" t="s">
        <v>3234</v>
      </c>
    </row>
    <row r="948" spans="1:25" s="48" customFormat="1" x14ac:dyDescent="0.3">
      <c r="A948" s="48">
        <f t="shared" si="38"/>
        <v>15</v>
      </c>
      <c r="B948" s="195">
        <v>46119</v>
      </c>
      <c r="C948" s="48" t="str">
        <f t="shared" si="37"/>
        <v>abril</v>
      </c>
      <c r="D948" s="48" t="s">
        <v>2135</v>
      </c>
      <c r="E948" s="42" t="s">
        <v>356</v>
      </c>
      <c r="F948" s="196" t="s">
        <v>127</v>
      </c>
      <c r="G948" s="48">
        <v>13.04</v>
      </c>
      <c r="H948" s="48" t="s">
        <v>2017</v>
      </c>
      <c r="I948" s="197">
        <v>19.91</v>
      </c>
      <c r="J948" s="197">
        <v>259.68</v>
      </c>
      <c r="K948" s="197">
        <v>40.32</v>
      </c>
      <c r="L948" s="198">
        <v>300</v>
      </c>
      <c r="M948" s="198">
        <v>0</v>
      </c>
      <c r="N948" s="48" t="s">
        <v>901</v>
      </c>
      <c r="O948" s="48" t="s">
        <v>3083</v>
      </c>
      <c r="P948" s="48" t="s">
        <v>39</v>
      </c>
      <c r="Q948" s="48" t="s">
        <v>241</v>
      </c>
      <c r="R948" s="48" t="s">
        <v>2806</v>
      </c>
      <c r="S948" s="48" t="s">
        <v>647</v>
      </c>
      <c r="T948" s="48" t="s">
        <v>2025</v>
      </c>
      <c r="W948" s="48" t="s">
        <v>3235</v>
      </c>
    </row>
    <row r="949" spans="1:25" s="48" customFormat="1" x14ac:dyDescent="0.3">
      <c r="A949" s="48">
        <f t="shared" si="38"/>
        <v>15</v>
      </c>
      <c r="B949" s="195">
        <v>46119</v>
      </c>
      <c r="C949" s="48" t="str">
        <f t="shared" si="37"/>
        <v>abril</v>
      </c>
      <c r="D949" s="48" t="s">
        <v>2135</v>
      </c>
      <c r="E949" s="42" t="s">
        <v>193</v>
      </c>
      <c r="F949" s="196" t="s">
        <v>3201</v>
      </c>
      <c r="G949" s="48">
        <v>1</v>
      </c>
      <c r="H949" s="48" t="s">
        <v>2138</v>
      </c>
      <c r="I949" s="197">
        <v>5200</v>
      </c>
      <c r="J949" s="197">
        <v>5200</v>
      </c>
      <c r="K949" s="197">
        <v>0</v>
      </c>
      <c r="L949" s="198">
        <v>5200</v>
      </c>
      <c r="M949" s="198">
        <v>0</v>
      </c>
      <c r="N949" s="48" t="s">
        <v>901</v>
      </c>
      <c r="O949" s="48" t="s">
        <v>3083</v>
      </c>
      <c r="P949" s="48" t="s">
        <v>39</v>
      </c>
      <c r="Q949" s="48" t="s">
        <v>241</v>
      </c>
      <c r="R949" s="48" t="s">
        <v>369</v>
      </c>
      <c r="S949" s="48" t="s">
        <v>2601</v>
      </c>
      <c r="U949" s="48" t="s">
        <v>3236</v>
      </c>
    </row>
    <row r="950" spans="1:25" s="48" customFormat="1" x14ac:dyDescent="0.3">
      <c r="A950" s="48">
        <f t="shared" si="38"/>
        <v>15</v>
      </c>
      <c r="B950" s="195">
        <v>46119</v>
      </c>
      <c r="C950" s="48" t="str">
        <f t="shared" si="37"/>
        <v>abril</v>
      </c>
      <c r="D950" s="48" t="s">
        <v>2135</v>
      </c>
      <c r="E950" s="42" t="s">
        <v>2728</v>
      </c>
      <c r="F950" s="196" t="s">
        <v>250</v>
      </c>
      <c r="G950" s="48">
        <v>1</v>
      </c>
      <c r="H950" s="48" t="s">
        <v>2138</v>
      </c>
      <c r="I950" s="197">
        <v>59.48</v>
      </c>
      <c r="J950" s="197">
        <v>59.48</v>
      </c>
      <c r="K950" s="197">
        <v>9.52</v>
      </c>
      <c r="L950" s="197">
        <v>69</v>
      </c>
      <c r="M950" s="198">
        <v>0</v>
      </c>
      <c r="N950" s="48" t="s">
        <v>901</v>
      </c>
      <c r="O950" s="48" t="s">
        <v>760</v>
      </c>
      <c r="P950" s="48" t="s">
        <v>25</v>
      </c>
      <c r="Q950" s="48" t="s">
        <v>1841</v>
      </c>
      <c r="R950" s="48" t="s">
        <v>364</v>
      </c>
      <c r="S950" s="48" t="s">
        <v>3187</v>
      </c>
      <c r="U950" s="48" t="s">
        <v>3222</v>
      </c>
    </row>
    <row r="951" spans="1:25" s="48" customFormat="1" x14ac:dyDescent="0.3">
      <c r="A951" s="48">
        <f t="shared" si="38"/>
        <v>15</v>
      </c>
      <c r="B951" s="195">
        <v>46120</v>
      </c>
      <c r="C951" s="48" t="str">
        <f t="shared" si="37"/>
        <v>abril</v>
      </c>
      <c r="D951" s="48" t="s">
        <v>2135</v>
      </c>
      <c r="E951" s="42" t="s">
        <v>2728</v>
      </c>
      <c r="F951" s="220" t="s">
        <v>111</v>
      </c>
      <c r="G951" s="48">
        <v>1</v>
      </c>
      <c r="H951" s="48" t="s">
        <v>2138</v>
      </c>
      <c r="I951" s="214">
        <v>130</v>
      </c>
      <c r="J951" s="214">
        <v>130</v>
      </c>
      <c r="K951" s="214">
        <v>0</v>
      </c>
      <c r="L951" s="214">
        <v>130</v>
      </c>
      <c r="M951" s="198">
        <v>0</v>
      </c>
      <c r="N951" s="48" t="s">
        <v>901</v>
      </c>
      <c r="O951" s="48" t="s">
        <v>64</v>
      </c>
      <c r="P951" s="48" t="s">
        <v>25</v>
      </c>
      <c r="Q951" s="48" t="s">
        <v>241</v>
      </c>
      <c r="R951" s="48" t="s">
        <v>364</v>
      </c>
      <c r="U951" s="48" t="s">
        <v>3225</v>
      </c>
    </row>
    <row r="952" spans="1:25" s="48" customFormat="1" x14ac:dyDescent="0.3">
      <c r="A952" s="48">
        <f t="shared" si="38"/>
        <v>15</v>
      </c>
      <c r="B952" s="195">
        <v>46120</v>
      </c>
      <c r="C952" s="48" t="str">
        <f t="shared" si="37"/>
        <v>abril</v>
      </c>
      <c r="D952" s="48" t="s">
        <v>2135</v>
      </c>
      <c r="E952" s="42" t="s">
        <v>2728</v>
      </c>
      <c r="F952" s="196" t="s">
        <v>3237</v>
      </c>
      <c r="G952" s="48">
        <v>1</v>
      </c>
      <c r="H952" s="48" t="s">
        <v>1705</v>
      </c>
      <c r="I952" s="214">
        <v>600</v>
      </c>
      <c r="J952" s="214">
        <v>600</v>
      </c>
      <c r="K952" s="214">
        <v>0</v>
      </c>
      <c r="L952" s="214">
        <v>600</v>
      </c>
      <c r="M952" s="198">
        <v>0</v>
      </c>
      <c r="N952" s="48" t="s">
        <v>901</v>
      </c>
      <c r="O952" s="48" t="s">
        <v>64</v>
      </c>
      <c r="P952" s="48" t="s">
        <v>25</v>
      </c>
      <c r="Q952" s="48" t="s">
        <v>241</v>
      </c>
      <c r="R952" s="113" t="s">
        <v>2137</v>
      </c>
      <c r="S952" s="113" t="s">
        <v>782</v>
      </c>
      <c r="T952" s="113"/>
      <c r="U952" s="113"/>
      <c r="V952" s="113"/>
      <c r="W952" s="113"/>
    </row>
    <row r="953" spans="1:25" s="48" customFormat="1" x14ac:dyDescent="0.3">
      <c r="A953" s="48">
        <f t="shared" si="38"/>
        <v>15</v>
      </c>
      <c r="B953" s="221">
        <v>46120</v>
      </c>
      <c r="C953" s="48" t="str">
        <f t="shared" si="37"/>
        <v>abril</v>
      </c>
      <c r="D953" s="133" t="s">
        <v>2135</v>
      </c>
      <c r="E953" s="42" t="s">
        <v>2728</v>
      </c>
      <c r="F953" s="222" t="s">
        <v>3238</v>
      </c>
      <c r="G953" s="133">
        <v>1</v>
      </c>
      <c r="H953" s="133" t="s">
        <v>1705</v>
      </c>
      <c r="I953" s="223">
        <v>1086.21</v>
      </c>
      <c r="J953" s="223">
        <v>1086.21</v>
      </c>
      <c r="K953" s="223">
        <v>173.79</v>
      </c>
      <c r="L953" s="223">
        <v>-1260</v>
      </c>
      <c r="M953" s="203">
        <v>0</v>
      </c>
      <c r="N953" s="133" t="s">
        <v>901</v>
      </c>
      <c r="O953" s="133" t="s">
        <v>1071</v>
      </c>
      <c r="P953" s="133" t="s">
        <v>18</v>
      </c>
      <c r="Q953" s="133" t="s">
        <v>241</v>
      </c>
      <c r="R953" s="134" t="s">
        <v>2137</v>
      </c>
      <c r="S953" s="134" t="s">
        <v>3239</v>
      </c>
      <c r="T953" s="134"/>
      <c r="U953" s="134"/>
      <c r="V953" s="134"/>
      <c r="W953" s="224" t="s">
        <v>3240</v>
      </c>
    </row>
    <row r="954" spans="1:25" s="48" customFormat="1" x14ac:dyDescent="0.3">
      <c r="A954" s="48">
        <f t="shared" si="38"/>
        <v>15</v>
      </c>
      <c r="B954" s="195">
        <v>46120</v>
      </c>
      <c r="C954" s="48" t="str">
        <f t="shared" si="37"/>
        <v>abril</v>
      </c>
      <c r="D954" s="48" t="s">
        <v>2135</v>
      </c>
      <c r="E954" s="42" t="s">
        <v>2728</v>
      </c>
      <c r="F954" s="196" t="s">
        <v>3241</v>
      </c>
      <c r="G954" s="48">
        <v>2</v>
      </c>
      <c r="H954" s="48" t="s">
        <v>1705</v>
      </c>
      <c r="I954" s="214">
        <v>250</v>
      </c>
      <c r="J954" s="214">
        <v>500</v>
      </c>
      <c r="K954" s="214">
        <v>0</v>
      </c>
      <c r="L954" s="214">
        <v>500</v>
      </c>
      <c r="M954" s="198">
        <v>0</v>
      </c>
      <c r="N954" s="48" t="s">
        <v>901</v>
      </c>
      <c r="O954" s="48" t="s">
        <v>2942</v>
      </c>
      <c r="P954" s="48" t="s">
        <v>25</v>
      </c>
      <c r="Q954" s="48" t="s">
        <v>241</v>
      </c>
      <c r="R954" s="113" t="s">
        <v>369</v>
      </c>
      <c r="S954" s="113" t="s">
        <v>3091</v>
      </c>
      <c r="T954" s="113"/>
      <c r="U954" s="113"/>
      <c r="V954" s="113"/>
      <c r="W954" s="225"/>
    </row>
    <row r="955" spans="1:25" s="48" customFormat="1" x14ac:dyDescent="0.3">
      <c r="A955" s="48">
        <f t="shared" si="38"/>
        <v>15</v>
      </c>
      <c r="B955" s="195">
        <v>46120</v>
      </c>
      <c r="C955" s="48" t="str">
        <f t="shared" si="37"/>
        <v>abril</v>
      </c>
      <c r="D955" s="48" t="s">
        <v>2135</v>
      </c>
      <c r="E955" s="42" t="s">
        <v>2728</v>
      </c>
      <c r="F955" s="196" t="s">
        <v>3242</v>
      </c>
      <c r="G955" s="48">
        <v>1</v>
      </c>
      <c r="H955" s="48" t="s">
        <v>1705</v>
      </c>
      <c r="I955" s="214">
        <v>100</v>
      </c>
      <c r="J955" s="214">
        <v>100</v>
      </c>
      <c r="K955" s="214">
        <v>0</v>
      </c>
      <c r="L955" s="214">
        <v>100</v>
      </c>
      <c r="M955" s="198">
        <v>0</v>
      </c>
      <c r="N955" s="48" t="s">
        <v>901</v>
      </c>
      <c r="O955" s="48" t="s">
        <v>2942</v>
      </c>
      <c r="P955" s="48" t="s">
        <v>25</v>
      </c>
      <c r="Q955" s="48" t="s">
        <v>241</v>
      </c>
      <c r="R955" s="113" t="s">
        <v>369</v>
      </c>
      <c r="S955" s="113" t="s">
        <v>3091</v>
      </c>
      <c r="T955" s="113"/>
      <c r="U955" s="113"/>
      <c r="V955" s="113"/>
      <c r="W955" s="225"/>
    </row>
    <row r="956" spans="1:25" s="48" customFormat="1" x14ac:dyDescent="0.3">
      <c r="A956" s="48">
        <f t="shared" si="38"/>
        <v>15</v>
      </c>
      <c r="B956" s="195">
        <v>46120</v>
      </c>
      <c r="C956" s="48" t="str">
        <f t="shared" si="37"/>
        <v>abril</v>
      </c>
      <c r="D956" s="48" t="s">
        <v>2135</v>
      </c>
      <c r="E956" s="42" t="s">
        <v>2728</v>
      </c>
      <c r="F956" s="196" t="s">
        <v>3243</v>
      </c>
      <c r="G956" s="48">
        <v>2</v>
      </c>
      <c r="H956" s="48" t="s">
        <v>1705</v>
      </c>
      <c r="I956" s="214">
        <v>200</v>
      </c>
      <c r="J956" s="214">
        <v>400</v>
      </c>
      <c r="K956" s="214">
        <v>0</v>
      </c>
      <c r="L956" s="214">
        <v>400</v>
      </c>
      <c r="M956" s="198">
        <v>0</v>
      </c>
      <c r="N956" s="48" t="s">
        <v>901</v>
      </c>
      <c r="O956" s="48" t="s">
        <v>2942</v>
      </c>
      <c r="P956" s="48" t="s">
        <v>25</v>
      </c>
      <c r="Q956" s="48" t="s">
        <v>241</v>
      </c>
      <c r="R956" s="113" t="s">
        <v>369</v>
      </c>
      <c r="S956" s="113" t="s">
        <v>3091</v>
      </c>
      <c r="T956" s="113"/>
      <c r="U956" s="113"/>
      <c r="V956" s="113"/>
      <c r="W956" s="225"/>
    </row>
    <row r="957" spans="1:25" s="48" customFormat="1" x14ac:dyDescent="0.3">
      <c r="A957" s="48">
        <f t="shared" si="38"/>
        <v>15</v>
      </c>
      <c r="B957" s="195">
        <v>46120</v>
      </c>
      <c r="C957" s="48" t="str">
        <f t="shared" si="37"/>
        <v>abril</v>
      </c>
      <c r="D957" s="48" t="s">
        <v>2135</v>
      </c>
      <c r="E957" s="42" t="s">
        <v>2728</v>
      </c>
      <c r="F957" s="196" t="s">
        <v>3244</v>
      </c>
      <c r="G957" s="48">
        <v>1</v>
      </c>
      <c r="H957" s="48" t="s">
        <v>2138</v>
      </c>
      <c r="I957" s="214">
        <v>200</v>
      </c>
      <c r="J957" s="214">
        <v>200</v>
      </c>
      <c r="K957" s="214">
        <v>0</v>
      </c>
      <c r="L957" s="214">
        <v>200</v>
      </c>
      <c r="M957" s="198">
        <v>0</v>
      </c>
      <c r="N957" s="48" t="s">
        <v>901</v>
      </c>
      <c r="O957" s="48" t="s">
        <v>2942</v>
      </c>
      <c r="P957" s="48" t="s">
        <v>25</v>
      </c>
      <c r="Q957" s="48" t="s">
        <v>241</v>
      </c>
      <c r="R957" s="113" t="s">
        <v>369</v>
      </c>
      <c r="S957" s="113" t="s">
        <v>3091</v>
      </c>
      <c r="T957" s="113"/>
      <c r="U957" s="113"/>
      <c r="V957" s="113"/>
      <c r="W957" s="225"/>
    </row>
    <row r="958" spans="1:25" s="48" customFormat="1" x14ac:dyDescent="0.3">
      <c r="A958" s="48">
        <f t="shared" si="38"/>
        <v>15</v>
      </c>
      <c r="B958" s="195">
        <v>46120</v>
      </c>
      <c r="C958" s="48" t="str">
        <f t="shared" si="37"/>
        <v>abril</v>
      </c>
      <c r="D958" s="48" t="s">
        <v>2135</v>
      </c>
      <c r="E958" s="42" t="s">
        <v>2728</v>
      </c>
      <c r="F958" s="196" t="s">
        <v>3245</v>
      </c>
      <c r="G958" s="48">
        <v>1</v>
      </c>
      <c r="H958" s="48" t="s">
        <v>2138</v>
      </c>
      <c r="I958" s="214">
        <v>200</v>
      </c>
      <c r="J958" s="214">
        <v>200</v>
      </c>
      <c r="K958" s="214">
        <v>0</v>
      </c>
      <c r="L958" s="214">
        <v>200</v>
      </c>
      <c r="M958" s="198">
        <v>0</v>
      </c>
      <c r="N958" s="48" t="s">
        <v>901</v>
      </c>
      <c r="O958" s="48" t="s">
        <v>2942</v>
      </c>
      <c r="P958" s="48" t="s">
        <v>25</v>
      </c>
      <c r="Q958" s="48" t="s">
        <v>241</v>
      </c>
      <c r="R958" s="113" t="s">
        <v>369</v>
      </c>
      <c r="S958" s="113" t="s">
        <v>3091</v>
      </c>
      <c r="T958" s="113"/>
      <c r="U958" s="113"/>
      <c r="V958" s="113"/>
      <c r="W958" s="225"/>
    </row>
    <row r="959" spans="1:25" customFormat="1" ht="14.4" x14ac:dyDescent="0.3">
      <c r="A959" s="48">
        <f t="shared" si="38"/>
        <v>15</v>
      </c>
      <c r="B959" s="195">
        <v>46120</v>
      </c>
      <c r="C959" s="48" t="str">
        <f t="shared" si="37"/>
        <v>abril</v>
      </c>
      <c r="D959" s="48" t="s">
        <v>2135</v>
      </c>
      <c r="E959" s="42" t="s">
        <v>116</v>
      </c>
      <c r="F959" s="196" t="s">
        <v>2592</v>
      </c>
      <c r="G959" s="48">
        <v>1</v>
      </c>
      <c r="H959" s="48" t="s">
        <v>2138</v>
      </c>
      <c r="I959" s="214">
        <v>86.21</v>
      </c>
      <c r="J959" s="214">
        <v>86.21</v>
      </c>
      <c r="K959" s="214">
        <v>13.79</v>
      </c>
      <c r="L959" s="214">
        <v>100</v>
      </c>
      <c r="M959" s="198">
        <v>0</v>
      </c>
      <c r="N959" s="48" t="s">
        <v>901</v>
      </c>
      <c r="O959" s="48" t="s">
        <v>1617</v>
      </c>
      <c r="P959" s="48" t="s">
        <v>25</v>
      </c>
      <c r="Q959" s="48" t="s">
        <v>1841</v>
      </c>
      <c r="R959" s="113" t="s">
        <v>2137</v>
      </c>
      <c r="S959" s="113" t="s">
        <v>1890</v>
      </c>
      <c r="T959" s="113"/>
      <c r="U959" s="113"/>
      <c r="V959" s="113"/>
      <c r="W959" s="225"/>
      <c r="X959" s="50"/>
      <c r="Y959" s="50"/>
    </row>
    <row r="960" spans="1:25" customFormat="1" ht="14.4" x14ac:dyDescent="0.3">
      <c r="A960" s="48">
        <f t="shared" si="38"/>
        <v>15</v>
      </c>
      <c r="B960" s="195">
        <v>46120</v>
      </c>
      <c r="C960" s="48" t="str">
        <f t="shared" si="37"/>
        <v>abril</v>
      </c>
      <c r="D960" s="48" t="s">
        <v>2135</v>
      </c>
      <c r="E960" s="42" t="s">
        <v>116</v>
      </c>
      <c r="F960" s="196" t="s">
        <v>2592</v>
      </c>
      <c r="G960" s="48">
        <v>1</v>
      </c>
      <c r="H960" s="48" t="s">
        <v>2138</v>
      </c>
      <c r="I960" s="214">
        <v>86.21</v>
      </c>
      <c r="J960" s="214">
        <v>86.21</v>
      </c>
      <c r="K960" s="214">
        <v>13.79</v>
      </c>
      <c r="L960" s="214">
        <v>100</v>
      </c>
      <c r="M960" s="198">
        <v>0</v>
      </c>
      <c r="N960" s="48" t="s">
        <v>901</v>
      </c>
      <c r="O960" s="48" t="s">
        <v>463</v>
      </c>
      <c r="P960" s="48" t="s">
        <v>25</v>
      </c>
      <c r="Q960" s="48" t="s">
        <v>1841</v>
      </c>
      <c r="R960" s="113" t="s">
        <v>2137</v>
      </c>
      <c r="S960" s="113" t="s">
        <v>1890</v>
      </c>
      <c r="T960" s="48"/>
      <c r="U960" s="48"/>
      <c r="V960" s="48"/>
      <c r="W960" s="195"/>
      <c r="X960" s="50"/>
      <c r="Y960" s="50"/>
    </row>
    <row r="961" spans="1:25" customFormat="1" ht="14.4" x14ac:dyDescent="0.3">
      <c r="A961" s="48">
        <f t="shared" si="38"/>
        <v>15</v>
      </c>
      <c r="B961" s="221">
        <v>46121</v>
      </c>
      <c r="C961" s="48" t="str">
        <f t="shared" si="37"/>
        <v>abril</v>
      </c>
      <c r="D961" s="133" t="s">
        <v>2135</v>
      </c>
      <c r="E961" s="42" t="s">
        <v>2728</v>
      </c>
      <c r="F961" s="222" t="s">
        <v>3238</v>
      </c>
      <c r="G961" s="133">
        <v>1</v>
      </c>
      <c r="H961" s="133" t="s">
        <v>1705</v>
      </c>
      <c r="I961" s="223">
        <v>1379.31</v>
      </c>
      <c r="J961" s="223">
        <v>1379.31</v>
      </c>
      <c r="K961" s="223">
        <v>220.69</v>
      </c>
      <c r="L961" s="223">
        <v>1600</v>
      </c>
      <c r="M961" s="203">
        <v>0</v>
      </c>
      <c r="N961" s="133" t="s">
        <v>901</v>
      </c>
      <c r="O961" s="133" t="s">
        <v>1071</v>
      </c>
      <c r="P961" s="133" t="s">
        <v>18</v>
      </c>
      <c r="Q961" s="133" t="s">
        <v>241</v>
      </c>
      <c r="R961" s="134" t="s">
        <v>364</v>
      </c>
      <c r="S961" s="134" t="s">
        <v>3239</v>
      </c>
      <c r="T961" s="134"/>
      <c r="U961" s="134" t="s">
        <v>3246</v>
      </c>
      <c r="V961" s="134"/>
      <c r="W961" s="224" t="s">
        <v>3240</v>
      </c>
      <c r="X961" s="50"/>
      <c r="Y961" s="50"/>
    </row>
    <row r="962" spans="1:25" customFormat="1" ht="14.4" x14ac:dyDescent="0.3">
      <c r="A962" s="48">
        <f t="shared" si="38"/>
        <v>15</v>
      </c>
      <c r="B962" s="226">
        <v>46121</v>
      </c>
      <c r="C962" s="48" t="str">
        <f t="shared" si="37"/>
        <v>abril</v>
      </c>
      <c r="D962" s="48" t="s">
        <v>2135</v>
      </c>
      <c r="E962" s="42" t="s">
        <v>2728</v>
      </c>
      <c r="F962" s="227" t="s">
        <v>3247</v>
      </c>
      <c r="G962" s="228">
        <v>1</v>
      </c>
      <c r="H962" s="48" t="s">
        <v>1705</v>
      </c>
      <c r="I962" s="214">
        <v>261.8</v>
      </c>
      <c r="J962" s="214">
        <v>261.8</v>
      </c>
      <c r="K962" s="214">
        <f>J962*0.16</f>
        <v>41.888000000000005</v>
      </c>
      <c r="L962" s="214">
        <f>SUM(J962:K962)</f>
        <v>303.68799999999999</v>
      </c>
      <c r="M962" s="198">
        <v>0</v>
      </c>
      <c r="N962" s="48" t="s">
        <v>901</v>
      </c>
      <c r="O962" s="48" t="s">
        <v>2942</v>
      </c>
      <c r="P962" s="48" t="s">
        <v>25</v>
      </c>
      <c r="Q962" s="48" t="s">
        <v>241</v>
      </c>
      <c r="R962" s="229" t="s">
        <v>3248</v>
      </c>
      <c r="S962" s="229" t="s">
        <v>650</v>
      </c>
      <c r="T962" s="229"/>
      <c r="U962" s="229"/>
      <c r="V962" s="229"/>
      <c r="W962" s="230" t="s">
        <v>3249</v>
      </c>
      <c r="X962" s="50"/>
      <c r="Y962" s="50"/>
    </row>
    <row r="963" spans="1:25" customFormat="1" ht="14.4" x14ac:dyDescent="0.3">
      <c r="A963" s="48">
        <f t="shared" si="38"/>
        <v>15</v>
      </c>
      <c r="B963" s="226">
        <v>46121</v>
      </c>
      <c r="C963" s="48" t="str">
        <f t="shared" si="37"/>
        <v>abril</v>
      </c>
      <c r="D963" s="48" t="s">
        <v>2135</v>
      </c>
      <c r="E963" s="42" t="s">
        <v>2728</v>
      </c>
      <c r="F963" s="227" t="s">
        <v>656</v>
      </c>
      <c r="G963" s="48">
        <v>1</v>
      </c>
      <c r="H963" s="48" t="s">
        <v>1705</v>
      </c>
      <c r="I963" s="214">
        <v>1144.0999999999999</v>
      </c>
      <c r="J963" s="214">
        <v>1144.0999999999999</v>
      </c>
      <c r="K963" s="214">
        <f>J963*0.16</f>
        <v>183.05599999999998</v>
      </c>
      <c r="L963" s="214">
        <f>SUM(J963:K963)</f>
        <v>1327.1559999999999</v>
      </c>
      <c r="M963" s="198">
        <v>0</v>
      </c>
      <c r="N963" s="48" t="s">
        <v>901</v>
      </c>
      <c r="O963" s="48" t="s">
        <v>2942</v>
      </c>
      <c r="P963" s="48" t="s">
        <v>25</v>
      </c>
      <c r="Q963" s="48" t="s">
        <v>241</v>
      </c>
      <c r="R963" s="229" t="s">
        <v>3248</v>
      </c>
      <c r="S963" s="229" t="s">
        <v>650</v>
      </c>
      <c r="T963" s="48"/>
      <c r="U963" s="48"/>
      <c r="V963" s="48"/>
      <c r="W963" s="230" t="s">
        <v>3249</v>
      </c>
      <c r="X963" s="50"/>
      <c r="Y963" s="50"/>
    </row>
    <row r="964" spans="1:25" customFormat="1" ht="14.4" x14ac:dyDescent="0.3">
      <c r="A964" s="48">
        <v>15</v>
      </c>
      <c r="B964" s="226">
        <v>46122</v>
      </c>
      <c r="C964" s="48" t="str">
        <f t="shared" si="37"/>
        <v>abril</v>
      </c>
      <c r="D964" s="48" t="s">
        <v>2135</v>
      </c>
      <c r="E964" s="42" t="s">
        <v>356</v>
      </c>
      <c r="F964" s="227" t="s">
        <v>127</v>
      </c>
      <c r="G964" s="48">
        <v>8.69</v>
      </c>
      <c r="H964" s="48" t="s">
        <v>2017</v>
      </c>
      <c r="I964" s="214">
        <v>19.920000000000002</v>
      </c>
      <c r="J964" s="214">
        <v>173.12</v>
      </c>
      <c r="K964" s="214">
        <v>26.88</v>
      </c>
      <c r="L964" s="214">
        <v>200</v>
      </c>
      <c r="M964" s="198">
        <v>0</v>
      </c>
      <c r="N964" s="48" t="s">
        <v>3250</v>
      </c>
      <c r="O964" s="48" t="s">
        <v>152</v>
      </c>
      <c r="P964" s="48" t="s">
        <v>25</v>
      </c>
      <c r="Q964" s="48" t="s">
        <v>241</v>
      </c>
      <c r="R964" s="48" t="s">
        <v>2726</v>
      </c>
      <c r="S964" s="229" t="s">
        <v>647</v>
      </c>
      <c r="T964" s="48" t="s">
        <v>2025</v>
      </c>
      <c r="U964" s="48" t="s">
        <v>3251</v>
      </c>
      <c r="V964" s="48"/>
      <c r="W964" s="230"/>
      <c r="X964" s="50"/>
      <c r="Y964" s="50"/>
    </row>
    <row r="965" spans="1:25" customFormat="1" ht="14.4" x14ac:dyDescent="0.3">
      <c r="A965" s="48">
        <v>15</v>
      </c>
      <c r="B965" s="226">
        <v>46122</v>
      </c>
      <c r="C965" s="48" t="str">
        <f t="shared" si="37"/>
        <v>abril</v>
      </c>
      <c r="D965" s="48" t="s">
        <v>2135</v>
      </c>
      <c r="E965" s="42" t="s">
        <v>2728</v>
      </c>
      <c r="F965" s="227" t="s">
        <v>619</v>
      </c>
      <c r="G965" s="48">
        <v>1</v>
      </c>
      <c r="H965" s="48" t="s">
        <v>1705</v>
      </c>
      <c r="I965" s="214">
        <v>220</v>
      </c>
      <c r="J965" s="214">
        <v>220</v>
      </c>
      <c r="K965" s="214">
        <v>0</v>
      </c>
      <c r="L965" s="214">
        <v>220</v>
      </c>
      <c r="M965" s="198">
        <v>0</v>
      </c>
      <c r="N965" s="48" t="s">
        <v>874</v>
      </c>
      <c r="O965" s="48" t="s">
        <v>100</v>
      </c>
      <c r="P965" s="48" t="s">
        <v>25</v>
      </c>
      <c r="Q965" s="48" t="s">
        <v>241</v>
      </c>
      <c r="R965" s="229" t="s">
        <v>3252</v>
      </c>
      <c r="S965" s="229" t="s">
        <v>1709</v>
      </c>
      <c r="T965" s="48"/>
      <c r="U965" s="48"/>
      <c r="V965" s="48"/>
      <c r="W965" s="230"/>
      <c r="X965" s="50"/>
      <c r="Y965" s="50"/>
    </row>
    <row r="966" spans="1:25" customFormat="1" ht="14.4" x14ac:dyDescent="0.3">
      <c r="A966" s="48">
        <v>15</v>
      </c>
      <c r="B966" s="226">
        <v>46122</v>
      </c>
      <c r="C966" s="48" t="str">
        <f t="shared" si="37"/>
        <v>abril</v>
      </c>
      <c r="D966" s="48" t="s">
        <v>2135</v>
      </c>
      <c r="E966" s="42" t="s">
        <v>2728</v>
      </c>
      <c r="F966" s="227" t="s">
        <v>97</v>
      </c>
      <c r="G966" s="48">
        <v>1</v>
      </c>
      <c r="H966" s="48" t="s">
        <v>2016</v>
      </c>
      <c r="I966" s="214">
        <v>293.10000000000002</v>
      </c>
      <c r="J966" s="214">
        <v>293.10000000000002</v>
      </c>
      <c r="K966" s="214">
        <v>46.9</v>
      </c>
      <c r="L966" s="214">
        <v>340</v>
      </c>
      <c r="M966" s="198">
        <v>0</v>
      </c>
      <c r="N966" s="48" t="s">
        <v>874</v>
      </c>
      <c r="O966" s="48" t="s">
        <v>100</v>
      </c>
      <c r="P966" s="48" t="s">
        <v>25</v>
      </c>
      <c r="Q966" s="48" t="s">
        <v>241</v>
      </c>
      <c r="R966" s="229" t="s">
        <v>3252</v>
      </c>
      <c r="S966" s="229" t="s">
        <v>613</v>
      </c>
      <c r="T966" s="48" t="s">
        <v>2578</v>
      </c>
      <c r="U966" s="48"/>
      <c r="V966" s="48"/>
      <c r="W966" s="48" t="s">
        <v>3253</v>
      </c>
      <c r="X966" s="50"/>
      <c r="Y966" s="50"/>
    </row>
    <row r="967" spans="1:25" customFormat="1" ht="14.4" x14ac:dyDescent="0.3">
      <c r="A967" s="48">
        <v>15</v>
      </c>
      <c r="B967" s="226">
        <v>46122</v>
      </c>
      <c r="C967" s="48" t="str">
        <f t="shared" si="37"/>
        <v>abril</v>
      </c>
      <c r="D967" s="48" t="s">
        <v>2135</v>
      </c>
      <c r="E967" s="42" t="s">
        <v>2728</v>
      </c>
      <c r="F967" s="227" t="s">
        <v>92</v>
      </c>
      <c r="G967" s="48">
        <v>1</v>
      </c>
      <c r="H967" s="48" t="s">
        <v>1705</v>
      </c>
      <c r="I967" s="214">
        <v>82.76</v>
      </c>
      <c r="J967" s="214">
        <v>82.76</v>
      </c>
      <c r="K967" s="214">
        <v>13.24</v>
      </c>
      <c r="L967" s="214">
        <v>96</v>
      </c>
      <c r="M967" s="198">
        <v>0</v>
      </c>
      <c r="N967" s="48" t="s">
        <v>901</v>
      </c>
      <c r="O967" s="48" t="s">
        <v>2942</v>
      </c>
      <c r="P967" s="48" t="s">
        <v>25</v>
      </c>
      <c r="Q967" s="48" t="s">
        <v>241</v>
      </c>
      <c r="R967" s="229" t="s">
        <v>3252</v>
      </c>
      <c r="S967" s="229" t="s">
        <v>613</v>
      </c>
      <c r="T967" s="48" t="s">
        <v>2502</v>
      </c>
      <c r="U967" s="48"/>
      <c r="V967" s="48"/>
      <c r="W967" s="48" t="s">
        <v>3253</v>
      </c>
      <c r="X967" s="50"/>
      <c r="Y967" s="50"/>
    </row>
    <row r="968" spans="1:25" customFormat="1" ht="14.4" x14ac:dyDescent="0.3">
      <c r="A968" s="48">
        <f>WEEKNUM(B968)</f>
        <v>3</v>
      </c>
      <c r="B968" s="113">
        <v>46034</v>
      </c>
      <c r="C968" s="48" t="str">
        <f>TEXT(B968,"MMMM")</f>
        <v>enero</v>
      </c>
      <c r="D968" s="48" t="s">
        <v>2175</v>
      </c>
      <c r="E968" s="42" t="s">
        <v>3254</v>
      </c>
      <c r="F968" s="47" t="s">
        <v>1843</v>
      </c>
      <c r="G968" s="48">
        <v>1</v>
      </c>
      <c r="H968" s="48" t="s">
        <v>1705</v>
      </c>
      <c r="I968" s="214">
        <v>215689.6551724138</v>
      </c>
      <c r="J968" s="214">
        <v>215689.6551724138</v>
      </c>
      <c r="K968" s="214">
        <v>34510.34482758621</v>
      </c>
      <c r="L968" s="214">
        <v>250200</v>
      </c>
      <c r="M968" s="198">
        <v>0</v>
      </c>
      <c r="N968" s="48" t="s">
        <v>901</v>
      </c>
      <c r="O968" s="48" t="s">
        <v>1586</v>
      </c>
      <c r="P968" s="48" t="s">
        <v>25</v>
      </c>
      <c r="Q968" s="48"/>
      <c r="R968" s="48" t="s">
        <v>3255</v>
      </c>
      <c r="S968" s="48" t="s">
        <v>566</v>
      </c>
      <c r="T968" s="114" t="s">
        <v>3256</v>
      </c>
      <c r="U968" s="48"/>
      <c r="V968" s="39"/>
      <c r="W968" s="41"/>
      <c r="X968" s="50"/>
      <c r="Y968" s="50"/>
    </row>
    <row r="969" spans="1:25" customFormat="1" ht="14.4" x14ac:dyDescent="0.3">
      <c r="A969" s="48">
        <f>WEEKNUM(B969)</f>
        <v>3</v>
      </c>
      <c r="B969" s="113">
        <v>46034</v>
      </c>
      <c r="C969" s="48" t="str">
        <f>TEXT(B969,"MMMM")</f>
        <v>enero</v>
      </c>
      <c r="D969" s="48" t="s">
        <v>2175</v>
      </c>
      <c r="E969" s="42" t="s">
        <v>3254</v>
      </c>
      <c r="F969" s="47" t="s">
        <v>1843</v>
      </c>
      <c r="G969" s="48">
        <v>1</v>
      </c>
      <c r="H969" s="48" t="s">
        <v>1705</v>
      </c>
      <c r="I969" s="214">
        <v>215689.6551724138</v>
      </c>
      <c r="J969" s="214">
        <v>215689.6551724138</v>
      </c>
      <c r="K969" s="214">
        <v>34510.34482758621</v>
      </c>
      <c r="L969" s="214">
        <v>250200</v>
      </c>
      <c r="M969" s="198">
        <v>0</v>
      </c>
      <c r="N969" s="48" t="s">
        <v>901</v>
      </c>
      <c r="O969" s="48" t="s">
        <v>1443</v>
      </c>
      <c r="P969" s="48" t="s">
        <v>25</v>
      </c>
      <c r="Q969" s="48"/>
      <c r="R969" s="48" t="s">
        <v>3255</v>
      </c>
      <c r="S969" s="48" t="s">
        <v>566</v>
      </c>
      <c r="T969" s="114" t="s">
        <v>3256</v>
      </c>
      <c r="U969" s="48"/>
      <c r="V969" s="39"/>
      <c r="W969" s="41"/>
      <c r="X969" s="50"/>
      <c r="Y969" s="50"/>
    </row>
    <row r="970" spans="1:25" customFormat="1" ht="14.4" x14ac:dyDescent="0.3">
      <c r="A970" s="48">
        <f t="shared" ref="A970:A1033" si="39">WEEKNUM(B970)</f>
        <v>3</v>
      </c>
      <c r="B970" s="113">
        <v>46034</v>
      </c>
      <c r="C970" s="48" t="str">
        <f t="shared" si="37"/>
        <v>enero</v>
      </c>
      <c r="D970" s="48" t="s">
        <v>2175</v>
      </c>
      <c r="E970" s="42" t="s">
        <v>3254</v>
      </c>
      <c r="F970" s="47" t="s">
        <v>1843</v>
      </c>
      <c r="G970" s="48">
        <v>1</v>
      </c>
      <c r="H970" s="48" t="s">
        <v>1705</v>
      </c>
      <c r="I970" s="197">
        <v>215689.6551724138</v>
      </c>
      <c r="J970" s="197">
        <v>215689.6551724138</v>
      </c>
      <c r="K970" s="197">
        <v>34510.34482758621</v>
      </c>
      <c r="L970" s="197">
        <v>250200</v>
      </c>
      <c r="M970" s="198">
        <v>0</v>
      </c>
      <c r="N970" s="48" t="s">
        <v>901</v>
      </c>
      <c r="O970" s="48" t="s">
        <v>1429</v>
      </c>
      <c r="P970" s="48" t="s">
        <v>25</v>
      </c>
      <c r="Q970" s="48"/>
      <c r="R970" s="48" t="s">
        <v>3255</v>
      </c>
      <c r="S970" s="48" t="s">
        <v>566</v>
      </c>
      <c r="T970" s="114" t="s">
        <v>3256</v>
      </c>
      <c r="U970" s="48"/>
      <c r="V970" s="39"/>
      <c r="W970" s="41"/>
      <c r="X970" s="50"/>
      <c r="Y970" s="50"/>
    </row>
    <row r="971" spans="1:25" customFormat="1" ht="14.4" x14ac:dyDescent="0.3">
      <c r="A971" s="48">
        <f t="shared" si="39"/>
        <v>3</v>
      </c>
      <c r="B971" s="113">
        <v>46034</v>
      </c>
      <c r="C971" s="48" t="str">
        <f t="shared" si="37"/>
        <v>enero</v>
      </c>
      <c r="D971" s="48" t="s">
        <v>2175</v>
      </c>
      <c r="E971" s="42" t="s">
        <v>3254</v>
      </c>
      <c r="F971" s="47" t="s">
        <v>1843</v>
      </c>
      <c r="G971" s="48">
        <v>1</v>
      </c>
      <c r="H971" s="48" t="s">
        <v>1705</v>
      </c>
      <c r="I971" s="197">
        <v>215689.6551724138</v>
      </c>
      <c r="J971" s="197">
        <v>215689.6551724138</v>
      </c>
      <c r="K971" s="197">
        <v>34510.34482758621</v>
      </c>
      <c r="L971" s="197">
        <v>250200</v>
      </c>
      <c r="M971" s="198">
        <v>0</v>
      </c>
      <c r="N971" s="48" t="s">
        <v>901</v>
      </c>
      <c r="O971" s="48" t="s">
        <v>2149</v>
      </c>
      <c r="P971" s="48" t="s">
        <v>25</v>
      </c>
      <c r="Q971" s="48"/>
      <c r="R971" s="48" t="s">
        <v>3255</v>
      </c>
      <c r="S971" s="48" t="s">
        <v>566</v>
      </c>
      <c r="T971" s="114" t="s">
        <v>3256</v>
      </c>
      <c r="U971" s="48"/>
      <c r="V971" s="39"/>
      <c r="W971" s="41"/>
      <c r="X971" s="50"/>
      <c r="Y971" s="50"/>
    </row>
    <row r="972" spans="1:25" customFormat="1" ht="14.4" x14ac:dyDescent="0.3">
      <c r="A972" s="48">
        <f t="shared" si="39"/>
        <v>3</v>
      </c>
      <c r="B972" s="113">
        <v>46034</v>
      </c>
      <c r="C972" s="48" t="str">
        <f t="shared" si="37"/>
        <v>enero</v>
      </c>
      <c r="D972" s="48" t="s">
        <v>2175</v>
      </c>
      <c r="E972" s="42" t="s">
        <v>3254</v>
      </c>
      <c r="F972" s="47" t="s">
        <v>1843</v>
      </c>
      <c r="G972" s="48">
        <v>1</v>
      </c>
      <c r="H972" s="48" t="s">
        <v>1705</v>
      </c>
      <c r="I972" s="197">
        <v>215689.6551724138</v>
      </c>
      <c r="J972" s="197">
        <v>215689.6551724138</v>
      </c>
      <c r="K972" s="197">
        <v>34510.34482758621</v>
      </c>
      <c r="L972" s="197">
        <v>250200</v>
      </c>
      <c r="M972" s="198">
        <v>0</v>
      </c>
      <c r="N972" s="48" t="s">
        <v>901</v>
      </c>
      <c r="O972" s="48" t="s">
        <v>1439</v>
      </c>
      <c r="P972" s="48" t="s">
        <v>25</v>
      </c>
      <c r="Q972" s="48"/>
      <c r="R972" s="48" t="s">
        <v>3255</v>
      </c>
      <c r="S972" s="48" t="s">
        <v>566</v>
      </c>
      <c r="T972" s="114" t="s">
        <v>3256</v>
      </c>
      <c r="U972" s="48"/>
      <c r="V972" s="39"/>
      <c r="W972" s="41"/>
      <c r="X972" s="50"/>
      <c r="Y972" s="50"/>
    </row>
    <row r="973" spans="1:25" customFormat="1" ht="14.4" x14ac:dyDescent="0.3">
      <c r="A973" s="48">
        <f t="shared" si="39"/>
        <v>3</v>
      </c>
      <c r="B973" s="113">
        <v>46034</v>
      </c>
      <c r="C973" s="48" t="str">
        <f t="shared" si="37"/>
        <v>enero</v>
      </c>
      <c r="D973" s="48" t="s">
        <v>2175</v>
      </c>
      <c r="E973" s="42" t="s">
        <v>3254</v>
      </c>
      <c r="F973" s="47" t="s">
        <v>1843</v>
      </c>
      <c r="G973" s="48">
        <v>1</v>
      </c>
      <c r="H973" s="48" t="s">
        <v>1705</v>
      </c>
      <c r="I973" s="197">
        <v>135939.6551724138</v>
      </c>
      <c r="J973" s="197">
        <v>135939.6551724138</v>
      </c>
      <c r="K973" s="197">
        <v>21750.344827586207</v>
      </c>
      <c r="L973" s="197">
        <v>157690</v>
      </c>
      <c r="M973" s="198">
        <v>0</v>
      </c>
      <c r="N973" s="48" t="s">
        <v>901</v>
      </c>
      <c r="O973" s="48" t="s">
        <v>1611</v>
      </c>
      <c r="P973" s="48" t="s">
        <v>25</v>
      </c>
      <c r="Q973" s="48"/>
      <c r="R973" s="48" t="s">
        <v>3255</v>
      </c>
      <c r="S973" s="48" t="s">
        <v>566</v>
      </c>
      <c r="T973" s="114" t="s">
        <v>3257</v>
      </c>
      <c r="U973" s="48"/>
      <c r="V973" s="39"/>
      <c r="W973" s="41"/>
      <c r="X973" s="50"/>
      <c r="Y973" s="50"/>
    </row>
    <row r="974" spans="1:25" customFormat="1" ht="14.4" x14ac:dyDescent="0.3">
      <c r="A974" s="48">
        <f t="shared" si="39"/>
        <v>5</v>
      </c>
      <c r="B974" s="113">
        <v>46048</v>
      </c>
      <c r="C974" s="48" t="str">
        <f t="shared" si="37"/>
        <v>enero</v>
      </c>
      <c r="D974" s="48" t="s">
        <v>2175</v>
      </c>
      <c r="E974" s="42" t="s">
        <v>3254</v>
      </c>
      <c r="F974" s="47" t="s">
        <v>1843</v>
      </c>
      <c r="G974" s="48">
        <v>1</v>
      </c>
      <c r="H974" s="48" t="s">
        <v>1705</v>
      </c>
      <c r="I974" s="197">
        <v>193318.96551724139</v>
      </c>
      <c r="J974" s="197">
        <v>193318.96551724139</v>
      </c>
      <c r="K974" s="197">
        <v>30931.034482758623</v>
      </c>
      <c r="L974" s="197">
        <v>224250</v>
      </c>
      <c r="M974" s="198">
        <v>0</v>
      </c>
      <c r="N974" s="48" t="s">
        <v>901</v>
      </c>
      <c r="O974" s="48" t="s">
        <v>1829</v>
      </c>
      <c r="P974" s="48" t="s">
        <v>25</v>
      </c>
      <c r="Q974" s="48" t="s">
        <v>1844</v>
      </c>
      <c r="R974" s="48" t="s">
        <v>3255</v>
      </c>
      <c r="S974" s="48" t="s">
        <v>566</v>
      </c>
      <c r="T974" s="114" t="s">
        <v>3258</v>
      </c>
      <c r="U974" s="48"/>
      <c r="V974" s="39"/>
      <c r="W974" s="41"/>
      <c r="X974" s="50"/>
      <c r="Y974" s="50"/>
    </row>
    <row r="975" spans="1:25" customFormat="1" ht="14.4" x14ac:dyDescent="0.3">
      <c r="A975" s="48">
        <f t="shared" si="39"/>
        <v>7</v>
      </c>
      <c r="B975" s="113">
        <v>46063</v>
      </c>
      <c r="C975" s="48" t="str">
        <f t="shared" si="37"/>
        <v>febrero</v>
      </c>
      <c r="D975" s="48" t="s">
        <v>2175</v>
      </c>
      <c r="E975" s="42" t="s">
        <v>3254</v>
      </c>
      <c r="F975" s="47" t="s">
        <v>1843</v>
      </c>
      <c r="G975" s="48">
        <v>1</v>
      </c>
      <c r="H975" s="48" t="s">
        <v>1705</v>
      </c>
      <c r="I975" s="197">
        <v>155853.44827586209</v>
      </c>
      <c r="J975" s="197">
        <v>155853.44827586209</v>
      </c>
      <c r="K975" s="197">
        <v>24936.551724137935</v>
      </c>
      <c r="L975" s="197">
        <v>180790</v>
      </c>
      <c r="M975" s="198">
        <v>0</v>
      </c>
      <c r="N975" s="48" t="s">
        <v>901</v>
      </c>
      <c r="O975" s="48" t="s">
        <v>1860</v>
      </c>
      <c r="P975" s="48" t="s">
        <v>25</v>
      </c>
      <c r="Q975" s="48"/>
      <c r="R975" s="48" t="s">
        <v>3255</v>
      </c>
      <c r="S975" s="48" t="s">
        <v>566</v>
      </c>
      <c r="T975" s="114" t="s">
        <v>2151</v>
      </c>
      <c r="U975" s="48"/>
      <c r="V975" s="39"/>
      <c r="W975" s="41"/>
      <c r="X975" s="50"/>
      <c r="Y975" s="50"/>
    </row>
    <row r="976" spans="1:25" customFormat="1" ht="14.4" x14ac:dyDescent="0.3">
      <c r="A976" s="48">
        <f t="shared" si="39"/>
        <v>6</v>
      </c>
      <c r="B976" s="113">
        <v>46058</v>
      </c>
      <c r="C976" s="48" t="str">
        <f t="shared" si="37"/>
        <v>febrero</v>
      </c>
      <c r="D976" s="48" t="s">
        <v>2175</v>
      </c>
      <c r="E976" s="42" t="s">
        <v>3254</v>
      </c>
      <c r="F976" s="47" t="s">
        <v>1843</v>
      </c>
      <c r="G976" s="48">
        <v>1</v>
      </c>
      <c r="H976" s="48" t="s">
        <v>1705</v>
      </c>
      <c r="I976" s="197">
        <v>168146.55172413794</v>
      </c>
      <c r="J976" s="197">
        <v>168146.55172413794</v>
      </c>
      <c r="K976" s="197">
        <v>26903.448275862072</v>
      </c>
      <c r="L976" s="197">
        <v>195050</v>
      </c>
      <c r="M976" s="198">
        <v>0</v>
      </c>
      <c r="N976" s="48" t="s">
        <v>901</v>
      </c>
      <c r="O976" s="48" t="s">
        <v>2477</v>
      </c>
      <c r="P976" s="48" t="s">
        <v>25</v>
      </c>
      <c r="Q976" s="48" t="s">
        <v>1921</v>
      </c>
      <c r="R976" s="48" t="s">
        <v>3255</v>
      </c>
      <c r="S976" s="48" t="s">
        <v>566</v>
      </c>
      <c r="T976" s="114" t="s">
        <v>2151</v>
      </c>
      <c r="U976" s="48"/>
      <c r="V976" s="39"/>
      <c r="W976" s="41"/>
      <c r="X976" s="50"/>
      <c r="Y976" s="50"/>
    </row>
    <row r="977" spans="1:25" customFormat="1" ht="14.4" x14ac:dyDescent="0.3">
      <c r="A977" s="48">
        <f t="shared" si="39"/>
        <v>9</v>
      </c>
      <c r="B977" s="113">
        <v>46076</v>
      </c>
      <c r="C977" s="48" t="str">
        <f t="shared" si="37"/>
        <v>febrero</v>
      </c>
      <c r="D977" s="48" t="s">
        <v>2175</v>
      </c>
      <c r="E977" s="42" t="s">
        <v>3254</v>
      </c>
      <c r="F977" s="47" t="s">
        <v>1843</v>
      </c>
      <c r="G977" s="48">
        <v>1</v>
      </c>
      <c r="H977" s="48" t="s">
        <v>1705</v>
      </c>
      <c r="I977" s="197">
        <v>161034.4827586207</v>
      </c>
      <c r="J977" s="197">
        <v>161034.4827586207</v>
      </c>
      <c r="K977" s="197">
        <v>25765.517241379312</v>
      </c>
      <c r="L977" s="197">
        <v>186800</v>
      </c>
      <c r="M977" s="198">
        <v>0</v>
      </c>
      <c r="N977" s="48" t="s">
        <v>901</v>
      </c>
      <c r="O977" s="48" t="s">
        <v>2981</v>
      </c>
      <c r="P977" s="48" t="s">
        <v>25</v>
      </c>
      <c r="Q977" s="48" t="s">
        <v>1844</v>
      </c>
      <c r="R977" s="48" t="s">
        <v>3255</v>
      </c>
      <c r="S977" s="48" t="s">
        <v>566</v>
      </c>
      <c r="T977" s="114" t="s">
        <v>2151</v>
      </c>
      <c r="U977" s="48"/>
      <c r="V977" s="39"/>
      <c r="W977" s="41"/>
      <c r="X977" s="50"/>
      <c r="Y977" s="50"/>
    </row>
    <row r="978" spans="1:25" customFormat="1" ht="14.4" x14ac:dyDescent="0.3">
      <c r="A978" s="48">
        <f t="shared" si="39"/>
        <v>10</v>
      </c>
      <c r="B978" s="113">
        <v>46085</v>
      </c>
      <c r="C978" s="48" t="str">
        <f t="shared" si="37"/>
        <v>marzo</v>
      </c>
      <c r="D978" s="48" t="s">
        <v>2175</v>
      </c>
      <c r="E978" s="42" t="s">
        <v>3254</v>
      </c>
      <c r="F978" s="47" t="s">
        <v>1843</v>
      </c>
      <c r="G978" s="48">
        <v>1</v>
      </c>
      <c r="H978" s="48" t="s">
        <v>1705</v>
      </c>
      <c r="I978" s="197">
        <v>155172.41379310345</v>
      </c>
      <c r="J978" s="197">
        <v>155172.41379310345</v>
      </c>
      <c r="K978" s="197">
        <v>24827.586206896551</v>
      </c>
      <c r="L978" s="197">
        <v>180000</v>
      </c>
      <c r="M978" s="198">
        <v>0</v>
      </c>
      <c r="N978" s="48" t="s">
        <v>901</v>
      </c>
      <c r="O978" s="48" t="s">
        <v>2976</v>
      </c>
      <c r="P978" s="48" t="s">
        <v>25</v>
      </c>
      <c r="Q978" s="48"/>
      <c r="R978" s="48" t="s">
        <v>369</v>
      </c>
      <c r="S978" s="48" t="s">
        <v>3259</v>
      </c>
      <c r="T978" s="114" t="s">
        <v>3260</v>
      </c>
      <c r="U978" s="48"/>
      <c r="V978" s="39"/>
      <c r="W978" s="41"/>
      <c r="X978" s="50"/>
      <c r="Y978" s="50"/>
    </row>
    <row r="979" spans="1:25" customFormat="1" ht="14.4" x14ac:dyDescent="0.3">
      <c r="A979" s="48">
        <f t="shared" si="39"/>
        <v>11</v>
      </c>
      <c r="B979" s="113">
        <v>46094</v>
      </c>
      <c r="C979" s="48" t="str">
        <f t="shared" si="37"/>
        <v>marzo</v>
      </c>
      <c r="D979" s="48" t="s">
        <v>2175</v>
      </c>
      <c r="E979" s="42" t="s">
        <v>3254</v>
      </c>
      <c r="F979" s="47" t="s">
        <v>1843</v>
      </c>
      <c r="G979" s="48">
        <v>1</v>
      </c>
      <c r="H979" s="48" t="s">
        <v>1705</v>
      </c>
      <c r="I979" s="197">
        <v>104655.17241379312</v>
      </c>
      <c r="J979" s="197">
        <v>104655.17241379312</v>
      </c>
      <c r="K979" s="197">
        <v>16744.827586206899</v>
      </c>
      <c r="L979" s="197">
        <v>121400</v>
      </c>
      <c r="M979" s="198">
        <v>0</v>
      </c>
      <c r="N979" s="48" t="s">
        <v>901</v>
      </c>
      <c r="O979" s="48" t="s">
        <v>3083</v>
      </c>
      <c r="P979" s="48" t="s">
        <v>39</v>
      </c>
      <c r="Q979" s="48"/>
      <c r="R979" s="48" t="s">
        <v>3255</v>
      </c>
      <c r="S979" s="48" t="s">
        <v>566</v>
      </c>
      <c r="T979" s="114" t="s">
        <v>3258</v>
      </c>
      <c r="U979" s="48"/>
      <c r="V979" s="39"/>
      <c r="W979" s="41"/>
      <c r="X979" s="50"/>
      <c r="Y979" s="50"/>
    </row>
    <row r="980" spans="1:25" customFormat="1" ht="14.4" x14ac:dyDescent="0.3">
      <c r="A980" s="48">
        <f t="shared" si="39"/>
        <v>11</v>
      </c>
      <c r="B980" s="113">
        <v>46092</v>
      </c>
      <c r="C980" s="48" t="str">
        <f t="shared" si="37"/>
        <v>marzo</v>
      </c>
      <c r="D980" s="48" t="s">
        <v>2175</v>
      </c>
      <c r="E980" s="42" t="s">
        <v>3254</v>
      </c>
      <c r="F980" s="47" t="s">
        <v>1843</v>
      </c>
      <c r="G980" s="48">
        <v>1</v>
      </c>
      <c r="H980" s="48" t="s">
        <v>1705</v>
      </c>
      <c r="I980" s="197">
        <v>205172.41379310345</v>
      </c>
      <c r="J980" s="197">
        <v>205172.41379310345</v>
      </c>
      <c r="K980" s="197">
        <v>32827.586206896551</v>
      </c>
      <c r="L980" s="197">
        <v>238000</v>
      </c>
      <c r="M980" s="198">
        <v>0</v>
      </c>
      <c r="N980" s="48" t="s">
        <v>901</v>
      </c>
      <c r="O980" s="48" t="s">
        <v>2941</v>
      </c>
      <c r="P980" s="48" t="s">
        <v>25</v>
      </c>
      <c r="Q980" s="48"/>
      <c r="R980" s="48" t="s">
        <v>3255</v>
      </c>
      <c r="S980" s="48" t="s">
        <v>566</v>
      </c>
      <c r="T980" s="114" t="s">
        <v>3256</v>
      </c>
      <c r="U980" s="48"/>
      <c r="V980" s="39"/>
      <c r="W980" s="41"/>
      <c r="X980" s="50"/>
      <c r="Y980" s="50"/>
    </row>
    <row r="981" spans="1:25" customFormat="1" ht="14.4" x14ac:dyDescent="0.3">
      <c r="A981" s="48">
        <f t="shared" si="39"/>
        <v>11</v>
      </c>
      <c r="B981" s="113">
        <v>46093</v>
      </c>
      <c r="C981" s="48" t="str">
        <f t="shared" ref="C981:C1034" si="40">TEXT(B981,"MMMM")</f>
        <v>marzo</v>
      </c>
      <c r="D981" s="48" t="s">
        <v>2175</v>
      </c>
      <c r="E981" s="42" t="s">
        <v>3254</v>
      </c>
      <c r="F981" s="47" t="s">
        <v>1843</v>
      </c>
      <c r="G981" s="48">
        <v>1</v>
      </c>
      <c r="H981" s="48" t="s">
        <v>1705</v>
      </c>
      <c r="I981" s="197">
        <v>181422.41379310345</v>
      </c>
      <c r="J981" s="197">
        <v>181422.41379310345</v>
      </c>
      <c r="K981" s="197">
        <v>29027.586206896551</v>
      </c>
      <c r="L981" s="197">
        <v>210450</v>
      </c>
      <c r="M981" s="198">
        <v>0</v>
      </c>
      <c r="N981" s="48" t="s">
        <v>901</v>
      </c>
      <c r="O981" s="48" t="s">
        <v>3150</v>
      </c>
      <c r="P981" s="48" t="s">
        <v>25</v>
      </c>
      <c r="Q981" s="48" t="s">
        <v>1921</v>
      </c>
      <c r="R981" s="48" t="s">
        <v>3255</v>
      </c>
      <c r="S981" s="48" t="s">
        <v>566</v>
      </c>
      <c r="T981" s="114" t="s">
        <v>3257</v>
      </c>
      <c r="U981" s="48"/>
      <c r="V981" s="39"/>
      <c r="W981" s="41"/>
      <c r="X981" s="50"/>
      <c r="Y981" s="50"/>
    </row>
    <row r="982" spans="1:25" customFormat="1" ht="14.4" x14ac:dyDescent="0.3">
      <c r="A982" s="48">
        <f t="shared" si="39"/>
        <v>12</v>
      </c>
      <c r="B982" s="113">
        <v>46098</v>
      </c>
      <c r="C982" s="48" t="str">
        <f t="shared" si="40"/>
        <v>marzo</v>
      </c>
      <c r="D982" s="48" t="s">
        <v>2175</v>
      </c>
      <c r="E982" s="42" t="s">
        <v>3254</v>
      </c>
      <c r="F982" s="47" t="s">
        <v>1843</v>
      </c>
      <c r="G982" s="48">
        <v>1</v>
      </c>
      <c r="H982" s="48" t="s">
        <v>1705</v>
      </c>
      <c r="I982" s="197">
        <v>144913.79310344829</v>
      </c>
      <c r="J982" s="197">
        <v>144913.79310344829</v>
      </c>
      <c r="K982" s="197">
        <v>23186.206896551728</v>
      </c>
      <c r="L982" s="197">
        <v>168100</v>
      </c>
      <c r="M982" s="198">
        <v>0</v>
      </c>
      <c r="N982" s="48" t="s">
        <v>901</v>
      </c>
      <c r="O982" s="48" t="s">
        <v>2942</v>
      </c>
      <c r="P982" s="48" t="s">
        <v>25</v>
      </c>
      <c r="Q982" s="48" t="s">
        <v>1921</v>
      </c>
      <c r="R982" s="48" t="s">
        <v>3255</v>
      </c>
      <c r="S982" s="48" t="s">
        <v>566</v>
      </c>
      <c r="T982" s="114" t="s">
        <v>3257</v>
      </c>
      <c r="U982" s="48"/>
      <c r="V982" s="39"/>
      <c r="W982" s="41"/>
      <c r="X982" s="50"/>
      <c r="Y982" s="50"/>
    </row>
    <row r="983" spans="1:25" customFormat="1" ht="14.4" x14ac:dyDescent="0.3">
      <c r="A983" s="48">
        <f t="shared" si="39"/>
        <v>12</v>
      </c>
      <c r="B983" s="113">
        <v>46098</v>
      </c>
      <c r="C983" s="48" t="str">
        <f t="shared" si="40"/>
        <v>marzo</v>
      </c>
      <c r="D983" s="48" t="s">
        <v>2175</v>
      </c>
      <c r="E983" s="42" t="s">
        <v>3254</v>
      </c>
      <c r="F983" s="47" t="s">
        <v>1843</v>
      </c>
      <c r="G983" s="48">
        <v>1</v>
      </c>
      <c r="H983" s="48" t="s">
        <v>1705</v>
      </c>
      <c r="I983" s="197">
        <v>148965.51724137933</v>
      </c>
      <c r="J983" s="197">
        <v>148965.51724137933</v>
      </c>
      <c r="K983" s="197">
        <v>23834.482758620692</v>
      </c>
      <c r="L983" s="197">
        <v>172800</v>
      </c>
      <c r="M983" s="198">
        <v>0</v>
      </c>
      <c r="N983" s="48" t="s">
        <v>901</v>
      </c>
      <c r="O983" s="48" t="s">
        <v>2027</v>
      </c>
      <c r="P983" s="48" t="s">
        <v>1321</v>
      </c>
      <c r="Q983" s="48"/>
      <c r="R983" s="48" t="s">
        <v>3255</v>
      </c>
      <c r="S983" s="48" t="s">
        <v>566</v>
      </c>
      <c r="T983" s="114" t="s">
        <v>3257</v>
      </c>
      <c r="U983" s="48"/>
      <c r="V983" s="39"/>
      <c r="W983" s="41"/>
      <c r="X983" s="50"/>
      <c r="Y983" s="50"/>
    </row>
    <row r="984" spans="1:25" customFormat="1" ht="14.4" x14ac:dyDescent="0.3">
      <c r="A984" s="48">
        <f t="shared" si="39"/>
        <v>6</v>
      </c>
      <c r="B984" s="113">
        <v>46056</v>
      </c>
      <c r="C984" s="48" t="str">
        <f t="shared" si="40"/>
        <v>febrero</v>
      </c>
      <c r="D984" s="48" t="s">
        <v>2175</v>
      </c>
      <c r="E984" s="42" t="s">
        <v>668</v>
      </c>
      <c r="F984" s="47" t="s">
        <v>3261</v>
      </c>
      <c r="G984" s="48">
        <v>1</v>
      </c>
      <c r="H984" s="48" t="s">
        <v>2138</v>
      </c>
      <c r="I984" s="197">
        <v>10318.706896551725</v>
      </c>
      <c r="J984" s="197">
        <v>10318.706896551725</v>
      </c>
      <c r="K984" s="197">
        <v>1650.9931034482761</v>
      </c>
      <c r="L984" s="197">
        <v>11969.7</v>
      </c>
      <c r="M984" s="198">
        <v>11970</v>
      </c>
      <c r="N984" s="48" t="s">
        <v>901</v>
      </c>
      <c r="O984" s="48" t="s">
        <v>1860</v>
      </c>
      <c r="P984" s="48" t="str">
        <f>VLOOKUP(O984,[4]AUTOS!$B:$L,10,0)</f>
        <v>ASHC</v>
      </c>
      <c r="Q984" s="48" t="s">
        <v>1766</v>
      </c>
      <c r="R984" s="48"/>
      <c r="S984" s="48"/>
      <c r="T984" s="114"/>
      <c r="U984" s="48" t="s">
        <v>3262</v>
      </c>
      <c r="V984" s="39"/>
      <c r="W984" s="41"/>
      <c r="X984" s="50"/>
      <c r="Y984" s="50"/>
    </row>
    <row r="985" spans="1:25" customFormat="1" ht="14.4" x14ac:dyDescent="0.3">
      <c r="A985" s="48">
        <f t="shared" si="39"/>
        <v>14</v>
      </c>
      <c r="B985" s="113">
        <v>46111</v>
      </c>
      <c r="C985" s="48" t="str">
        <f t="shared" si="40"/>
        <v>marzo</v>
      </c>
      <c r="D985" s="48" t="s">
        <v>2175</v>
      </c>
      <c r="E985" s="42" t="s">
        <v>668</v>
      </c>
      <c r="F985" s="47" t="s">
        <v>3263</v>
      </c>
      <c r="G985" s="48">
        <v>1</v>
      </c>
      <c r="H985" s="48" t="s">
        <v>2138</v>
      </c>
      <c r="I985" s="197">
        <f>+M985/1.16</f>
        <v>8267.241379310346</v>
      </c>
      <c r="J985" s="197">
        <f>+I985*G985</f>
        <v>8267.241379310346</v>
      </c>
      <c r="K985" s="197">
        <f>+J985*0.16</f>
        <v>1322.7586206896553</v>
      </c>
      <c r="L985" s="197">
        <v>0</v>
      </c>
      <c r="M985" s="197">
        <v>9590</v>
      </c>
      <c r="N985" s="48" t="s">
        <v>901</v>
      </c>
      <c r="O985" s="48" t="s">
        <v>42</v>
      </c>
      <c r="P985" s="48" t="s">
        <v>25</v>
      </c>
      <c r="Q985" s="48" t="s">
        <v>1766</v>
      </c>
      <c r="R985" s="48"/>
      <c r="S985" s="48" t="s">
        <v>669</v>
      </c>
      <c r="T985" s="114"/>
      <c r="U985" s="48" t="s">
        <v>3264</v>
      </c>
      <c r="V985" s="39"/>
      <c r="W985" s="41"/>
      <c r="X985" s="50"/>
      <c r="Y985" s="50"/>
    </row>
    <row r="986" spans="1:25" customFormat="1" ht="14.4" x14ac:dyDescent="0.3">
      <c r="A986" s="48">
        <f t="shared" si="39"/>
        <v>16</v>
      </c>
      <c r="B986" s="113">
        <v>46125</v>
      </c>
      <c r="C986" s="48" t="str">
        <f t="shared" si="40"/>
        <v>abril</v>
      </c>
      <c r="D986" s="48" t="s">
        <v>2175</v>
      </c>
      <c r="E986" s="42" t="s">
        <v>668</v>
      </c>
      <c r="F986" s="47" t="s">
        <v>3263</v>
      </c>
      <c r="G986" s="48">
        <v>1</v>
      </c>
      <c r="H986" s="48" t="s">
        <v>2138</v>
      </c>
      <c r="I986" s="197">
        <f t="shared" ref="I986:I1021" si="41">+M986/1.16</f>
        <v>7608.620689655173</v>
      </c>
      <c r="J986" s="197">
        <f t="shared" ref="J986:J1021" si="42">+I986*G986</f>
        <v>7608.620689655173</v>
      </c>
      <c r="K986" s="197">
        <f t="shared" ref="K986:K1021" si="43">+J986*0.16</f>
        <v>1217.3793103448277</v>
      </c>
      <c r="L986" s="197">
        <v>0</v>
      </c>
      <c r="M986" s="197">
        <v>8826</v>
      </c>
      <c r="N986" s="48"/>
      <c r="O986" s="48" t="s">
        <v>2976</v>
      </c>
      <c r="P986" s="48" t="s">
        <v>25</v>
      </c>
      <c r="Q986" s="48" t="s">
        <v>1766</v>
      </c>
      <c r="R986" s="48"/>
      <c r="S986" s="48" t="s">
        <v>669</v>
      </c>
      <c r="T986" s="114"/>
      <c r="U986" s="48" t="s">
        <v>3264</v>
      </c>
      <c r="V986" s="39"/>
      <c r="W986" s="41"/>
      <c r="X986" s="50"/>
      <c r="Y986" s="50"/>
    </row>
    <row r="987" spans="1:25" customFormat="1" ht="14.4" x14ac:dyDescent="0.3">
      <c r="A987" s="48">
        <f t="shared" si="39"/>
        <v>16</v>
      </c>
      <c r="B987" s="113">
        <v>46125</v>
      </c>
      <c r="C987" s="48" t="str">
        <f t="shared" si="40"/>
        <v>abril</v>
      </c>
      <c r="D987" s="48" t="s">
        <v>2175</v>
      </c>
      <c r="E987" s="42" t="s">
        <v>668</v>
      </c>
      <c r="F987" s="47" t="s">
        <v>3263</v>
      </c>
      <c r="G987" s="48">
        <v>1</v>
      </c>
      <c r="H987" s="48" t="s">
        <v>2138</v>
      </c>
      <c r="I987" s="197">
        <f t="shared" si="41"/>
        <v>8217.241379310346</v>
      </c>
      <c r="J987" s="197">
        <f t="shared" si="42"/>
        <v>8217.241379310346</v>
      </c>
      <c r="K987" s="197">
        <f t="shared" si="43"/>
        <v>1314.7586206896553</v>
      </c>
      <c r="L987" s="197">
        <v>0</v>
      </c>
      <c r="M987" s="197">
        <v>9532</v>
      </c>
      <c r="N987" s="48"/>
      <c r="O987" s="48" t="s">
        <v>68</v>
      </c>
      <c r="P987" s="48" t="s">
        <v>25</v>
      </c>
      <c r="Q987" s="48" t="s">
        <v>1766</v>
      </c>
      <c r="R987" s="48"/>
      <c r="S987" s="48" t="s">
        <v>669</v>
      </c>
      <c r="T987" s="114"/>
      <c r="U987" s="48" t="s">
        <v>3264</v>
      </c>
      <c r="V987" s="39"/>
      <c r="W987" s="41"/>
      <c r="X987" s="50"/>
      <c r="Y987" s="50"/>
    </row>
    <row r="988" spans="1:25" customFormat="1" ht="14.4" x14ac:dyDescent="0.3">
      <c r="A988" s="48">
        <f t="shared" si="39"/>
        <v>16</v>
      </c>
      <c r="B988" s="113">
        <v>46125</v>
      </c>
      <c r="C988" s="48" t="str">
        <f t="shared" si="40"/>
        <v>abril</v>
      </c>
      <c r="D988" s="48" t="s">
        <v>2175</v>
      </c>
      <c r="E988" s="42" t="s">
        <v>668</v>
      </c>
      <c r="F988" s="47" t="s">
        <v>3263</v>
      </c>
      <c r="G988" s="48">
        <v>1</v>
      </c>
      <c r="H988" s="48" t="s">
        <v>2138</v>
      </c>
      <c r="I988" s="197">
        <f t="shared" si="41"/>
        <v>7735.3448275862074</v>
      </c>
      <c r="J988" s="197">
        <f t="shared" si="42"/>
        <v>7735.3448275862074</v>
      </c>
      <c r="K988" s="197">
        <f t="shared" si="43"/>
        <v>1237.6551724137933</v>
      </c>
      <c r="L988" s="197">
        <v>0</v>
      </c>
      <c r="M988" s="197">
        <v>8973</v>
      </c>
      <c r="N988" s="48"/>
      <c r="O988" s="48" t="s">
        <v>2981</v>
      </c>
      <c r="P988" s="48" t="s">
        <v>25</v>
      </c>
      <c r="Q988" s="48" t="s">
        <v>1766</v>
      </c>
      <c r="R988" s="48"/>
      <c r="S988" s="48" t="s">
        <v>669</v>
      </c>
      <c r="T988" s="114"/>
      <c r="U988" s="48" t="s">
        <v>3264</v>
      </c>
      <c r="V988" s="39"/>
      <c r="W988" s="41"/>
      <c r="X988" s="50"/>
      <c r="Y988" s="50"/>
    </row>
    <row r="989" spans="1:25" customFormat="1" ht="14.4" x14ac:dyDescent="0.3">
      <c r="A989" s="48">
        <f t="shared" si="39"/>
        <v>17</v>
      </c>
      <c r="B989" s="113">
        <v>46134</v>
      </c>
      <c r="C989" s="48" t="str">
        <f t="shared" si="40"/>
        <v>abril</v>
      </c>
      <c r="D989" s="48" t="s">
        <v>2175</v>
      </c>
      <c r="E989" s="42" t="s">
        <v>668</v>
      </c>
      <c r="F989" s="47" t="s">
        <v>3263</v>
      </c>
      <c r="G989" s="48">
        <v>1</v>
      </c>
      <c r="H989" s="48" t="s">
        <v>2138</v>
      </c>
      <c r="I989" s="197">
        <f t="shared" si="41"/>
        <v>7365.5172413793107</v>
      </c>
      <c r="J989" s="197">
        <f t="shared" si="42"/>
        <v>7365.5172413793107</v>
      </c>
      <c r="K989" s="197">
        <f t="shared" si="43"/>
        <v>1178.4827586206898</v>
      </c>
      <c r="L989" s="197">
        <v>0</v>
      </c>
      <c r="M989" s="197">
        <v>8544</v>
      </c>
      <c r="N989" s="48"/>
      <c r="O989" s="48" t="s">
        <v>3083</v>
      </c>
      <c r="P989" s="48" t="s">
        <v>39</v>
      </c>
      <c r="Q989" s="48" t="s">
        <v>1766</v>
      </c>
      <c r="R989" s="48"/>
      <c r="S989" s="48" t="s">
        <v>669</v>
      </c>
      <c r="T989" s="114"/>
      <c r="U989" s="48" t="s">
        <v>3264</v>
      </c>
      <c r="V989" s="39"/>
      <c r="W989" s="41"/>
      <c r="X989" s="50"/>
      <c r="Y989" s="50"/>
    </row>
    <row r="990" spans="1:25" customFormat="1" ht="14.4" x14ac:dyDescent="0.3">
      <c r="A990" s="48">
        <f t="shared" si="39"/>
        <v>17</v>
      </c>
      <c r="B990" s="113">
        <v>46135</v>
      </c>
      <c r="C990" s="48" t="str">
        <f t="shared" si="40"/>
        <v>abril</v>
      </c>
      <c r="D990" s="48" t="s">
        <v>2175</v>
      </c>
      <c r="E990" s="42" t="s">
        <v>668</v>
      </c>
      <c r="F990" s="47" t="s">
        <v>3263</v>
      </c>
      <c r="G990" s="48">
        <v>1</v>
      </c>
      <c r="H990" s="48" t="s">
        <v>2138</v>
      </c>
      <c r="I990" s="197">
        <f t="shared" si="41"/>
        <v>10359.48275862069</v>
      </c>
      <c r="J990" s="197">
        <f t="shared" si="42"/>
        <v>10359.48275862069</v>
      </c>
      <c r="K990" s="197">
        <f t="shared" si="43"/>
        <v>1657.5172413793105</v>
      </c>
      <c r="L990" s="197">
        <v>0</v>
      </c>
      <c r="M990" s="197">
        <v>12017</v>
      </c>
      <c r="N990" s="48"/>
      <c r="O990" s="48" t="s">
        <v>2941</v>
      </c>
      <c r="P990" s="48" t="s">
        <v>25</v>
      </c>
      <c r="Q990" s="48" t="s">
        <v>1921</v>
      </c>
      <c r="R990" s="48"/>
      <c r="S990" s="48" t="s">
        <v>669</v>
      </c>
      <c r="T990" s="114"/>
      <c r="U990" s="48" t="s">
        <v>3264</v>
      </c>
      <c r="V990" s="39"/>
      <c r="W990" s="41"/>
      <c r="X990" s="50"/>
      <c r="Y990" s="50"/>
    </row>
    <row r="991" spans="1:25" customFormat="1" ht="14.4" x14ac:dyDescent="0.3">
      <c r="A991" s="48">
        <f t="shared" si="39"/>
        <v>18</v>
      </c>
      <c r="B991" s="113">
        <v>46138</v>
      </c>
      <c r="C991" s="48" t="str">
        <f t="shared" si="40"/>
        <v>abril</v>
      </c>
      <c r="D991" s="48" t="s">
        <v>2175</v>
      </c>
      <c r="E991" s="42" t="s">
        <v>668</v>
      </c>
      <c r="F991" s="47" t="s">
        <v>3263</v>
      </c>
      <c r="G991" s="48">
        <v>1</v>
      </c>
      <c r="H991" s="48" t="s">
        <v>2138</v>
      </c>
      <c r="I991" s="197">
        <f t="shared" si="41"/>
        <v>11579.051724137933</v>
      </c>
      <c r="J991" s="197">
        <f t="shared" si="42"/>
        <v>11579.051724137933</v>
      </c>
      <c r="K991" s="197">
        <f t="shared" si="43"/>
        <v>1852.6482758620693</v>
      </c>
      <c r="L991" s="197">
        <v>0</v>
      </c>
      <c r="M991" s="197">
        <v>13431.7</v>
      </c>
      <c r="N991" s="48"/>
      <c r="O991" s="48" t="s">
        <v>347</v>
      </c>
      <c r="P991" s="48" t="str">
        <f>VLOOKUP(O991,[4]AUTOS!$B:$L,10,0)</f>
        <v>ASHC</v>
      </c>
      <c r="Q991" s="48" t="s">
        <v>1766</v>
      </c>
      <c r="R991" s="48"/>
      <c r="S991" s="48" t="s">
        <v>669</v>
      </c>
      <c r="T991" s="114"/>
      <c r="U991" s="48" t="s">
        <v>3264</v>
      </c>
      <c r="V991" s="39"/>
      <c r="W991" s="41"/>
      <c r="X991" s="50"/>
      <c r="Y991" s="50"/>
    </row>
    <row r="992" spans="1:25" customFormat="1" ht="14.4" x14ac:dyDescent="0.3">
      <c r="A992" s="48">
        <f t="shared" si="39"/>
        <v>25</v>
      </c>
      <c r="B992" s="113">
        <v>46187</v>
      </c>
      <c r="C992" s="48" t="str">
        <f t="shared" si="40"/>
        <v>junio</v>
      </c>
      <c r="D992" s="48" t="s">
        <v>2175</v>
      </c>
      <c r="E992" s="42" t="s">
        <v>668</v>
      </c>
      <c r="F992" s="47" t="s">
        <v>3263</v>
      </c>
      <c r="G992" s="48">
        <v>1</v>
      </c>
      <c r="H992" s="48" t="s">
        <v>2138</v>
      </c>
      <c r="I992" s="197">
        <f t="shared" si="41"/>
        <v>11120.413793103449</v>
      </c>
      <c r="J992" s="197">
        <f t="shared" si="42"/>
        <v>11120.413793103449</v>
      </c>
      <c r="K992" s="197">
        <f t="shared" si="43"/>
        <v>1779.2662068965519</v>
      </c>
      <c r="L992" s="197">
        <v>0</v>
      </c>
      <c r="M992" s="197">
        <v>12899.68</v>
      </c>
      <c r="N992" s="48"/>
      <c r="O992" s="48" t="s">
        <v>409</v>
      </c>
      <c r="P992" s="48" t="str">
        <f>VLOOKUP(O992,[4]AUTOS!$B:$L,10,0)</f>
        <v>ASHC</v>
      </c>
      <c r="Q992" s="48" t="s">
        <v>1766</v>
      </c>
      <c r="R992" s="48"/>
      <c r="S992" s="48" t="s">
        <v>669</v>
      </c>
      <c r="T992" s="114"/>
      <c r="U992" s="48" t="s">
        <v>3264</v>
      </c>
      <c r="V992" s="39"/>
      <c r="W992" s="41"/>
      <c r="X992" s="50"/>
      <c r="Y992" s="50"/>
    </row>
    <row r="993" spans="1:25" customFormat="1" ht="14.4" x14ac:dyDescent="0.3">
      <c r="A993" s="48">
        <f t="shared" si="39"/>
        <v>26</v>
      </c>
      <c r="B993" s="113">
        <v>46198</v>
      </c>
      <c r="C993" s="48" t="str">
        <f t="shared" si="40"/>
        <v>junio</v>
      </c>
      <c r="D993" s="48" t="s">
        <v>2175</v>
      </c>
      <c r="E993" s="42" t="s">
        <v>668</v>
      </c>
      <c r="F993" s="47" t="s">
        <v>3263</v>
      </c>
      <c r="G993" s="48">
        <v>1</v>
      </c>
      <c r="H993" s="48" t="s">
        <v>2138</v>
      </c>
      <c r="I993" s="197">
        <f t="shared" si="41"/>
        <v>13980.758620689656</v>
      </c>
      <c r="J993" s="197">
        <f t="shared" si="42"/>
        <v>13980.758620689656</v>
      </c>
      <c r="K993" s="197">
        <f t="shared" si="43"/>
        <v>2236.9213793103449</v>
      </c>
      <c r="L993" s="197">
        <v>0</v>
      </c>
      <c r="M993" s="197">
        <v>16217.68</v>
      </c>
      <c r="N993" s="48"/>
      <c r="O993" s="48" t="s">
        <v>183</v>
      </c>
      <c r="P993" s="48" t="str">
        <f>VLOOKUP(O993,[4]AUTOS!$B:$L,10,0)</f>
        <v>ASHC</v>
      </c>
      <c r="Q993" s="48" t="s">
        <v>1766</v>
      </c>
      <c r="R993" s="48"/>
      <c r="S993" s="48" t="s">
        <v>669</v>
      </c>
      <c r="T993" s="114"/>
      <c r="U993" s="48" t="s">
        <v>3264</v>
      </c>
      <c r="V993" s="39"/>
      <c r="W993" s="41"/>
      <c r="X993" s="50"/>
      <c r="Y993" s="50"/>
    </row>
    <row r="994" spans="1:25" customFormat="1" ht="14.4" x14ac:dyDescent="0.3">
      <c r="A994" s="48">
        <f t="shared" si="39"/>
        <v>27</v>
      </c>
      <c r="B994" s="113">
        <v>46202</v>
      </c>
      <c r="C994" s="48" t="str">
        <f t="shared" si="40"/>
        <v>junio</v>
      </c>
      <c r="D994" s="48" t="s">
        <v>2175</v>
      </c>
      <c r="E994" s="42" t="s">
        <v>668</v>
      </c>
      <c r="F994" s="47" t="s">
        <v>3263</v>
      </c>
      <c r="G994" s="48">
        <v>1</v>
      </c>
      <c r="H994" s="48" t="s">
        <v>2138</v>
      </c>
      <c r="I994" s="197">
        <f t="shared" si="41"/>
        <v>12556.327586206897</v>
      </c>
      <c r="J994" s="197">
        <f t="shared" si="42"/>
        <v>12556.327586206897</v>
      </c>
      <c r="K994" s="197">
        <f t="shared" si="43"/>
        <v>2009.0124137931036</v>
      </c>
      <c r="L994" s="197">
        <v>0</v>
      </c>
      <c r="M994" s="197">
        <v>14565.34</v>
      </c>
      <c r="N994" s="48"/>
      <c r="O994" s="48" t="s">
        <v>104</v>
      </c>
      <c r="P994" s="48" t="str">
        <f>VLOOKUP(O994,[4]AUTOS!$B:$L,10,0)</f>
        <v>ASHC</v>
      </c>
      <c r="Q994" s="48" t="s">
        <v>1766</v>
      </c>
      <c r="R994" s="48"/>
      <c r="S994" s="48" t="s">
        <v>669</v>
      </c>
      <c r="T994" s="114"/>
      <c r="U994" s="48" t="s">
        <v>3264</v>
      </c>
      <c r="V994" s="39"/>
      <c r="W994" s="41"/>
      <c r="X994" s="50"/>
      <c r="Y994" s="50"/>
    </row>
    <row r="995" spans="1:25" customFormat="1" ht="14.4" x14ac:dyDescent="0.3">
      <c r="A995" s="48">
        <f t="shared" si="39"/>
        <v>28</v>
      </c>
      <c r="B995" s="113">
        <v>46210</v>
      </c>
      <c r="C995" s="48" t="str">
        <f t="shared" si="40"/>
        <v>julio</v>
      </c>
      <c r="D995" s="48" t="s">
        <v>2175</v>
      </c>
      <c r="E995" s="42" t="s">
        <v>668</v>
      </c>
      <c r="F995" s="47" t="s">
        <v>3263</v>
      </c>
      <c r="G995" s="48">
        <v>1</v>
      </c>
      <c r="H995" s="48" t="s">
        <v>2138</v>
      </c>
      <c r="I995" s="197">
        <f t="shared" si="41"/>
        <v>11202.672413793105</v>
      </c>
      <c r="J995" s="197">
        <f t="shared" si="42"/>
        <v>11202.672413793105</v>
      </c>
      <c r="K995" s="197">
        <f t="shared" si="43"/>
        <v>1792.4275862068969</v>
      </c>
      <c r="L995" s="197">
        <v>0</v>
      </c>
      <c r="M995" s="197">
        <v>12995.1</v>
      </c>
      <c r="N995" s="48"/>
      <c r="O995" s="48" t="s">
        <v>123</v>
      </c>
      <c r="P995" s="48" t="str">
        <f>VLOOKUP(O995,[4]AUTOS!$B:$L,10,0)</f>
        <v>U64</v>
      </c>
      <c r="Q995" s="48" t="s">
        <v>1766</v>
      </c>
      <c r="R995" s="48"/>
      <c r="S995" s="48" t="s">
        <v>669</v>
      </c>
      <c r="T995" s="114"/>
      <c r="U995" s="48" t="s">
        <v>3264</v>
      </c>
      <c r="V995" s="39"/>
      <c r="W995" s="41"/>
      <c r="X995" s="50"/>
      <c r="Y995" s="50"/>
    </row>
    <row r="996" spans="1:25" customFormat="1" ht="14.4" x14ac:dyDescent="0.3">
      <c r="A996" s="48">
        <f t="shared" si="39"/>
        <v>30</v>
      </c>
      <c r="B996" s="113">
        <v>46223</v>
      </c>
      <c r="C996" s="48" t="str">
        <f t="shared" si="40"/>
        <v>julio</v>
      </c>
      <c r="D996" s="48" t="s">
        <v>2175</v>
      </c>
      <c r="E996" s="42" t="s">
        <v>668</v>
      </c>
      <c r="F996" s="47" t="s">
        <v>3263</v>
      </c>
      <c r="G996" s="48">
        <v>1</v>
      </c>
      <c r="H996" s="48" t="s">
        <v>2138</v>
      </c>
      <c r="I996" s="197">
        <f t="shared" si="41"/>
        <v>12438.387931034484</v>
      </c>
      <c r="J996" s="197">
        <f t="shared" si="42"/>
        <v>12438.387931034484</v>
      </c>
      <c r="K996" s="197">
        <f t="shared" si="43"/>
        <v>1990.1420689655174</v>
      </c>
      <c r="L996" s="197">
        <v>0</v>
      </c>
      <c r="M996" s="197">
        <v>14428.53</v>
      </c>
      <c r="N996" s="48"/>
      <c r="O996" s="48" t="s">
        <v>150</v>
      </c>
      <c r="P996" s="48" t="str">
        <f>VLOOKUP(O996,[4]AUTOS!$B:$L,10,0)</f>
        <v>ASHC</v>
      </c>
      <c r="Q996" s="48" t="s">
        <v>1766</v>
      </c>
      <c r="R996" s="48"/>
      <c r="S996" s="48" t="s">
        <v>669</v>
      </c>
      <c r="T996" s="114"/>
      <c r="U996" s="48" t="s">
        <v>3264</v>
      </c>
      <c r="V996" s="39"/>
      <c r="W996" s="41"/>
      <c r="X996" s="50"/>
      <c r="Y996" s="50"/>
    </row>
    <row r="997" spans="1:25" customFormat="1" ht="14.4" x14ac:dyDescent="0.3">
      <c r="A997" s="48">
        <f t="shared" si="39"/>
        <v>31</v>
      </c>
      <c r="B997" s="113">
        <v>46232</v>
      </c>
      <c r="C997" s="48" t="str">
        <f t="shared" si="40"/>
        <v>julio</v>
      </c>
      <c r="D997" s="48" t="s">
        <v>2175</v>
      </c>
      <c r="E997" s="42" t="s">
        <v>668</v>
      </c>
      <c r="F997" s="47" t="s">
        <v>3263</v>
      </c>
      <c r="G997" s="48">
        <v>1</v>
      </c>
      <c r="H997" s="48" t="s">
        <v>2138</v>
      </c>
      <c r="I997" s="197">
        <f t="shared" si="41"/>
        <v>6347.3620689655172</v>
      </c>
      <c r="J997" s="197">
        <f t="shared" si="42"/>
        <v>6347.3620689655172</v>
      </c>
      <c r="K997" s="197">
        <f t="shared" si="43"/>
        <v>1015.5779310344827</v>
      </c>
      <c r="L997" s="197">
        <v>0</v>
      </c>
      <c r="M997" s="197">
        <v>7362.94</v>
      </c>
      <c r="N997" s="48"/>
      <c r="O997" s="48" t="s">
        <v>213</v>
      </c>
      <c r="P997" s="48" t="str">
        <f>VLOOKUP(O997,[4]AUTOS!$B:$L,10,0)</f>
        <v>BYER</v>
      </c>
      <c r="Q997" s="48" t="s">
        <v>1766</v>
      </c>
      <c r="R997" s="48"/>
      <c r="S997" s="48" t="s">
        <v>669</v>
      </c>
      <c r="T997" s="114"/>
      <c r="U997" s="48" t="s">
        <v>3264</v>
      </c>
      <c r="V997" s="39"/>
      <c r="W997" s="41"/>
      <c r="X997" s="50"/>
      <c r="Y997" s="50"/>
    </row>
    <row r="998" spans="1:25" customFormat="1" ht="14.4" x14ac:dyDescent="0.3">
      <c r="A998" s="48">
        <f t="shared" si="39"/>
        <v>32</v>
      </c>
      <c r="B998" s="113">
        <v>46239</v>
      </c>
      <c r="C998" s="48" t="str">
        <f t="shared" si="40"/>
        <v>agosto</v>
      </c>
      <c r="D998" s="48" t="s">
        <v>2175</v>
      </c>
      <c r="E998" s="42" t="s">
        <v>668</v>
      </c>
      <c r="F998" s="47" t="s">
        <v>3263</v>
      </c>
      <c r="G998" s="48">
        <v>1</v>
      </c>
      <c r="H998" s="48" t="s">
        <v>2138</v>
      </c>
      <c r="I998" s="197">
        <f t="shared" si="41"/>
        <v>12697.543103448277</v>
      </c>
      <c r="J998" s="197">
        <f t="shared" si="42"/>
        <v>12697.543103448277</v>
      </c>
      <c r="K998" s="197">
        <f t="shared" si="43"/>
        <v>2031.6068965517245</v>
      </c>
      <c r="L998" s="197">
        <v>0</v>
      </c>
      <c r="M998" s="197">
        <v>14729.15</v>
      </c>
      <c r="N998" s="48"/>
      <c r="O998" s="48" t="s">
        <v>571</v>
      </c>
      <c r="P998" s="48" t="str">
        <f>VLOOKUP(O998,[4]AUTOS!$B:$L,10,0)</f>
        <v>ASHC</v>
      </c>
      <c r="Q998" s="48" t="s">
        <v>1766</v>
      </c>
      <c r="R998" s="48"/>
      <c r="S998" s="48" t="s">
        <v>669</v>
      </c>
      <c r="T998" s="114"/>
      <c r="U998" s="48" t="s">
        <v>3264</v>
      </c>
      <c r="V998" s="39"/>
      <c r="W998" s="41"/>
      <c r="X998" s="50"/>
      <c r="Y998" s="50"/>
    </row>
    <row r="999" spans="1:25" customFormat="1" ht="14.4" x14ac:dyDescent="0.3">
      <c r="A999" s="48">
        <f t="shared" si="39"/>
        <v>34</v>
      </c>
      <c r="B999" s="113">
        <v>46256</v>
      </c>
      <c r="C999" s="48" t="str">
        <f t="shared" si="40"/>
        <v>agosto</v>
      </c>
      <c r="D999" s="48" t="s">
        <v>2175</v>
      </c>
      <c r="E999" s="42" t="s">
        <v>668</v>
      </c>
      <c r="F999" s="47" t="s">
        <v>3263</v>
      </c>
      <c r="G999" s="48">
        <v>1</v>
      </c>
      <c r="H999" s="48" t="s">
        <v>2138</v>
      </c>
      <c r="I999" s="197">
        <f t="shared" si="41"/>
        <v>11290.991379310344</v>
      </c>
      <c r="J999" s="197">
        <f t="shared" si="42"/>
        <v>11290.991379310344</v>
      </c>
      <c r="K999" s="197">
        <f t="shared" si="43"/>
        <v>1806.5586206896551</v>
      </c>
      <c r="L999" s="197">
        <v>0</v>
      </c>
      <c r="M999" s="197">
        <v>13097.55</v>
      </c>
      <c r="N999" s="48"/>
      <c r="O999" s="48" t="s">
        <v>573</v>
      </c>
      <c r="P999" s="48" t="str">
        <f>VLOOKUP(O999,[4]AUTOS!$B:$L,10,0)</f>
        <v>ASHC</v>
      </c>
      <c r="Q999" s="48" t="s">
        <v>1766</v>
      </c>
      <c r="R999" s="48"/>
      <c r="S999" s="48" t="s">
        <v>669</v>
      </c>
      <c r="T999" s="114"/>
      <c r="U999" s="48" t="s">
        <v>3264</v>
      </c>
      <c r="V999" s="39"/>
      <c r="W999" s="41"/>
      <c r="X999" s="50"/>
      <c r="Y999" s="50"/>
    </row>
    <row r="1000" spans="1:25" customFormat="1" ht="14.4" x14ac:dyDescent="0.3">
      <c r="A1000" s="48">
        <f t="shared" si="39"/>
        <v>35</v>
      </c>
      <c r="B1000" s="113">
        <v>46257</v>
      </c>
      <c r="C1000" s="48" t="str">
        <f t="shared" si="40"/>
        <v>agosto</v>
      </c>
      <c r="D1000" s="48" t="s">
        <v>2175</v>
      </c>
      <c r="E1000" s="42" t="s">
        <v>668</v>
      </c>
      <c r="F1000" s="47" t="s">
        <v>3263</v>
      </c>
      <c r="G1000" s="48">
        <v>1</v>
      </c>
      <c r="H1000" s="48" t="s">
        <v>2138</v>
      </c>
      <c r="I1000" s="197">
        <f t="shared" si="41"/>
        <v>11738.396551724139</v>
      </c>
      <c r="J1000" s="197">
        <f t="shared" si="42"/>
        <v>11738.396551724139</v>
      </c>
      <c r="K1000" s="197">
        <f t="shared" si="43"/>
        <v>1878.1434482758623</v>
      </c>
      <c r="L1000" s="197">
        <v>0</v>
      </c>
      <c r="M1000" s="197">
        <v>13616.54</v>
      </c>
      <c r="N1000" s="48"/>
      <c r="O1000" s="48" t="s">
        <v>334</v>
      </c>
      <c r="P1000" s="48" t="str">
        <f>VLOOKUP(O1000,[4]AUTOS!$B:$L,10,0)</f>
        <v>ASHC</v>
      </c>
      <c r="Q1000" s="48" t="s">
        <v>1766</v>
      </c>
      <c r="R1000" s="48"/>
      <c r="S1000" s="48" t="s">
        <v>669</v>
      </c>
      <c r="T1000" s="114"/>
      <c r="U1000" s="48" t="s">
        <v>3264</v>
      </c>
      <c r="V1000" s="39"/>
      <c r="W1000" s="41"/>
      <c r="X1000" s="50"/>
      <c r="Y1000" s="50"/>
    </row>
    <row r="1001" spans="1:25" customFormat="1" ht="14.4" x14ac:dyDescent="0.3">
      <c r="A1001" s="48">
        <f t="shared" si="39"/>
        <v>35</v>
      </c>
      <c r="B1001" s="113">
        <v>46257</v>
      </c>
      <c r="C1001" s="48" t="str">
        <f t="shared" si="40"/>
        <v>agosto</v>
      </c>
      <c r="D1001" s="48" t="s">
        <v>2175</v>
      </c>
      <c r="E1001" s="42" t="s">
        <v>668</v>
      </c>
      <c r="F1001" s="47" t="s">
        <v>3263</v>
      </c>
      <c r="G1001" s="48">
        <v>1</v>
      </c>
      <c r="H1001" s="48" t="s">
        <v>2138</v>
      </c>
      <c r="I1001" s="197">
        <f t="shared" si="41"/>
        <v>11591.818965517243</v>
      </c>
      <c r="J1001" s="197">
        <f t="shared" si="42"/>
        <v>11591.818965517243</v>
      </c>
      <c r="K1001" s="197">
        <f t="shared" si="43"/>
        <v>1854.6910344827588</v>
      </c>
      <c r="L1001" s="197">
        <v>0</v>
      </c>
      <c r="M1001" s="197">
        <v>13446.51</v>
      </c>
      <c r="N1001" s="48"/>
      <c r="O1001" s="48" t="s">
        <v>152</v>
      </c>
      <c r="P1001" s="48" t="str">
        <f>VLOOKUP(O1001,[4]AUTOS!$B:$L,10,0)</f>
        <v>ASHC</v>
      </c>
      <c r="Q1001" s="48" t="s">
        <v>1766</v>
      </c>
      <c r="R1001" s="48"/>
      <c r="S1001" s="48" t="s">
        <v>669</v>
      </c>
      <c r="T1001" s="114"/>
      <c r="U1001" s="48" t="s">
        <v>3264</v>
      </c>
      <c r="V1001" s="39"/>
      <c r="W1001" s="41"/>
      <c r="X1001" s="50"/>
      <c r="Y1001" s="50"/>
    </row>
    <row r="1002" spans="1:25" customFormat="1" ht="14.4" x14ac:dyDescent="0.3">
      <c r="A1002" s="48">
        <f t="shared" si="39"/>
        <v>35</v>
      </c>
      <c r="B1002" s="113">
        <v>46263</v>
      </c>
      <c r="C1002" s="48" t="str">
        <f t="shared" si="40"/>
        <v>agosto</v>
      </c>
      <c r="D1002" s="48" t="s">
        <v>2175</v>
      </c>
      <c r="E1002" s="42" t="s">
        <v>668</v>
      </c>
      <c r="F1002" s="47" t="s">
        <v>3263</v>
      </c>
      <c r="G1002" s="48">
        <v>1</v>
      </c>
      <c r="H1002" s="48" t="s">
        <v>2138</v>
      </c>
      <c r="I1002" s="197">
        <f t="shared" si="41"/>
        <v>13131.025862068966</v>
      </c>
      <c r="J1002" s="197">
        <f t="shared" si="42"/>
        <v>13131.025862068966</v>
      </c>
      <c r="K1002" s="197">
        <f t="shared" si="43"/>
        <v>2100.9641379310347</v>
      </c>
      <c r="L1002" s="197">
        <v>0</v>
      </c>
      <c r="M1002" s="197">
        <v>15231.99</v>
      </c>
      <c r="N1002" s="48"/>
      <c r="O1002" s="48" t="s">
        <v>51</v>
      </c>
      <c r="P1002" s="48" t="str">
        <f>VLOOKUP(O1002,[4]AUTOS!$B:$L,10,0)</f>
        <v>ASHC</v>
      </c>
      <c r="Q1002" s="48" t="s">
        <v>1766</v>
      </c>
      <c r="R1002" s="48"/>
      <c r="S1002" s="48" t="s">
        <v>669</v>
      </c>
      <c r="T1002" s="114"/>
      <c r="U1002" s="48" t="s">
        <v>3264</v>
      </c>
      <c r="V1002" s="39"/>
      <c r="W1002" s="41"/>
      <c r="X1002" s="50"/>
      <c r="Y1002" s="50"/>
    </row>
    <row r="1003" spans="1:25" customFormat="1" ht="14.4" x14ac:dyDescent="0.3">
      <c r="A1003" s="48">
        <f t="shared" si="39"/>
        <v>35</v>
      </c>
      <c r="B1003" s="113">
        <v>46263</v>
      </c>
      <c r="C1003" s="48" t="str">
        <f t="shared" si="40"/>
        <v>agosto</v>
      </c>
      <c r="D1003" s="48" t="s">
        <v>2175</v>
      </c>
      <c r="E1003" s="42" t="s">
        <v>668</v>
      </c>
      <c r="F1003" s="47" t="s">
        <v>3263</v>
      </c>
      <c r="G1003" s="48">
        <v>1</v>
      </c>
      <c r="H1003" s="48" t="s">
        <v>2138</v>
      </c>
      <c r="I1003" s="197">
        <f t="shared" si="41"/>
        <v>12584.525862068966</v>
      </c>
      <c r="J1003" s="197">
        <f t="shared" si="42"/>
        <v>12584.525862068966</v>
      </c>
      <c r="K1003" s="197">
        <f t="shared" si="43"/>
        <v>2013.5241379310346</v>
      </c>
      <c r="L1003" s="197">
        <v>0</v>
      </c>
      <c r="M1003" s="197">
        <v>14598.05</v>
      </c>
      <c r="N1003" s="48"/>
      <c r="O1003" s="48" t="s">
        <v>53</v>
      </c>
      <c r="P1003" s="48" t="str">
        <f>VLOOKUP(O1003,[4]AUTOS!$B:$L,10,0)</f>
        <v>ASHC</v>
      </c>
      <c r="Q1003" s="48" t="s">
        <v>1766</v>
      </c>
      <c r="R1003" s="48"/>
      <c r="S1003" s="48" t="s">
        <v>669</v>
      </c>
      <c r="T1003" s="114"/>
      <c r="U1003" s="48" t="s">
        <v>3264</v>
      </c>
      <c r="V1003" s="39"/>
      <c r="W1003" s="41"/>
      <c r="X1003" s="50"/>
      <c r="Y1003" s="50"/>
    </row>
    <row r="1004" spans="1:25" customFormat="1" ht="14.4" x14ac:dyDescent="0.3">
      <c r="A1004" s="48">
        <f t="shared" si="39"/>
        <v>37</v>
      </c>
      <c r="B1004" s="113">
        <v>46271</v>
      </c>
      <c r="C1004" s="48" t="str">
        <f t="shared" si="40"/>
        <v>septiembre</v>
      </c>
      <c r="D1004" s="48" t="s">
        <v>2175</v>
      </c>
      <c r="E1004" s="42" t="s">
        <v>668</v>
      </c>
      <c r="F1004" s="47" t="s">
        <v>3263</v>
      </c>
      <c r="G1004" s="48">
        <v>1</v>
      </c>
      <c r="H1004" s="48" t="s">
        <v>2138</v>
      </c>
      <c r="I1004" s="197">
        <f t="shared" si="41"/>
        <v>12369.543103448277</v>
      </c>
      <c r="J1004" s="197">
        <f t="shared" si="42"/>
        <v>12369.543103448277</v>
      </c>
      <c r="K1004" s="197">
        <f t="shared" si="43"/>
        <v>1979.1268965517245</v>
      </c>
      <c r="L1004" s="197">
        <v>0</v>
      </c>
      <c r="M1004" s="197">
        <v>14348.67</v>
      </c>
      <c r="N1004" s="48"/>
      <c r="O1004" s="48" t="s">
        <v>55</v>
      </c>
      <c r="P1004" s="48" t="str">
        <f>VLOOKUP(O1004,[4]AUTOS!$B:$L,10,0)</f>
        <v>ASHC</v>
      </c>
      <c r="Q1004" s="48" t="s">
        <v>1766</v>
      </c>
      <c r="R1004" s="48"/>
      <c r="S1004" s="48" t="s">
        <v>669</v>
      </c>
      <c r="T1004" s="114"/>
      <c r="U1004" s="48" t="s">
        <v>3264</v>
      </c>
      <c r="V1004" s="39"/>
      <c r="W1004" s="41"/>
      <c r="X1004" s="50"/>
      <c r="Y1004" s="50"/>
    </row>
    <row r="1005" spans="1:25" customFormat="1" ht="14.4" x14ac:dyDescent="0.3">
      <c r="A1005" s="48">
        <f t="shared" si="39"/>
        <v>37</v>
      </c>
      <c r="B1005" s="113">
        <v>46271</v>
      </c>
      <c r="C1005" s="48" t="str">
        <f t="shared" si="40"/>
        <v>septiembre</v>
      </c>
      <c r="D1005" s="48" t="s">
        <v>2175</v>
      </c>
      <c r="E1005" s="42" t="s">
        <v>668</v>
      </c>
      <c r="F1005" s="47" t="s">
        <v>3263</v>
      </c>
      <c r="G1005" s="48">
        <v>1</v>
      </c>
      <c r="H1005" s="48" t="s">
        <v>2138</v>
      </c>
      <c r="I1005" s="197">
        <f t="shared" si="41"/>
        <v>13433.862068965518</v>
      </c>
      <c r="J1005" s="197">
        <f t="shared" si="42"/>
        <v>13433.862068965518</v>
      </c>
      <c r="K1005" s="197">
        <f t="shared" si="43"/>
        <v>2149.417931034483</v>
      </c>
      <c r="L1005" s="197">
        <v>0</v>
      </c>
      <c r="M1005" s="197">
        <v>15583.28</v>
      </c>
      <c r="N1005" s="48"/>
      <c r="O1005" s="48" t="s">
        <v>1065</v>
      </c>
      <c r="P1005" s="48" t="str">
        <f>VLOOKUP(O1005,[4]AUTOS!$B:$L,10,0)</f>
        <v>ASHC</v>
      </c>
      <c r="Q1005" s="48" t="s">
        <v>1766</v>
      </c>
      <c r="R1005" s="48"/>
      <c r="S1005" s="48" t="s">
        <v>669</v>
      </c>
      <c r="T1005" s="114"/>
      <c r="U1005" s="48" t="s">
        <v>3264</v>
      </c>
      <c r="V1005" s="39"/>
      <c r="W1005" s="41"/>
      <c r="X1005" s="50"/>
      <c r="Y1005" s="50"/>
    </row>
    <row r="1006" spans="1:25" customFormat="1" ht="14.4" x14ac:dyDescent="0.3">
      <c r="A1006" s="48">
        <f t="shared" si="39"/>
        <v>37</v>
      </c>
      <c r="B1006" s="113">
        <v>46275</v>
      </c>
      <c r="C1006" s="48" t="str">
        <f t="shared" si="40"/>
        <v>septiembre</v>
      </c>
      <c r="D1006" s="48" t="s">
        <v>2175</v>
      </c>
      <c r="E1006" s="42" t="s">
        <v>668</v>
      </c>
      <c r="F1006" s="47" t="s">
        <v>3263</v>
      </c>
      <c r="G1006" s="48">
        <v>1</v>
      </c>
      <c r="H1006" s="48" t="s">
        <v>2138</v>
      </c>
      <c r="I1006" s="197">
        <f t="shared" si="41"/>
        <v>11991.681034482759</v>
      </c>
      <c r="J1006" s="197">
        <f t="shared" si="42"/>
        <v>11991.681034482759</v>
      </c>
      <c r="K1006" s="197">
        <f t="shared" si="43"/>
        <v>1918.6689655172415</v>
      </c>
      <c r="L1006" s="197">
        <v>0</v>
      </c>
      <c r="M1006" s="197">
        <v>13910.35</v>
      </c>
      <c r="N1006" s="48"/>
      <c r="O1006" s="48" t="s">
        <v>257</v>
      </c>
      <c r="P1006" s="48" t="str">
        <f>VLOOKUP(O1006,[4]AUTOS!$B:$L,10,0)</f>
        <v>ASHC</v>
      </c>
      <c r="Q1006" s="48" t="s">
        <v>1766</v>
      </c>
      <c r="R1006" s="48"/>
      <c r="S1006" s="48" t="s">
        <v>669</v>
      </c>
      <c r="T1006" s="114"/>
      <c r="U1006" s="48" t="s">
        <v>3264</v>
      </c>
      <c r="V1006" s="39"/>
      <c r="W1006" s="41"/>
      <c r="X1006" s="50"/>
      <c r="Y1006" s="50"/>
    </row>
    <row r="1007" spans="1:25" customFormat="1" ht="14.4" x14ac:dyDescent="0.3">
      <c r="A1007" s="48">
        <f t="shared" si="39"/>
        <v>43</v>
      </c>
      <c r="B1007" s="113">
        <v>46317</v>
      </c>
      <c r="C1007" s="48" t="str">
        <f t="shared" si="40"/>
        <v>octubre</v>
      </c>
      <c r="D1007" s="48" t="s">
        <v>2175</v>
      </c>
      <c r="E1007" s="42" t="s">
        <v>668</v>
      </c>
      <c r="F1007" s="47" t="s">
        <v>3263</v>
      </c>
      <c r="G1007" s="48">
        <v>1</v>
      </c>
      <c r="H1007" s="48" t="s">
        <v>2138</v>
      </c>
      <c r="I1007" s="197">
        <f t="shared" si="41"/>
        <v>11847.301724137933</v>
      </c>
      <c r="J1007" s="197">
        <f t="shared" si="42"/>
        <v>11847.301724137933</v>
      </c>
      <c r="K1007" s="197">
        <f t="shared" si="43"/>
        <v>1895.5682758620694</v>
      </c>
      <c r="L1007" s="197">
        <v>0</v>
      </c>
      <c r="M1007" s="197">
        <v>13742.87</v>
      </c>
      <c r="N1007" s="48"/>
      <c r="O1007" s="48" t="s">
        <v>256</v>
      </c>
      <c r="P1007" s="48" t="str">
        <f>VLOOKUP(O1007,[4]AUTOS!$B:$L,10,0)</f>
        <v>U64</v>
      </c>
      <c r="Q1007" s="48" t="s">
        <v>1766</v>
      </c>
      <c r="R1007" s="48"/>
      <c r="S1007" s="48" t="s">
        <v>669</v>
      </c>
      <c r="T1007" s="114"/>
      <c r="U1007" s="48" t="s">
        <v>3264</v>
      </c>
      <c r="V1007" s="39"/>
      <c r="W1007" s="41"/>
      <c r="X1007" s="50"/>
      <c r="Y1007" s="50"/>
    </row>
    <row r="1008" spans="1:25" customFormat="1" ht="14.4" x14ac:dyDescent="0.3">
      <c r="A1008" s="48">
        <f t="shared" si="39"/>
        <v>43</v>
      </c>
      <c r="B1008" s="113">
        <v>46317</v>
      </c>
      <c r="C1008" s="48" t="str">
        <f t="shared" si="40"/>
        <v>octubre</v>
      </c>
      <c r="D1008" s="48" t="s">
        <v>2175</v>
      </c>
      <c r="E1008" s="42" t="s">
        <v>668</v>
      </c>
      <c r="F1008" s="47" t="s">
        <v>3263</v>
      </c>
      <c r="G1008" s="48">
        <v>1</v>
      </c>
      <c r="H1008" s="48" t="s">
        <v>2138</v>
      </c>
      <c r="I1008" s="197">
        <f t="shared" si="41"/>
        <v>11201.301724137931</v>
      </c>
      <c r="J1008" s="197">
        <f t="shared" si="42"/>
        <v>11201.301724137931</v>
      </c>
      <c r="K1008" s="197">
        <f t="shared" si="43"/>
        <v>1792.2082758620691</v>
      </c>
      <c r="L1008" s="197">
        <v>0</v>
      </c>
      <c r="M1008" s="197">
        <v>12993.51</v>
      </c>
      <c r="N1008" s="48"/>
      <c r="O1008" s="48" t="s">
        <v>46</v>
      </c>
      <c r="P1008" s="48" t="str">
        <f>VLOOKUP(O1008,[4]AUTOS!$B:$L,10,0)</f>
        <v>ASHC</v>
      </c>
      <c r="Q1008" s="48" t="s">
        <v>1766</v>
      </c>
      <c r="R1008" s="48"/>
      <c r="S1008" s="48" t="s">
        <v>669</v>
      </c>
      <c r="T1008" s="114"/>
      <c r="U1008" s="48" t="s">
        <v>3264</v>
      </c>
      <c r="V1008" s="39"/>
      <c r="W1008" s="41"/>
      <c r="X1008" s="50"/>
      <c r="Y1008" s="50"/>
    </row>
    <row r="1009" spans="1:25" x14ac:dyDescent="0.3">
      <c r="A1009" s="48">
        <f t="shared" si="39"/>
        <v>46</v>
      </c>
      <c r="B1009" s="113">
        <v>46338</v>
      </c>
      <c r="C1009" s="48" t="str">
        <f t="shared" si="40"/>
        <v>noviembre</v>
      </c>
      <c r="D1009" s="48" t="s">
        <v>2175</v>
      </c>
      <c r="E1009" s="42" t="s">
        <v>668</v>
      </c>
      <c r="F1009" s="47" t="s">
        <v>3263</v>
      </c>
      <c r="G1009" s="48">
        <v>1</v>
      </c>
      <c r="H1009" s="48" t="s">
        <v>2138</v>
      </c>
      <c r="I1009" s="197">
        <f t="shared" si="41"/>
        <v>10400.241379310346</v>
      </c>
      <c r="J1009" s="197">
        <f t="shared" si="42"/>
        <v>10400.241379310346</v>
      </c>
      <c r="K1009" s="197">
        <f t="shared" si="43"/>
        <v>1664.0386206896553</v>
      </c>
      <c r="L1009" s="197">
        <v>0</v>
      </c>
      <c r="M1009" s="197">
        <v>12064.28</v>
      </c>
      <c r="N1009" s="48"/>
      <c r="O1009" s="48" t="s">
        <v>426</v>
      </c>
      <c r="P1009" s="48" t="str">
        <f>VLOOKUP(O1009,[4]AUTOS!$B:$L,10,0)</f>
        <v>ASHC</v>
      </c>
      <c r="Q1009" s="48" t="s">
        <v>1766</v>
      </c>
      <c r="R1009" s="48"/>
      <c r="S1009" s="48" t="s">
        <v>669</v>
      </c>
      <c r="T1009" s="114"/>
      <c r="U1009" s="48" t="s">
        <v>3264</v>
      </c>
      <c r="V1009" s="39"/>
      <c r="W1009" s="41"/>
      <c r="X1009" s="113"/>
    </row>
    <row r="1010" spans="1:25" x14ac:dyDescent="0.3">
      <c r="A1010" s="48">
        <f t="shared" si="39"/>
        <v>47</v>
      </c>
      <c r="B1010" s="113">
        <v>46345</v>
      </c>
      <c r="C1010" s="48" t="str">
        <f t="shared" si="40"/>
        <v>noviembre</v>
      </c>
      <c r="D1010" s="48" t="s">
        <v>2175</v>
      </c>
      <c r="E1010" s="42" t="s">
        <v>668</v>
      </c>
      <c r="F1010" s="47" t="s">
        <v>3263</v>
      </c>
      <c r="G1010" s="48">
        <v>1</v>
      </c>
      <c r="H1010" s="48" t="s">
        <v>2138</v>
      </c>
      <c r="I1010" s="197">
        <f t="shared" si="41"/>
        <v>10904.637931034484</v>
      </c>
      <c r="J1010" s="197">
        <f t="shared" si="42"/>
        <v>10904.637931034484</v>
      </c>
      <c r="K1010" s="197">
        <f t="shared" si="43"/>
        <v>1744.7420689655173</v>
      </c>
      <c r="L1010" s="197">
        <v>0</v>
      </c>
      <c r="M1010" s="197">
        <v>12649.38</v>
      </c>
      <c r="N1010" s="48"/>
      <c r="O1010" s="48" t="s">
        <v>672</v>
      </c>
      <c r="P1010" s="48" t="str">
        <f>VLOOKUP(O1010,[4]AUTOS!$B:$L,10,0)</f>
        <v>ASHC</v>
      </c>
      <c r="Q1010" s="48" t="s">
        <v>1766</v>
      </c>
      <c r="R1010" s="48"/>
      <c r="S1010" s="48" t="s">
        <v>669</v>
      </c>
      <c r="T1010" s="114"/>
      <c r="U1010" s="48" t="s">
        <v>3264</v>
      </c>
      <c r="V1010" s="39"/>
      <c r="W1010" s="41"/>
      <c r="X1010" s="113"/>
    </row>
    <row r="1011" spans="1:25" x14ac:dyDescent="0.3">
      <c r="A1011" s="48">
        <f t="shared" si="39"/>
        <v>50</v>
      </c>
      <c r="B1011" s="113">
        <v>46367</v>
      </c>
      <c r="C1011" s="48" t="str">
        <f t="shared" si="40"/>
        <v>diciembre</v>
      </c>
      <c r="D1011" s="48" t="s">
        <v>2175</v>
      </c>
      <c r="E1011" s="42" t="s">
        <v>668</v>
      </c>
      <c r="F1011" s="47" t="s">
        <v>3263</v>
      </c>
      <c r="G1011" s="48">
        <v>1</v>
      </c>
      <c r="H1011" s="48" t="s">
        <v>2138</v>
      </c>
      <c r="I1011" s="197">
        <f t="shared" si="41"/>
        <v>12363</v>
      </c>
      <c r="J1011" s="197">
        <f t="shared" si="42"/>
        <v>12363</v>
      </c>
      <c r="K1011" s="197">
        <f t="shared" si="43"/>
        <v>1978.0800000000002</v>
      </c>
      <c r="L1011" s="197">
        <v>0</v>
      </c>
      <c r="M1011" s="197">
        <v>14341.08</v>
      </c>
      <c r="N1011" s="48"/>
      <c r="O1011" s="48" t="s">
        <v>670</v>
      </c>
      <c r="P1011" s="48" t="str">
        <f>VLOOKUP(O1011,[4]AUTOS!$B:$L,10,0)</f>
        <v>ASHC</v>
      </c>
      <c r="Q1011" s="48" t="s">
        <v>1766</v>
      </c>
      <c r="R1011" s="48"/>
      <c r="S1011" s="48" t="s">
        <v>669</v>
      </c>
      <c r="T1011" s="114"/>
      <c r="U1011" s="48" t="s">
        <v>3264</v>
      </c>
      <c r="V1011" s="39"/>
      <c r="W1011" s="41"/>
    </row>
    <row r="1012" spans="1:25" x14ac:dyDescent="0.3">
      <c r="A1012" s="48">
        <f t="shared" si="39"/>
        <v>51</v>
      </c>
      <c r="B1012" s="113">
        <v>46369</v>
      </c>
      <c r="C1012" s="48" t="str">
        <f t="shared" si="40"/>
        <v>diciembre</v>
      </c>
      <c r="D1012" s="48" t="s">
        <v>2175</v>
      </c>
      <c r="E1012" s="42" t="s">
        <v>668</v>
      </c>
      <c r="F1012" s="47" t="s">
        <v>3263</v>
      </c>
      <c r="G1012" s="48">
        <v>1</v>
      </c>
      <c r="H1012" s="48" t="s">
        <v>2138</v>
      </c>
      <c r="I1012" s="197">
        <f t="shared" si="41"/>
        <v>10853.560344827587</v>
      </c>
      <c r="J1012" s="197">
        <f t="shared" si="42"/>
        <v>10853.560344827587</v>
      </c>
      <c r="K1012" s="197">
        <f t="shared" si="43"/>
        <v>1736.5696551724141</v>
      </c>
      <c r="L1012" s="197">
        <v>0</v>
      </c>
      <c r="M1012" s="197">
        <v>12590.13</v>
      </c>
      <c r="N1012" s="48"/>
      <c r="O1012" s="48" t="s">
        <v>563</v>
      </c>
      <c r="P1012" s="48" t="str">
        <f>VLOOKUP(O1012,[4]AUTOS!$B:$L,10,0)</f>
        <v>ASHC</v>
      </c>
      <c r="Q1012" s="48" t="s">
        <v>1766</v>
      </c>
      <c r="R1012" s="48"/>
      <c r="S1012" s="48" t="s">
        <v>669</v>
      </c>
      <c r="T1012" s="114"/>
      <c r="U1012" s="48" t="s">
        <v>3264</v>
      </c>
      <c r="V1012" s="39"/>
      <c r="W1012" s="41"/>
    </row>
    <row r="1013" spans="1:25" x14ac:dyDescent="0.3">
      <c r="A1013" s="48">
        <f t="shared" si="39"/>
        <v>51</v>
      </c>
      <c r="B1013" s="113">
        <v>46374</v>
      </c>
      <c r="C1013" s="48" t="str">
        <f t="shared" si="40"/>
        <v>diciembre</v>
      </c>
      <c r="D1013" s="48" t="s">
        <v>2175</v>
      </c>
      <c r="E1013" s="42" t="s">
        <v>668</v>
      </c>
      <c r="F1013" s="47" t="s">
        <v>3263</v>
      </c>
      <c r="G1013" s="48">
        <v>1</v>
      </c>
      <c r="H1013" s="48" t="s">
        <v>2138</v>
      </c>
      <c r="I1013" s="197">
        <f t="shared" si="41"/>
        <v>11297.353448275862</v>
      </c>
      <c r="J1013" s="197">
        <f t="shared" si="42"/>
        <v>11297.353448275862</v>
      </c>
      <c r="K1013" s="197">
        <f t="shared" si="43"/>
        <v>1807.576551724138</v>
      </c>
      <c r="L1013" s="197">
        <v>0</v>
      </c>
      <c r="M1013" s="197">
        <v>13104.93</v>
      </c>
      <c r="N1013" s="48"/>
      <c r="O1013" s="48" t="s">
        <v>814</v>
      </c>
      <c r="P1013" s="48" t="str">
        <f>VLOOKUP(O1013,[4]AUTOS!$B:$L,10,0)</f>
        <v>ASHC</v>
      </c>
      <c r="Q1013" s="48" t="s">
        <v>1766</v>
      </c>
      <c r="R1013" s="48"/>
      <c r="S1013" s="48" t="s">
        <v>669</v>
      </c>
      <c r="T1013" s="114"/>
      <c r="U1013" s="48" t="s">
        <v>3264</v>
      </c>
      <c r="V1013" s="39"/>
      <c r="W1013" s="41"/>
    </row>
    <row r="1014" spans="1:25" customFormat="1" ht="14.4" x14ac:dyDescent="0.3">
      <c r="A1014" s="48">
        <f t="shared" si="39"/>
        <v>51</v>
      </c>
      <c r="B1014" s="113">
        <v>46375</v>
      </c>
      <c r="C1014" s="48" t="str">
        <f t="shared" si="40"/>
        <v>diciembre</v>
      </c>
      <c r="D1014" s="48" t="s">
        <v>2175</v>
      </c>
      <c r="E1014" s="42" t="s">
        <v>668</v>
      </c>
      <c r="F1014" s="47" t="s">
        <v>3263</v>
      </c>
      <c r="G1014" s="48">
        <v>1</v>
      </c>
      <c r="H1014" s="48" t="s">
        <v>2138</v>
      </c>
      <c r="I1014" s="197">
        <f t="shared" si="41"/>
        <v>8827.1120689655181</v>
      </c>
      <c r="J1014" s="197">
        <f t="shared" si="42"/>
        <v>8827.1120689655181</v>
      </c>
      <c r="K1014" s="197">
        <f t="shared" si="43"/>
        <v>1412.3379310344828</v>
      </c>
      <c r="L1014" s="197">
        <v>0</v>
      </c>
      <c r="M1014" s="197">
        <v>10239.450000000001</v>
      </c>
      <c r="N1014" s="48"/>
      <c r="O1014" s="48" t="s">
        <v>798</v>
      </c>
      <c r="P1014" s="48" t="str">
        <f>VLOOKUP(O1014,[4]AUTOS!$B:$L,10,0)</f>
        <v>BYER</v>
      </c>
      <c r="Q1014" s="48" t="s">
        <v>1766</v>
      </c>
      <c r="R1014" s="48"/>
      <c r="S1014" s="48" t="s">
        <v>669</v>
      </c>
      <c r="T1014" s="114"/>
      <c r="U1014" s="48" t="s">
        <v>3264</v>
      </c>
      <c r="V1014" s="39"/>
      <c r="W1014" s="41"/>
      <c r="Y1014" s="50"/>
    </row>
    <row r="1015" spans="1:25" customFormat="1" ht="14.4" x14ac:dyDescent="0.3">
      <c r="A1015" s="48">
        <f t="shared" si="39"/>
        <v>51</v>
      </c>
      <c r="B1015" s="113">
        <v>46375</v>
      </c>
      <c r="C1015" s="48" t="str">
        <f t="shared" si="40"/>
        <v>diciembre</v>
      </c>
      <c r="D1015" s="48" t="s">
        <v>2175</v>
      </c>
      <c r="E1015" s="42" t="s">
        <v>668</v>
      </c>
      <c r="F1015" s="47" t="s">
        <v>3263</v>
      </c>
      <c r="G1015" s="48">
        <v>1</v>
      </c>
      <c r="H1015" s="48" t="s">
        <v>2138</v>
      </c>
      <c r="I1015" s="197">
        <f t="shared" si="41"/>
        <v>8604.5431034482772</v>
      </c>
      <c r="J1015" s="197">
        <f t="shared" si="42"/>
        <v>8604.5431034482772</v>
      </c>
      <c r="K1015" s="197">
        <f t="shared" si="43"/>
        <v>1376.7268965517244</v>
      </c>
      <c r="L1015" s="197">
        <v>0</v>
      </c>
      <c r="M1015" s="197">
        <v>9981.27</v>
      </c>
      <c r="N1015" s="48"/>
      <c r="O1015" s="48" t="s">
        <v>774</v>
      </c>
      <c r="P1015" s="48" t="str">
        <f>VLOOKUP(O1015,[4]AUTOS!$B:$L,10,0)</f>
        <v>ASHC</v>
      </c>
      <c r="Q1015" s="48" t="s">
        <v>1766</v>
      </c>
      <c r="R1015" s="48"/>
      <c r="S1015" s="48" t="s">
        <v>669</v>
      </c>
      <c r="T1015" s="114"/>
      <c r="U1015" s="48" t="s">
        <v>3264</v>
      </c>
      <c r="V1015" s="39"/>
      <c r="W1015" s="41"/>
      <c r="Y1015" s="50"/>
    </row>
    <row r="1016" spans="1:25" customFormat="1" ht="14.4" x14ac:dyDescent="0.3">
      <c r="A1016" s="48">
        <f t="shared" si="39"/>
        <v>51</v>
      </c>
      <c r="B1016" s="113">
        <v>46375</v>
      </c>
      <c r="C1016" s="48" t="str">
        <f t="shared" si="40"/>
        <v>diciembre</v>
      </c>
      <c r="D1016" s="48" t="s">
        <v>2175</v>
      </c>
      <c r="E1016" s="42" t="s">
        <v>668</v>
      </c>
      <c r="F1016" s="47" t="s">
        <v>3263</v>
      </c>
      <c r="G1016" s="48">
        <v>1</v>
      </c>
      <c r="H1016" s="48" t="s">
        <v>2138</v>
      </c>
      <c r="I1016" s="197">
        <f t="shared" si="41"/>
        <v>11930.008620689656</v>
      </c>
      <c r="J1016" s="197">
        <f t="shared" si="42"/>
        <v>11930.008620689656</v>
      </c>
      <c r="K1016" s="197">
        <f t="shared" si="43"/>
        <v>1908.8013793103451</v>
      </c>
      <c r="L1016" s="197">
        <v>0</v>
      </c>
      <c r="M1016" s="197">
        <v>13838.81</v>
      </c>
      <c r="N1016" s="48"/>
      <c r="O1016" s="48" t="s">
        <v>645</v>
      </c>
      <c r="P1016" s="48" t="str">
        <f>VLOOKUP(O1016,[4]AUTOS!$B:$L,10,0)</f>
        <v>ASHC</v>
      </c>
      <c r="Q1016" s="48" t="s">
        <v>1766</v>
      </c>
      <c r="R1016" s="48"/>
      <c r="S1016" s="48" t="s">
        <v>669</v>
      </c>
      <c r="T1016" s="114"/>
      <c r="U1016" s="48" t="s">
        <v>3264</v>
      </c>
      <c r="V1016" s="39"/>
      <c r="W1016" s="41"/>
      <c r="Y1016" s="50"/>
    </row>
    <row r="1017" spans="1:25" customFormat="1" ht="14.4" x14ac:dyDescent="0.3">
      <c r="A1017" s="48">
        <f t="shared" si="39"/>
        <v>51</v>
      </c>
      <c r="B1017" s="113">
        <v>46375</v>
      </c>
      <c r="C1017" s="48" t="str">
        <f t="shared" si="40"/>
        <v>diciembre</v>
      </c>
      <c r="D1017" s="48" t="s">
        <v>2175</v>
      </c>
      <c r="E1017" s="42" t="s">
        <v>668</v>
      </c>
      <c r="F1017" s="47" t="s">
        <v>3263</v>
      </c>
      <c r="G1017" s="48">
        <v>1</v>
      </c>
      <c r="H1017" s="48" t="s">
        <v>2138</v>
      </c>
      <c r="I1017" s="197">
        <f t="shared" si="41"/>
        <v>12683.051724137931</v>
      </c>
      <c r="J1017" s="197">
        <f t="shared" si="42"/>
        <v>12683.051724137931</v>
      </c>
      <c r="K1017" s="197">
        <f t="shared" si="43"/>
        <v>2029.288275862069</v>
      </c>
      <c r="L1017" s="197">
        <v>0</v>
      </c>
      <c r="M1017" s="197">
        <v>14712.34</v>
      </c>
      <c r="N1017" s="48"/>
      <c r="O1017" s="48" t="s">
        <v>1265</v>
      </c>
      <c r="P1017" s="48" t="str">
        <f>VLOOKUP(O1017,[4]AUTOS!$B:$L,10,0)</f>
        <v>ASHC</v>
      </c>
      <c r="Q1017" s="48" t="s">
        <v>1766</v>
      </c>
      <c r="R1017" s="48"/>
      <c r="S1017" s="48" t="s">
        <v>669</v>
      </c>
      <c r="T1017" s="114"/>
      <c r="U1017" s="48" t="s">
        <v>3264</v>
      </c>
      <c r="V1017" s="39"/>
      <c r="W1017" s="41"/>
      <c r="Y1017" s="50"/>
    </row>
    <row r="1018" spans="1:25" customFormat="1" ht="14.4" x14ac:dyDescent="0.3">
      <c r="A1018" s="48">
        <f t="shared" si="39"/>
        <v>51</v>
      </c>
      <c r="B1018" s="113">
        <v>46375</v>
      </c>
      <c r="C1018" s="48" t="str">
        <f t="shared" si="40"/>
        <v>diciembre</v>
      </c>
      <c r="D1018" s="48" t="s">
        <v>2175</v>
      </c>
      <c r="E1018" s="42" t="s">
        <v>668</v>
      </c>
      <c r="F1018" s="47" t="s">
        <v>3263</v>
      </c>
      <c r="G1018" s="48">
        <v>1</v>
      </c>
      <c r="H1018" s="48" t="s">
        <v>2138</v>
      </c>
      <c r="I1018" s="197">
        <f t="shared" si="41"/>
        <v>12683.051724137931</v>
      </c>
      <c r="J1018" s="197">
        <f t="shared" si="42"/>
        <v>12683.051724137931</v>
      </c>
      <c r="K1018" s="197">
        <f t="shared" si="43"/>
        <v>2029.288275862069</v>
      </c>
      <c r="L1018" s="197">
        <v>0</v>
      </c>
      <c r="M1018" s="197">
        <v>14712.34</v>
      </c>
      <c r="N1018" s="48"/>
      <c r="O1018" s="48" t="s">
        <v>1285</v>
      </c>
      <c r="P1018" s="48" t="str">
        <f>VLOOKUP(O1018,[4]AUTOS!$B:$L,10,0)</f>
        <v>ASHC</v>
      </c>
      <c r="Q1018" s="48" t="s">
        <v>1766</v>
      </c>
      <c r="R1018" s="48"/>
      <c r="S1018" s="48" t="s">
        <v>669</v>
      </c>
      <c r="T1018" s="114"/>
      <c r="U1018" s="48" t="s">
        <v>3264</v>
      </c>
      <c r="V1018" s="39"/>
      <c r="W1018" s="41"/>
      <c r="Y1018" s="50"/>
    </row>
    <row r="1019" spans="1:25" customFormat="1" ht="14.4" x14ac:dyDescent="0.3">
      <c r="A1019" s="48">
        <f t="shared" si="39"/>
        <v>51</v>
      </c>
      <c r="B1019" s="113">
        <v>46375</v>
      </c>
      <c r="C1019" s="48" t="str">
        <f t="shared" si="40"/>
        <v>diciembre</v>
      </c>
      <c r="D1019" s="48" t="s">
        <v>2175</v>
      </c>
      <c r="E1019" s="42" t="s">
        <v>668</v>
      </c>
      <c r="F1019" s="47" t="s">
        <v>3263</v>
      </c>
      <c r="G1019" s="48">
        <v>1</v>
      </c>
      <c r="H1019" s="48" t="s">
        <v>2138</v>
      </c>
      <c r="I1019" s="197">
        <f t="shared" si="41"/>
        <v>12683.051724137931</v>
      </c>
      <c r="J1019" s="197">
        <f t="shared" si="42"/>
        <v>12683.051724137931</v>
      </c>
      <c r="K1019" s="197">
        <f t="shared" si="43"/>
        <v>2029.288275862069</v>
      </c>
      <c r="L1019" s="197">
        <v>0</v>
      </c>
      <c r="M1019" s="197">
        <v>14712.34</v>
      </c>
      <c r="N1019" s="48"/>
      <c r="O1019" s="48" t="s">
        <v>1273</v>
      </c>
      <c r="P1019" s="48" t="str">
        <f>VLOOKUP(O1019,[4]AUTOS!$B:$L,10,0)</f>
        <v>ASHC</v>
      </c>
      <c r="Q1019" s="48" t="s">
        <v>1766</v>
      </c>
      <c r="R1019" s="48"/>
      <c r="S1019" s="48" t="s">
        <v>669</v>
      </c>
      <c r="T1019" s="114"/>
      <c r="U1019" s="48" t="s">
        <v>3264</v>
      </c>
      <c r="V1019" s="39"/>
      <c r="W1019" s="41"/>
      <c r="Y1019" s="50"/>
    </row>
    <row r="1020" spans="1:25" customFormat="1" ht="14.4" x14ac:dyDescent="0.3">
      <c r="A1020" s="48">
        <f t="shared" si="39"/>
        <v>51</v>
      </c>
      <c r="B1020" s="113">
        <v>46375</v>
      </c>
      <c r="C1020" s="48" t="str">
        <f t="shared" si="40"/>
        <v>diciembre</v>
      </c>
      <c r="D1020" s="48" t="s">
        <v>2175</v>
      </c>
      <c r="E1020" s="42" t="s">
        <v>668</v>
      </c>
      <c r="F1020" s="47" t="s">
        <v>3263</v>
      </c>
      <c r="G1020" s="48">
        <v>1</v>
      </c>
      <c r="H1020" s="48" t="s">
        <v>2138</v>
      </c>
      <c r="I1020" s="197">
        <f t="shared" si="41"/>
        <v>12683.051724137931</v>
      </c>
      <c r="J1020" s="197">
        <f t="shared" si="42"/>
        <v>12683.051724137931</v>
      </c>
      <c r="K1020" s="197">
        <f t="shared" si="43"/>
        <v>2029.288275862069</v>
      </c>
      <c r="L1020" s="197">
        <v>0</v>
      </c>
      <c r="M1020" s="197">
        <v>14712.34</v>
      </c>
      <c r="N1020" s="48"/>
      <c r="O1020" s="48" t="s">
        <v>1316</v>
      </c>
      <c r="P1020" s="48" t="str">
        <f>VLOOKUP(O1020,[4]AUTOS!$B:$L,10,0)</f>
        <v>ASHC</v>
      </c>
      <c r="Q1020" s="48" t="s">
        <v>1766</v>
      </c>
      <c r="R1020" s="48"/>
      <c r="S1020" s="48" t="s">
        <v>669</v>
      </c>
      <c r="T1020" s="114"/>
      <c r="U1020" s="48" t="s">
        <v>3264</v>
      </c>
      <c r="V1020" s="39"/>
      <c r="W1020" s="41"/>
      <c r="Y1020" s="50"/>
    </row>
    <row r="1021" spans="1:25" customFormat="1" ht="14.4" x14ac:dyDescent="0.3">
      <c r="A1021" s="48">
        <f t="shared" si="39"/>
        <v>53</v>
      </c>
      <c r="B1021" s="113">
        <v>46384</v>
      </c>
      <c r="C1021" s="48" t="str">
        <f t="shared" si="40"/>
        <v>diciembre</v>
      </c>
      <c r="D1021" s="48" t="s">
        <v>2175</v>
      </c>
      <c r="E1021" s="42" t="s">
        <v>668</v>
      </c>
      <c r="F1021" s="47" t="s">
        <v>3263</v>
      </c>
      <c r="G1021" s="48">
        <v>1</v>
      </c>
      <c r="H1021" s="48" t="s">
        <v>2138</v>
      </c>
      <c r="I1021" s="197">
        <f t="shared" si="41"/>
        <v>12683.051724137931</v>
      </c>
      <c r="J1021" s="197">
        <f t="shared" si="42"/>
        <v>12683.051724137931</v>
      </c>
      <c r="K1021" s="197">
        <f t="shared" si="43"/>
        <v>2029.288275862069</v>
      </c>
      <c r="L1021" s="197">
        <v>0</v>
      </c>
      <c r="M1021" s="197">
        <v>14712.34</v>
      </c>
      <c r="N1021" s="48"/>
      <c r="O1021" s="48" t="s">
        <v>1328</v>
      </c>
      <c r="P1021" s="48" t="str">
        <f>VLOOKUP(O1021,[4]AUTOS!$B:$L,10,0)</f>
        <v>ASHC</v>
      </c>
      <c r="Q1021" s="48" t="s">
        <v>1766</v>
      </c>
      <c r="R1021" s="48"/>
      <c r="S1021" s="48" t="s">
        <v>669</v>
      </c>
      <c r="T1021" s="114"/>
      <c r="U1021" s="48" t="s">
        <v>3264</v>
      </c>
      <c r="V1021" s="39"/>
      <c r="W1021" s="41"/>
      <c r="Y1021" s="50"/>
    </row>
    <row r="1022" spans="1:25" x14ac:dyDescent="0.3">
      <c r="A1022" s="48">
        <f t="shared" si="39"/>
        <v>13</v>
      </c>
      <c r="B1022" s="113">
        <v>46107</v>
      </c>
      <c r="C1022" s="48" t="str">
        <f t="shared" si="40"/>
        <v>marzo</v>
      </c>
      <c r="D1022" s="48" t="s">
        <v>2135</v>
      </c>
      <c r="E1022" s="50" t="s">
        <v>127</v>
      </c>
      <c r="F1022" s="196" t="s">
        <v>1631</v>
      </c>
      <c r="G1022" s="48">
        <v>1</v>
      </c>
      <c r="H1022" s="48" t="s">
        <v>2138</v>
      </c>
      <c r="I1022" s="202">
        <v>500</v>
      </c>
      <c r="J1022" s="202">
        <v>500</v>
      </c>
      <c r="K1022" s="197">
        <v>0</v>
      </c>
      <c r="L1022" s="202">
        <v>500</v>
      </c>
      <c r="M1022" s="198">
        <v>0</v>
      </c>
      <c r="N1022" s="48" t="s">
        <v>1617</v>
      </c>
      <c r="O1022" s="48" t="s">
        <v>116</v>
      </c>
      <c r="P1022" s="48" t="s">
        <v>39</v>
      </c>
      <c r="Q1022" s="113" t="s">
        <v>1841</v>
      </c>
      <c r="R1022" s="113" t="s">
        <v>369</v>
      </c>
      <c r="S1022" s="113" t="s">
        <v>3176</v>
      </c>
      <c r="T1022" s="113"/>
      <c r="U1022" s="113"/>
      <c r="V1022" s="113"/>
      <c r="W1022" s="113"/>
    </row>
    <row r="1023" spans="1:25" x14ac:dyDescent="0.3">
      <c r="A1023" s="48">
        <f t="shared" si="39"/>
        <v>13</v>
      </c>
      <c r="B1023" s="113">
        <v>46107</v>
      </c>
      <c r="C1023" s="48" t="str">
        <f t="shared" si="40"/>
        <v>marzo</v>
      </c>
      <c r="D1023" s="48" t="s">
        <v>2135</v>
      </c>
      <c r="E1023" s="50" t="s">
        <v>127</v>
      </c>
      <c r="F1023" s="196" t="s">
        <v>1631</v>
      </c>
      <c r="G1023" s="48">
        <v>1</v>
      </c>
      <c r="H1023" s="48" t="s">
        <v>2138</v>
      </c>
      <c r="I1023" s="202">
        <v>500</v>
      </c>
      <c r="J1023" s="202">
        <v>500</v>
      </c>
      <c r="K1023" s="197">
        <v>0</v>
      </c>
      <c r="L1023" s="202">
        <v>500</v>
      </c>
      <c r="M1023" s="198">
        <v>0</v>
      </c>
      <c r="N1023" s="48" t="s">
        <v>1617</v>
      </c>
      <c r="O1023" s="48" t="s">
        <v>116</v>
      </c>
      <c r="P1023" s="48" t="s">
        <v>1321</v>
      </c>
      <c r="Q1023" s="113" t="s">
        <v>1841</v>
      </c>
      <c r="R1023" s="113" t="s">
        <v>369</v>
      </c>
      <c r="S1023" s="113" t="s">
        <v>3176</v>
      </c>
      <c r="T1023" s="113"/>
      <c r="U1023" s="113"/>
      <c r="V1023" s="113"/>
      <c r="W1023" s="113"/>
    </row>
    <row r="1024" spans="1:25" x14ac:dyDescent="0.3">
      <c r="A1024" s="48">
        <f t="shared" si="39"/>
        <v>15</v>
      </c>
      <c r="B1024" s="113">
        <v>46121</v>
      </c>
      <c r="C1024" s="48" t="str">
        <f t="shared" si="40"/>
        <v>abril</v>
      </c>
      <c r="D1024" s="48" t="s">
        <v>2135</v>
      </c>
      <c r="E1024" s="50" t="s">
        <v>127</v>
      </c>
      <c r="F1024" s="196" t="s">
        <v>1631</v>
      </c>
      <c r="G1024" s="48">
        <v>1</v>
      </c>
      <c r="H1024" s="48" t="s">
        <v>2138</v>
      </c>
      <c r="I1024" s="202">
        <v>500</v>
      </c>
      <c r="J1024" s="202">
        <v>500</v>
      </c>
      <c r="K1024" s="197">
        <v>0</v>
      </c>
      <c r="L1024" s="202">
        <v>500</v>
      </c>
      <c r="M1024" s="198">
        <v>0</v>
      </c>
      <c r="N1024" s="48" t="s">
        <v>1617</v>
      </c>
      <c r="O1024" s="48" t="s">
        <v>116</v>
      </c>
      <c r="P1024" s="48" t="s">
        <v>39</v>
      </c>
      <c r="Q1024" s="113" t="s">
        <v>1766</v>
      </c>
      <c r="R1024" s="113" t="s">
        <v>369</v>
      </c>
    </row>
    <row r="1025" spans="1:23" x14ac:dyDescent="0.3">
      <c r="A1025" s="48">
        <f t="shared" si="39"/>
        <v>15</v>
      </c>
      <c r="B1025" s="113">
        <v>46121</v>
      </c>
      <c r="C1025" s="48" t="str">
        <f t="shared" si="40"/>
        <v>abril</v>
      </c>
      <c r="D1025" s="48" t="s">
        <v>2135</v>
      </c>
      <c r="E1025" s="50" t="s">
        <v>127</v>
      </c>
      <c r="F1025" s="196" t="s">
        <v>1631</v>
      </c>
      <c r="G1025" s="48">
        <v>1</v>
      </c>
      <c r="H1025" s="48" t="s">
        <v>2138</v>
      </c>
      <c r="I1025" s="202">
        <v>500</v>
      </c>
      <c r="J1025" s="202">
        <v>500</v>
      </c>
      <c r="K1025" s="197">
        <v>0</v>
      </c>
      <c r="L1025" s="202">
        <v>500</v>
      </c>
      <c r="M1025" s="198">
        <v>0</v>
      </c>
      <c r="N1025" s="48" t="s">
        <v>1617</v>
      </c>
      <c r="O1025" s="48" t="s">
        <v>116</v>
      </c>
      <c r="P1025" s="48" t="s">
        <v>1321</v>
      </c>
      <c r="Q1025" s="113" t="s">
        <v>1766</v>
      </c>
      <c r="R1025" s="113" t="s">
        <v>369</v>
      </c>
    </row>
    <row r="1026" spans="1:23" x14ac:dyDescent="0.3">
      <c r="A1026" s="48">
        <f t="shared" si="39"/>
        <v>15</v>
      </c>
      <c r="B1026" s="113">
        <v>46121</v>
      </c>
      <c r="C1026" s="48" t="str">
        <f t="shared" si="40"/>
        <v>abril</v>
      </c>
      <c r="D1026" s="48" t="s">
        <v>2135</v>
      </c>
      <c r="E1026" s="50" t="s">
        <v>127</v>
      </c>
      <c r="F1026" s="196" t="s">
        <v>1631</v>
      </c>
      <c r="G1026" s="48">
        <v>1</v>
      </c>
      <c r="H1026" s="48" t="s">
        <v>2138</v>
      </c>
      <c r="I1026" s="202">
        <v>1000</v>
      </c>
      <c r="J1026" s="202">
        <v>1000</v>
      </c>
      <c r="K1026" s="197">
        <v>0</v>
      </c>
      <c r="L1026" s="202">
        <v>1000</v>
      </c>
      <c r="M1026" s="198">
        <v>0</v>
      </c>
      <c r="N1026" s="48" t="s">
        <v>1617</v>
      </c>
      <c r="O1026" s="48" t="s">
        <v>116</v>
      </c>
      <c r="P1026" s="48" t="s">
        <v>25</v>
      </c>
      <c r="Q1026" s="113" t="s">
        <v>1766</v>
      </c>
      <c r="R1026" s="113" t="s">
        <v>369</v>
      </c>
    </row>
    <row r="1027" spans="1:23" ht="14.4" x14ac:dyDescent="0.3">
      <c r="A1027" s="48">
        <f t="shared" si="39"/>
        <v>2</v>
      </c>
      <c r="B1027" s="113">
        <v>46030</v>
      </c>
      <c r="C1027" s="48" t="str">
        <f t="shared" si="40"/>
        <v>enero</v>
      </c>
      <c r="D1027" s="48" t="s">
        <v>2135</v>
      </c>
      <c r="E1027" s="42" t="s">
        <v>477</v>
      </c>
      <c r="F1027" s="47" t="s">
        <v>559</v>
      </c>
      <c r="G1027" s="38">
        <v>1</v>
      </c>
      <c r="H1027" s="48" t="s">
        <v>2138</v>
      </c>
      <c r="I1027" s="214">
        <v>610</v>
      </c>
      <c r="J1027" s="214">
        <v>610</v>
      </c>
      <c r="K1027" s="214">
        <v>0</v>
      </c>
      <c r="L1027" s="231">
        <v>610</v>
      </c>
      <c r="M1027" s="198">
        <v>0</v>
      </c>
      <c r="N1027" s="48" t="s">
        <v>1617</v>
      </c>
      <c r="O1027" s="48" t="s">
        <v>1855</v>
      </c>
      <c r="P1027" s="49" t="s">
        <v>1321</v>
      </c>
      <c r="Q1027" s="38" t="s">
        <v>1766</v>
      </c>
      <c r="R1027" s="48" t="s">
        <v>364</v>
      </c>
      <c r="S1027" s="48" t="s">
        <v>1827</v>
      </c>
      <c r="T1027" s="114" t="s">
        <v>1617</v>
      </c>
      <c r="U1027" s="38"/>
      <c r="V1027" s="130"/>
      <c r="W1027"/>
    </row>
    <row r="1028" spans="1:23" ht="14.4" x14ac:dyDescent="0.3">
      <c r="A1028" s="48">
        <f t="shared" si="39"/>
        <v>2</v>
      </c>
      <c r="B1028" s="113">
        <v>46030</v>
      </c>
      <c r="C1028" s="48" t="str">
        <f t="shared" si="40"/>
        <v>enero</v>
      </c>
      <c r="D1028" s="48" t="s">
        <v>2135</v>
      </c>
      <c r="E1028" s="42" t="s">
        <v>477</v>
      </c>
      <c r="F1028" s="47" t="s">
        <v>559</v>
      </c>
      <c r="G1028" s="38">
        <v>1</v>
      </c>
      <c r="H1028" s="48" t="s">
        <v>2138</v>
      </c>
      <c r="I1028" s="214">
        <v>610</v>
      </c>
      <c r="J1028" s="214">
        <v>610</v>
      </c>
      <c r="K1028" s="214">
        <v>0</v>
      </c>
      <c r="L1028" s="231">
        <v>610</v>
      </c>
      <c r="M1028" s="198">
        <v>0</v>
      </c>
      <c r="N1028" s="48" t="s">
        <v>1617</v>
      </c>
      <c r="O1028" s="48" t="s">
        <v>2031</v>
      </c>
      <c r="P1028" s="49" t="s">
        <v>1321</v>
      </c>
      <c r="Q1028" s="38" t="s">
        <v>1766</v>
      </c>
      <c r="R1028" s="48" t="s">
        <v>364</v>
      </c>
      <c r="S1028" s="48" t="s">
        <v>1827</v>
      </c>
      <c r="T1028" s="114" t="s">
        <v>1617</v>
      </c>
      <c r="U1028" s="38"/>
      <c r="V1028" s="130"/>
      <c r="W1028"/>
    </row>
    <row r="1029" spans="1:23" ht="14.4" x14ac:dyDescent="0.3">
      <c r="A1029" s="48">
        <f t="shared" si="39"/>
        <v>5</v>
      </c>
      <c r="B1029" s="113">
        <v>46050</v>
      </c>
      <c r="C1029" s="48" t="str">
        <f t="shared" si="40"/>
        <v>enero</v>
      </c>
      <c r="D1029" s="48" t="s">
        <v>2135</v>
      </c>
      <c r="E1029" s="42" t="s">
        <v>477</v>
      </c>
      <c r="F1029" s="47" t="s">
        <v>559</v>
      </c>
      <c r="G1029" s="38">
        <v>1</v>
      </c>
      <c r="H1029" s="48" t="s">
        <v>2138</v>
      </c>
      <c r="I1029" s="214">
        <v>610</v>
      </c>
      <c r="J1029" s="214">
        <v>610</v>
      </c>
      <c r="K1029" s="214">
        <v>0</v>
      </c>
      <c r="L1029" s="231">
        <v>610</v>
      </c>
      <c r="M1029" s="198">
        <v>0</v>
      </c>
      <c r="N1029" s="48" t="s">
        <v>1617</v>
      </c>
      <c r="O1029" s="48" t="s">
        <v>2020</v>
      </c>
      <c r="P1029" s="49" t="s">
        <v>1321</v>
      </c>
      <c r="Q1029" s="38" t="s">
        <v>1766</v>
      </c>
      <c r="R1029" s="48" t="s">
        <v>364</v>
      </c>
      <c r="S1029" s="48" t="s">
        <v>1827</v>
      </c>
      <c r="T1029" s="114" t="s">
        <v>1617</v>
      </c>
      <c r="U1029" s="38"/>
      <c r="V1029" s="130"/>
      <c r="W1029"/>
    </row>
    <row r="1030" spans="1:23" ht="14.4" x14ac:dyDescent="0.3">
      <c r="A1030" s="48">
        <f t="shared" si="39"/>
        <v>5</v>
      </c>
      <c r="B1030" s="113">
        <v>46050</v>
      </c>
      <c r="C1030" s="48" t="str">
        <f t="shared" si="40"/>
        <v>enero</v>
      </c>
      <c r="D1030" s="48" t="s">
        <v>2135</v>
      </c>
      <c r="E1030" s="42" t="s">
        <v>477</v>
      </c>
      <c r="F1030" s="47" t="s">
        <v>559</v>
      </c>
      <c r="G1030" s="38">
        <v>1</v>
      </c>
      <c r="H1030" s="48" t="s">
        <v>2138</v>
      </c>
      <c r="I1030" s="214">
        <v>610</v>
      </c>
      <c r="J1030" s="214">
        <v>610</v>
      </c>
      <c r="K1030" s="214">
        <v>0</v>
      </c>
      <c r="L1030" s="231">
        <v>610</v>
      </c>
      <c r="M1030" s="198">
        <v>0</v>
      </c>
      <c r="N1030" s="48" t="s">
        <v>1617</v>
      </c>
      <c r="O1030" s="48" t="s">
        <v>1736</v>
      </c>
      <c r="P1030" s="49" t="s">
        <v>1321</v>
      </c>
      <c r="Q1030" s="38" t="s">
        <v>1766</v>
      </c>
      <c r="R1030" s="48" t="s">
        <v>364</v>
      </c>
      <c r="S1030" s="48" t="s">
        <v>1827</v>
      </c>
      <c r="T1030" s="114" t="s">
        <v>1617</v>
      </c>
      <c r="U1030" s="38"/>
      <c r="V1030" s="130"/>
      <c r="W1030"/>
    </row>
    <row r="1031" spans="1:23" ht="14.4" x14ac:dyDescent="0.3">
      <c r="A1031" s="48">
        <f t="shared" si="39"/>
        <v>5</v>
      </c>
      <c r="B1031" s="113">
        <v>46050</v>
      </c>
      <c r="C1031" s="48" t="str">
        <f t="shared" si="40"/>
        <v>enero</v>
      </c>
      <c r="D1031" s="48" t="s">
        <v>2135</v>
      </c>
      <c r="E1031" s="42" t="s">
        <v>477</v>
      </c>
      <c r="F1031" s="47" t="s">
        <v>559</v>
      </c>
      <c r="G1031" s="38">
        <v>1</v>
      </c>
      <c r="H1031" s="48" t="s">
        <v>2138</v>
      </c>
      <c r="I1031" s="214">
        <v>610</v>
      </c>
      <c r="J1031" s="214">
        <v>610</v>
      </c>
      <c r="K1031" s="214">
        <v>0</v>
      </c>
      <c r="L1031" s="231">
        <v>610</v>
      </c>
      <c r="M1031" s="198">
        <v>0</v>
      </c>
      <c r="N1031" s="48" t="s">
        <v>1617</v>
      </c>
      <c r="O1031" s="48" t="s">
        <v>2022</v>
      </c>
      <c r="P1031" s="49" t="s">
        <v>1321</v>
      </c>
      <c r="Q1031" s="38" t="s">
        <v>1766</v>
      </c>
      <c r="R1031" s="48" t="s">
        <v>364</v>
      </c>
      <c r="S1031" s="48" t="s">
        <v>1827</v>
      </c>
      <c r="T1031" s="114" t="s">
        <v>1617</v>
      </c>
      <c r="U1031" s="38"/>
      <c r="V1031" s="130"/>
      <c r="W1031"/>
    </row>
    <row r="1032" spans="1:23" ht="14.4" x14ac:dyDescent="0.3">
      <c r="A1032" s="48">
        <f t="shared" si="39"/>
        <v>5</v>
      </c>
      <c r="B1032" s="113">
        <v>46050</v>
      </c>
      <c r="C1032" s="48" t="str">
        <f t="shared" si="40"/>
        <v>enero</v>
      </c>
      <c r="D1032" s="48" t="s">
        <v>2135</v>
      </c>
      <c r="E1032" s="42" t="s">
        <v>477</v>
      </c>
      <c r="F1032" s="47" t="s">
        <v>559</v>
      </c>
      <c r="G1032" s="38">
        <v>1</v>
      </c>
      <c r="H1032" s="48" t="s">
        <v>2138</v>
      </c>
      <c r="I1032" s="214">
        <v>610</v>
      </c>
      <c r="J1032" s="214">
        <v>610</v>
      </c>
      <c r="K1032" s="214">
        <v>0</v>
      </c>
      <c r="L1032" s="231">
        <v>610</v>
      </c>
      <c r="M1032" s="198">
        <v>0</v>
      </c>
      <c r="N1032" s="48" t="s">
        <v>1617</v>
      </c>
      <c r="O1032" s="48" t="s">
        <v>1823</v>
      </c>
      <c r="P1032" s="49" t="s">
        <v>1321</v>
      </c>
      <c r="Q1032" s="38" t="s">
        <v>1766</v>
      </c>
      <c r="R1032" s="48" t="s">
        <v>364</v>
      </c>
      <c r="S1032" s="48" t="s">
        <v>1827</v>
      </c>
      <c r="T1032" s="114" t="s">
        <v>1617</v>
      </c>
      <c r="U1032" s="38"/>
      <c r="V1032" s="130"/>
      <c r="W1032"/>
    </row>
    <row r="1033" spans="1:23" ht="14.4" x14ac:dyDescent="0.3">
      <c r="A1033" s="48">
        <f t="shared" si="39"/>
        <v>5</v>
      </c>
      <c r="B1033" s="113">
        <v>46050</v>
      </c>
      <c r="C1033" s="48" t="str">
        <f t="shared" si="40"/>
        <v>enero</v>
      </c>
      <c r="D1033" s="48" t="s">
        <v>2135</v>
      </c>
      <c r="E1033" s="42" t="s">
        <v>477</v>
      </c>
      <c r="F1033" s="47" t="s">
        <v>559</v>
      </c>
      <c r="G1033" s="38">
        <v>1</v>
      </c>
      <c r="H1033" s="48" t="s">
        <v>2138</v>
      </c>
      <c r="I1033" s="214">
        <v>610</v>
      </c>
      <c r="J1033" s="214">
        <v>610</v>
      </c>
      <c r="K1033" s="214">
        <v>0</v>
      </c>
      <c r="L1033" s="231">
        <v>610</v>
      </c>
      <c r="M1033" s="198">
        <v>0</v>
      </c>
      <c r="N1033" s="48" t="s">
        <v>1617</v>
      </c>
      <c r="O1033" s="48" t="s">
        <v>1819</v>
      </c>
      <c r="P1033" s="49" t="s">
        <v>1321</v>
      </c>
      <c r="Q1033" s="38" t="s">
        <v>1766</v>
      </c>
      <c r="R1033" s="48" t="s">
        <v>364</v>
      </c>
      <c r="S1033" s="48" t="s">
        <v>1827</v>
      </c>
      <c r="T1033" s="114" t="s">
        <v>1617</v>
      </c>
      <c r="U1033" s="38"/>
      <c r="V1033" s="130"/>
      <c r="W1033"/>
    </row>
    <row r="1034" spans="1:23" ht="14.4" x14ac:dyDescent="0.3">
      <c r="A1034" s="48">
        <f t="shared" ref="A1034" si="44">WEEKNUM(B1034)</f>
        <v>5</v>
      </c>
      <c r="B1034" s="113">
        <v>46050</v>
      </c>
      <c r="C1034" s="48" t="str">
        <f t="shared" si="40"/>
        <v>enero</v>
      </c>
      <c r="D1034" s="48" t="s">
        <v>2135</v>
      </c>
      <c r="E1034" s="42" t="s">
        <v>477</v>
      </c>
      <c r="F1034" s="47" t="s">
        <v>559</v>
      </c>
      <c r="G1034" s="38">
        <v>1</v>
      </c>
      <c r="H1034" s="48" t="s">
        <v>2138</v>
      </c>
      <c r="I1034" s="214">
        <v>610</v>
      </c>
      <c r="J1034" s="214">
        <v>610</v>
      </c>
      <c r="K1034" s="214">
        <v>0</v>
      </c>
      <c r="L1034" s="231">
        <v>610</v>
      </c>
      <c r="M1034" s="198">
        <v>0</v>
      </c>
      <c r="N1034" s="48" t="s">
        <v>1617</v>
      </c>
      <c r="O1034" s="48" t="s">
        <v>2023</v>
      </c>
      <c r="P1034" s="49" t="s">
        <v>1321</v>
      </c>
      <c r="Q1034" s="38" t="s">
        <v>1766</v>
      </c>
      <c r="R1034" s="48" t="s">
        <v>364</v>
      </c>
      <c r="S1034" s="48" t="s">
        <v>1827</v>
      </c>
      <c r="T1034" s="114" t="s">
        <v>1617</v>
      </c>
      <c r="U1034" s="38"/>
      <c r="V1034" s="130"/>
      <c r="W1034"/>
    </row>
    <row r="1035" spans="1:23" x14ac:dyDescent="0.3">
      <c r="K1035" s="197"/>
    </row>
    <row r="1036" spans="1:23" x14ac:dyDescent="0.3">
      <c r="K1036" s="197"/>
    </row>
    <row r="1037" spans="1:23" x14ac:dyDescent="0.3">
      <c r="K1037" s="197"/>
    </row>
    <row r="1038" spans="1:23" x14ac:dyDescent="0.3">
      <c r="K1038" s="197"/>
    </row>
    <row r="1039" spans="1:23" x14ac:dyDescent="0.3">
      <c r="K1039" s="197"/>
    </row>
    <row r="1040" spans="1:23" x14ac:dyDescent="0.3">
      <c r="K1040" s="197"/>
    </row>
    <row r="1041" spans="11:11" x14ac:dyDescent="0.3">
      <c r="K1041" s="197"/>
    </row>
    <row r="1042" spans="11:11" x14ac:dyDescent="0.3">
      <c r="K1042" s="197"/>
    </row>
    <row r="1043" spans="11:11" x14ac:dyDescent="0.3">
      <c r="K1043" s="197"/>
    </row>
    <row r="1044" spans="11:11" x14ac:dyDescent="0.3">
      <c r="K1044" s="197"/>
    </row>
    <row r="1045" spans="11:11" x14ac:dyDescent="0.3">
      <c r="K1045" s="197"/>
    </row>
    <row r="1046" spans="11:11" x14ac:dyDescent="0.3">
      <c r="K1046" s="197"/>
    </row>
    <row r="1047" spans="11:11" x14ac:dyDescent="0.3">
      <c r="K1047" s="197"/>
    </row>
    <row r="1048" spans="11:11" x14ac:dyDescent="0.3">
      <c r="K1048" s="197"/>
    </row>
    <row r="1049" spans="11:11" x14ac:dyDescent="0.3">
      <c r="K1049" s="197"/>
    </row>
    <row r="1050" spans="11:11" x14ac:dyDescent="0.3">
      <c r="K1050" s="197"/>
    </row>
    <row r="1051" spans="11:11" x14ac:dyDescent="0.3">
      <c r="K1051" s="197"/>
    </row>
    <row r="1052" spans="11:11" x14ac:dyDescent="0.3">
      <c r="K1052" s="197"/>
    </row>
    <row r="1053" spans="11:11" x14ac:dyDescent="0.3">
      <c r="K1053" s="197"/>
    </row>
    <row r="1054" spans="11:11" x14ac:dyDescent="0.3">
      <c r="K1054" s="197"/>
    </row>
    <row r="1055" spans="11:11" x14ac:dyDescent="0.3">
      <c r="K1055" s="197"/>
    </row>
    <row r="1056" spans="11:11" x14ac:dyDescent="0.3">
      <c r="K1056" s="197"/>
    </row>
    <row r="1057" spans="11:11" x14ac:dyDescent="0.3">
      <c r="K1057" s="197"/>
    </row>
    <row r="1058" spans="11:11" x14ac:dyDescent="0.3">
      <c r="K1058" s="197"/>
    </row>
    <row r="1059" spans="11:11" x14ac:dyDescent="0.3">
      <c r="K1059" s="197"/>
    </row>
    <row r="1060" spans="11:11" x14ac:dyDescent="0.3">
      <c r="K1060" s="197"/>
    </row>
    <row r="1061" spans="11:11" x14ac:dyDescent="0.3">
      <c r="K1061" s="197"/>
    </row>
    <row r="1062" spans="11:11" x14ac:dyDescent="0.3">
      <c r="K1062" s="197"/>
    </row>
    <row r="1063" spans="11:11" x14ac:dyDescent="0.3">
      <c r="K1063" s="197"/>
    </row>
    <row r="1064" spans="11:11" x14ac:dyDescent="0.3">
      <c r="K1064" s="197"/>
    </row>
    <row r="1065" spans="11:11" x14ac:dyDescent="0.3">
      <c r="K1065" s="197"/>
    </row>
    <row r="1066" spans="11:11" x14ac:dyDescent="0.3">
      <c r="K1066" s="197"/>
    </row>
    <row r="1067" spans="11:11" x14ac:dyDescent="0.3">
      <c r="K1067" s="197"/>
    </row>
    <row r="1068" spans="11:11" x14ac:dyDescent="0.3">
      <c r="K1068" s="197"/>
    </row>
    <row r="1069" spans="11:11" x14ac:dyDescent="0.3">
      <c r="K1069" s="197"/>
    </row>
    <row r="1070" spans="11:11" x14ac:dyDescent="0.3">
      <c r="K1070" s="197"/>
    </row>
    <row r="1071" spans="11:11" x14ac:dyDescent="0.3">
      <c r="K1071" s="197"/>
    </row>
    <row r="1072" spans="11:11" x14ac:dyDescent="0.3">
      <c r="K1072" s="197"/>
    </row>
    <row r="1073" spans="11:11" x14ac:dyDescent="0.3">
      <c r="K1073" s="197"/>
    </row>
    <row r="1074" spans="11:11" x14ac:dyDescent="0.3">
      <c r="K1074" s="197"/>
    </row>
    <row r="1075" spans="11:11" x14ac:dyDescent="0.3">
      <c r="K1075" s="197"/>
    </row>
    <row r="1076" spans="11:11" x14ac:dyDescent="0.3">
      <c r="K1076" s="197"/>
    </row>
    <row r="1077" spans="11:11" x14ac:dyDescent="0.3">
      <c r="K1077" s="197"/>
    </row>
    <row r="1078" spans="11:11" x14ac:dyDescent="0.3">
      <c r="K1078" s="197"/>
    </row>
    <row r="1079" spans="11:11" x14ac:dyDescent="0.3">
      <c r="K1079" s="197"/>
    </row>
    <row r="1080" spans="11:11" x14ac:dyDescent="0.3">
      <c r="K1080" s="197"/>
    </row>
    <row r="1081" spans="11:11" x14ac:dyDescent="0.3">
      <c r="K1081" s="197"/>
    </row>
    <row r="1082" spans="11:11" x14ac:dyDescent="0.3">
      <c r="K1082" s="197"/>
    </row>
    <row r="1083" spans="11:11" x14ac:dyDescent="0.3">
      <c r="K1083" s="197"/>
    </row>
    <row r="1084" spans="11:11" x14ac:dyDescent="0.3">
      <c r="K1084" s="197"/>
    </row>
    <row r="1085" spans="11:11" x14ac:dyDescent="0.3">
      <c r="K1085" s="197"/>
    </row>
    <row r="1086" spans="11:11" x14ac:dyDescent="0.3">
      <c r="K1086" s="197"/>
    </row>
    <row r="1087" spans="11:11" x14ac:dyDescent="0.3">
      <c r="K1087" s="197"/>
    </row>
    <row r="1088" spans="11:11" x14ac:dyDescent="0.3">
      <c r="K1088" s="197"/>
    </row>
    <row r="1089" spans="11:11" x14ac:dyDescent="0.3">
      <c r="K1089" s="197"/>
    </row>
    <row r="1090" spans="11:11" x14ac:dyDescent="0.3">
      <c r="K1090" s="197"/>
    </row>
    <row r="1091" spans="11:11" x14ac:dyDescent="0.3">
      <c r="K1091" s="197"/>
    </row>
    <row r="1092" spans="11:11" x14ac:dyDescent="0.3">
      <c r="K1092" s="197"/>
    </row>
    <row r="1093" spans="11:11" x14ac:dyDescent="0.3">
      <c r="K1093" s="197"/>
    </row>
    <row r="1094" spans="11:11" x14ac:dyDescent="0.3">
      <c r="K1094" s="197"/>
    </row>
    <row r="1095" spans="11:11" x14ac:dyDescent="0.3">
      <c r="K1095" s="197"/>
    </row>
    <row r="1096" spans="11:11" x14ac:dyDescent="0.3">
      <c r="K1096" s="197"/>
    </row>
    <row r="1097" spans="11:11" x14ac:dyDescent="0.3">
      <c r="K1097" s="197"/>
    </row>
    <row r="1098" spans="11:11" x14ac:dyDescent="0.3">
      <c r="K1098" s="197"/>
    </row>
    <row r="1099" spans="11:11" x14ac:dyDescent="0.3">
      <c r="K1099" s="197"/>
    </row>
    <row r="1100" spans="11:11" x14ac:dyDescent="0.3">
      <c r="K1100" s="197"/>
    </row>
    <row r="1101" spans="11:11" x14ac:dyDescent="0.3">
      <c r="K1101" s="197"/>
    </row>
    <row r="1102" spans="11:11" x14ac:dyDescent="0.3">
      <c r="K1102" s="197"/>
    </row>
    <row r="1103" spans="11:11" x14ac:dyDescent="0.3">
      <c r="K1103" s="197"/>
    </row>
    <row r="1104" spans="11:11" x14ac:dyDescent="0.3">
      <c r="K1104" s="197"/>
    </row>
    <row r="1105" spans="11:11" x14ac:dyDescent="0.3">
      <c r="K1105" s="197"/>
    </row>
    <row r="1106" spans="11:11" x14ac:dyDescent="0.3">
      <c r="K1106" s="197"/>
    </row>
    <row r="1107" spans="11:11" x14ac:dyDescent="0.3">
      <c r="K1107" s="197"/>
    </row>
    <row r="1108" spans="11:11" x14ac:dyDescent="0.3">
      <c r="K1108" s="197"/>
    </row>
    <row r="1109" spans="11:11" x14ac:dyDescent="0.3">
      <c r="K1109" s="197"/>
    </row>
    <row r="1110" spans="11:11" x14ac:dyDescent="0.3">
      <c r="K1110" s="197"/>
    </row>
    <row r="1111" spans="11:11" x14ac:dyDescent="0.3">
      <c r="K1111" s="197"/>
    </row>
    <row r="1112" spans="11:11" x14ac:dyDescent="0.3">
      <c r="K1112" s="197"/>
    </row>
    <row r="1113" spans="11:11" x14ac:dyDescent="0.3">
      <c r="K1113" s="197"/>
    </row>
    <row r="1114" spans="11:11" x14ac:dyDescent="0.3">
      <c r="K1114" s="197"/>
    </row>
    <row r="1115" spans="11:11" x14ac:dyDescent="0.3">
      <c r="K1115" s="197"/>
    </row>
    <row r="1116" spans="11:11" x14ac:dyDescent="0.3">
      <c r="K1116" s="197"/>
    </row>
    <row r="1117" spans="11:11" x14ac:dyDescent="0.3">
      <c r="K1117" s="197"/>
    </row>
    <row r="1118" spans="11:11" x14ac:dyDescent="0.3">
      <c r="K1118" s="197"/>
    </row>
    <row r="1119" spans="11:11" x14ac:dyDescent="0.3">
      <c r="K1119" s="197"/>
    </row>
    <row r="1120" spans="11:11" x14ac:dyDescent="0.3">
      <c r="K1120" s="197"/>
    </row>
    <row r="1121" spans="11:11" x14ac:dyDescent="0.3">
      <c r="K1121" s="197"/>
    </row>
    <row r="1122" spans="11:11" x14ac:dyDescent="0.3">
      <c r="K1122" s="197"/>
    </row>
    <row r="1123" spans="11:11" x14ac:dyDescent="0.3">
      <c r="K1123" s="197"/>
    </row>
    <row r="1124" spans="11:11" x14ac:dyDescent="0.3">
      <c r="K1124" s="197"/>
    </row>
    <row r="1125" spans="11:11" x14ac:dyDescent="0.3">
      <c r="K1125" s="197"/>
    </row>
    <row r="1126" spans="11:11" x14ac:dyDescent="0.3">
      <c r="K1126" s="197"/>
    </row>
    <row r="1127" spans="11:11" x14ac:dyDescent="0.3">
      <c r="K1127" s="197"/>
    </row>
    <row r="1128" spans="11:11" x14ac:dyDescent="0.3">
      <c r="K1128" s="197"/>
    </row>
    <row r="1129" spans="11:11" x14ac:dyDescent="0.3">
      <c r="K1129" s="197"/>
    </row>
    <row r="1130" spans="11:11" x14ac:dyDescent="0.3">
      <c r="K1130" s="197"/>
    </row>
    <row r="1131" spans="11:11" x14ac:dyDescent="0.3">
      <c r="K1131" s="197"/>
    </row>
    <row r="1132" spans="11:11" x14ac:dyDescent="0.3">
      <c r="K1132" s="197"/>
    </row>
    <row r="1133" spans="11:11" x14ac:dyDescent="0.3">
      <c r="K1133" s="197"/>
    </row>
    <row r="1134" spans="11:11" x14ac:dyDescent="0.3">
      <c r="K1134" s="197"/>
    </row>
    <row r="1135" spans="11:11" x14ac:dyDescent="0.3">
      <c r="K1135" s="197"/>
    </row>
    <row r="1136" spans="11:11" x14ac:dyDescent="0.3">
      <c r="K1136" s="197"/>
    </row>
    <row r="1137" spans="11:11" x14ac:dyDescent="0.3">
      <c r="K1137" s="197"/>
    </row>
    <row r="1138" spans="11:11" x14ac:dyDescent="0.3">
      <c r="K1138" s="197"/>
    </row>
    <row r="1139" spans="11:11" x14ac:dyDescent="0.3">
      <c r="K1139" s="197"/>
    </row>
    <row r="1140" spans="11:11" x14ac:dyDescent="0.3">
      <c r="K1140" s="197"/>
    </row>
    <row r="1141" spans="11:11" x14ac:dyDescent="0.3">
      <c r="K1141" s="197"/>
    </row>
    <row r="1142" spans="11:11" x14ac:dyDescent="0.3">
      <c r="K1142" s="197"/>
    </row>
    <row r="1143" spans="11:11" x14ac:dyDescent="0.3">
      <c r="K1143" s="197"/>
    </row>
    <row r="1144" spans="11:11" x14ac:dyDescent="0.3">
      <c r="K1144" s="197"/>
    </row>
    <row r="1145" spans="11:11" x14ac:dyDescent="0.3">
      <c r="K1145" s="197"/>
    </row>
    <row r="1146" spans="11:11" x14ac:dyDescent="0.3">
      <c r="K1146" s="197"/>
    </row>
    <row r="1147" spans="11:11" x14ac:dyDescent="0.3">
      <c r="K1147" s="197"/>
    </row>
    <row r="1148" spans="11:11" x14ac:dyDescent="0.3">
      <c r="K1148" s="197"/>
    </row>
    <row r="1149" spans="11:11" x14ac:dyDescent="0.3">
      <c r="K1149" s="197"/>
    </row>
    <row r="1150" spans="11:11" x14ac:dyDescent="0.3">
      <c r="K1150" s="197"/>
    </row>
    <row r="1151" spans="11:11" x14ac:dyDescent="0.3">
      <c r="K1151" s="197"/>
    </row>
    <row r="1152" spans="11:11" x14ac:dyDescent="0.3">
      <c r="K1152" s="197"/>
    </row>
    <row r="1153" spans="11:11" x14ac:dyDescent="0.3">
      <c r="K1153" s="197"/>
    </row>
    <row r="1154" spans="11:11" x14ac:dyDescent="0.3">
      <c r="K1154" s="197"/>
    </row>
    <row r="1155" spans="11:11" x14ac:dyDescent="0.3">
      <c r="K1155" s="197"/>
    </row>
    <row r="1156" spans="11:11" x14ac:dyDescent="0.3">
      <c r="K1156" s="197"/>
    </row>
    <row r="1157" spans="11:11" x14ac:dyDescent="0.3">
      <c r="K1157" s="197"/>
    </row>
    <row r="1158" spans="11:11" x14ac:dyDescent="0.3">
      <c r="K1158" s="197"/>
    </row>
    <row r="1159" spans="11:11" x14ac:dyDescent="0.3">
      <c r="K1159" s="197"/>
    </row>
    <row r="1160" spans="11:11" x14ac:dyDescent="0.3">
      <c r="K1160" s="197"/>
    </row>
    <row r="1161" spans="11:11" x14ac:dyDescent="0.3">
      <c r="K1161" s="197"/>
    </row>
    <row r="1162" spans="11:11" x14ac:dyDescent="0.3">
      <c r="K1162" s="197"/>
    </row>
    <row r="1163" spans="11:11" x14ac:dyDescent="0.3">
      <c r="K1163" s="197"/>
    </row>
    <row r="1164" spans="11:11" x14ac:dyDescent="0.3">
      <c r="K1164" s="197"/>
    </row>
    <row r="1165" spans="11:11" x14ac:dyDescent="0.3">
      <c r="K1165" s="197"/>
    </row>
    <row r="1166" spans="11:11" x14ac:dyDescent="0.3">
      <c r="K1166" s="197"/>
    </row>
    <row r="1167" spans="11:11" x14ac:dyDescent="0.3">
      <c r="K1167" s="197"/>
    </row>
    <row r="1168" spans="11:11" x14ac:dyDescent="0.3">
      <c r="K1168" s="197"/>
    </row>
    <row r="1169" spans="11:11" x14ac:dyDescent="0.3">
      <c r="K1169" s="197"/>
    </row>
    <row r="1170" spans="11:11" x14ac:dyDescent="0.3">
      <c r="K1170" s="197"/>
    </row>
    <row r="1171" spans="11:11" x14ac:dyDescent="0.3">
      <c r="K1171" s="197"/>
    </row>
    <row r="1172" spans="11:11" x14ac:dyDescent="0.3">
      <c r="K1172" s="197"/>
    </row>
    <row r="1173" spans="11:11" x14ac:dyDescent="0.3">
      <c r="K1173" s="197"/>
    </row>
    <row r="1174" spans="11:11" x14ac:dyDescent="0.3">
      <c r="K1174" s="197"/>
    </row>
    <row r="1175" spans="11:11" x14ac:dyDescent="0.3">
      <c r="K1175" s="197"/>
    </row>
    <row r="1176" spans="11:11" x14ac:dyDescent="0.3">
      <c r="K1176" s="197"/>
    </row>
    <row r="1177" spans="11:11" x14ac:dyDescent="0.3">
      <c r="K1177" s="197"/>
    </row>
    <row r="1178" spans="11:11" x14ac:dyDescent="0.3">
      <c r="K1178" s="197"/>
    </row>
    <row r="1179" spans="11:11" x14ac:dyDescent="0.3">
      <c r="K1179" s="197"/>
    </row>
    <row r="1180" spans="11:11" x14ac:dyDescent="0.3">
      <c r="K1180" s="197"/>
    </row>
    <row r="1181" spans="11:11" x14ac:dyDescent="0.3">
      <c r="K1181" s="197"/>
    </row>
    <row r="1182" spans="11:11" x14ac:dyDescent="0.3">
      <c r="K1182" s="197"/>
    </row>
    <row r="1183" spans="11:11" x14ac:dyDescent="0.3">
      <c r="K1183" s="197"/>
    </row>
    <row r="1184" spans="11:11" x14ac:dyDescent="0.3">
      <c r="K1184" s="197"/>
    </row>
    <row r="1185" spans="11:11" x14ac:dyDescent="0.3">
      <c r="K1185" s="197"/>
    </row>
    <row r="1186" spans="11:11" x14ac:dyDescent="0.3">
      <c r="K1186" s="197"/>
    </row>
    <row r="1187" spans="11:11" x14ac:dyDescent="0.3">
      <c r="K1187" s="197"/>
    </row>
    <row r="1188" spans="11:11" x14ac:dyDescent="0.3">
      <c r="K1188" s="197"/>
    </row>
    <row r="1189" spans="11:11" x14ac:dyDescent="0.3">
      <c r="K1189" s="197"/>
    </row>
    <row r="1190" spans="11:11" x14ac:dyDescent="0.3">
      <c r="K1190" s="197"/>
    </row>
    <row r="1191" spans="11:11" x14ac:dyDescent="0.3">
      <c r="K1191" s="197"/>
    </row>
    <row r="1192" spans="11:11" x14ac:dyDescent="0.3">
      <c r="K1192" s="197"/>
    </row>
    <row r="1193" spans="11:11" x14ac:dyDescent="0.3">
      <c r="K1193" s="197"/>
    </row>
    <row r="1194" spans="11:11" x14ac:dyDescent="0.3">
      <c r="K1194" s="197"/>
    </row>
    <row r="1195" spans="11:11" x14ac:dyDescent="0.3">
      <c r="K1195" s="197"/>
    </row>
    <row r="1196" spans="11:11" x14ac:dyDescent="0.3">
      <c r="K1196" s="197"/>
    </row>
    <row r="1197" spans="11:11" x14ac:dyDescent="0.3">
      <c r="K1197" s="197"/>
    </row>
    <row r="1198" spans="11:11" x14ac:dyDescent="0.3">
      <c r="K1198" s="197"/>
    </row>
    <row r="1199" spans="11:11" x14ac:dyDescent="0.3">
      <c r="K1199" s="197"/>
    </row>
    <row r="1200" spans="11:11" x14ac:dyDescent="0.3">
      <c r="K1200" s="197"/>
    </row>
    <row r="1201" spans="11:11" x14ac:dyDescent="0.3">
      <c r="K1201" s="197"/>
    </row>
    <row r="1202" spans="11:11" x14ac:dyDescent="0.3">
      <c r="K1202" s="197"/>
    </row>
    <row r="1203" spans="11:11" x14ac:dyDescent="0.3">
      <c r="K1203" s="197"/>
    </row>
    <row r="1204" spans="11:11" x14ac:dyDescent="0.3">
      <c r="K1204" s="197"/>
    </row>
    <row r="1205" spans="11:11" x14ac:dyDescent="0.3">
      <c r="K1205" s="197"/>
    </row>
    <row r="1206" spans="11:11" x14ac:dyDescent="0.3">
      <c r="K1206" s="197"/>
    </row>
    <row r="1207" spans="11:11" x14ac:dyDescent="0.3">
      <c r="K1207" s="197"/>
    </row>
    <row r="1208" spans="11:11" x14ac:dyDescent="0.3">
      <c r="K1208" s="197"/>
    </row>
    <row r="1209" spans="11:11" x14ac:dyDescent="0.3">
      <c r="K1209" s="197"/>
    </row>
    <row r="1210" spans="11:11" x14ac:dyDescent="0.3">
      <c r="K1210" s="197"/>
    </row>
    <row r="1211" spans="11:11" x14ac:dyDescent="0.3">
      <c r="K1211" s="197"/>
    </row>
    <row r="1212" spans="11:11" x14ac:dyDescent="0.3">
      <c r="K1212" s="197"/>
    </row>
    <row r="1213" spans="11:11" x14ac:dyDescent="0.3">
      <c r="K1213" s="197"/>
    </row>
    <row r="1214" spans="11:11" x14ac:dyDescent="0.3">
      <c r="K1214" s="197"/>
    </row>
    <row r="1215" spans="11:11" x14ac:dyDescent="0.3">
      <c r="K1215" s="197"/>
    </row>
    <row r="1216" spans="11:11" x14ac:dyDescent="0.3">
      <c r="K1216" s="197"/>
    </row>
    <row r="1217" spans="11:11" x14ac:dyDescent="0.3">
      <c r="K1217" s="197"/>
    </row>
    <row r="1218" spans="11:11" x14ac:dyDescent="0.3">
      <c r="K1218" s="197"/>
    </row>
    <row r="1219" spans="11:11" x14ac:dyDescent="0.3">
      <c r="K1219" s="197"/>
    </row>
    <row r="1220" spans="11:11" x14ac:dyDescent="0.3">
      <c r="K1220" s="197"/>
    </row>
    <row r="1221" spans="11:11" x14ac:dyDescent="0.3">
      <c r="K1221" s="197"/>
    </row>
    <row r="1222" spans="11:11" x14ac:dyDescent="0.3">
      <c r="K1222" s="197"/>
    </row>
    <row r="1223" spans="11:11" x14ac:dyDescent="0.3">
      <c r="K1223" s="197"/>
    </row>
    <row r="1224" spans="11:11" x14ac:dyDescent="0.3">
      <c r="K1224" s="197"/>
    </row>
    <row r="1225" spans="11:11" x14ac:dyDescent="0.3">
      <c r="K1225" s="197"/>
    </row>
    <row r="1226" spans="11:11" x14ac:dyDescent="0.3">
      <c r="K1226" s="197"/>
    </row>
    <row r="1227" spans="11:11" x14ac:dyDescent="0.3">
      <c r="K1227" s="197"/>
    </row>
    <row r="1228" spans="11:11" x14ac:dyDescent="0.3">
      <c r="K1228" s="197"/>
    </row>
    <row r="1229" spans="11:11" x14ac:dyDescent="0.3">
      <c r="K1229" s="197"/>
    </row>
    <row r="1230" spans="11:11" x14ac:dyDescent="0.3">
      <c r="K1230" s="197"/>
    </row>
    <row r="1231" spans="11:11" x14ac:dyDescent="0.3">
      <c r="K1231" s="197"/>
    </row>
    <row r="1232" spans="11:11" x14ac:dyDescent="0.3">
      <c r="K1232" s="197"/>
    </row>
    <row r="1233" spans="11:11" x14ac:dyDescent="0.3">
      <c r="K1233" s="197"/>
    </row>
    <row r="1234" spans="11:11" x14ac:dyDescent="0.3">
      <c r="K1234" s="197"/>
    </row>
    <row r="1235" spans="11:11" x14ac:dyDescent="0.3">
      <c r="K1235" s="197"/>
    </row>
    <row r="1236" spans="11:11" x14ac:dyDescent="0.3">
      <c r="K1236" s="197"/>
    </row>
    <row r="1237" spans="11:11" x14ac:dyDescent="0.3">
      <c r="K1237" s="197"/>
    </row>
    <row r="1238" spans="11:11" x14ac:dyDescent="0.3">
      <c r="K1238" s="197"/>
    </row>
    <row r="1239" spans="11:11" x14ac:dyDescent="0.3">
      <c r="K1239" s="197"/>
    </row>
    <row r="1240" spans="11:11" x14ac:dyDescent="0.3">
      <c r="K1240" s="197"/>
    </row>
    <row r="1241" spans="11:11" x14ac:dyDescent="0.3">
      <c r="K1241" s="197"/>
    </row>
    <row r="1242" spans="11:11" x14ac:dyDescent="0.3">
      <c r="K1242" s="197"/>
    </row>
    <row r="1243" spans="11:11" x14ac:dyDescent="0.3">
      <c r="K1243" s="197"/>
    </row>
    <row r="1244" spans="11:11" x14ac:dyDescent="0.3">
      <c r="K1244" s="197"/>
    </row>
    <row r="1245" spans="11:11" x14ac:dyDescent="0.3">
      <c r="K1245" s="197"/>
    </row>
    <row r="1246" spans="11:11" x14ac:dyDescent="0.3">
      <c r="K1246" s="197"/>
    </row>
    <row r="1247" spans="11:11" x14ac:dyDescent="0.3">
      <c r="K1247" s="197"/>
    </row>
    <row r="1248" spans="11:11" x14ac:dyDescent="0.3">
      <c r="K1248" s="197"/>
    </row>
    <row r="1249" spans="11:11" x14ac:dyDescent="0.3">
      <c r="K1249" s="197"/>
    </row>
    <row r="1250" spans="11:11" x14ac:dyDescent="0.3">
      <c r="K1250" s="197"/>
    </row>
    <row r="1251" spans="11:11" x14ac:dyDescent="0.3">
      <c r="K1251" s="197"/>
    </row>
    <row r="1252" spans="11:11" x14ac:dyDescent="0.3">
      <c r="K1252" s="197"/>
    </row>
    <row r="1253" spans="11:11" x14ac:dyDescent="0.3">
      <c r="K1253" s="197"/>
    </row>
    <row r="1254" spans="11:11" x14ac:dyDescent="0.3">
      <c r="K1254" s="197"/>
    </row>
    <row r="1255" spans="11:11" x14ac:dyDescent="0.3">
      <c r="K1255" s="197"/>
    </row>
    <row r="1256" spans="11:11" x14ac:dyDescent="0.3">
      <c r="K1256" s="197"/>
    </row>
    <row r="1257" spans="11:11" x14ac:dyDescent="0.3">
      <c r="K1257" s="197"/>
    </row>
    <row r="1258" spans="11:11" x14ac:dyDescent="0.3">
      <c r="K1258" s="197"/>
    </row>
    <row r="1259" spans="11:11" x14ac:dyDescent="0.3">
      <c r="K1259" s="197"/>
    </row>
    <row r="1260" spans="11:11" x14ac:dyDescent="0.3">
      <c r="K1260" s="197"/>
    </row>
    <row r="1261" spans="11:11" x14ac:dyDescent="0.3">
      <c r="K1261" s="197"/>
    </row>
    <row r="1262" spans="11:11" x14ac:dyDescent="0.3">
      <c r="K1262" s="197"/>
    </row>
    <row r="1263" spans="11:11" x14ac:dyDescent="0.3">
      <c r="K1263" s="197"/>
    </row>
    <row r="1264" spans="11:11" x14ac:dyDescent="0.3">
      <c r="K1264" s="197"/>
    </row>
    <row r="1265" spans="11:11" x14ac:dyDescent="0.3">
      <c r="K1265" s="197"/>
    </row>
    <row r="1266" spans="11:11" x14ac:dyDescent="0.3">
      <c r="K1266" s="197"/>
    </row>
    <row r="1267" spans="11:11" x14ac:dyDescent="0.3">
      <c r="K1267" s="197"/>
    </row>
    <row r="1268" spans="11:11" x14ac:dyDescent="0.3">
      <c r="K1268" s="197"/>
    </row>
    <row r="1269" spans="11:11" x14ac:dyDescent="0.3">
      <c r="K1269" s="197"/>
    </row>
    <row r="1270" spans="11:11" x14ac:dyDescent="0.3">
      <c r="K1270" s="197"/>
    </row>
    <row r="1271" spans="11:11" x14ac:dyDescent="0.3">
      <c r="K1271" s="197"/>
    </row>
    <row r="1272" spans="11:11" x14ac:dyDescent="0.3">
      <c r="K1272" s="197"/>
    </row>
    <row r="1273" spans="11:11" x14ac:dyDescent="0.3">
      <c r="K1273" s="197"/>
    </row>
    <row r="1274" spans="11:11" x14ac:dyDescent="0.3">
      <c r="K1274" s="197"/>
    </row>
    <row r="1275" spans="11:11" x14ac:dyDescent="0.3">
      <c r="K1275" s="197"/>
    </row>
    <row r="1276" spans="11:11" x14ac:dyDescent="0.3">
      <c r="K1276" s="197"/>
    </row>
    <row r="1277" spans="11:11" x14ac:dyDescent="0.3">
      <c r="K1277" s="197"/>
    </row>
    <row r="1278" spans="11:11" x14ac:dyDescent="0.3">
      <c r="K1278" s="197"/>
    </row>
    <row r="1279" spans="11:11" x14ac:dyDescent="0.3">
      <c r="K1279" s="197"/>
    </row>
    <row r="1280" spans="11:11" x14ac:dyDescent="0.3">
      <c r="K1280" s="197"/>
    </row>
    <row r="1281" spans="11:11" x14ac:dyDescent="0.3">
      <c r="K1281" s="197"/>
    </row>
    <row r="1282" spans="11:11" x14ac:dyDescent="0.3">
      <c r="K1282" s="197"/>
    </row>
    <row r="1283" spans="11:11" x14ac:dyDescent="0.3">
      <c r="K1283" s="197"/>
    </row>
    <row r="1284" spans="11:11" x14ac:dyDescent="0.3">
      <c r="K1284" s="197"/>
    </row>
    <row r="1285" spans="11:11" x14ac:dyDescent="0.3">
      <c r="K1285" s="197"/>
    </row>
    <row r="1286" spans="11:11" x14ac:dyDescent="0.3">
      <c r="K1286" s="197"/>
    </row>
    <row r="1287" spans="11:11" x14ac:dyDescent="0.3">
      <c r="K1287" s="197"/>
    </row>
    <row r="1288" spans="11:11" x14ac:dyDescent="0.3">
      <c r="K1288" s="197"/>
    </row>
    <row r="1289" spans="11:11" x14ac:dyDescent="0.3">
      <c r="K1289" s="197"/>
    </row>
    <row r="1290" spans="11:11" x14ac:dyDescent="0.3">
      <c r="K1290" s="197"/>
    </row>
    <row r="1291" spans="11:11" x14ac:dyDescent="0.3">
      <c r="K1291" s="197"/>
    </row>
    <row r="1292" spans="11:11" x14ac:dyDescent="0.3">
      <c r="K1292" s="197"/>
    </row>
    <row r="1293" spans="11:11" x14ac:dyDescent="0.3">
      <c r="K1293" s="197"/>
    </row>
    <row r="1294" spans="11:11" x14ac:dyDescent="0.3">
      <c r="K1294" s="197"/>
    </row>
    <row r="1295" spans="11:11" x14ac:dyDescent="0.3">
      <c r="K1295" s="197"/>
    </row>
    <row r="1296" spans="11:11" x14ac:dyDescent="0.3">
      <c r="K1296" s="197"/>
    </row>
    <row r="1297" spans="11:11" x14ac:dyDescent="0.3">
      <c r="K1297" s="197"/>
    </row>
    <row r="1298" spans="11:11" x14ac:dyDescent="0.3">
      <c r="K1298" s="197"/>
    </row>
    <row r="1299" spans="11:11" x14ac:dyDescent="0.3">
      <c r="K1299" s="197"/>
    </row>
    <row r="1300" spans="11:11" x14ac:dyDescent="0.3">
      <c r="K1300" s="197"/>
    </row>
    <row r="1301" spans="11:11" x14ac:dyDescent="0.3">
      <c r="K1301" s="197"/>
    </row>
    <row r="1302" spans="11:11" x14ac:dyDescent="0.3">
      <c r="K1302" s="197"/>
    </row>
    <row r="1303" spans="11:11" x14ac:dyDescent="0.3">
      <c r="K1303" s="197"/>
    </row>
    <row r="1304" spans="11:11" x14ac:dyDescent="0.3">
      <c r="K1304" s="197"/>
    </row>
    <row r="1305" spans="11:11" x14ac:dyDescent="0.3">
      <c r="K1305" s="197"/>
    </row>
    <row r="1306" spans="11:11" x14ac:dyDescent="0.3">
      <c r="K1306" s="197"/>
    </row>
    <row r="1307" spans="11:11" x14ac:dyDescent="0.3">
      <c r="K1307" s="197"/>
    </row>
    <row r="1308" spans="11:11" x14ac:dyDescent="0.3">
      <c r="K1308" s="197"/>
    </row>
    <row r="1309" spans="11:11" x14ac:dyDescent="0.3">
      <c r="K1309" s="197"/>
    </row>
    <row r="1310" spans="11:11" x14ac:dyDescent="0.3">
      <c r="K1310" s="197"/>
    </row>
    <row r="1311" spans="11:11" x14ac:dyDescent="0.3">
      <c r="K1311" s="197"/>
    </row>
    <row r="1312" spans="11:11" x14ac:dyDescent="0.3">
      <c r="K1312" s="197"/>
    </row>
    <row r="1313" spans="11:11" x14ac:dyDescent="0.3">
      <c r="K1313" s="197"/>
    </row>
    <row r="1314" spans="11:11" x14ac:dyDescent="0.3">
      <c r="K1314" s="197"/>
    </row>
    <row r="1315" spans="11:11" x14ac:dyDescent="0.3">
      <c r="K1315" s="197"/>
    </row>
    <row r="1316" spans="11:11" x14ac:dyDescent="0.3">
      <c r="K1316" s="197"/>
    </row>
    <row r="1317" spans="11:11" x14ac:dyDescent="0.3">
      <c r="K1317" s="197"/>
    </row>
    <row r="1318" spans="11:11" x14ac:dyDescent="0.3">
      <c r="K1318" s="197"/>
    </row>
    <row r="1319" spans="11:11" x14ac:dyDescent="0.3">
      <c r="K1319" s="197"/>
    </row>
    <row r="1320" spans="11:11" x14ac:dyDescent="0.3">
      <c r="K1320" s="197"/>
    </row>
    <row r="1321" spans="11:11" x14ac:dyDescent="0.3">
      <c r="K1321" s="197"/>
    </row>
    <row r="1322" spans="11:11" x14ac:dyDescent="0.3">
      <c r="K1322" s="197"/>
    </row>
    <row r="1323" spans="11:11" x14ac:dyDescent="0.3">
      <c r="K1323" s="197"/>
    </row>
    <row r="1324" spans="11:11" x14ac:dyDescent="0.3">
      <c r="K1324" s="197"/>
    </row>
    <row r="1325" spans="11:11" x14ac:dyDescent="0.3">
      <c r="K1325" s="197"/>
    </row>
    <row r="1326" spans="11:11" x14ac:dyDescent="0.3">
      <c r="K1326" s="197"/>
    </row>
    <row r="1327" spans="11:11" x14ac:dyDescent="0.3">
      <c r="K1327" s="197"/>
    </row>
    <row r="1328" spans="11:11" x14ac:dyDescent="0.3">
      <c r="K1328" s="197"/>
    </row>
    <row r="1329" spans="11:11" x14ac:dyDescent="0.3">
      <c r="K1329" s="197"/>
    </row>
    <row r="1330" spans="11:11" x14ac:dyDescent="0.3">
      <c r="K1330" s="197"/>
    </row>
    <row r="1331" spans="11:11" x14ac:dyDescent="0.3">
      <c r="K1331" s="197"/>
    </row>
    <row r="1332" spans="11:11" x14ac:dyDescent="0.3">
      <c r="K1332" s="197"/>
    </row>
    <row r="1333" spans="11:11" x14ac:dyDescent="0.3">
      <c r="K1333" s="197"/>
    </row>
    <row r="1334" spans="11:11" x14ac:dyDescent="0.3">
      <c r="K1334" s="197"/>
    </row>
    <row r="1335" spans="11:11" x14ac:dyDescent="0.3">
      <c r="K1335" s="197"/>
    </row>
    <row r="1336" spans="11:11" x14ac:dyDescent="0.3">
      <c r="K1336" s="197"/>
    </row>
    <row r="1337" spans="11:11" x14ac:dyDescent="0.3">
      <c r="K1337" s="197"/>
    </row>
    <row r="1338" spans="11:11" x14ac:dyDescent="0.3">
      <c r="K1338" s="197"/>
    </row>
    <row r="1339" spans="11:11" x14ac:dyDescent="0.3">
      <c r="K1339" s="197"/>
    </row>
    <row r="1340" spans="11:11" x14ac:dyDescent="0.3">
      <c r="K1340" s="197"/>
    </row>
    <row r="1341" spans="11:11" x14ac:dyDescent="0.3">
      <c r="K1341" s="197"/>
    </row>
  </sheetData>
  <conditionalFormatting sqref="N844:N845">
    <cfRule type="containsText" dxfId="3" priority="3" operator="containsText" text="SIN ASIGNAR">
      <formula>NOT(ISERROR(SEARCH(("SIN ASIGNAR"),(N844))))</formula>
    </cfRule>
  </conditionalFormatting>
  <conditionalFormatting sqref="O842">
    <cfRule type="duplicateValues" dxfId="2" priority="4"/>
  </conditionalFormatting>
  <conditionalFormatting sqref="O927">
    <cfRule type="duplicateValues" dxfId="1" priority="1"/>
    <cfRule type="duplicateValues" dxfId="0" priority="2"/>
  </conditionalFormatting>
  <dataValidations count="1">
    <dataValidation type="list" allowBlank="1" showInputMessage="1" showErrorMessage="1" sqref="H1:H1048576" xr:uid="{F5693EEF-46AC-48EB-A3A7-36669940413A}">
      <formula1>$AJ$2:$AJ$6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UBER 2025</vt:lpstr>
      <vt:lpstr>UBER 2026</vt:lpstr>
      <vt:lpstr>Gastos 2025</vt:lpstr>
      <vt:lpstr>Gastos 2026</vt:lpstr>
      <vt:lpstr>'UBER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Emmanuel Lara Hernández</cp:lastModifiedBy>
  <dcterms:created xsi:type="dcterms:W3CDTF">2026-02-20T06:24:49Z</dcterms:created>
  <dcterms:modified xsi:type="dcterms:W3CDTF">2026-04-11T20:15:05Z</dcterms:modified>
</cp:coreProperties>
</file>